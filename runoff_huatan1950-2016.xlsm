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5225" codeName="{AE6600E7-7A62-396C-DE95-9942FA9DD81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E:\ProgrammingPractice\PythonLearning\PythonFileOperation\"/>
    </mc:Choice>
  </mc:AlternateContent>
  <xr:revisionPtr revIDLastSave="0" documentId="13_ncr:1_{9B64DF66-4FCC-4397-9BFE-4452376412CC}" xr6:coauthVersionLast="47" xr6:coauthVersionMax="47" xr10:uidLastSave="{00000000-0000-0000-0000-000000000000}"/>
  <bookViews>
    <workbookView xWindow="3510" yWindow="1245" windowWidth="14760" windowHeight="14355" activeTab="1" xr2:uid="{00000000-000D-0000-FFFF-FFFF00000000}"/>
  </bookViews>
  <sheets>
    <sheet name="日流量" sheetId="23" r:id="rId1"/>
    <sheet name="日径流" sheetId="22" r:id="rId2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NT89" i="23" l="1"/>
  <c r="NS89" i="23"/>
  <c r="NR89" i="23"/>
  <c r="NQ89" i="23"/>
  <c r="NP89" i="23"/>
  <c r="NO89" i="23"/>
  <c r="NN89" i="23"/>
  <c r="NM89" i="23"/>
  <c r="NL89" i="23"/>
  <c r="NK89" i="23"/>
  <c r="NJ89" i="23"/>
  <c r="NI89" i="23"/>
  <c r="NH89" i="23"/>
  <c r="NG89" i="23"/>
  <c r="NF89" i="23"/>
  <c r="NE89" i="23"/>
  <c r="ND89" i="23"/>
  <c r="NC89" i="23"/>
  <c r="NB89" i="23"/>
  <c r="NA89" i="23"/>
  <c r="MZ89" i="23"/>
  <c r="MY89" i="23"/>
  <c r="MX89" i="23"/>
  <c r="MW89" i="23"/>
  <c r="MV89" i="23"/>
  <c r="MU89" i="23"/>
  <c r="MT89" i="23"/>
  <c r="MS89" i="23"/>
  <c r="MR89" i="23"/>
  <c r="MQ89" i="23"/>
  <c r="MP89" i="23"/>
  <c r="MO89" i="23"/>
  <c r="MN89" i="23"/>
  <c r="MM89" i="23"/>
  <c r="ML89" i="23"/>
  <c r="MK89" i="23"/>
  <c r="MJ89" i="23"/>
  <c r="MI89" i="23"/>
  <c r="MH89" i="23"/>
  <c r="MG89" i="23"/>
  <c r="MF89" i="23"/>
  <c r="ME89" i="23"/>
  <c r="MD89" i="23"/>
  <c r="MC89" i="23"/>
  <c r="MB89" i="23"/>
  <c r="MA89" i="23"/>
  <c r="LZ89" i="23"/>
  <c r="LY89" i="23"/>
  <c r="LX89" i="23"/>
  <c r="LW89" i="23"/>
  <c r="LV89" i="23"/>
  <c r="LU89" i="23"/>
  <c r="LT89" i="23"/>
  <c r="LS89" i="23"/>
  <c r="LR89" i="23"/>
  <c r="LQ89" i="23"/>
  <c r="LP89" i="23"/>
  <c r="LO89" i="23"/>
  <c r="LN89" i="23"/>
  <c r="LM89" i="23"/>
  <c r="LL89" i="23"/>
  <c r="LK89" i="23"/>
  <c r="LJ89" i="23"/>
  <c r="LI89" i="23"/>
  <c r="LH89" i="23"/>
  <c r="LG89" i="23"/>
  <c r="LF89" i="23"/>
  <c r="LE89" i="23"/>
  <c r="LD89" i="23"/>
  <c r="LC89" i="23"/>
  <c r="LB89" i="23"/>
  <c r="LA89" i="23"/>
  <c r="KZ89" i="23"/>
  <c r="KY89" i="23"/>
  <c r="KX89" i="23"/>
  <c r="KW89" i="23"/>
  <c r="KV89" i="23"/>
  <c r="KU89" i="23"/>
  <c r="KT89" i="23"/>
  <c r="KS89" i="23"/>
  <c r="KR89" i="23"/>
  <c r="KQ89" i="23"/>
  <c r="KP89" i="23"/>
  <c r="KO89" i="23"/>
  <c r="KN89" i="23"/>
  <c r="KM89" i="23"/>
  <c r="KL89" i="23"/>
  <c r="KK89" i="23"/>
  <c r="KJ89" i="23"/>
  <c r="KI89" i="23"/>
  <c r="KH89" i="23"/>
  <c r="KG89" i="23"/>
  <c r="KF89" i="23"/>
  <c r="KE89" i="23"/>
  <c r="KD89" i="23"/>
  <c r="KC89" i="23"/>
  <c r="KB89" i="23"/>
  <c r="KA89" i="23"/>
  <c r="JZ89" i="23"/>
  <c r="JY89" i="23"/>
  <c r="JX89" i="23"/>
  <c r="JW89" i="23"/>
  <c r="JV89" i="23"/>
  <c r="JU89" i="23"/>
  <c r="JT89" i="23"/>
  <c r="JS89" i="23"/>
  <c r="JR89" i="23"/>
  <c r="JQ89" i="23"/>
  <c r="JP89" i="23"/>
  <c r="JO89" i="23"/>
  <c r="JN89" i="23"/>
  <c r="JM89" i="23"/>
  <c r="JL89" i="23"/>
  <c r="JK89" i="23"/>
  <c r="JJ89" i="23"/>
  <c r="JI89" i="23"/>
  <c r="JH89" i="23"/>
  <c r="JG89" i="23"/>
  <c r="JF89" i="23"/>
  <c r="JE89" i="23"/>
  <c r="JD89" i="23"/>
  <c r="JC89" i="23"/>
  <c r="JB89" i="23"/>
  <c r="JA89" i="23"/>
  <c r="IZ89" i="23"/>
  <c r="IY89" i="23"/>
  <c r="IX89" i="23"/>
  <c r="IW89" i="23"/>
  <c r="IV89" i="23"/>
  <c r="IU89" i="23"/>
  <c r="IT89" i="23"/>
  <c r="IS89" i="23"/>
  <c r="IR89" i="23"/>
  <c r="IQ89" i="23"/>
  <c r="IP89" i="23"/>
  <c r="IO89" i="23"/>
  <c r="IN89" i="23"/>
  <c r="IM89" i="23"/>
  <c r="IL89" i="23"/>
  <c r="IK89" i="23"/>
  <c r="IJ89" i="23"/>
  <c r="II89" i="23"/>
  <c r="IH89" i="23"/>
  <c r="IG89" i="23"/>
  <c r="IF89" i="23"/>
  <c r="IE89" i="23"/>
  <c r="ID89" i="23"/>
  <c r="IC89" i="23"/>
  <c r="IB89" i="23"/>
  <c r="IA89" i="23"/>
  <c r="HZ89" i="23"/>
  <c r="HY89" i="23"/>
  <c r="HX89" i="23"/>
  <c r="HW89" i="23"/>
  <c r="HV89" i="23"/>
  <c r="HU89" i="23"/>
  <c r="HT89" i="23"/>
  <c r="HS89" i="23"/>
  <c r="HR89" i="23"/>
  <c r="HQ89" i="23"/>
  <c r="HP89" i="23"/>
  <c r="HO89" i="23"/>
  <c r="HN89" i="23"/>
  <c r="HM89" i="23"/>
  <c r="HL89" i="23"/>
  <c r="HK89" i="23"/>
  <c r="HJ89" i="23"/>
  <c r="HI89" i="23"/>
  <c r="HH89" i="23"/>
  <c r="HG89" i="23"/>
  <c r="HF89" i="23"/>
  <c r="HE89" i="23"/>
  <c r="HD89" i="23"/>
  <c r="HC89" i="23"/>
  <c r="HB89" i="23"/>
  <c r="HA89" i="23"/>
  <c r="GZ89" i="23"/>
  <c r="GY89" i="23"/>
  <c r="GX89" i="23"/>
  <c r="GW89" i="23"/>
  <c r="GV89" i="23"/>
  <c r="GU89" i="23"/>
  <c r="GT89" i="23"/>
  <c r="GS89" i="23"/>
  <c r="GR89" i="23"/>
  <c r="GQ89" i="23"/>
  <c r="GP89" i="23"/>
  <c r="GO89" i="23"/>
  <c r="GN89" i="23"/>
  <c r="GM89" i="23"/>
  <c r="GL89" i="23"/>
  <c r="GK89" i="23"/>
  <c r="GJ89" i="23"/>
  <c r="GI89" i="23"/>
  <c r="GH89" i="23"/>
  <c r="GG89" i="23"/>
  <c r="GF89" i="23"/>
  <c r="GE89" i="23"/>
  <c r="GD89" i="23"/>
  <c r="GC89" i="23"/>
  <c r="GB89" i="23"/>
  <c r="GA89" i="23"/>
  <c r="FZ89" i="23"/>
  <c r="FY89" i="23"/>
  <c r="FX89" i="23"/>
  <c r="FW89" i="23"/>
  <c r="FV89" i="23"/>
  <c r="FU89" i="23"/>
  <c r="FT89" i="23"/>
  <c r="FS89" i="23"/>
  <c r="FR89" i="23"/>
  <c r="FQ89" i="23"/>
  <c r="FP89" i="23"/>
  <c r="FO89" i="23"/>
  <c r="FN89" i="23"/>
  <c r="FM89" i="23"/>
  <c r="FL89" i="23"/>
  <c r="FK89" i="23"/>
  <c r="FJ89" i="23"/>
  <c r="FI89" i="23"/>
  <c r="FH89" i="23"/>
  <c r="FG89" i="23"/>
  <c r="FF89" i="23"/>
  <c r="FE89" i="23"/>
  <c r="FD89" i="23"/>
  <c r="FC89" i="23"/>
  <c r="FB89" i="23"/>
  <c r="FA89" i="23"/>
  <c r="EZ89" i="23"/>
  <c r="EY89" i="23"/>
  <c r="EX89" i="23"/>
  <c r="EW89" i="23"/>
  <c r="EV89" i="23"/>
  <c r="EU89" i="23"/>
  <c r="ET89" i="23"/>
  <c r="ES89" i="23"/>
  <c r="ER89" i="23"/>
  <c r="EQ89" i="23"/>
  <c r="EP89" i="23"/>
  <c r="EO89" i="23"/>
  <c r="EN89" i="23"/>
  <c r="EM89" i="23"/>
  <c r="EL89" i="23"/>
  <c r="EK89" i="23"/>
  <c r="EJ89" i="23"/>
  <c r="EI89" i="23"/>
  <c r="EH89" i="23"/>
  <c r="EG89" i="23"/>
  <c r="EF89" i="23"/>
  <c r="EE89" i="23"/>
  <c r="ED89" i="23"/>
  <c r="EC89" i="23"/>
  <c r="EB89" i="23"/>
  <c r="EA89" i="23"/>
  <c r="DZ89" i="23"/>
  <c r="DY89" i="23"/>
  <c r="DX89" i="23"/>
  <c r="DW89" i="23"/>
  <c r="DV89" i="23"/>
  <c r="DU89" i="23"/>
  <c r="DT89" i="23"/>
  <c r="DS89" i="23"/>
  <c r="DR89" i="23"/>
  <c r="DQ89" i="23"/>
  <c r="DP89" i="23"/>
  <c r="DO89" i="23"/>
  <c r="DN89" i="23"/>
  <c r="DM89" i="23"/>
  <c r="DL89" i="23"/>
  <c r="DK89" i="23"/>
  <c r="DJ89" i="23"/>
  <c r="DI89" i="23"/>
  <c r="DH89" i="23"/>
  <c r="DG89" i="23"/>
  <c r="DF89" i="23"/>
  <c r="DE89" i="23"/>
  <c r="DD89" i="23"/>
  <c r="DC89" i="23"/>
  <c r="DB89" i="23"/>
  <c r="DA89" i="23"/>
  <c r="CZ89" i="23"/>
  <c r="CY89" i="23"/>
  <c r="CX89" i="23"/>
  <c r="CW89" i="23"/>
  <c r="CV89" i="23"/>
  <c r="CU89" i="23"/>
  <c r="CT89" i="23"/>
  <c r="CS89" i="23"/>
  <c r="CR89" i="23"/>
  <c r="CQ89" i="23"/>
  <c r="CP89" i="23"/>
  <c r="CO89" i="23"/>
  <c r="CN89" i="23"/>
  <c r="CM89" i="23"/>
  <c r="CL89" i="23"/>
  <c r="CK89" i="23"/>
  <c r="CJ89" i="23"/>
  <c r="CI89" i="23"/>
  <c r="CH89" i="23"/>
  <c r="CG89" i="23"/>
  <c r="CF89" i="23"/>
  <c r="CE89" i="23"/>
  <c r="CD89" i="23"/>
  <c r="CC89" i="23"/>
  <c r="CB89" i="23"/>
  <c r="CA89" i="23"/>
  <c r="BZ89" i="23"/>
  <c r="BY89" i="23"/>
  <c r="BX89" i="23"/>
  <c r="BW89" i="23"/>
  <c r="BV89" i="23"/>
  <c r="BU89" i="23"/>
  <c r="BT89" i="23"/>
  <c r="BS89" i="23"/>
  <c r="BR89" i="23"/>
  <c r="BQ89" i="23"/>
  <c r="BP89" i="23"/>
  <c r="BO89" i="23"/>
  <c r="BN89" i="23"/>
  <c r="BM89" i="23"/>
  <c r="BL89" i="23"/>
  <c r="BK89" i="23"/>
  <c r="BJ89" i="23"/>
  <c r="BI89" i="23"/>
  <c r="BH89" i="23"/>
  <c r="BG89" i="23"/>
  <c r="BF89" i="23"/>
  <c r="BE89" i="23"/>
  <c r="BD89" i="23"/>
  <c r="BC89" i="23"/>
  <c r="BB89" i="23"/>
  <c r="BA89" i="23"/>
  <c r="AZ89" i="23"/>
  <c r="AY89" i="23"/>
  <c r="AX89" i="23"/>
  <c r="AW89" i="23"/>
  <c r="AV89" i="23"/>
  <c r="AU89" i="23"/>
  <c r="AT89" i="23"/>
  <c r="AS89" i="23"/>
  <c r="AR89" i="23"/>
  <c r="AQ89" i="23"/>
  <c r="AP89" i="23"/>
  <c r="AO89" i="23"/>
  <c r="AN89" i="23"/>
  <c r="AM89" i="23"/>
  <c r="AL89" i="23"/>
  <c r="AK89" i="23"/>
  <c r="AJ89" i="23"/>
  <c r="AI89" i="23"/>
  <c r="AH89" i="23"/>
  <c r="AG89" i="23"/>
  <c r="AF89" i="23"/>
  <c r="AE89" i="23"/>
  <c r="AD89" i="23"/>
  <c r="AC89" i="23"/>
  <c r="AB89" i="23"/>
  <c r="AA89" i="23"/>
  <c r="Z89" i="23"/>
  <c r="Y89" i="23"/>
  <c r="X89" i="23"/>
  <c r="W89" i="23"/>
  <c r="V89" i="23"/>
  <c r="U89" i="23"/>
  <c r="T89" i="23"/>
  <c r="S89" i="23"/>
  <c r="R89" i="23"/>
  <c r="Q89" i="23"/>
  <c r="P89" i="23"/>
  <c r="O89" i="23"/>
  <c r="N89" i="23"/>
  <c r="M89" i="23"/>
  <c r="L89" i="23"/>
  <c r="K89" i="23"/>
  <c r="J89" i="23"/>
  <c r="I89" i="23"/>
  <c r="H89" i="23"/>
  <c r="G89" i="23"/>
  <c r="F89" i="23"/>
  <c r="E89" i="23"/>
  <c r="D89" i="23"/>
  <c r="C89" i="23"/>
  <c r="B89" i="23"/>
  <c r="NT88" i="23"/>
  <c r="NS88" i="23"/>
  <c r="NR88" i="23"/>
  <c r="NQ88" i="23"/>
  <c r="NP88" i="23"/>
  <c r="NO88" i="23"/>
  <c r="NN88" i="23"/>
  <c r="NM88" i="23"/>
  <c r="NL88" i="23"/>
  <c r="NK88" i="23"/>
  <c r="NJ88" i="23"/>
  <c r="NI88" i="23"/>
  <c r="NH88" i="23"/>
  <c r="NG88" i="23"/>
  <c r="NF88" i="23"/>
  <c r="NE88" i="23"/>
  <c r="ND88" i="23"/>
  <c r="NC88" i="23"/>
  <c r="NB88" i="23"/>
  <c r="NA88" i="23"/>
  <c r="MZ88" i="23"/>
  <c r="MY88" i="23"/>
  <c r="MX88" i="23"/>
  <c r="MW88" i="23"/>
  <c r="MV88" i="23"/>
  <c r="MU88" i="23"/>
  <c r="MT88" i="23"/>
  <c r="MS88" i="23"/>
  <c r="MR88" i="23"/>
  <c r="MQ88" i="23"/>
  <c r="MP88" i="23"/>
  <c r="MO88" i="23"/>
  <c r="MN88" i="23"/>
  <c r="MM88" i="23"/>
  <c r="ML88" i="23"/>
  <c r="MK88" i="23"/>
  <c r="MJ88" i="23"/>
  <c r="MI88" i="23"/>
  <c r="MH88" i="23"/>
  <c r="MG88" i="23"/>
  <c r="MF88" i="23"/>
  <c r="ME88" i="23"/>
  <c r="MD88" i="23"/>
  <c r="MC88" i="23"/>
  <c r="MB88" i="23"/>
  <c r="MA88" i="23"/>
  <c r="LZ88" i="23"/>
  <c r="LY88" i="23"/>
  <c r="LX88" i="23"/>
  <c r="LW88" i="23"/>
  <c r="LV88" i="23"/>
  <c r="LU88" i="23"/>
  <c r="LT88" i="23"/>
  <c r="LS88" i="23"/>
  <c r="LR88" i="23"/>
  <c r="LQ88" i="23"/>
  <c r="LP88" i="23"/>
  <c r="LO88" i="23"/>
  <c r="LN88" i="23"/>
  <c r="LM88" i="23"/>
  <c r="LL88" i="23"/>
  <c r="LK88" i="23"/>
  <c r="LJ88" i="23"/>
  <c r="LI88" i="23"/>
  <c r="LH88" i="23"/>
  <c r="LG88" i="23"/>
  <c r="LF88" i="23"/>
  <c r="LE88" i="23"/>
  <c r="LD88" i="23"/>
  <c r="LC88" i="23"/>
  <c r="LB88" i="23"/>
  <c r="LA88" i="23"/>
  <c r="KZ88" i="23"/>
  <c r="KY88" i="23"/>
  <c r="KX88" i="23"/>
  <c r="KW88" i="23"/>
  <c r="KV88" i="23"/>
  <c r="KU88" i="23"/>
  <c r="KT88" i="23"/>
  <c r="KS88" i="23"/>
  <c r="KR88" i="23"/>
  <c r="KQ88" i="23"/>
  <c r="KP88" i="23"/>
  <c r="KO88" i="23"/>
  <c r="KN88" i="23"/>
  <c r="KM88" i="23"/>
  <c r="KL88" i="23"/>
  <c r="KK88" i="23"/>
  <c r="KJ88" i="23"/>
  <c r="KI88" i="23"/>
  <c r="KH88" i="23"/>
  <c r="KG88" i="23"/>
  <c r="KF88" i="23"/>
  <c r="KE88" i="23"/>
  <c r="KD88" i="23"/>
  <c r="KC88" i="23"/>
  <c r="KB88" i="23"/>
  <c r="KA88" i="23"/>
  <c r="JZ88" i="23"/>
  <c r="JY88" i="23"/>
  <c r="JX88" i="23"/>
  <c r="JW88" i="23"/>
  <c r="JV88" i="23"/>
  <c r="JU88" i="23"/>
  <c r="JT88" i="23"/>
  <c r="JS88" i="23"/>
  <c r="JR88" i="23"/>
  <c r="JQ88" i="23"/>
  <c r="JP88" i="23"/>
  <c r="JO88" i="23"/>
  <c r="JN88" i="23"/>
  <c r="JM88" i="23"/>
  <c r="JL88" i="23"/>
  <c r="JK88" i="23"/>
  <c r="JJ88" i="23"/>
  <c r="JI88" i="23"/>
  <c r="JH88" i="23"/>
  <c r="JG88" i="23"/>
  <c r="JF88" i="23"/>
  <c r="JE88" i="23"/>
  <c r="JD88" i="23"/>
  <c r="JC88" i="23"/>
  <c r="JB88" i="23"/>
  <c r="JA88" i="23"/>
  <c r="IZ88" i="23"/>
  <c r="IY88" i="23"/>
  <c r="IX88" i="23"/>
  <c r="IW88" i="23"/>
  <c r="IV88" i="23"/>
  <c r="IU88" i="23"/>
  <c r="IT88" i="23"/>
  <c r="IS88" i="23"/>
  <c r="IR88" i="23"/>
  <c r="IQ88" i="23"/>
  <c r="IP88" i="23"/>
  <c r="IO88" i="23"/>
  <c r="IN88" i="23"/>
  <c r="IM88" i="23"/>
  <c r="IL88" i="23"/>
  <c r="IK88" i="23"/>
  <c r="IJ88" i="23"/>
  <c r="II88" i="23"/>
  <c r="IH88" i="23"/>
  <c r="IG88" i="23"/>
  <c r="IF88" i="23"/>
  <c r="IE88" i="23"/>
  <c r="ID88" i="23"/>
  <c r="IC88" i="23"/>
  <c r="IB88" i="23"/>
  <c r="IA88" i="23"/>
  <c r="HZ88" i="23"/>
  <c r="HY88" i="23"/>
  <c r="HX88" i="23"/>
  <c r="HW88" i="23"/>
  <c r="HV88" i="23"/>
  <c r="HU88" i="23"/>
  <c r="HT88" i="23"/>
  <c r="HS88" i="23"/>
  <c r="HR88" i="23"/>
  <c r="HQ88" i="23"/>
  <c r="HP88" i="23"/>
  <c r="HO88" i="23"/>
  <c r="HN88" i="23"/>
  <c r="HM88" i="23"/>
  <c r="HL88" i="23"/>
  <c r="HK88" i="23"/>
  <c r="HJ88" i="23"/>
  <c r="HI88" i="23"/>
  <c r="HH88" i="23"/>
  <c r="HG88" i="23"/>
  <c r="HF88" i="23"/>
  <c r="HE88" i="23"/>
  <c r="HD88" i="23"/>
  <c r="HC88" i="23"/>
  <c r="HB88" i="23"/>
  <c r="HA88" i="23"/>
  <c r="GZ88" i="23"/>
  <c r="GY88" i="23"/>
  <c r="GX88" i="23"/>
  <c r="GW88" i="23"/>
  <c r="GV88" i="23"/>
  <c r="GU88" i="23"/>
  <c r="GT88" i="23"/>
  <c r="GS88" i="23"/>
  <c r="GR88" i="23"/>
  <c r="GQ88" i="23"/>
  <c r="GP88" i="23"/>
  <c r="GO88" i="23"/>
  <c r="GN88" i="23"/>
  <c r="GM88" i="23"/>
  <c r="GL88" i="23"/>
  <c r="GK88" i="23"/>
  <c r="GJ88" i="23"/>
  <c r="GI88" i="23"/>
  <c r="GH88" i="23"/>
  <c r="GG88" i="23"/>
  <c r="GF88" i="23"/>
  <c r="GE88" i="23"/>
  <c r="GD88" i="23"/>
  <c r="GC88" i="23"/>
  <c r="GB88" i="23"/>
  <c r="GA88" i="23"/>
  <c r="FZ88" i="23"/>
  <c r="FY88" i="23"/>
  <c r="FX88" i="23"/>
  <c r="FW88" i="23"/>
  <c r="FV88" i="23"/>
  <c r="FU88" i="23"/>
  <c r="FT88" i="23"/>
  <c r="FS88" i="23"/>
  <c r="FR88" i="23"/>
  <c r="FQ88" i="23"/>
  <c r="FP88" i="23"/>
  <c r="FO88" i="23"/>
  <c r="FN88" i="23"/>
  <c r="FM88" i="23"/>
  <c r="FL88" i="23"/>
  <c r="FK88" i="23"/>
  <c r="FJ88" i="23"/>
  <c r="FI88" i="23"/>
  <c r="FH88" i="23"/>
  <c r="FG88" i="23"/>
  <c r="FF88" i="23"/>
  <c r="FE88" i="23"/>
  <c r="FD88" i="23"/>
  <c r="FC88" i="23"/>
  <c r="FB88" i="23"/>
  <c r="FA88" i="23"/>
  <c r="EZ88" i="23"/>
  <c r="EY88" i="23"/>
  <c r="EX88" i="23"/>
  <c r="EW88" i="23"/>
  <c r="EV88" i="23"/>
  <c r="EU88" i="23"/>
  <c r="ET88" i="23"/>
  <c r="ES88" i="23"/>
  <c r="ER88" i="23"/>
  <c r="EQ88" i="23"/>
  <c r="EP88" i="23"/>
  <c r="EO88" i="23"/>
  <c r="EN88" i="23"/>
  <c r="EM88" i="23"/>
  <c r="EL88" i="23"/>
  <c r="EK88" i="23"/>
  <c r="EJ88" i="23"/>
  <c r="EI88" i="23"/>
  <c r="EH88" i="23"/>
  <c r="EG88" i="23"/>
  <c r="EF88" i="23"/>
  <c r="EE88" i="23"/>
  <c r="ED88" i="23"/>
  <c r="EC88" i="23"/>
  <c r="EB88" i="23"/>
  <c r="EA88" i="23"/>
  <c r="DZ88" i="23"/>
  <c r="DY88" i="23"/>
  <c r="DX88" i="23"/>
  <c r="DW88" i="23"/>
  <c r="DV88" i="23"/>
  <c r="DU88" i="23"/>
  <c r="DT88" i="23"/>
  <c r="DS88" i="23"/>
  <c r="DR88" i="23"/>
  <c r="DQ88" i="23"/>
  <c r="DP88" i="23"/>
  <c r="DO88" i="23"/>
  <c r="DN88" i="23"/>
  <c r="DM88" i="23"/>
  <c r="DL88" i="23"/>
  <c r="DK88" i="23"/>
  <c r="DJ88" i="23"/>
  <c r="DI88" i="23"/>
  <c r="DH88" i="23"/>
  <c r="DG88" i="23"/>
  <c r="DF88" i="23"/>
  <c r="DE88" i="23"/>
  <c r="DD88" i="23"/>
  <c r="DC88" i="23"/>
  <c r="DB88" i="23"/>
  <c r="DA88" i="23"/>
  <c r="CZ88" i="23"/>
  <c r="CY88" i="23"/>
  <c r="CX88" i="23"/>
  <c r="CW88" i="23"/>
  <c r="CV88" i="23"/>
  <c r="CU88" i="23"/>
  <c r="CT88" i="23"/>
  <c r="CS88" i="23"/>
  <c r="CR88" i="23"/>
  <c r="CQ88" i="23"/>
  <c r="CP88" i="23"/>
  <c r="CO88" i="23"/>
  <c r="CN88" i="23"/>
  <c r="CM88" i="23"/>
  <c r="CL88" i="23"/>
  <c r="CK88" i="23"/>
  <c r="CJ88" i="23"/>
  <c r="CI88" i="23"/>
  <c r="CH88" i="23"/>
  <c r="CG88" i="23"/>
  <c r="CF88" i="23"/>
  <c r="CE88" i="23"/>
  <c r="CD88" i="23"/>
  <c r="CC88" i="23"/>
  <c r="CB88" i="23"/>
  <c r="CA88" i="23"/>
  <c r="BZ88" i="23"/>
  <c r="BY88" i="23"/>
  <c r="BX88" i="23"/>
  <c r="BW88" i="23"/>
  <c r="BV88" i="23"/>
  <c r="BU88" i="23"/>
  <c r="BT88" i="23"/>
  <c r="BS88" i="23"/>
  <c r="BR88" i="23"/>
  <c r="BQ88" i="23"/>
  <c r="BP88" i="23"/>
  <c r="BO88" i="23"/>
  <c r="BN88" i="23"/>
  <c r="BM88" i="23"/>
  <c r="BL88" i="23"/>
  <c r="BK88" i="23"/>
  <c r="BJ88" i="23"/>
  <c r="BI88" i="23"/>
  <c r="BH88" i="23"/>
  <c r="BG88" i="23"/>
  <c r="BF88" i="23"/>
  <c r="BE88" i="23"/>
  <c r="BD88" i="23"/>
  <c r="BC88" i="23"/>
  <c r="BB88" i="23"/>
  <c r="BA88" i="23"/>
  <c r="AZ88" i="23"/>
  <c r="AY88" i="23"/>
  <c r="AX88" i="23"/>
  <c r="AW88" i="23"/>
  <c r="AV88" i="23"/>
  <c r="AU88" i="23"/>
  <c r="AT88" i="23"/>
  <c r="AS88" i="23"/>
  <c r="AR88" i="23"/>
  <c r="AQ88" i="23"/>
  <c r="AP88" i="23"/>
  <c r="AO88" i="23"/>
  <c r="AN88" i="23"/>
  <c r="AM88" i="23"/>
  <c r="AL88" i="23"/>
  <c r="AK88" i="23"/>
  <c r="AJ88" i="23"/>
  <c r="AI88" i="23"/>
  <c r="AH88" i="23"/>
  <c r="AG88" i="23"/>
  <c r="AF88" i="23"/>
  <c r="AE88" i="23"/>
  <c r="AD88" i="23"/>
  <c r="AC88" i="23"/>
  <c r="AB88" i="23"/>
  <c r="AA88" i="23"/>
  <c r="Z88" i="23"/>
  <c r="Y88" i="23"/>
  <c r="X88" i="23"/>
  <c r="W88" i="23"/>
  <c r="V88" i="23"/>
  <c r="U88" i="23"/>
  <c r="T88" i="23"/>
  <c r="S88" i="23"/>
  <c r="R88" i="23"/>
  <c r="Q88" i="23"/>
  <c r="P88" i="23"/>
  <c r="O88" i="23"/>
  <c r="N88" i="23"/>
  <c r="M88" i="23"/>
  <c r="L88" i="23"/>
  <c r="K88" i="23"/>
  <c r="J88" i="23"/>
  <c r="I88" i="23"/>
  <c r="H88" i="23"/>
  <c r="G88" i="23"/>
  <c r="F88" i="23"/>
  <c r="E88" i="23"/>
  <c r="D88" i="23"/>
  <c r="C88" i="23"/>
  <c r="B88" i="23"/>
  <c r="NT87" i="23"/>
  <c r="NS87" i="23"/>
  <c r="NR87" i="23"/>
  <c r="NQ87" i="23"/>
  <c r="NP87" i="23"/>
  <c r="NO87" i="23"/>
  <c r="NN87" i="23"/>
  <c r="NM87" i="23"/>
  <c r="NL87" i="23"/>
  <c r="NK87" i="23"/>
  <c r="NJ87" i="23"/>
  <c r="NI87" i="23"/>
  <c r="NH87" i="23"/>
  <c r="NG87" i="23"/>
  <c r="NF87" i="23"/>
  <c r="NE87" i="23"/>
  <c r="ND87" i="23"/>
  <c r="NC87" i="23"/>
  <c r="NB87" i="23"/>
  <c r="NA87" i="23"/>
  <c r="MZ87" i="23"/>
  <c r="MY87" i="23"/>
  <c r="MX87" i="23"/>
  <c r="MW87" i="23"/>
  <c r="MV87" i="23"/>
  <c r="MU87" i="23"/>
  <c r="MT87" i="23"/>
  <c r="MS87" i="23"/>
  <c r="MR87" i="23"/>
  <c r="MQ87" i="23"/>
  <c r="MP87" i="23"/>
  <c r="MO87" i="23"/>
  <c r="MN87" i="23"/>
  <c r="MM87" i="23"/>
  <c r="ML87" i="23"/>
  <c r="MK87" i="23"/>
  <c r="MJ87" i="23"/>
  <c r="MI87" i="23"/>
  <c r="MH87" i="23"/>
  <c r="MG87" i="23"/>
  <c r="MF87" i="23"/>
  <c r="ME87" i="23"/>
  <c r="MD87" i="23"/>
  <c r="MC87" i="23"/>
  <c r="MB87" i="23"/>
  <c r="MA87" i="23"/>
  <c r="LZ87" i="23"/>
  <c r="LY87" i="23"/>
  <c r="LX87" i="23"/>
  <c r="LW87" i="23"/>
  <c r="LV87" i="23"/>
  <c r="LU87" i="23"/>
  <c r="LT87" i="23"/>
  <c r="LS87" i="23"/>
  <c r="LR87" i="23"/>
  <c r="LQ87" i="23"/>
  <c r="LP87" i="23"/>
  <c r="LO87" i="23"/>
  <c r="LN87" i="23"/>
  <c r="LM87" i="23"/>
  <c r="LL87" i="23"/>
  <c r="LK87" i="23"/>
  <c r="LJ87" i="23"/>
  <c r="LI87" i="23"/>
  <c r="LH87" i="23"/>
  <c r="LG87" i="23"/>
  <c r="LF87" i="23"/>
  <c r="LE87" i="23"/>
  <c r="LD87" i="23"/>
  <c r="LC87" i="23"/>
  <c r="LB87" i="23"/>
  <c r="LA87" i="23"/>
  <c r="KZ87" i="23"/>
  <c r="KY87" i="23"/>
  <c r="KX87" i="23"/>
  <c r="KW87" i="23"/>
  <c r="KV87" i="23"/>
  <c r="KU87" i="23"/>
  <c r="KT87" i="23"/>
  <c r="KS87" i="23"/>
  <c r="KR87" i="23"/>
  <c r="KQ87" i="23"/>
  <c r="KP87" i="23"/>
  <c r="KO87" i="23"/>
  <c r="KN87" i="23"/>
  <c r="KM87" i="23"/>
  <c r="KL87" i="23"/>
  <c r="KK87" i="23"/>
  <c r="KJ87" i="23"/>
  <c r="KI87" i="23"/>
  <c r="KH87" i="23"/>
  <c r="KG87" i="23"/>
  <c r="KF87" i="23"/>
  <c r="KE87" i="23"/>
  <c r="KD87" i="23"/>
  <c r="KC87" i="23"/>
  <c r="KB87" i="23"/>
  <c r="KA87" i="23"/>
  <c r="JZ87" i="23"/>
  <c r="JY87" i="23"/>
  <c r="JX87" i="23"/>
  <c r="JW87" i="23"/>
  <c r="JV87" i="23"/>
  <c r="JU87" i="23"/>
  <c r="JT87" i="23"/>
  <c r="JS87" i="23"/>
  <c r="JR87" i="23"/>
  <c r="JQ87" i="23"/>
  <c r="JP87" i="23"/>
  <c r="JO87" i="23"/>
  <c r="JN87" i="23"/>
  <c r="JM87" i="23"/>
  <c r="JL87" i="23"/>
  <c r="JK87" i="23"/>
  <c r="JJ87" i="23"/>
  <c r="JI87" i="23"/>
  <c r="JH87" i="23"/>
  <c r="JG87" i="23"/>
  <c r="JF87" i="23"/>
  <c r="JE87" i="23"/>
  <c r="JD87" i="23"/>
  <c r="JC87" i="23"/>
  <c r="JB87" i="23"/>
  <c r="JA87" i="23"/>
  <c r="IZ87" i="23"/>
  <c r="IY87" i="23"/>
  <c r="IX87" i="23"/>
  <c r="IW87" i="23"/>
  <c r="IV87" i="23"/>
  <c r="IU87" i="23"/>
  <c r="IT87" i="23"/>
  <c r="IS87" i="23"/>
  <c r="IR87" i="23"/>
  <c r="IQ87" i="23"/>
  <c r="IP87" i="23"/>
  <c r="IO87" i="23"/>
  <c r="IN87" i="23"/>
  <c r="IM87" i="23"/>
  <c r="IL87" i="23"/>
  <c r="IK87" i="23"/>
  <c r="IJ87" i="23"/>
  <c r="II87" i="23"/>
  <c r="IH87" i="23"/>
  <c r="IG87" i="23"/>
  <c r="IF87" i="23"/>
  <c r="IE87" i="23"/>
  <c r="ID87" i="23"/>
  <c r="IC87" i="23"/>
  <c r="IB87" i="23"/>
  <c r="IA87" i="23"/>
  <c r="HZ87" i="23"/>
  <c r="HY87" i="23"/>
  <c r="HX87" i="23"/>
  <c r="HW87" i="23"/>
  <c r="HV87" i="23"/>
  <c r="HU87" i="23"/>
  <c r="HT87" i="23"/>
  <c r="HS87" i="23"/>
  <c r="HR87" i="23"/>
  <c r="HQ87" i="23"/>
  <c r="HP87" i="23"/>
  <c r="HO87" i="23"/>
  <c r="HN87" i="23"/>
  <c r="HM87" i="23"/>
  <c r="HL87" i="23"/>
  <c r="HK87" i="23"/>
  <c r="HJ87" i="23"/>
  <c r="HI87" i="23"/>
  <c r="HH87" i="23"/>
  <c r="HG87" i="23"/>
  <c r="HF87" i="23"/>
  <c r="HE87" i="23"/>
  <c r="HD87" i="23"/>
  <c r="HC87" i="23"/>
  <c r="HB87" i="23"/>
  <c r="HA87" i="23"/>
  <c r="GZ87" i="23"/>
  <c r="GY87" i="23"/>
  <c r="GX87" i="23"/>
  <c r="GW87" i="23"/>
  <c r="GV87" i="23"/>
  <c r="GU87" i="23"/>
  <c r="GT87" i="23"/>
  <c r="GS87" i="23"/>
  <c r="GR87" i="23"/>
  <c r="GQ87" i="23"/>
  <c r="GP87" i="23"/>
  <c r="GO87" i="23"/>
  <c r="GN87" i="23"/>
  <c r="GM87" i="23"/>
  <c r="GL87" i="23"/>
  <c r="GK87" i="23"/>
  <c r="GJ87" i="23"/>
  <c r="GI87" i="23"/>
  <c r="GH87" i="23"/>
  <c r="GG87" i="23"/>
  <c r="GF87" i="23"/>
  <c r="GE87" i="23"/>
  <c r="GD87" i="23"/>
  <c r="GC87" i="23"/>
  <c r="GB87" i="23"/>
  <c r="GA87" i="23"/>
  <c r="FZ87" i="23"/>
  <c r="FY87" i="23"/>
  <c r="FX87" i="23"/>
  <c r="FW87" i="23"/>
  <c r="FV87" i="23"/>
  <c r="FU87" i="23"/>
  <c r="FT87" i="23"/>
  <c r="FS87" i="23"/>
  <c r="FR87" i="23"/>
  <c r="FQ87" i="23"/>
  <c r="FP87" i="23"/>
  <c r="FO87" i="23"/>
  <c r="FN87" i="23"/>
  <c r="FM87" i="23"/>
  <c r="FL87" i="23"/>
  <c r="FK87" i="23"/>
  <c r="FJ87" i="23"/>
  <c r="FI87" i="23"/>
  <c r="FH87" i="23"/>
  <c r="FG87" i="23"/>
  <c r="FF87" i="23"/>
  <c r="FE87" i="23"/>
  <c r="FD87" i="23"/>
  <c r="FC87" i="23"/>
  <c r="FB87" i="23"/>
  <c r="FA87" i="23"/>
  <c r="EZ87" i="23"/>
  <c r="EY87" i="23"/>
  <c r="EX87" i="23"/>
  <c r="EW87" i="23"/>
  <c r="EV87" i="23"/>
  <c r="EU87" i="23"/>
  <c r="ET87" i="23"/>
  <c r="ES87" i="23"/>
  <c r="ER87" i="23"/>
  <c r="EQ87" i="23"/>
  <c r="EP87" i="23"/>
  <c r="EO87" i="23"/>
  <c r="EN87" i="23"/>
  <c r="EM87" i="23"/>
  <c r="EL87" i="23"/>
  <c r="EK87" i="23"/>
  <c r="EJ87" i="23"/>
  <c r="EI87" i="23"/>
  <c r="EH87" i="23"/>
  <c r="EG87" i="23"/>
  <c r="EF87" i="23"/>
  <c r="EE87" i="23"/>
  <c r="ED87" i="23"/>
  <c r="EC87" i="23"/>
  <c r="EB87" i="23"/>
  <c r="EA87" i="23"/>
  <c r="DZ87" i="23"/>
  <c r="DY87" i="23"/>
  <c r="DX87" i="23"/>
  <c r="DW87" i="23"/>
  <c r="DV87" i="23"/>
  <c r="DU87" i="23"/>
  <c r="DT87" i="23"/>
  <c r="DS87" i="23"/>
  <c r="DR87" i="23"/>
  <c r="DQ87" i="23"/>
  <c r="DP87" i="23"/>
  <c r="DO87" i="23"/>
  <c r="DN87" i="23"/>
  <c r="DM87" i="23"/>
  <c r="DL87" i="23"/>
  <c r="DK87" i="23"/>
  <c r="DJ87" i="23"/>
  <c r="DI87" i="23"/>
  <c r="DH87" i="23"/>
  <c r="DG87" i="23"/>
  <c r="DF87" i="23"/>
  <c r="DE87" i="23"/>
  <c r="DD87" i="23"/>
  <c r="DC87" i="23"/>
  <c r="DB87" i="23"/>
  <c r="DA87" i="23"/>
  <c r="CZ87" i="23"/>
  <c r="CY87" i="23"/>
  <c r="CX87" i="23"/>
  <c r="CW87" i="23"/>
  <c r="CV87" i="23"/>
  <c r="CU87" i="23"/>
  <c r="CT87" i="23"/>
  <c r="CS87" i="23"/>
  <c r="CR87" i="23"/>
  <c r="CQ87" i="23"/>
  <c r="CP87" i="23"/>
  <c r="CO87" i="23"/>
  <c r="CN87" i="23"/>
  <c r="CM87" i="23"/>
  <c r="CL87" i="23"/>
  <c r="CK87" i="23"/>
  <c r="CJ87" i="23"/>
  <c r="CI87" i="23"/>
  <c r="CH87" i="23"/>
  <c r="CG87" i="23"/>
  <c r="CF87" i="23"/>
  <c r="CE87" i="23"/>
  <c r="CD87" i="23"/>
  <c r="CC87" i="23"/>
  <c r="CB87" i="23"/>
  <c r="CA87" i="23"/>
  <c r="BZ87" i="23"/>
  <c r="BY87" i="23"/>
  <c r="BX87" i="23"/>
  <c r="BW87" i="23"/>
  <c r="BV87" i="23"/>
  <c r="BU87" i="23"/>
  <c r="BT87" i="23"/>
  <c r="BS87" i="23"/>
  <c r="BR87" i="23"/>
  <c r="BQ87" i="23"/>
  <c r="BP87" i="23"/>
  <c r="BO87" i="23"/>
  <c r="BN87" i="23"/>
  <c r="BM87" i="23"/>
  <c r="BL87" i="23"/>
  <c r="BK87" i="23"/>
  <c r="BJ87" i="23"/>
  <c r="BI87" i="23"/>
  <c r="BH87" i="23"/>
  <c r="BG87" i="23"/>
  <c r="BF87" i="23"/>
  <c r="BE87" i="23"/>
  <c r="BD87" i="23"/>
  <c r="BC87" i="23"/>
  <c r="BB87" i="23"/>
  <c r="BA87" i="23"/>
  <c r="AZ87" i="23"/>
  <c r="AY87" i="23"/>
  <c r="AX87" i="23"/>
  <c r="AW87" i="23"/>
  <c r="AV87" i="23"/>
  <c r="AU87" i="23"/>
  <c r="AT87" i="23"/>
  <c r="AS87" i="23"/>
  <c r="AR87" i="23"/>
  <c r="AQ87" i="23"/>
  <c r="AP87" i="23"/>
  <c r="AO87" i="23"/>
  <c r="AN87" i="23"/>
  <c r="AM87" i="23"/>
  <c r="AL87" i="23"/>
  <c r="AK87" i="23"/>
  <c r="AJ87" i="23"/>
  <c r="AI87" i="23"/>
  <c r="AH87" i="23"/>
  <c r="AG87" i="23"/>
  <c r="AF87" i="23"/>
  <c r="AE87" i="23"/>
  <c r="AD87" i="23"/>
  <c r="AC87" i="23"/>
  <c r="AB87" i="23"/>
  <c r="AA87" i="23"/>
  <c r="Z87" i="23"/>
  <c r="Y87" i="23"/>
  <c r="X87" i="23"/>
  <c r="W87" i="23"/>
  <c r="V87" i="23"/>
  <c r="U87" i="23"/>
  <c r="T87" i="23"/>
  <c r="S87" i="23"/>
  <c r="R87" i="23"/>
  <c r="Q87" i="23"/>
  <c r="P87" i="23"/>
  <c r="O87" i="23"/>
  <c r="N87" i="23"/>
  <c r="M87" i="23"/>
  <c r="L87" i="23"/>
  <c r="K87" i="23"/>
  <c r="J87" i="23"/>
  <c r="I87" i="23"/>
  <c r="H87" i="23"/>
  <c r="G87" i="23"/>
  <c r="F87" i="23"/>
  <c r="E87" i="23"/>
  <c r="D87" i="23"/>
  <c r="C87" i="23"/>
  <c r="B87" i="23"/>
  <c r="NT86" i="23"/>
  <c r="NS86" i="23"/>
  <c r="NR86" i="23"/>
  <c r="NQ86" i="23"/>
  <c r="NP86" i="23"/>
  <c r="NO86" i="23"/>
  <c r="NN86" i="23"/>
  <c r="NM86" i="23"/>
  <c r="NL86" i="23"/>
  <c r="NK86" i="23"/>
  <c r="NJ86" i="23"/>
  <c r="NI86" i="23"/>
  <c r="NH86" i="23"/>
  <c r="NG86" i="23"/>
  <c r="NF86" i="23"/>
  <c r="NE86" i="23"/>
  <c r="ND86" i="23"/>
  <c r="NC86" i="23"/>
  <c r="NB86" i="23"/>
  <c r="NA86" i="23"/>
  <c r="MZ86" i="23"/>
  <c r="MY86" i="23"/>
  <c r="MX86" i="23"/>
  <c r="MW86" i="23"/>
  <c r="MV86" i="23"/>
  <c r="MU86" i="23"/>
  <c r="MT86" i="23"/>
  <c r="MS86" i="23"/>
  <c r="MR86" i="23"/>
  <c r="MQ86" i="23"/>
  <c r="MP86" i="23"/>
  <c r="MO86" i="23"/>
  <c r="MN86" i="23"/>
  <c r="MM86" i="23"/>
  <c r="ML86" i="23"/>
  <c r="MK86" i="23"/>
  <c r="MJ86" i="23"/>
  <c r="MI86" i="23"/>
  <c r="MH86" i="23"/>
  <c r="MG86" i="23"/>
  <c r="MF86" i="23"/>
  <c r="ME86" i="23"/>
  <c r="MD86" i="23"/>
  <c r="MC86" i="23"/>
  <c r="MB86" i="23"/>
  <c r="MA86" i="23"/>
  <c r="LZ86" i="23"/>
  <c r="LY86" i="23"/>
  <c r="LX86" i="23"/>
  <c r="LW86" i="23"/>
  <c r="LV86" i="23"/>
  <c r="LU86" i="23"/>
  <c r="LT86" i="23"/>
  <c r="LS86" i="23"/>
  <c r="LR86" i="23"/>
  <c r="LQ86" i="23"/>
  <c r="LP86" i="23"/>
  <c r="LO86" i="23"/>
  <c r="LN86" i="23"/>
  <c r="LM86" i="23"/>
  <c r="LL86" i="23"/>
  <c r="LK86" i="23"/>
  <c r="LJ86" i="23"/>
  <c r="LI86" i="23"/>
  <c r="LH86" i="23"/>
  <c r="LG86" i="23"/>
  <c r="LF86" i="23"/>
  <c r="LE86" i="23"/>
  <c r="LD86" i="23"/>
  <c r="LC86" i="23"/>
  <c r="LB86" i="23"/>
  <c r="LA86" i="23"/>
  <c r="KZ86" i="23"/>
  <c r="KY86" i="23"/>
  <c r="KX86" i="23"/>
  <c r="KW86" i="23"/>
  <c r="KV86" i="23"/>
  <c r="KU86" i="23"/>
  <c r="KT86" i="23"/>
  <c r="KS86" i="23"/>
  <c r="KR86" i="23"/>
  <c r="KQ86" i="23"/>
  <c r="KP86" i="23"/>
  <c r="KO86" i="23"/>
  <c r="KN86" i="23"/>
  <c r="KM86" i="23"/>
  <c r="KL86" i="23"/>
  <c r="KK86" i="23"/>
  <c r="KJ86" i="23"/>
  <c r="KI86" i="23"/>
  <c r="KH86" i="23"/>
  <c r="KG86" i="23"/>
  <c r="KF86" i="23"/>
  <c r="KE86" i="23"/>
  <c r="KD86" i="23"/>
  <c r="KC86" i="23"/>
  <c r="KB86" i="23"/>
  <c r="KA86" i="23"/>
  <c r="JZ86" i="23"/>
  <c r="JY86" i="23"/>
  <c r="JX86" i="23"/>
  <c r="JW86" i="23"/>
  <c r="JV86" i="23"/>
  <c r="JU86" i="23"/>
  <c r="JT86" i="23"/>
  <c r="JS86" i="23"/>
  <c r="JR86" i="23"/>
  <c r="JQ86" i="23"/>
  <c r="JP86" i="23"/>
  <c r="JO86" i="23"/>
  <c r="JN86" i="23"/>
  <c r="JM86" i="23"/>
  <c r="JL86" i="23"/>
  <c r="JK86" i="23"/>
  <c r="JJ86" i="23"/>
  <c r="JI86" i="23"/>
  <c r="JH86" i="23"/>
  <c r="JG86" i="23"/>
  <c r="JF86" i="23"/>
  <c r="JE86" i="23"/>
  <c r="JD86" i="23"/>
  <c r="JC86" i="23"/>
  <c r="JB86" i="23"/>
  <c r="JA86" i="23"/>
  <c r="IZ86" i="23"/>
  <c r="IY86" i="23"/>
  <c r="IX86" i="23"/>
  <c r="IW86" i="23"/>
  <c r="IV86" i="23"/>
  <c r="IU86" i="23"/>
  <c r="IT86" i="23"/>
  <c r="IS86" i="23"/>
  <c r="IR86" i="23"/>
  <c r="IQ86" i="23"/>
  <c r="IP86" i="23"/>
  <c r="IO86" i="23"/>
  <c r="IN86" i="23"/>
  <c r="IM86" i="23"/>
  <c r="IL86" i="23"/>
  <c r="IK86" i="23"/>
  <c r="IJ86" i="23"/>
  <c r="II86" i="23"/>
  <c r="IH86" i="23"/>
  <c r="IG86" i="23"/>
  <c r="IF86" i="23"/>
  <c r="IE86" i="23"/>
  <c r="ID86" i="23"/>
  <c r="IC86" i="23"/>
  <c r="IB86" i="23"/>
  <c r="IA86" i="23"/>
  <c r="HZ86" i="23"/>
  <c r="HY86" i="23"/>
  <c r="HX86" i="23"/>
  <c r="HW86" i="23"/>
  <c r="HV86" i="23"/>
  <c r="HU86" i="23"/>
  <c r="HT86" i="23"/>
  <c r="HS86" i="23"/>
  <c r="HR86" i="23"/>
  <c r="HQ86" i="23"/>
  <c r="HP86" i="23"/>
  <c r="HO86" i="23"/>
  <c r="HN86" i="23"/>
  <c r="HM86" i="23"/>
  <c r="HL86" i="23"/>
  <c r="HK86" i="23"/>
  <c r="HJ86" i="23"/>
  <c r="HI86" i="23"/>
  <c r="HH86" i="23"/>
  <c r="HG86" i="23"/>
  <c r="HF86" i="23"/>
  <c r="HE86" i="23"/>
  <c r="HD86" i="23"/>
  <c r="HC86" i="23"/>
  <c r="HB86" i="23"/>
  <c r="HA86" i="23"/>
  <c r="GZ86" i="23"/>
  <c r="GY86" i="23"/>
  <c r="GX86" i="23"/>
  <c r="GW86" i="23"/>
  <c r="GV86" i="23"/>
  <c r="GU86" i="23"/>
  <c r="GT86" i="23"/>
  <c r="GS86" i="23"/>
  <c r="GR86" i="23"/>
  <c r="GQ86" i="23"/>
  <c r="GP86" i="23"/>
  <c r="GO86" i="23"/>
  <c r="GN86" i="23"/>
  <c r="GM86" i="23"/>
  <c r="GL86" i="23"/>
  <c r="GK86" i="23"/>
  <c r="GJ86" i="23"/>
  <c r="GI86" i="23"/>
  <c r="GH86" i="23"/>
  <c r="GG86" i="23"/>
  <c r="GF86" i="23"/>
  <c r="GE86" i="23"/>
  <c r="GD86" i="23"/>
  <c r="GC86" i="23"/>
  <c r="GB86" i="23"/>
  <c r="GA86" i="23"/>
  <c r="FZ86" i="23"/>
  <c r="FY86" i="23"/>
  <c r="FX86" i="23"/>
  <c r="FW86" i="23"/>
  <c r="FV86" i="23"/>
  <c r="FU86" i="23"/>
  <c r="FT86" i="23"/>
  <c r="FS86" i="23"/>
  <c r="FR86" i="23"/>
  <c r="FQ86" i="23"/>
  <c r="FP86" i="23"/>
  <c r="FO86" i="23"/>
  <c r="FN86" i="23"/>
  <c r="FM86" i="23"/>
  <c r="FL86" i="23"/>
  <c r="FK86" i="23"/>
  <c r="FJ86" i="23"/>
  <c r="FI86" i="23"/>
  <c r="FH86" i="23"/>
  <c r="FG86" i="23"/>
  <c r="FF86" i="23"/>
  <c r="FE86" i="23"/>
  <c r="FD86" i="23"/>
  <c r="FC86" i="23"/>
  <c r="FB86" i="23"/>
  <c r="FA86" i="23"/>
  <c r="EZ86" i="23"/>
  <c r="EY86" i="23"/>
  <c r="EX86" i="23"/>
  <c r="EW86" i="23"/>
  <c r="EV86" i="23"/>
  <c r="EU86" i="23"/>
  <c r="ET86" i="23"/>
  <c r="ES86" i="23"/>
  <c r="ER86" i="23"/>
  <c r="EQ86" i="23"/>
  <c r="EP86" i="23"/>
  <c r="EO86" i="23"/>
  <c r="EN86" i="23"/>
  <c r="EM86" i="23"/>
  <c r="EL86" i="23"/>
  <c r="EK86" i="23"/>
  <c r="EJ86" i="23"/>
  <c r="EI86" i="23"/>
  <c r="EH86" i="23"/>
  <c r="EG86" i="23"/>
  <c r="EF86" i="23"/>
  <c r="EE86" i="23"/>
  <c r="ED86" i="23"/>
  <c r="EC86" i="23"/>
  <c r="EB86" i="23"/>
  <c r="EA86" i="23"/>
  <c r="DZ86" i="23"/>
  <c r="DY86" i="23"/>
  <c r="DX86" i="23"/>
  <c r="DW86" i="23"/>
  <c r="DV86" i="23"/>
  <c r="DU86" i="23"/>
  <c r="DT86" i="23"/>
  <c r="DS86" i="23"/>
  <c r="DR86" i="23"/>
  <c r="DQ86" i="23"/>
  <c r="DP86" i="23"/>
  <c r="DO86" i="23"/>
  <c r="DN86" i="23"/>
  <c r="DM86" i="23"/>
  <c r="DL86" i="23"/>
  <c r="DK86" i="23"/>
  <c r="DJ86" i="23"/>
  <c r="DI86" i="23"/>
  <c r="DH86" i="23"/>
  <c r="DG86" i="23"/>
  <c r="DF86" i="23"/>
  <c r="DE86" i="23"/>
  <c r="DD86" i="23"/>
  <c r="DC86" i="23"/>
  <c r="DB86" i="23"/>
  <c r="DA86" i="23"/>
  <c r="CZ86" i="23"/>
  <c r="CY86" i="23"/>
  <c r="CX86" i="23"/>
  <c r="CW86" i="23"/>
  <c r="CV86" i="23"/>
  <c r="CU86" i="23"/>
  <c r="CT86" i="23"/>
  <c r="CS86" i="23"/>
  <c r="CR86" i="23"/>
  <c r="CQ86" i="23"/>
  <c r="CP86" i="23"/>
  <c r="CO86" i="23"/>
  <c r="CN86" i="23"/>
  <c r="CM86" i="23"/>
  <c r="CL86" i="23"/>
  <c r="CK86" i="23"/>
  <c r="CJ86" i="23"/>
  <c r="CI86" i="23"/>
  <c r="CH86" i="23"/>
  <c r="CG86" i="23"/>
  <c r="CF86" i="23"/>
  <c r="CE86" i="23"/>
  <c r="CD86" i="23"/>
  <c r="CC86" i="23"/>
  <c r="CB86" i="23"/>
  <c r="CA86" i="23"/>
  <c r="BZ86" i="23"/>
  <c r="BY86" i="23"/>
  <c r="BX86" i="23"/>
  <c r="BW86" i="23"/>
  <c r="BV86" i="23"/>
  <c r="BU86" i="23"/>
  <c r="BT86" i="23"/>
  <c r="BS86" i="23"/>
  <c r="BR86" i="23"/>
  <c r="BQ86" i="23"/>
  <c r="BP86" i="23"/>
  <c r="BO86" i="23"/>
  <c r="BN86" i="23"/>
  <c r="BM86" i="23"/>
  <c r="BL86" i="23"/>
  <c r="BK86" i="23"/>
  <c r="BJ86" i="23"/>
  <c r="BI86" i="23"/>
  <c r="BH86" i="23"/>
  <c r="BG86" i="23"/>
  <c r="BF86" i="23"/>
  <c r="BE86" i="23"/>
  <c r="BD86" i="23"/>
  <c r="BC86" i="23"/>
  <c r="BB86" i="23"/>
  <c r="BA86" i="23"/>
  <c r="AZ86" i="23"/>
  <c r="AY86" i="23"/>
  <c r="AX86" i="23"/>
  <c r="AW86" i="23"/>
  <c r="AV86" i="23"/>
  <c r="AU86" i="23"/>
  <c r="AT86" i="23"/>
  <c r="AS86" i="23"/>
  <c r="AR86" i="23"/>
  <c r="AQ86" i="23"/>
  <c r="AP86" i="23"/>
  <c r="AO86" i="23"/>
  <c r="AN86" i="23"/>
  <c r="AM86" i="23"/>
  <c r="AL86" i="23"/>
  <c r="AK86" i="23"/>
  <c r="AJ86" i="23"/>
  <c r="AI86" i="23"/>
  <c r="AH86" i="23"/>
  <c r="AG86" i="23"/>
  <c r="AF86" i="23"/>
  <c r="AE86" i="23"/>
  <c r="AD86" i="23"/>
  <c r="AC86" i="23"/>
  <c r="AB86" i="23"/>
  <c r="AA86" i="23"/>
  <c r="Z86" i="23"/>
  <c r="Y86" i="23"/>
  <c r="X86" i="23"/>
  <c r="W86" i="23"/>
  <c r="V86" i="23"/>
  <c r="U86" i="23"/>
  <c r="T86" i="23"/>
  <c r="S86" i="23"/>
  <c r="R86" i="23"/>
  <c r="Q86" i="23"/>
  <c r="P86" i="23"/>
  <c r="O86" i="23"/>
  <c r="N86" i="23"/>
  <c r="M86" i="23"/>
  <c r="L86" i="23"/>
  <c r="K86" i="23"/>
  <c r="J86" i="23"/>
  <c r="I86" i="23"/>
  <c r="H86" i="23"/>
  <c r="G86" i="23"/>
  <c r="F86" i="23"/>
  <c r="E86" i="23"/>
  <c r="D86" i="23"/>
  <c r="C86" i="23"/>
  <c r="B86" i="23"/>
  <c r="NT85" i="23"/>
  <c r="NS85" i="23"/>
  <c r="NR85" i="23"/>
  <c r="NQ85" i="23"/>
  <c r="NP85" i="23"/>
  <c r="NO85" i="23"/>
  <c r="NN85" i="23"/>
  <c r="NM85" i="23"/>
  <c r="NL85" i="23"/>
  <c r="NK85" i="23"/>
  <c r="NJ85" i="23"/>
  <c r="NI85" i="23"/>
  <c r="NH85" i="23"/>
  <c r="NG85" i="23"/>
  <c r="NF85" i="23"/>
  <c r="NE85" i="23"/>
  <c r="ND85" i="23"/>
  <c r="NC85" i="23"/>
  <c r="NB85" i="23"/>
  <c r="NA85" i="23"/>
  <c r="MZ85" i="23"/>
  <c r="MY85" i="23"/>
  <c r="MX85" i="23"/>
  <c r="MW85" i="23"/>
  <c r="MV85" i="23"/>
  <c r="MU85" i="23"/>
  <c r="MT85" i="23"/>
  <c r="MS85" i="23"/>
  <c r="MR85" i="23"/>
  <c r="MQ85" i="23"/>
  <c r="MP85" i="23"/>
  <c r="MO85" i="23"/>
  <c r="MN85" i="23"/>
  <c r="MM85" i="23"/>
  <c r="ML85" i="23"/>
  <c r="MK85" i="23"/>
  <c r="MJ85" i="23"/>
  <c r="MI85" i="23"/>
  <c r="MH85" i="23"/>
  <c r="MG85" i="23"/>
  <c r="MF85" i="23"/>
  <c r="ME85" i="23"/>
  <c r="MD85" i="23"/>
  <c r="MC85" i="23"/>
  <c r="MB85" i="23"/>
  <c r="MA85" i="23"/>
  <c r="LZ85" i="23"/>
  <c r="LY85" i="23"/>
  <c r="LX85" i="23"/>
  <c r="LW85" i="23"/>
  <c r="LV85" i="23"/>
  <c r="LU85" i="23"/>
  <c r="LT85" i="23"/>
  <c r="LS85" i="23"/>
  <c r="LR85" i="23"/>
  <c r="LQ85" i="23"/>
  <c r="LP85" i="23"/>
  <c r="LO85" i="23"/>
  <c r="LN85" i="23"/>
  <c r="LM85" i="23"/>
  <c r="LL85" i="23"/>
  <c r="LK85" i="23"/>
  <c r="LJ85" i="23"/>
  <c r="LI85" i="23"/>
  <c r="LH85" i="23"/>
  <c r="LG85" i="23"/>
  <c r="LF85" i="23"/>
  <c r="LE85" i="23"/>
  <c r="LD85" i="23"/>
  <c r="LC85" i="23"/>
  <c r="LB85" i="23"/>
  <c r="LA85" i="23"/>
  <c r="KZ85" i="23"/>
  <c r="KY85" i="23"/>
  <c r="KX85" i="23"/>
  <c r="KW85" i="23"/>
  <c r="KV85" i="23"/>
  <c r="KU85" i="23"/>
  <c r="KT85" i="23"/>
  <c r="KS85" i="23"/>
  <c r="KR85" i="23"/>
  <c r="KQ85" i="23"/>
  <c r="KP85" i="23"/>
  <c r="KO85" i="23"/>
  <c r="KN85" i="23"/>
  <c r="KM85" i="23"/>
  <c r="KL85" i="23"/>
  <c r="KK85" i="23"/>
  <c r="KJ85" i="23"/>
  <c r="KI85" i="23"/>
  <c r="KH85" i="23"/>
  <c r="KG85" i="23"/>
  <c r="KF85" i="23"/>
  <c r="KE85" i="23"/>
  <c r="KD85" i="23"/>
  <c r="KC85" i="23"/>
  <c r="KB85" i="23"/>
  <c r="KA85" i="23"/>
  <c r="JZ85" i="23"/>
  <c r="JY85" i="23"/>
  <c r="JX85" i="23"/>
  <c r="JW85" i="23"/>
  <c r="JV85" i="23"/>
  <c r="JU85" i="23"/>
  <c r="JT85" i="23"/>
  <c r="JS85" i="23"/>
  <c r="JR85" i="23"/>
  <c r="JQ85" i="23"/>
  <c r="JP85" i="23"/>
  <c r="JO85" i="23"/>
  <c r="JN85" i="23"/>
  <c r="JM85" i="23"/>
  <c r="JL85" i="23"/>
  <c r="JK85" i="23"/>
  <c r="JJ85" i="23"/>
  <c r="JI85" i="23"/>
  <c r="JH85" i="23"/>
  <c r="JG85" i="23"/>
  <c r="JF85" i="23"/>
  <c r="JE85" i="23"/>
  <c r="JD85" i="23"/>
  <c r="JC85" i="23"/>
  <c r="JB85" i="23"/>
  <c r="JA85" i="23"/>
  <c r="IZ85" i="23"/>
  <c r="IY85" i="23"/>
  <c r="IX85" i="23"/>
  <c r="IW85" i="23"/>
  <c r="IV85" i="23"/>
  <c r="IU85" i="23"/>
  <c r="IT85" i="23"/>
  <c r="IS85" i="23"/>
  <c r="IR85" i="23"/>
  <c r="IQ85" i="23"/>
  <c r="IP85" i="23"/>
  <c r="IO85" i="23"/>
  <c r="IN85" i="23"/>
  <c r="IM85" i="23"/>
  <c r="IL85" i="23"/>
  <c r="IK85" i="23"/>
  <c r="IJ85" i="23"/>
  <c r="II85" i="23"/>
  <c r="IH85" i="23"/>
  <c r="IG85" i="23"/>
  <c r="IF85" i="23"/>
  <c r="IE85" i="23"/>
  <c r="ID85" i="23"/>
  <c r="IC85" i="23"/>
  <c r="IB85" i="23"/>
  <c r="IA85" i="23"/>
  <c r="HZ85" i="23"/>
  <c r="HY85" i="23"/>
  <c r="HX85" i="23"/>
  <c r="HW85" i="23"/>
  <c r="HV85" i="23"/>
  <c r="HU85" i="23"/>
  <c r="HT85" i="23"/>
  <c r="HS85" i="23"/>
  <c r="HR85" i="23"/>
  <c r="HQ85" i="23"/>
  <c r="HP85" i="23"/>
  <c r="HO85" i="23"/>
  <c r="HN85" i="23"/>
  <c r="HM85" i="23"/>
  <c r="HL85" i="23"/>
  <c r="HK85" i="23"/>
  <c r="HJ85" i="23"/>
  <c r="HI85" i="23"/>
  <c r="HH85" i="23"/>
  <c r="HG85" i="23"/>
  <c r="HF85" i="23"/>
  <c r="HE85" i="23"/>
  <c r="HD85" i="23"/>
  <c r="HC85" i="23"/>
  <c r="HB85" i="23"/>
  <c r="HA85" i="23"/>
  <c r="GZ85" i="23"/>
  <c r="GY85" i="23"/>
  <c r="GX85" i="23"/>
  <c r="GW85" i="23"/>
  <c r="GV85" i="23"/>
  <c r="GU85" i="23"/>
  <c r="GT85" i="23"/>
  <c r="GS85" i="23"/>
  <c r="GR85" i="23"/>
  <c r="GQ85" i="23"/>
  <c r="GP85" i="23"/>
  <c r="GO85" i="23"/>
  <c r="GN85" i="23"/>
  <c r="GM85" i="23"/>
  <c r="GL85" i="23"/>
  <c r="GK85" i="23"/>
  <c r="GJ85" i="23"/>
  <c r="GI85" i="23"/>
  <c r="GH85" i="23"/>
  <c r="GG85" i="23"/>
  <c r="GF85" i="23"/>
  <c r="GE85" i="23"/>
  <c r="GD85" i="23"/>
  <c r="GC85" i="23"/>
  <c r="GB85" i="23"/>
  <c r="GA85" i="23"/>
  <c r="FZ85" i="23"/>
  <c r="FY85" i="23"/>
  <c r="FX85" i="23"/>
  <c r="FW85" i="23"/>
  <c r="FV85" i="23"/>
  <c r="FU85" i="23"/>
  <c r="FT85" i="23"/>
  <c r="FS85" i="23"/>
  <c r="FR85" i="23"/>
  <c r="FQ85" i="23"/>
  <c r="FP85" i="23"/>
  <c r="FO85" i="23"/>
  <c r="FN85" i="23"/>
  <c r="FM85" i="23"/>
  <c r="FL85" i="23"/>
  <c r="FK85" i="23"/>
  <c r="FJ85" i="23"/>
  <c r="FI85" i="23"/>
  <c r="FH85" i="23"/>
  <c r="FG85" i="23"/>
  <c r="FF85" i="23"/>
  <c r="FE85" i="23"/>
  <c r="FD85" i="23"/>
  <c r="FC85" i="23"/>
  <c r="FB85" i="23"/>
  <c r="FA85" i="23"/>
  <c r="EZ85" i="23"/>
  <c r="EY85" i="23"/>
  <c r="EX85" i="23"/>
  <c r="EW85" i="23"/>
  <c r="EV85" i="23"/>
  <c r="EU85" i="23"/>
  <c r="ET85" i="23"/>
  <c r="ES85" i="23"/>
  <c r="ER85" i="23"/>
  <c r="EQ85" i="23"/>
  <c r="EP85" i="23"/>
  <c r="EO85" i="23"/>
  <c r="EN85" i="23"/>
  <c r="EM85" i="23"/>
  <c r="EL85" i="23"/>
  <c r="EK85" i="23"/>
  <c r="EJ85" i="23"/>
  <c r="EI85" i="23"/>
  <c r="EH85" i="23"/>
  <c r="EG85" i="23"/>
  <c r="EF85" i="23"/>
  <c r="EE85" i="23"/>
  <c r="ED85" i="23"/>
  <c r="EC85" i="23"/>
  <c r="EB85" i="23"/>
  <c r="EA85" i="23"/>
  <c r="DZ85" i="23"/>
  <c r="DY85" i="23"/>
  <c r="DX85" i="23"/>
  <c r="DW85" i="23"/>
  <c r="DV85" i="23"/>
  <c r="DU85" i="23"/>
  <c r="DT85" i="23"/>
  <c r="DS85" i="23"/>
  <c r="DR85" i="23"/>
  <c r="DQ85" i="23"/>
  <c r="DP85" i="23"/>
  <c r="DO85" i="23"/>
  <c r="DN85" i="23"/>
  <c r="DM85" i="23"/>
  <c r="DL85" i="23"/>
  <c r="DK85" i="23"/>
  <c r="DJ85" i="23"/>
  <c r="DI85" i="23"/>
  <c r="DH85" i="23"/>
  <c r="DG85" i="23"/>
  <c r="DF85" i="23"/>
  <c r="DE85" i="23"/>
  <c r="DD85" i="23"/>
  <c r="DC85" i="23"/>
  <c r="DB85" i="23"/>
  <c r="DA85" i="23"/>
  <c r="CZ85" i="23"/>
  <c r="CY85" i="23"/>
  <c r="CX85" i="23"/>
  <c r="CW85" i="23"/>
  <c r="CV85" i="23"/>
  <c r="CU85" i="23"/>
  <c r="CT85" i="23"/>
  <c r="CS85" i="23"/>
  <c r="CR85" i="23"/>
  <c r="CQ85" i="23"/>
  <c r="CP85" i="23"/>
  <c r="CO85" i="23"/>
  <c r="CN85" i="23"/>
  <c r="CM85" i="23"/>
  <c r="CL85" i="23"/>
  <c r="CK85" i="23"/>
  <c r="CJ85" i="23"/>
  <c r="CI85" i="23"/>
  <c r="CH85" i="23"/>
  <c r="CG85" i="23"/>
  <c r="CF85" i="23"/>
  <c r="CE85" i="23"/>
  <c r="CD85" i="23"/>
  <c r="CC85" i="23"/>
  <c r="CB85" i="23"/>
  <c r="CA85" i="23"/>
  <c r="BZ85" i="23"/>
  <c r="BY85" i="23"/>
  <c r="BX85" i="23"/>
  <c r="BW85" i="23"/>
  <c r="BV85" i="23"/>
  <c r="BU85" i="23"/>
  <c r="BT85" i="23"/>
  <c r="BS85" i="23"/>
  <c r="BR85" i="23"/>
  <c r="BQ85" i="23"/>
  <c r="BP85" i="23"/>
  <c r="BO85" i="23"/>
  <c r="BN85" i="23"/>
  <c r="BM85" i="23"/>
  <c r="BL85" i="23"/>
  <c r="BK85" i="23"/>
  <c r="BJ85" i="23"/>
  <c r="BI85" i="23"/>
  <c r="BH85" i="23"/>
  <c r="BG85" i="23"/>
  <c r="BF85" i="23"/>
  <c r="BE85" i="23"/>
  <c r="BD85" i="23"/>
  <c r="BC85" i="23"/>
  <c r="BB85" i="23"/>
  <c r="BA85" i="23"/>
  <c r="AZ85" i="23"/>
  <c r="AY85" i="23"/>
  <c r="AX85" i="23"/>
  <c r="AW85" i="23"/>
  <c r="AV85" i="23"/>
  <c r="AU85" i="23"/>
  <c r="AT85" i="23"/>
  <c r="AS85" i="23"/>
  <c r="AR85" i="23"/>
  <c r="AQ85" i="23"/>
  <c r="AP85" i="23"/>
  <c r="AO85" i="23"/>
  <c r="AN85" i="23"/>
  <c r="AM85" i="23"/>
  <c r="AL85" i="23"/>
  <c r="AK85" i="23"/>
  <c r="AJ85" i="23"/>
  <c r="AI85" i="23"/>
  <c r="AH85" i="23"/>
  <c r="AG85" i="23"/>
  <c r="AF85" i="23"/>
  <c r="AE85" i="23"/>
  <c r="AD85" i="23"/>
  <c r="AC85" i="23"/>
  <c r="AB85" i="23"/>
  <c r="AA85" i="23"/>
  <c r="Z85" i="23"/>
  <c r="Y85" i="23"/>
  <c r="X85" i="23"/>
  <c r="W85" i="23"/>
  <c r="V85" i="23"/>
  <c r="U85" i="23"/>
  <c r="T85" i="23"/>
  <c r="S85" i="23"/>
  <c r="R85" i="23"/>
  <c r="Q85" i="23"/>
  <c r="P85" i="23"/>
  <c r="O85" i="23"/>
  <c r="N85" i="23"/>
  <c r="M85" i="23"/>
  <c r="L85" i="23"/>
  <c r="K85" i="23"/>
  <c r="J85" i="23"/>
  <c r="I85" i="23"/>
  <c r="H85" i="23"/>
  <c r="G85" i="23"/>
  <c r="F85" i="23"/>
  <c r="E85" i="23"/>
  <c r="D85" i="23"/>
  <c r="C85" i="23"/>
  <c r="B85" i="23"/>
  <c r="NT84" i="23"/>
  <c r="NS84" i="23"/>
  <c r="NR84" i="23"/>
  <c r="NQ84" i="23"/>
  <c r="NP84" i="23"/>
  <c r="NO84" i="23"/>
  <c r="NN84" i="23"/>
  <c r="NM84" i="23"/>
  <c r="NL84" i="23"/>
  <c r="NK84" i="23"/>
  <c r="NJ84" i="23"/>
  <c r="NI84" i="23"/>
  <c r="NH84" i="23"/>
  <c r="NG84" i="23"/>
  <c r="NF84" i="23"/>
  <c r="NE84" i="23"/>
  <c r="ND84" i="23"/>
  <c r="NC84" i="23"/>
  <c r="NB84" i="23"/>
  <c r="NA84" i="23"/>
  <c r="MZ84" i="23"/>
  <c r="MY84" i="23"/>
  <c r="MX84" i="23"/>
  <c r="MW84" i="23"/>
  <c r="MV84" i="23"/>
  <c r="MU84" i="23"/>
  <c r="MT84" i="23"/>
  <c r="MS84" i="23"/>
  <c r="MR84" i="23"/>
  <c r="MQ84" i="23"/>
  <c r="MP84" i="23"/>
  <c r="MO84" i="23"/>
  <c r="MN84" i="23"/>
  <c r="MM84" i="23"/>
  <c r="ML84" i="23"/>
  <c r="MK84" i="23"/>
  <c r="MJ84" i="23"/>
  <c r="MI84" i="23"/>
  <c r="MH84" i="23"/>
  <c r="MG84" i="23"/>
  <c r="MF84" i="23"/>
  <c r="ME84" i="23"/>
  <c r="MD84" i="23"/>
  <c r="MC84" i="23"/>
  <c r="MB84" i="23"/>
  <c r="MA84" i="23"/>
  <c r="LZ84" i="23"/>
  <c r="LY84" i="23"/>
  <c r="LX84" i="23"/>
  <c r="LW84" i="23"/>
  <c r="LV84" i="23"/>
  <c r="LU84" i="23"/>
  <c r="LT84" i="23"/>
  <c r="LS84" i="23"/>
  <c r="LR84" i="23"/>
  <c r="LQ84" i="23"/>
  <c r="LP84" i="23"/>
  <c r="LO84" i="23"/>
  <c r="LN84" i="23"/>
  <c r="LM84" i="23"/>
  <c r="LL84" i="23"/>
  <c r="LK84" i="23"/>
  <c r="LJ84" i="23"/>
  <c r="LI84" i="23"/>
  <c r="LH84" i="23"/>
  <c r="LG84" i="23"/>
  <c r="LF84" i="23"/>
  <c r="LE84" i="23"/>
  <c r="LD84" i="23"/>
  <c r="LC84" i="23"/>
  <c r="LB84" i="23"/>
  <c r="LA84" i="23"/>
  <c r="KZ84" i="23"/>
  <c r="KY84" i="23"/>
  <c r="KX84" i="23"/>
  <c r="KW84" i="23"/>
  <c r="KV84" i="23"/>
  <c r="KU84" i="23"/>
  <c r="KT84" i="23"/>
  <c r="KS84" i="23"/>
  <c r="KR84" i="23"/>
  <c r="KQ84" i="23"/>
  <c r="KP84" i="23"/>
  <c r="KO84" i="23"/>
  <c r="KN84" i="23"/>
  <c r="KM84" i="23"/>
  <c r="KL84" i="23"/>
  <c r="KK84" i="23"/>
  <c r="KJ84" i="23"/>
  <c r="KI84" i="23"/>
  <c r="KH84" i="23"/>
  <c r="KG84" i="23"/>
  <c r="KF84" i="23"/>
  <c r="KE84" i="23"/>
  <c r="KD84" i="23"/>
  <c r="KC84" i="23"/>
  <c r="KB84" i="23"/>
  <c r="KA84" i="23"/>
  <c r="JZ84" i="23"/>
  <c r="JY84" i="23"/>
  <c r="JX84" i="23"/>
  <c r="JW84" i="23"/>
  <c r="JV84" i="23"/>
  <c r="JU84" i="23"/>
  <c r="JT84" i="23"/>
  <c r="JS84" i="23"/>
  <c r="JR84" i="23"/>
  <c r="JQ84" i="23"/>
  <c r="JP84" i="23"/>
  <c r="JO84" i="23"/>
  <c r="JN84" i="23"/>
  <c r="JM84" i="23"/>
  <c r="JL84" i="23"/>
  <c r="JK84" i="23"/>
  <c r="JJ84" i="23"/>
  <c r="JI84" i="23"/>
  <c r="JH84" i="23"/>
  <c r="JG84" i="23"/>
  <c r="JF84" i="23"/>
  <c r="JE84" i="23"/>
  <c r="JD84" i="23"/>
  <c r="JC84" i="23"/>
  <c r="JB84" i="23"/>
  <c r="JA84" i="23"/>
  <c r="IZ84" i="23"/>
  <c r="IY84" i="23"/>
  <c r="IX84" i="23"/>
  <c r="IW84" i="23"/>
  <c r="IV84" i="23"/>
  <c r="IU84" i="23"/>
  <c r="IT84" i="23"/>
  <c r="IS84" i="23"/>
  <c r="IR84" i="23"/>
  <c r="IQ84" i="23"/>
  <c r="IP84" i="23"/>
  <c r="IO84" i="23"/>
  <c r="IN84" i="23"/>
  <c r="IM84" i="23"/>
  <c r="IL84" i="23"/>
  <c r="IK84" i="23"/>
  <c r="IJ84" i="23"/>
  <c r="II84" i="23"/>
  <c r="IH84" i="23"/>
  <c r="IG84" i="23"/>
  <c r="IF84" i="23"/>
  <c r="IE84" i="23"/>
  <c r="ID84" i="23"/>
  <c r="IC84" i="23"/>
  <c r="IB84" i="23"/>
  <c r="IA84" i="23"/>
  <c r="HZ84" i="23"/>
  <c r="HY84" i="23"/>
  <c r="HX84" i="23"/>
  <c r="HW84" i="23"/>
  <c r="HV84" i="23"/>
  <c r="HU84" i="23"/>
  <c r="HT84" i="23"/>
  <c r="HS84" i="23"/>
  <c r="HR84" i="23"/>
  <c r="HQ84" i="23"/>
  <c r="HP84" i="23"/>
  <c r="HO84" i="23"/>
  <c r="HN84" i="23"/>
  <c r="HM84" i="23"/>
  <c r="HL84" i="23"/>
  <c r="HK84" i="23"/>
  <c r="HJ84" i="23"/>
  <c r="HI84" i="23"/>
  <c r="HH84" i="23"/>
  <c r="HG84" i="23"/>
  <c r="HF84" i="23"/>
  <c r="HE84" i="23"/>
  <c r="HD84" i="23"/>
  <c r="HC84" i="23"/>
  <c r="HB84" i="23"/>
  <c r="HA84" i="23"/>
  <c r="GZ84" i="23"/>
  <c r="GY84" i="23"/>
  <c r="GX84" i="23"/>
  <c r="GW84" i="23"/>
  <c r="GV84" i="23"/>
  <c r="GU84" i="23"/>
  <c r="GT84" i="23"/>
  <c r="GS84" i="23"/>
  <c r="GR84" i="23"/>
  <c r="GQ84" i="23"/>
  <c r="GP84" i="23"/>
  <c r="GO84" i="23"/>
  <c r="GN84" i="23"/>
  <c r="GM84" i="23"/>
  <c r="GL84" i="23"/>
  <c r="GK84" i="23"/>
  <c r="GJ84" i="23"/>
  <c r="GI84" i="23"/>
  <c r="GH84" i="23"/>
  <c r="GG84" i="23"/>
  <c r="GF84" i="23"/>
  <c r="GE84" i="23"/>
  <c r="GD84" i="23"/>
  <c r="GC84" i="23"/>
  <c r="GB84" i="23"/>
  <c r="GA84" i="23"/>
  <c r="FZ84" i="23"/>
  <c r="FY84" i="23"/>
  <c r="FX84" i="23"/>
  <c r="FW84" i="23"/>
  <c r="FV84" i="23"/>
  <c r="FU84" i="23"/>
  <c r="FT84" i="23"/>
  <c r="FS84" i="23"/>
  <c r="FR84" i="23"/>
  <c r="FQ84" i="23"/>
  <c r="FP84" i="23"/>
  <c r="FO84" i="23"/>
  <c r="FN84" i="23"/>
  <c r="FM84" i="23"/>
  <c r="FL84" i="23"/>
  <c r="FK84" i="23"/>
  <c r="FJ84" i="23"/>
  <c r="FI84" i="23"/>
  <c r="FH84" i="23"/>
  <c r="FG84" i="23"/>
  <c r="FF84" i="23"/>
  <c r="FE84" i="23"/>
  <c r="FD84" i="23"/>
  <c r="FC84" i="23"/>
  <c r="FB84" i="23"/>
  <c r="FA84" i="23"/>
  <c r="EZ84" i="23"/>
  <c r="EY84" i="23"/>
  <c r="EX84" i="23"/>
  <c r="EW84" i="23"/>
  <c r="EV84" i="23"/>
  <c r="EU84" i="23"/>
  <c r="ET84" i="23"/>
  <c r="ES84" i="23"/>
  <c r="ER84" i="23"/>
  <c r="EQ84" i="23"/>
  <c r="EP84" i="23"/>
  <c r="EO84" i="23"/>
  <c r="EN84" i="23"/>
  <c r="EM84" i="23"/>
  <c r="EL84" i="23"/>
  <c r="EK84" i="23"/>
  <c r="EJ84" i="23"/>
  <c r="EI84" i="23"/>
  <c r="EH84" i="23"/>
  <c r="EG84" i="23"/>
  <c r="EF84" i="23"/>
  <c r="EE84" i="23"/>
  <c r="ED84" i="23"/>
  <c r="EC84" i="23"/>
  <c r="EB84" i="23"/>
  <c r="EA84" i="23"/>
  <c r="DZ84" i="23"/>
  <c r="DY84" i="23"/>
  <c r="DX84" i="23"/>
  <c r="DW84" i="23"/>
  <c r="DV84" i="23"/>
  <c r="DU84" i="23"/>
  <c r="DT84" i="23"/>
  <c r="DS84" i="23"/>
  <c r="DR84" i="23"/>
  <c r="DQ84" i="23"/>
  <c r="DP84" i="23"/>
  <c r="DO84" i="23"/>
  <c r="DN84" i="23"/>
  <c r="DM84" i="23"/>
  <c r="DL84" i="23"/>
  <c r="DK84" i="23"/>
  <c r="DJ84" i="23"/>
  <c r="DI84" i="23"/>
  <c r="DH84" i="23"/>
  <c r="DG84" i="23"/>
  <c r="DF84" i="23"/>
  <c r="DE84" i="23"/>
  <c r="DD84" i="23"/>
  <c r="DC84" i="23"/>
  <c r="DB84" i="23"/>
  <c r="DA84" i="23"/>
  <c r="CZ84" i="23"/>
  <c r="CY84" i="23"/>
  <c r="CX84" i="23"/>
  <c r="CW84" i="23"/>
  <c r="CV84" i="23"/>
  <c r="CU84" i="23"/>
  <c r="CT84" i="23"/>
  <c r="CS84" i="23"/>
  <c r="CR84" i="23"/>
  <c r="CQ84" i="23"/>
  <c r="CP84" i="23"/>
  <c r="CO84" i="23"/>
  <c r="CN84" i="23"/>
  <c r="CM84" i="23"/>
  <c r="CL84" i="23"/>
  <c r="CK84" i="23"/>
  <c r="CJ84" i="23"/>
  <c r="CI84" i="23"/>
  <c r="CH84" i="23"/>
  <c r="CG84" i="23"/>
  <c r="CF84" i="23"/>
  <c r="CE84" i="23"/>
  <c r="CD84" i="23"/>
  <c r="CC84" i="23"/>
  <c r="CB84" i="23"/>
  <c r="CA84" i="23"/>
  <c r="BZ84" i="23"/>
  <c r="BY84" i="23"/>
  <c r="BX84" i="23"/>
  <c r="BW84" i="23"/>
  <c r="BV84" i="23"/>
  <c r="BU84" i="23"/>
  <c r="BT84" i="23"/>
  <c r="BS84" i="23"/>
  <c r="BR84" i="23"/>
  <c r="BQ84" i="23"/>
  <c r="BP84" i="23"/>
  <c r="BO84" i="23"/>
  <c r="BN84" i="23"/>
  <c r="BM84" i="23"/>
  <c r="BL84" i="23"/>
  <c r="BK84" i="23"/>
  <c r="BJ84" i="23"/>
  <c r="BI84" i="23"/>
  <c r="BH84" i="23"/>
  <c r="BG84" i="23"/>
  <c r="BF84" i="23"/>
  <c r="BE84" i="23"/>
  <c r="BD84" i="23"/>
  <c r="BC84" i="23"/>
  <c r="BB84" i="23"/>
  <c r="BA84" i="23"/>
  <c r="AZ84" i="23"/>
  <c r="AY84" i="23"/>
  <c r="AX84" i="23"/>
  <c r="AW84" i="23"/>
  <c r="AV84" i="23"/>
  <c r="AU84" i="23"/>
  <c r="AT84" i="23"/>
  <c r="AS84" i="23"/>
  <c r="AR84" i="23"/>
  <c r="AQ84" i="23"/>
  <c r="AP84" i="23"/>
  <c r="AO84" i="23"/>
  <c r="AN84" i="23"/>
  <c r="AM84" i="23"/>
  <c r="AL84" i="23"/>
  <c r="AK84" i="23"/>
  <c r="AJ84" i="23"/>
  <c r="AI84" i="23"/>
  <c r="AH84" i="23"/>
  <c r="AG84" i="23"/>
  <c r="AF84" i="23"/>
  <c r="AE84" i="23"/>
  <c r="AD84" i="23"/>
  <c r="AC84" i="23"/>
  <c r="AB84" i="23"/>
  <c r="AA84" i="23"/>
  <c r="Z84" i="23"/>
  <c r="Y84" i="23"/>
  <c r="X84" i="23"/>
  <c r="W84" i="23"/>
  <c r="V84" i="23"/>
  <c r="U84" i="23"/>
  <c r="T84" i="23"/>
  <c r="S84" i="23"/>
  <c r="R84" i="23"/>
  <c r="Q84" i="23"/>
  <c r="P84" i="23"/>
  <c r="O84" i="23"/>
  <c r="N84" i="23"/>
  <c r="M84" i="23"/>
  <c r="L84" i="23"/>
  <c r="K84" i="23"/>
  <c r="J84" i="23"/>
  <c r="I84" i="23"/>
  <c r="H84" i="23"/>
  <c r="G84" i="23"/>
  <c r="F84" i="23"/>
  <c r="E84" i="23"/>
  <c r="D84" i="23"/>
  <c r="C84" i="23"/>
  <c r="B84" i="23"/>
  <c r="NT83" i="23"/>
  <c r="NS83" i="23"/>
  <c r="NR83" i="23"/>
  <c r="NQ83" i="23"/>
  <c r="NP83" i="23"/>
  <c r="NO83" i="23"/>
  <c r="NN83" i="23"/>
  <c r="NM83" i="23"/>
  <c r="NL83" i="23"/>
  <c r="NK83" i="23"/>
  <c r="NJ83" i="23"/>
  <c r="NI83" i="23"/>
  <c r="NH83" i="23"/>
  <c r="NG83" i="23"/>
  <c r="NF83" i="23"/>
  <c r="NE83" i="23"/>
  <c r="ND83" i="23"/>
  <c r="NC83" i="23"/>
  <c r="NB83" i="23"/>
  <c r="NA83" i="23"/>
  <c r="MZ83" i="23"/>
  <c r="MY83" i="23"/>
  <c r="MX83" i="23"/>
  <c r="MW83" i="23"/>
  <c r="MV83" i="23"/>
  <c r="MU83" i="23"/>
  <c r="MT83" i="23"/>
  <c r="MS83" i="23"/>
  <c r="MR83" i="23"/>
  <c r="MQ83" i="23"/>
  <c r="MP83" i="23"/>
  <c r="MO83" i="23"/>
  <c r="MN83" i="23"/>
  <c r="MM83" i="23"/>
  <c r="ML83" i="23"/>
  <c r="MK83" i="23"/>
  <c r="MJ83" i="23"/>
  <c r="MI83" i="23"/>
  <c r="MH83" i="23"/>
  <c r="MG83" i="23"/>
  <c r="MF83" i="23"/>
  <c r="ME83" i="23"/>
  <c r="MD83" i="23"/>
  <c r="MC83" i="23"/>
  <c r="MB83" i="23"/>
  <c r="MA83" i="23"/>
  <c r="LZ83" i="23"/>
  <c r="LY83" i="23"/>
  <c r="LX83" i="23"/>
  <c r="LW83" i="23"/>
  <c r="LV83" i="23"/>
  <c r="LU83" i="23"/>
  <c r="LT83" i="23"/>
  <c r="LS83" i="23"/>
  <c r="LR83" i="23"/>
  <c r="LQ83" i="23"/>
  <c r="LP83" i="23"/>
  <c r="LO83" i="23"/>
  <c r="LN83" i="23"/>
  <c r="LM83" i="23"/>
  <c r="LL83" i="23"/>
  <c r="LK83" i="23"/>
  <c r="LJ83" i="23"/>
  <c r="LI83" i="23"/>
  <c r="LH83" i="23"/>
  <c r="LG83" i="23"/>
  <c r="LF83" i="23"/>
  <c r="LE83" i="23"/>
  <c r="LD83" i="23"/>
  <c r="LC83" i="23"/>
  <c r="LB83" i="23"/>
  <c r="LA83" i="23"/>
  <c r="KZ83" i="23"/>
  <c r="KY83" i="23"/>
  <c r="KX83" i="23"/>
  <c r="KW83" i="23"/>
  <c r="KV83" i="23"/>
  <c r="KU83" i="23"/>
  <c r="KT83" i="23"/>
  <c r="KS83" i="23"/>
  <c r="KR83" i="23"/>
  <c r="KQ83" i="23"/>
  <c r="KP83" i="23"/>
  <c r="KO83" i="23"/>
  <c r="KN83" i="23"/>
  <c r="KM83" i="23"/>
  <c r="KL83" i="23"/>
  <c r="KK83" i="23"/>
  <c r="KJ83" i="23"/>
  <c r="KI83" i="23"/>
  <c r="KH83" i="23"/>
  <c r="KG83" i="23"/>
  <c r="KF83" i="23"/>
  <c r="KE83" i="23"/>
  <c r="KD83" i="23"/>
  <c r="KC83" i="23"/>
  <c r="KB83" i="23"/>
  <c r="KA83" i="23"/>
  <c r="JZ83" i="23"/>
  <c r="JY83" i="23"/>
  <c r="JX83" i="23"/>
  <c r="JW83" i="23"/>
  <c r="JV83" i="23"/>
  <c r="JU83" i="23"/>
  <c r="JT83" i="23"/>
  <c r="JS83" i="23"/>
  <c r="JR83" i="23"/>
  <c r="JQ83" i="23"/>
  <c r="JP83" i="23"/>
  <c r="JO83" i="23"/>
  <c r="JN83" i="23"/>
  <c r="JM83" i="23"/>
  <c r="JL83" i="23"/>
  <c r="JK83" i="23"/>
  <c r="JJ83" i="23"/>
  <c r="JI83" i="23"/>
  <c r="JH83" i="23"/>
  <c r="JG83" i="23"/>
  <c r="JF83" i="23"/>
  <c r="JE83" i="23"/>
  <c r="JD83" i="23"/>
  <c r="JC83" i="23"/>
  <c r="JB83" i="23"/>
  <c r="JA83" i="23"/>
  <c r="IZ83" i="23"/>
  <c r="IY83" i="23"/>
  <c r="IX83" i="23"/>
  <c r="IW83" i="23"/>
  <c r="IV83" i="23"/>
  <c r="IU83" i="23"/>
  <c r="IT83" i="23"/>
  <c r="IS83" i="23"/>
  <c r="IR83" i="23"/>
  <c r="IQ83" i="23"/>
  <c r="IP83" i="23"/>
  <c r="IO83" i="23"/>
  <c r="IN83" i="23"/>
  <c r="IM83" i="23"/>
  <c r="IL83" i="23"/>
  <c r="IK83" i="23"/>
  <c r="IJ83" i="23"/>
  <c r="II83" i="23"/>
  <c r="IH83" i="23"/>
  <c r="IG83" i="23"/>
  <c r="IF83" i="23"/>
  <c r="IE83" i="23"/>
  <c r="ID83" i="23"/>
  <c r="IC83" i="23"/>
  <c r="IB83" i="23"/>
  <c r="IA83" i="23"/>
  <c r="HZ83" i="23"/>
  <c r="HY83" i="23"/>
  <c r="HX83" i="23"/>
  <c r="HW83" i="23"/>
  <c r="HV83" i="23"/>
  <c r="HU83" i="23"/>
  <c r="HT83" i="23"/>
  <c r="HS83" i="23"/>
  <c r="HR83" i="23"/>
  <c r="HQ83" i="23"/>
  <c r="HP83" i="23"/>
  <c r="HO83" i="23"/>
  <c r="HN83" i="23"/>
  <c r="HM83" i="23"/>
  <c r="HL83" i="23"/>
  <c r="HK83" i="23"/>
  <c r="HJ83" i="23"/>
  <c r="HI83" i="23"/>
  <c r="HH83" i="23"/>
  <c r="HG83" i="23"/>
  <c r="HF83" i="23"/>
  <c r="HE83" i="23"/>
  <c r="HD83" i="23"/>
  <c r="HC83" i="23"/>
  <c r="HB83" i="23"/>
  <c r="HA83" i="23"/>
  <c r="GZ83" i="23"/>
  <c r="GY83" i="23"/>
  <c r="GX83" i="23"/>
  <c r="GW83" i="23"/>
  <c r="GV83" i="23"/>
  <c r="GU83" i="23"/>
  <c r="GT83" i="23"/>
  <c r="GS83" i="23"/>
  <c r="GR83" i="23"/>
  <c r="GQ83" i="23"/>
  <c r="GP83" i="23"/>
  <c r="GO83" i="23"/>
  <c r="GN83" i="23"/>
  <c r="GM83" i="23"/>
  <c r="GL83" i="23"/>
  <c r="GK83" i="23"/>
  <c r="GJ83" i="23"/>
  <c r="GI83" i="23"/>
  <c r="GH83" i="23"/>
  <c r="GG83" i="23"/>
  <c r="GF83" i="23"/>
  <c r="GE83" i="23"/>
  <c r="GD83" i="23"/>
  <c r="GC83" i="23"/>
  <c r="GB83" i="23"/>
  <c r="GA83" i="23"/>
  <c r="FZ83" i="23"/>
  <c r="FY83" i="23"/>
  <c r="FX83" i="23"/>
  <c r="FW83" i="23"/>
  <c r="FV83" i="23"/>
  <c r="FU83" i="23"/>
  <c r="FT83" i="23"/>
  <c r="FS83" i="23"/>
  <c r="FR83" i="23"/>
  <c r="FQ83" i="23"/>
  <c r="FP83" i="23"/>
  <c r="FO83" i="23"/>
  <c r="FN83" i="23"/>
  <c r="FM83" i="23"/>
  <c r="FL83" i="23"/>
  <c r="FK83" i="23"/>
  <c r="FJ83" i="23"/>
  <c r="FI83" i="23"/>
  <c r="FH83" i="23"/>
  <c r="FG83" i="23"/>
  <c r="FF83" i="23"/>
  <c r="FE83" i="23"/>
  <c r="FD83" i="23"/>
  <c r="FC83" i="23"/>
  <c r="FB83" i="23"/>
  <c r="FA83" i="23"/>
  <c r="EZ83" i="23"/>
  <c r="EY83" i="23"/>
  <c r="EX83" i="23"/>
  <c r="EW83" i="23"/>
  <c r="EV83" i="23"/>
  <c r="EU83" i="23"/>
  <c r="ET83" i="23"/>
  <c r="ES83" i="23"/>
  <c r="ER83" i="23"/>
  <c r="EQ83" i="23"/>
  <c r="EP83" i="23"/>
  <c r="EO83" i="23"/>
  <c r="EN83" i="23"/>
  <c r="EM83" i="23"/>
  <c r="EL83" i="23"/>
  <c r="EK83" i="23"/>
  <c r="EJ83" i="23"/>
  <c r="EI83" i="23"/>
  <c r="EH83" i="23"/>
  <c r="EG83" i="23"/>
  <c r="EF83" i="23"/>
  <c r="EE83" i="23"/>
  <c r="ED83" i="23"/>
  <c r="EC83" i="23"/>
  <c r="EB83" i="23"/>
  <c r="EA83" i="23"/>
  <c r="DZ83" i="23"/>
  <c r="DY83" i="23"/>
  <c r="DX83" i="23"/>
  <c r="DW83" i="23"/>
  <c r="DV83" i="23"/>
  <c r="DU83" i="23"/>
  <c r="DT83" i="23"/>
  <c r="DS83" i="23"/>
  <c r="DR83" i="23"/>
  <c r="DQ83" i="23"/>
  <c r="DP83" i="23"/>
  <c r="DO83" i="23"/>
  <c r="DN83" i="23"/>
  <c r="DM83" i="23"/>
  <c r="DL83" i="23"/>
  <c r="DK83" i="23"/>
  <c r="DJ83" i="23"/>
  <c r="DI83" i="23"/>
  <c r="DH83" i="23"/>
  <c r="DG83" i="23"/>
  <c r="DF83" i="23"/>
  <c r="DE83" i="23"/>
  <c r="DD83" i="23"/>
  <c r="DC83" i="23"/>
  <c r="DB83" i="23"/>
  <c r="DA83" i="23"/>
  <c r="CZ83" i="23"/>
  <c r="CY83" i="23"/>
  <c r="CX83" i="23"/>
  <c r="CW83" i="23"/>
  <c r="CV83" i="23"/>
  <c r="CU83" i="23"/>
  <c r="CT83" i="23"/>
  <c r="CS83" i="23"/>
  <c r="CR83" i="23"/>
  <c r="CQ83" i="23"/>
  <c r="CP83" i="23"/>
  <c r="CO83" i="23"/>
  <c r="CN83" i="23"/>
  <c r="CM83" i="23"/>
  <c r="CL83" i="23"/>
  <c r="CK83" i="23"/>
  <c r="CJ83" i="23"/>
  <c r="CI83" i="23"/>
  <c r="CH83" i="23"/>
  <c r="CG83" i="23"/>
  <c r="CF83" i="23"/>
  <c r="CE83" i="23"/>
  <c r="CD83" i="23"/>
  <c r="CC83" i="23"/>
  <c r="CB83" i="23"/>
  <c r="CA83" i="23"/>
  <c r="BZ83" i="23"/>
  <c r="BY83" i="23"/>
  <c r="BX83" i="23"/>
  <c r="BW83" i="23"/>
  <c r="BV83" i="23"/>
  <c r="BU83" i="23"/>
  <c r="BT83" i="23"/>
  <c r="BS83" i="23"/>
  <c r="BR83" i="23"/>
  <c r="BQ83" i="23"/>
  <c r="BP83" i="23"/>
  <c r="BO83" i="23"/>
  <c r="BN83" i="23"/>
  <c r="BM83" i="23"/>
  <c r="BL83" i="23"/>
  <c r="BK83" i="23"/>
  <c r="BJ83" i="23"/>
  <c r="BI83" i="23"/>
  <c r="BH83" i="23"/>
  <c r="BG83" i="23"/>
  <c r="BF83" i="23"/>
  <c r="BE83" i="23"/>
  <c r="BD83" i="23"/>
  <c r="BC83" i="23"/>
  <c r="BB83" i="23"/>
  <c r="BA83" i="23"/>
  <c r="AZ83" i="23"/>
  <c r="AY83" i="23"/>
  <c r="AX83" i="23"/>
  <c r="AW83" i="23"/>
  <c r="AV83" i="23"/>
  <c r="AU83" i="23"/>
  <c r="AT83" i="23"/>
  <c r="AS83" i="23"/>
  <c r="AR83" i="23"/>
  <c r="AQ83" i="23"/>
  <c r="AP83" i="23"/>
  <c r="AO83" i="23"/>
  <c r="AN83" i="23"/>
  <c r="AM83" i="23"/>
  <c r="AL83" i="23"/>
  <c r="AK83" i="23"/>
  <c r="AJ83" i="23"/>
  <c r="AI83" i="23"/>
  <c r="AH83" i="23"/>
  <c r="AG83" i="23"/>
  <c r="AF83" i="23"/>
  <c r="AE83" i="23"/>
  <c r="AD83" i="23"/>
  <c r="AC83" i="23"/>
  <c r="AB83" i="23"/>
  <c r="AA83" i="23"/>
  <c r="Z83" i="23"/>
  <c r="Y83" i="23"/>
  <c r="X83" i="23"/>
  <c r="W83" i="23"/>
  <c r="V83" i="23"/>
  <c r="U83" i="23"/>
  <c r="T83" i="23"/>
  <c r="S83" i="23"/>
  <c r="R83" i="23"/>
  <c r="Q83" i="23"/>
  <c r="P83" i="23"/>
  <c r="O83" i="23"/>
  <c r="N83" i="23"/>
  <c r="M83" i="23"/>
  <c r="L83" i="23"/>
  <c r="K83" i="23"/>
  <c r="J83" i="23"/>
  <c r="I83" i="23"/>
  <c r="H83" i="23"/>
  <c r="G83" i="23"/>
  <c r="F83" i="23"/>
  <c r="E83" i="23"/>
  <c r="D83" i="23"/>
  <c r="C83" i="23"/>
  <c r="B83" i="23"/>
  <c r="NT82" i="23"/>
  <c r="NS82" i="23"/>
  <c r="NR82" i="23"/>
  <c r="NQ82" i="23"/>
  <c r="NP82" i="23"/>
  <c r="NO82" i="23"/>
  <c r="NN82" i="23"/>
  <c r="NM82" i="23"/>
  <c r="NL82" i="23"/>
  <c r="NK82" i="23"/>
  <c r="NJ82" i="23"/>
  <c r="NI82" i="23"/>
  <c r="NH82" i="23"/>
  <c r="NG82" i="23"/>
  <c r="NF82" i="23"/>
  <c r="NE82" i="23"/>
  <c r="ND82" i="23"/>
  <c r="NC82" i="23"/>
  <c r="NB82" i="23"/>
  <c r="NA82" i="23"/>
  <c r="MZ82" i="23"/>
  <c r="MY82" i="23"/>
  <c r="MX82" i="23"/>
  <c r="MW82" i="23"/>
  <c r="MV82" i="23"/>
  <c r="MU82" i="23"/>
  <c r="MT82" i="23"/>
  <c r="MS82" i="23"/>
  <c r="MR82" i="23"/>
  <c r="MQ82" i="23"/>
  <c r="MP82" i="23"/>
  <c r="MO82" i="23"/>
  <c r="MN82" i="23"/>
  <c r="MM82" i="23"/>
  <c r="ML82" i="23"/>
  <c r="MK82" i="23"/>
  <c r="MJ82" i="23"/>
  <c r="MI82" i="23"/>
  <c r="MH82" i="23"/>
  <c r="MG82" i="23"/>
  <c r="MF82" i="23"/>
  <c r="ME82" i="23"/>
  <c r="MD82" i="23"/>
  <c r="MC82" i="23"/>
  <c r="MB82" i="23"/>
  <c r="MA82" i="23"/>
  <c r="LZ82" i="23"/>
  <c r="LY82" i="23"/>
  <c r="LX82" i="23"/>
  <c r="LW82" i="23"/>
  <c r="LV82" i="23"/>
  <c r="LU82" i="23"/>
  <c r="LT82" i="23"/>
  <c r="LS82" i="23"/>
  <c r="LR82" i="23"/>
  <c r="LQ82" i="23"/>
  <c r="LP82" i="23"/>
  <c r="LO82" i="23"/>
  <c r="LN82" i="23"/>
  <c r="LM82" i="23"/>
  <c r="LL82" i="23"/>
  <c r="LK82" i="23"/>
  <c r="LJ82" i="23"/>
  <c r="LI82" i="23"/>
  <c r="LH82" i="23"/>
  <c r="LG82" i="23"/>
  <c r="LF82" i="23"/>
  <c r="LE82" i="23"/>
  <c r="LD82" i="23"/>
  <c r="LC82" i="23"/>
  <c r="LB82" i="23"/>
  <c r="LA82" i="23"/>
  <c r="KZ82" i="23"/>
  <c r="KY82" i="23"/>
  <c r="KX82" i="23"/>
  <c r="KW82" i="23"/>
  <c r="KV82" i="23"/>
  <c r="KU82" i="23"/>
  <c r="KT82" i="23"/>
  <c r="KS82" i="23"/>
  <c r="KR82" i="23"/>
  <c r="KQ82" i="23"/>
  <c r="KP82" i="23"/>
  <c r="KO82" i="23"/>
  <c r="KN82" i="23"/>
  <c r="KM82" i="23"/>
  <c r="KL82" i="23"/>
  <c r="KK82" i="23"/>
  <c r="KJ82" i="23"/>
  <c r="KI82" i="23"/>
  <c r="KH82" i="23"/>
  <c r="KG82" i="23"/>
  <c r="KF82" i="23"/>
  <c r="KE82" i="23"/>
  <c r="KD82" i="23"/>
  <c r="KC82" i="23"/>
  <c r="KB82" i="23"/>
  <c r="KA82" i="23"/>
  <c r="JZ82" i="23"/>
  <c r="JY82" i="23"/>
  <c r="JX82" i="23"/>
  <c r="JW82" i="23"/>
  <c r="JV82" i="23"/>
  <c r="JU82" i="23"/>
  <c r="JT82" i="23"/>
  <c r="JS82" i="23"/>
  <c r="JR82" i="23"/>
  <c r="JQ82" i="23"/>
  <c r="JP82" i="23"/>
  <c r="JO82" i="23"/>
  <c r="JN82" i="23"/>
  <c r="JM82" i="23"/>
  <c r="JL82" i="23"/>
  <c r="JK82" i="23"/>
  <c r="JJ82" i="23"/>
  <c r="JI82" i="23"/>
  <c r="JH82" i="23"/>
  <c r="JG82" i="23"/>
  <c r="JF82" i="23"/>
  <c r="JE82" i="23"/>
  <c r="JD82" i="23"/>
  <c r="JC82" i="23"/>
  <c r="JB82" i="23"/>
  <c r="JA82" i="23"/>
  <c r="IZ82" i="23"/>
  <c r="IY82" i="23"/>
  <c r="IX82" i="23"/>
  <c r="IW82" i="23"/>
  <c r="IV82" i="23"/>
  <c r="IU82" i="23"/>
  <c r="IT82" i="23"/>
  <c r="IS82" i="23"/>
  <c r="IR82" i="23"/>
  <c r="IQ82" i="23"/>
  <c r="IP82" i="23"/>
  <c r="IO82" i="23"/>
  <c r="IN82" i="23"/>
  <c r="IM82" i="23"/>
  <c r="IL82" i="23"/>
  <c r="IK82" i="23"/>
  <c r="IJ82" i="23"/>
  <c r="II82" i="23"/>
  <c r="IH82" i="23"/>
  <c r="IG82" i="23"/>
  <c r="IF82" i="23"/>
  <c r="IE82" i="23"/>
  <c r="ID82" i="23"/>
  <c r="IC82" i="23"/>
  <c r="IB82" i="23"/>
  <c r="IA82" i="23"/>
  <c r="HZ82" i="23"/>
  <c r="HY82" i="23"/>
  <c r="HX82" i="23"/>
  <c r="HW82" i="23"/>
  <c r="HV82" i="23"/>
  <c r="HU82" i="23"/>
  <c r="HT82" i="23"/>
  <c r="HS82" i="23"/>
  <c r="HR82" i="23"/>
  <c r="HQ82" i="23"/>
  <c r="HP82" i="23"/>
  <c r="HO82" i="23"/>
  <c r="HN82" i="23"/>
  <c r="HM82" i="23"/>
  <c r="HL82" i="23"/>
  <c r="HK82" i="23"/>
  <c r="HJ82" i="23"/>
  <c r="HI82" i="23"/>
  <c r="HH82" i="23"/>
  <c r="HG82" i="23"/>
  <c r="HF82" i="23"/>
  <c r="HE82" i="23"/>
  <c r="HD82" i="23"/>
  <c r="HC82" i="23"/>
  <c r="HB82" i="23"/>
  <c r="HA82" i="23"/>
  <c r="GZ82" i="23"/>
  <c r="GY82" i="23"/>
  <c r="GX82" i="23"/>
  <c r="GW82" i="23"/>
  <c r="GV82" i="23"/>
  <c r="GU82" i="23"/>
  <c r="GT82" i="23"/>
  <c r="GS82" i="23"/>
  <c r="GR82" i="23"/>
  <c r="GQ82" i="23"/>
  <c r="GP82" i="23"/>
  <c r="GO82" i="23"/>
  <c r="GN82" i="23"/>
  <c r="GM82" i="23"/>
  <c r="GL82" i="23"/>
  <c r="GK82" i="23"/>
  <c r="GJ82" i="23"/>
  <c r="GI82" i="23"/>
  <c r="GH82" i="23"/>
  <c r="GG82" i="23"/>
  <c r="GF82" i="23"/>
  <c r="GE82" i="23"/>
  <c r="GD82" i="23"/>
  <c r="GC82" i="23"/>
  <c r="GB82" i="23"/>
  <c r="GA82" i="23"/>
  <c r="FZ82" i="23"/>
  <c r="FY82" i="23"/>
  <c r="FX82" i="23"/>
  <c r="FW82" i="23"/>
  <c r="FV82" i="23"/>
  <c r="FU82" i="23"/>
  <c r="FT82" i="23"/>
  <c r="FS82" i="23"/>
  <c r="FR82" i="23"/>
  <c r="FQ82" i="23"/>
  <c r="FP82" i="23"/>
  <c r="FO82" i="23"/>
  <c r="FN82" i="23"/>
  <c r="FM82" i="23"/>
  <c r="FL82" i="23"/>
  <c r="FK82" i="23"/>
  <c r="FJ82" i="23"/>
  <c r="FI82" i="23"/>
  <c r="FH82" i="23"/>
  <c r="FG82" i="23"/>
  <c r="FF82" i="23"/>
  <c r="FE82" i="23"/>
  <c r="FD82" i="23"/>
  <c r="FC82" i="23"/>
  <c r="FB82" i="23"/>
  <c r="FA82" i="23"/>
  <c r="EZ82" i="23"/>
  <c r="EY82" i="23"/>
  <c r="EX82" i="23"/>
  <c r="EW82" i="23"/>
  <c r="EV82" i="23"/>
  <c r="EU82" i="23"/>
  <c r="ET82" i="23"/>
  <c r="ES82" i="23"/>
  <c r="ER82" i="23"/>
  <c r="EQ82" i="23"/>
  <c r="EP82" i="23"/>
  <c r="EO82" i="23"/>
  <c r="EN82" i="23"/>
  <c r="EM82" i="23"/>
  <c r="EL82" i="23"/>
  <c r="EK82" i="23"/>
  <c r="EJ82" i="23"/>
  <c r="EI82" i="23"/>
  <c r="EH82" i="23"/>
  <c r="EG82" i="23"/>
  <c r="EF82" i="23"/>
  <c r="EE82" i="23"/>
  <c r="ED82" i="23"/>
  <c r="EC82" i="23"/>
  <c r="EB82" i="23"/>
  <c r="EA82" i="23"/>
  <c r="DZ82" i="23"/>
  <c r="DY82" i="23"/>
  <c r="DX82" i="23"/>
  <c r="DW82" i="23"/>
  <c r="DV82" i="23"/>
  <c r="DU82" i="23"/>
  <c r="DT82" i="23"/>
  <c r="DS82" i="23"/>
  <c r="DR82" i="23"/>
  <c r="DQ82" i="23"/>
  <c r="DP82" i="23"/>
  <c r="DO82" i="23"/>
  <c r="DN82" i="23"/>
  <c r="DM82" i="23"/>
  <c r="DL82" i="23"/>
  <c r="DK82" i="23"/>
  <c r="DJ82" i="23"/>
  <c r="DI82" i="23"/>
  <c r="DH82" i="23"/>
  <c r="DG82" i="23"/>
  <c r="DF82" i="23"/>
  <c r="DE82" i="23"/>
  <c r="DD82" i="23"/>
  <c r="DC82" i="23"/>
  <c r="DB82" i="23"/>
  <c r="DA82" i="23"/>
  <c r="CZ82" i="23"/>
  <c r="CY82" i="23"/>
  <c r="CX82" i="23"/>
  <c r="CW82" i="23"/>
  <c r="CV82" i="23"/>
  <c r="CU82" i="23"/>
  <c r="CT82" i="23"/>
  <c r="CS82" i="23"/>
  <c r="CR82" i="23"/>
  <c r="CQ82" i="23"/>
  <c r="CP82" i="23"/>
  <c r="CO82" i="23"/>
  <c r="CN82" i="23"/>
  <c r="CM82" i="23"/>
  <c r="CL82" i="23"/>
  <c r="CK82" i="23"/>
  <c r="CJ82" i="23"/>
  <c r="CI82" i="23"/>
  <c r="CH82" i="23"/>
  <c r="CG82" i="23"/>
  <c r="CF82" i="23"/>
  <c r="CE82" i="23"/>
  <c r="CD82" i="23"/>
  <c r="CC82" i="23"/>
  <c r="CB82" i="23"/>
  <c r="CA82" i="23"/>
  <c r="BZ82" i="23"/>
  <c r="BY82" i="23"/>
  <c r="BX82" i="23"/>
  <c r="BW82" i="23"/>
  <c r="BV82" i="23"/>
  <c r="BU82" i="23"/>
  <c r="BT82" i="23"/>
  <c r="BS82" i="23"/>
  <c r="BR82" i="23"/>
  <c r="BQ82" i="23"/>
  <c r="BP82" i="23"/>
  <c r="BO82" i="23"/>
  <c r="BN82" i="23"/>
  <c r="BM82" i="23"/>
  <c r="BL82" i="23"/>
  <c r="BK82" i="23"/>
  <c r="BJ82" i="23"/>
  <c r="BI82" i="23"/>
  <c r="BH82" i="23"/>
  <c r="BG82" i="23"/>
  <c r="BF82" i="23"/>
  <c r="BE82" i="23"/>
  <c r="BD82" i="23"/>
  <c r="BC82" i="23"/>
  <c r="BB82" i="23"/>
  <c r="BA82" i="23"/>
  <c r="AZ82" i="23"/>
  <c r="AY82" i="23"/>
  <c r="AX82" i="23"/>
  <c r="AW82" i="23"/>
  <c r="AV82" i="23"/>
  <c r="AU82" i="23"/>
  <c r="AT82" i="23"/>
  <c r="AS82" i="23"/>
  <c r="AR82" i="23"/>
  <c r="AQ82" i="23"/>
  <c r="AP82" i="23"/>
  <c r="AO82" i="23"/>
  <c r="AN82" i="23"/>
  <c r="AM82" i="23"/>
  <c r="AL82" i="23"/>
  <c r="AK82" i="23"/>
  <c r="AJ82" i="23"/>
  <c r="AI82" i="23"/>
  <c r="AH82" i="23"/>
  <c r="AG82" i="23"/>
  <c r="AF82" i="23"/>
  <c r="AE82" i="23"/>
  <c r="AD82" i="23"/>
  <c r="AC82" i="23"/>
  <c r="AB82" i="23"/>
  <c r="AA82" i="23"/>
  <c r="Z82" i="23"/>
  <c r="Y82" i="23"/>
  <c r="X82" i="23"/>
  <c r="W82" i="23"/>
  <c r="V82" i="23"/>
  <c r="U82" i="23"/>
  <c r="T82" i="23"/>
  <c r="S82" i="23"/>
  <c r="R82" i="23"/>
  <c r="Q82" i="23"/>
  <c r="P82" i="23"/>
  <c r="O82" i="23"/>
  <c r="N82" i="23"/>
  <c r="M82" i="23"/>
  <c r="L82" i="23"/>
  <c r="K82" i="23"/>
  <c r="J82" i="23"/>
  <c r="I82" i="23"/>
  <c r="H82" i="23"/>
  <c r="G82" i="23"/>
  <c r="F82" i="23"/>
  <c r="E82" i="23"/>
  <c r="D82" i="23"/>
  <c r="C82" i="23"/>
  <c r="B82" i="23"/>
  <c r="NT81" i="23"/>
  <c r="NS81" i="23"/>
  <c r="NR81" i="23"/>
  <c r="NQ81" i="23"/>
  <c r="NP81" i="23"/>
  <c r="NO81" i="23"/>
  <c r="NN81" i="23"/>
  <c r="NM81" i="23"/>
  <c r="NL81" i="23"/>
  <c r="NK81" i="23"/>
  <c r="NJ81" i="23"/>
  <c r="NI81" i="23"/>
  <c r="NH81" i="23"/>
  <c r="NG81" i="23"/>
  <c r="NF81" i="23"/>
  <c r="NE81" i="23"/>
  <c r="ND81" i="23"/>
  <c r="NC81" i="23"/>
  <c r="NB81" i="23"/>
  <c r="NA81" i="23"/>
  <c r="MZ81" i="23"/>
  <c r="MY81" i="23"/>
  <c r="MX81" i="23"/>
  <c r="MW81" i="23"/>
  <c r="MV81" i="23"/>
  <c r="MU81" i="23"/>
  <c r="MT81" i="23"/>
  <c r="MS81" i="23"/>
  <c r="MR81" i="23"/>
  <c r="MQ81" i="23"/>
  <c r="MP81" i="23"/>
  <c r="MO81" i="23"/>
  <c r="MN81" i="23"/>
  <c r="MM81" i="23"/>
  <c r="ML81" i="23"/>
  <c r="MK81" i="23"/>
  <c r="MJ81" i="23"/>
  <c r="MI81" i="23"/>
  <c r="MH81" i="23"/>
  <c r="MG81" i="23"/>
  <c r="MF81" i="23"/>
  <c r="ME81" i="23"/>
  <c r="MD81" i="23"/>
  <c r="MC81" i="23"/>
  <c r="MB81" i="23"/>
  <c r="MA81" i="23"/>
  <c r="LZ81" i="23"/>
  <c r="LY81" i="23"/>
  <c r="LX81" i="23"/>
  <c r="LW81" i="23"/>
  <c r="LV81" i="23"/>
  <c r="LU81" i="23"/>
  <c r="LT81" i="23"/>
  <c r="LS81" i="23"/>
  <c r="LR81" i="23"/>
  <c r="LQ81" i="23"/>
  <c r="LP81" i="23"/>
  <c r="LO81" i="23"/>
  <c r="LN81" i="23"/>
  <c r="LM81" i="23"/>
  <c r="LL81" i="23"/>
  <c r="LK81" i="23"/>
  <c r="LJ81" i="23"/>
  <c r="LI81" i="23"/>
  <c r="LH81" i="23"/>
  <c r="LG81" i="23"/>
  <c r="LF81" i="23"/>
  <c r="LE81" i="23"/>
  <c r="LD81" i="23"/>
  <c r="LC81" i="23"/>
  <c r="LB81" i="23"/>
  <c r="LA81" i="23"/>
  <c r="KZ81" i="23"/>
  <c r="KY81" i="23"/>
  <c r="KX81" i="23"/>
  <c r="KW81" i="23"/>
  <c r="KV81" i="23"/>
  <c r="KU81" i="23"/>
  <c r="KT81" i="23"/>
  <c r="KS81" i="23"/>
  <c r="KR81" i="23"/>
  <c r="KQ81" i="23"/>
  <c r="KP81" i="23"/>
  <c r="KO81" i="23"/>
  <c r="KN81" i="23"/>
  <c r="KM81" i="23"/>
  <c r="KL81" i="23"/>
  <c r="KK81" i="23"/>
  <c r="KJ81" i="23"/>
  <c r="KI81" i="23"/>
  <c r="KH81" i="23"/>
  <c r="KG81" i="23"/>
  <c r="KF81" i="23"/>
  <c r="KE81" i="23"/>
  <c r="KD81" i="23"/>
  <c r="KC81" i="23"/>
  <c r="KB81" i="23"/>
  <c r="KA81" i="23"/>
  <c r="JZ81" i="23"/>
  <c r="JY81" i="23"/>
  <c r="JX81" i="23"/>
  <c r="JW81" i="23"/>
  <c r="JV81" i="23"/>
  <c r="JU81" i="23"/>
  <c r="JT81" i="23"/>
  <c r="JS81" i="23"/>
  <c r="JR81" i="23"/>
  <c r="JQ81" i="23"/>
  <c r="JP81" i="23"/>
  <c r="JO81" i="23"/>
  <c r="JN81" i="23"/>
  <c r="JM81" i="23"/>
  <c r="JL81" i="23"/>
  <c r="JK81" i="23"/>
  <c r="JJ81" i="23"/>
  <c r="JI81" i="23"/>
  <c r="JH81" i="23"/>
  <c r="JG81" i="23"/>
  <c r="JF81" i="23"/>
  <c r="JE81" i="23"/>
  <c r="JD81" i="23"/>
  <c r="JC81" i="23"/>
  <c r="JB81" i="23"/>
  <c r="JA81" i="23"/>
  <c r="IZ81" i="23"/>
  <c r="IY81" i="23"/>
  <c r="IX81" i="23"/>
  <c r="IW81" i="23"/>
  <c r="IV81" i="23"/>
  <c r="IU81" i="23"/>
  <c r="IT81" i="23"/>
  <c r="IS81" i="23"/>
  <c r="IR81" i="23"/>
  <c r="IQ81" i="23"/>
  <c r="IP81" i="23"/>
  <c r="IO81" i="23"/>
  <c r="IN81" i="23"/>
  <c r="IM81" i="23"/>
  <c r="IL81" i="23"/>
  <c r="IK81" i="23"/>
  <c r="IJ81" i="23"/>
  <c r="II81" i="23"/>
  <c r="IH81" i="23"/>
  <c r="IG81" i="23"/>
  <c r="IF81" i="23"/>
  <c r="IE81" i="23"/>
  <c r="ID81" i="23"/>
  <c r="IC81" i="23"/>
  <c r="IB81" i="23"/>
  <c r="IA81" i="23"/>
  <c r="HZ81" i="23"/>
  <c r="HY81" i="23"/>
  <c r="HX81" i="23"/>
  <c r="HW81" i="23"/>
  <c r="HV81" i="23"/>
  <c r="HU81" i="23"/>
  <c r="HT81" i="23"/>
  <c r="HS81" i="23"/>
  <c r="HR81" i="23"/>
  <c r="HQ81" i="23"/>
  <c r="HP81" i="23"/>
  <c r="HO81" i="23"/>
  <c r="HN81" i="23"/>
  <c r="HM81" i="23"/>
  <c r="HL81" i="23"/>
  <c r="HK81" i="23"/>
  <c r="HJ81" i="23"/>
  <c r="HI81" i="23"/>
  <c r="HH81" i="23"/>
  <c r="HG81" i="23"/>
  <c r="HF81" i="23"/>
  <c r="HE81" i="23"/>
  <c r="HD81" i="23"/>
  <c r="HC81" i="23"/>
  <c r="HB81" i="23"/>
  <c r="HA81" i="23"/>
  <c r="GZ81" i="23"/>
  <c r="GY81" i="23"/>
  <c r="GX81" i="23"/>
  <c r="GW81" i="23"/>
  <c r="GV81" i="23"/>
  <c r="GU81" i="23"/>
  <c r="GT81" i="23"/>
  <c r="GS81" i="23"/>
  <c r="GR81" i="23"/>
  <c r="GQ81" i="23"/>
  <c r="GP81" i="23"/>
  <c r="GO81" i="23"/>
  <c r="GN81" i="23"/>
  <c r="GM81" i="23"/>
  <c r="GL81" i="23"/>
  <c r="GK81" i="23"/>
  <c r="GJ81" i="23"/>
  <c r="GI81" i="23"/>
  <c r="GH81" i="23"/>
  <c r="GG81" i="23"/>
  <c r="GF81" i="23"/>
  <c r="GE81" i="23"/>
  <c r="GD81" i="23"/>
  <c r="GC81" i="23"/>
  <c r="GB81" i="23"/>
  <c r="GA81" i="23"/>
  <c r="FZ81" i="23"/>
  <c r="FY81" i="23"/>
  <c r="FX81" i="23"/>
  <c r="FW81" i="23"/>
  <c r="FV81" i="23"/>
  <c r="FU81" i="23"/>
  <c r="FT81" i="23"/>
  <c r="FS81" i="23"/>
  <c r="FR81" i="23"/>
  <c r="FQ81" i="23"/>
  <c r="FP81" i="23"/>
  <c r="FO81" i="23"/>
  <c r="FN81" i="23"/>
  <c r="FM81" i="23"/>
  <c r="FL81" i="23"/>
  <c r="FK81" i="23"/>
  <c r="FJ81" i="23"/>
  <c r="FI81" i="23"/>
  <c r="FH81" i="23"/>
  <c r="FG81" i="23"/>
  <c r="FF81" i="23"/>
  <c r="FE81" i="23"/>
  <c r="FD81" i="23"/>
  <c r="FC81" i="23"/>
  <c r="FB81" i="23"/>
  <c r="FA81" i="23"/>
  <c r="EZ81" i="23"/>
  <c r="EY81" i="23"/>
  <c r="EX81" i="23"/>
  <c r="EW81" i="23"/>
  <c r="EV81" i="23"/>
  <c r="EU81" i="23"/>
  <c r="ET81" i="23"/>
  <c r="ES81" i="23"/>
  <c r="ER81" i="23"/>
  <c r="EQ81" i="23"/>
  <c r="EP81" i="23"/>
  <c r="EO81" i="23"/>
  <c r="EN81" i="23"/>
  <c r="EM81" i="23"/>
  <c r="EL81" i="23"/>
  <c r="EK81" i="23"/>
  <c r="EJ81" i="23"/>
  <c r="EI81" i="23"/>
  <c r="EH81" i="23"/>
  <c r="EG81" i="23"/>
  <c r="EF81" i="23"/>
  <c r="EE81" i="23"/>
  <c r="ED81" i="23"/>
  <c r="EC81" i="23"/>
  <c r="EB81" i="23"/>
  <c r="EA81" i="23"/>
  <c r="DZ81" i="23"/>
  <c r="DY81" i="23"/>
  <c r="DX81" i="23"/>
  <c r="DW81" i="23"/>
  <c r="DV81" i="23"/>
  <c r="DU81" i="23"/>
  <c r="DT81" i="23"/>
  <c r="DS81" i="23"/>
  <c r="DR81" i="23"/>
  <c r="DQ81" i="23"/>
  <c r="DP81" i="23"/>
  <c r="DO81" i="23"/>
  <c r="DN81" i="23"/>
  <c r="DM81" i="23"/>
  <c r="DL81" i="23"/>
  <c r="DK81" i="23"/>
  <c r="DJ81" i="23"/>
  <c r="DI81" i="23"/>
  <c r="DH81" i="23"/>
  <c r="DG81" i="23"/>
  <c r="DF81" i="23"/>
  <c r="DE81" i="23"/>
  <c r="DD81" i="23"/>
  <c r="DC81" i="23"/>
  <c r="DB81" i="23"/>
  <c r="DA81" i="23"/>
  <c r="CZ81" i="23"/>
  <c r="CY81" i="23"/>
  <c r="CX81" i="23"/>
  <c r="CW81" i="23"/>
  <c r="CV81" i="23"/>
  <c r="CU81" i="23"/>
  <c r="CT81" i="23"/>
  <c r="CS81" i="23"/>
  <c r="CR81" i="23"/>
  <c r="CQ81" i="23"/>
  <c r="CP81" i="23"/>
  <c r="CO81" i="23"/>
  <c r="CN81" i="23"/>
  <c r="CM81" i="23"/>
  <c r="CL81" i="23"/>
  <c r="CK81" i="23"/>
  <c r="CJ81" i="23"/>
  <c r="CI81" i="23"/>
  <c r="CH81" i="23"/>
  <c r="CG81" i="23"/>
  <c r="CF81" i="23"/>
  <c r="CE81" i="23"/>
  <c r="CD81" i="23"/>
  <c r="CC81" i="23"/>
  <c r="CB81" i="23"/>
  <c r="CA81" i="23"/>
  <c r="BZ81" i="23"/>
  <c r="BY81" i="23"/>
  <c r="BX81" i="23"/>
  <c r="BW81" i="23"/>
  <c r="BV81" i="23"/>
  <c r="BU81" i="23"/>
  <c r="BT81" i="23"/>
  <c r="BS81" i="23"/>
  <c r="BR81" i="23"/>
  <c r="BQ81" i="23"/>
  <c r="BP81" i="23"/>
  <c r="BO81" i="23"/>
  <c r="BN81" i="23"/>
  <c r="BM81" i="23"/>
  <c r="BL81" i="23"/>
  <c r="BK81" i="23"/>
  <c r="BJ81" i="23"/>
  <c r="BI81" i="23"/>
  <c r="BH81" i="23"/>
  <c r="BG81" i="23"/>
  <c r="BF81" i="23"/>
  <c r="BE81" i="23"/>
  <c r="BD81" i="23"/>
  <c r="BC81" i="23"/>
  <c r="BB81" i="23"/>
  <c r="BA81" i="23"/>
  <c r="AZ81" i="23"/>
  <c r="AY81" i="23"/>
  <c r="AX81" i="23"/>
  <c r="AW81" i="23"/>
  <c r="AV81" i="23"/>
  <c r="AU81" i="23"/>
  <c r="AT81" i="23"/>
  <c r="AS81" i="23"/>
  <c r="AR81" i="23"/>
  <c r="AQ81" i="23"/>
  <c r="AP81" i="23"/>
  <c r="AO81" i="23"/>
  <c r="AN81" i="23"/>
  <c r="AM81" i="23"/>
  <c r="AL81" i="23"/>
  <c r="AK81" i="23"/>
  <c r="AJ81" i="23"/>
  <c r="AI81" i="23"/>
  <c r="AH81" i="23"/>
  <c r="AG81" i="23"/>
  <c r="AF81" i="23"/>
  <c r="AE81" i="23"/>
  <c r="AD81" i="23"/>
  <c r="AC81" i="23"/>
  <c r="AB81" i="23"/>
  <c r="AA81" i="23"/>
  <c r="Z81" i="23"/>
  <c r="Y81" i="23"/>
  <c r="X81" i="23"/>
  <c r="W81" i="23"/>
  <c r="V81" i="23"/>
  <c r="U81" i="23"/>
  <c r="T81" i="23"/>
  <c r="S81" i="23"/>
  <c r="R81" i="23"/>
  <c r="Q81" i="23"/>
  <c r="P81" i="23"/>
  <c r="O81" i="23"/>
  <c r="N81" i="23"/>
  <c r="M81" i="23"/>
  <c r="L81" i="23"/>
  <c r="K81" i="23"/>
  <c r="J81" i="23"/>
  <c r="I81" i="23"/>
  <c r="H81" i="23"/>
  <c r="G81" i="23"/>
  <c r="F81" i="23"/>
  <c r="E81" i="23"/>
  <c r="D81" i="23"/>
  <c r="C81" i="23"/>
  <c r="B81" i="23"/>
  <c r="NT80" i="23"/>
  <c r="NS80" i="23"/>
  <c r="NR80" i="23"/>
  <c r="NQ80" i="23"/>
  <c r="NP80" i="23"/>
  <c r="NO80" i="23"/>
  <c r="NN80" i="23"/>
  <c r="NM80" i="23"/>
  <c r="NL80" i="23"/>
  <c r="NK80" i="23"/>
  <c r="NJ80" i="23"/>
  <c r="NI80" i="23"/>
  <c r="NH80" i="23"/>
  <c r="NG80" i="23"/>
  <c r="NF80" i="23"/>
  <c r="NE80" i="23"/>
  <c r="ND80" i="23"/>
  <c r="NC80" i="23"/>
  <c r="NB80" i="23"/>
  <c r="NA80" i="23"/>
  <c r="MZ80" i="23"/>
  <c r="MY80" i="23"/>
  <c r="MX80" i="23"/>
  <c r="MW80" i="23"/>
  <c r="MV80" i="23"/>
  <c r="MU80" i="23"/>
  <c r="MT80" i="23"/>
  <c r="MS80" i="23"/>
  <c r="MR80" i="23"/>
  <c r="MQ80" i="23"/>
  <c r="MP80" i="23"/>
  <c r="MO80" i="23"/>
  <c r="MN80" i="23"/>
  <c r="MM80" i="23"/>
  <c r="ML80" i="23"/>
  <c r="MK80" i="23"/>
  <c r="MJ80" i="23"/>
  <c r="MI80" i="23"/>
  <c r="MH80" i="23"/>
  <c r="MG80" i="23"/>
  <c r="MF80" i="23"/>
  <c r="ME80" i="23"/>
  <c r="MD80" i="23"/>
  <c r="MC80" i="23"/>
  <c r="MB80" i="23"/>
  <c r="MA80" i="23"/>
  <c r="LZ80" i="23"/>
  <c r="LY80" i="23"/>
  <c r="LX80" i="23"/>
  <c r="LW80" i="23"/>
  <c r="LV80" i="23"/>
  <c r="LU80" i="23"/>
  <c r="LT80" i="23"/>
  <c r="LS80" i="23"/>
  <c r="LR80" i="23"/>
  <c r="LQ80" i="23"/>
  <c r="LP80" i="23"/>
  <c r="LO80" i="23"/>
  <c r="LN80" i="23"/>
  <c r="LM80" i="23"/>
  <c r="LL80" i="23"/>
  <c r="LK80" i="23"/>
  <c r="LJ80" i="23"/>
  <c r="LI80" i="23"/>
  <c r="LH80" i="23"/>
  <c r="LG80" i="23"/>
  <c r="LF80" i="23"/>
  <c r="LE80" i="23"/>
  <c r="LD80" i="23"/>
  <c r="LC80" i="23"/>
  <c r="LB80" i="23"/>
  <c r="LA80" i="23"/>
  <c r="KZ80" i="23"/>
  <c r="KY80" i="23"/>
  <c r="KX80" i="23"/>
  <c r="KW80" i="23"/>
  <c r="KV80" i="23"/>
  <c r="KU80" i="23"/>
  <c r="KT80" i="23"/>
  <c r="KS80" i="23"/>
  <c r="KR80" i="23"/>
  <c r="KQ80" i="23"/>
  <c r="KP80" i="23"/>
  <c r="KO80" i="23"/>
  <c r="KN80" i="23"/>
  <c r="KM80" i="23"/>
  <c r="KL80" i="23"/>
  <c r="KK80" i="23"/>
  <c r="KJ80" i="23"/>
  <c r="KI80" i="23"/>
  <c r="KH80" i="23"/>
  <c r="KG80" i="23"/>
  <c r="KF80" i="23"/>
  <c r="KE80" i="23"/>
  <c r="KD80" i="23"/>
  <c r="KC80" i="23"/>
  <c r="KB80" i="23"/>
  <c r="KA80" i="23"/>
  <c r="JZ80" i="23"/>
  <c r="JY80" i="23"/>
  <c r="JX80" i="23"/>
  <c r="JW80" i="23"/>
  <c r="JV80" i="23"/>
  <c r="JU80" i="23"/>
  <c r="JT80" i="23"/>
  <c r="JS80" i="23"/>
  <c r="JR80" i="23"/>
  <c r="JQ80" i="23"/>
  <c r="JP80" i="23"/>
  <c r="JO80" i="23"/>
  <c r="JN80" i="23"/>
  <c r="JM80" i="23"/>
  <c r="JL80" i="23"/>
  <c r="JK80" i="23"/>
  <c r="JJ80" i="23"/>
  <c r="JI80" i="23"/>
  <c r="JH80" i="23"/>
  <c r="JG80" i="23"/>
  <c r="JF80" i="23"/>
  <c r="JE80" i="23"/>
  <c r="JD80" i="23"/>
  <c r="JC80" i="23"/>
  <c r="JB80" i="23"/>
  <c r="JA80" i="23"/>
  <c r="IZ80" i="23"/>
  <c r="IY80" i="23"/>
  <c r="IX80" i="23"/>
  <c r="IW80" i="23"/>
  <c r="IV80" i="23"/>
  <c r="IU80" i="23"/>
  <c r="IT80" i="23"/>
  <c r="IS80" i="23"/>
  <c r="IR80" i="23"/>
  <c r="IQ80" i="23"/>
  <c r="IP80" i="23"/>
  <c r="IO80" i="23"/>
  <c r="IN80" i="23"/>
  <c r="IM80" i="23"/>
  <c r="IL80" i="23"/>
  <c r="IK80" i="23"/>
  <c r="IJ80" i="23"/>
  <c r="II80" i="23"/>
  <c r="IH80" i="23"/>
  <c r="IG80" i="23"/>
  <c r="IF80" i="23"/>
  <c r="IE80" i="23"/>
  <c r="ID80" i="23"/>
  <c r="IC80" i="23"/>
  <c r="IB80" i="23"/>
  <c r="IA80" i="23"/>
  <c r="HZ80" i="23"/>
  <c r="HY80" i="23"/>
  <c r="HX80" i="23"/>
  <c r="HW80" i="23"/>
  <c r="HV80" i="23"/>
  <c r="HU80" i="23"/>
  <c r="HT80" i="23"/>
  <c r="HS80" i="23"/>
  <c r="HR80" i="23"/>
  <c r="HQ80" i="23"/>
  <c r="HP80" i="23"/>
  <c r="HO80" i="23"/>
  <c r="HN80" i="23"/>
  <c r="HM80" i="23"/>
  <c r="HL80" i="23"/>
  <c r="HK80" i="23"/>
  <c r="HJ80" i="23"/>
  <c r="HI80" i="23"/>
  <c r="HH80" i="23"/>
  <c r="HG80" i="23"/>
  <c r="HF80" i="23"/>
  <c r="HE80" i="23"/>
  <c r="HD80" i="23"/>
  <c r="HC80" i="23"/>
  <c r="HB80" i="23"/>
  <c r="HA80" i="23"/>
  <c r="GZ80" i="23"/>
  <c r="GY80" i="23"/>
  <c r="GX80" i="23"/>
  <c r="GW80" i="23"/>
  <c r="GV80" i="23"/>
  <c r="GU80" i="23"/>
  <c r="GT80" i="23"/>
  <c r="GS80" i="23"/>
  <c r="GR80" i="23"/>
  <c r="GQ80" i="23"/>
  <c r="GP80" i="23"/>
  <c r="GO80" i="23"/>
  <c r="GN80" i="23"/>
  <c r="GM80" i="23"/>
  <c r="GL80" i="23"/>
  <c r="GK80" i="23"/>
  <c r="GJ80" i="23"/>
  <c r="GI80" i="23"/>
  <c r="GH80" i="23"/>
  <c r="GG80" i="23"/>
  <c r="GF80" i="23"/>
  <c r="GE80" i="23"/>
  <c r="GD80" i="23"/>
  <c r="GC80" i="23"/>
  <c r="GB80" i="23"/>
  <c r="GA80" i="23"/>
  <c r="FZ80" i="23"/>
  <c r="FY80" i="23"/>
  <c r="FX80" i="23"/>
  <c r="FW80" i="23"/>
  <c r="FV80" i="23"/>
  <c r="FU80" i="23"/>
  <c r="FT80" i="23"/>
  <c r="FS80" i="23"/>
  <c r="FR80" i="23"/>
  <c r="FQ80" i="23"/>
  <c r="FP80" i="23"/>
  <c r="FO80" i="23"/>
  <c r="FN80" i="23"/>
  <c r="FM80" i="23"/>
  <c r="FL80" i="23"/>
  <c r="FK80" i="23"/>
  <c r="FJ80" i="23"/>
  <c r="FI80" i="23"/>
  <c r="FH80" i="23"/>
  <c r="FG80" i="23"/>
  <c r="FF80" i="23"/>
  <c r="FE80" i="23"/>
  <c r="FD80" i="23"/>
  <c r="FC80" i="23"/>
  <c r="FB80" i="23"/>
  <c r="FA80" i="23"/>
  <c r="EZ80" i="23"/>
  <c r="EY80" i="23"/>
  <c r="EX80" i="23"/>
  <c r="EW80" i="23"/>
  <c r="EV80" i="23"/>
  <c r="EU80" i="23"/>
  <c r="ET80" i="23"/>
  <c r="ES80" i="23"/>
  <c r="ER80" i="23"/>
  <c r="EQ80" i="23"/>
  <c r="EP80" i="23"/>
  <c r="EO80" i="23"/>
  <c r="EN80" i="23"/>
  <c r="EM80" i="23"/>
  <c r="EL80" i="23"/>
  <c r="EK80" i="23"/>
  <c r="EJ80" i="23"/>
  <c r="EI80" i="23"/>
  <c r="EH80" i="23"/>
  <c r="EG80" i="23"/>
  <c r="EF80" i="23"/>
  <c r="EE80" i="23"/>
  <c r="ED80" i="23"/>
  <c r="EC80" i="23"/>
  <c r="EB80" i="23"/>
  <c r="EA80" i="23"/>
  <c r="DZ80" i="23"/>
  <c r="DY80" i="23"/>
  <c r="DX80" i="23"/>
  <c r="DW80" i="23"/>
  <c r="DV80" i="23"/>
  <c r="DU80" i="23"/>
  <c r="DT80" i="23"/>
  <c r="DS80" i="23"/>
  <c r="DR80" i="23"/>
  <c r="DQ80" i="23"/>
  <c r="DP80" i="23"/>
  <c r="DO80" i="23"/>
  <c r="DN80" i="23"/>
  <c r="DM80" i="23"/>
  <c r="DL80" i="23"/>
  <c r="DK80" i="23"/>
  <c r="DJ80" i="23"/>
  <c r="DI80" i="23"/>
  <c r="DH80" i="23"/>
  <c r="DG80" i="23"/>
  <c r="DF80" i="23"/>
  <c r="DE80" i="23"/>
  <c r="DD80" i="23"/>
  <c r="DC80" i="23"/>
  <c r="DB80" i="23"/>
  <c r="DA80" i="23"/>
  <c r="CZ80" i="23"/>
  <c r="CY80" i="23"/>
  <c r="CX80" i="23"/>
  <c r="CW80" i="23"/>
  <c r="CV80" i="23"/>
  <c r="CU80" i="23"/>
  <c r="CT80" i="23"/>
  <c r="CS80" i="23"/>
  <c r="CR80" i="23"/>
  <c r="CQ80" i="23"/>
  <c r="CP80" i="23"/>
  <c r="CO80" i="23"/>
  <c r="CN80" i="23"/>
  <c r="CM80" i="23"/>
  <c r="CL80" i="23"/>
  <c r="CK80" i="23"/>
  <c r="CJ80" i="23"/>
  <c r="CI80" i="23"/>
  <c r="CH80" i="23"/>
  <c r="CG80" i="23"/>
  <c r="CF80" i="23"/>
  <c r="CE80" i="23"/>
  <c r="CD80" i="23"/>
  <c r="CC80" i="23"/>
  <c r="CB80" i="23"/>
  <c r="CA80" i="23"/>
  <c r="BZ80" i="23"/>
  <c r="BY80" i="23"/>
  <c r="BX80" i="23"/>
  <c r="BW80" i="23"/>
  <c r="BV80" i="23"/>
  <c r="BU80" i="23"/>
  <c r="BT80" i="23"/>
  <c r="BS80" i="23"/>
  <c r="BR80" i="23"/>
  <c r="BQ80" i="23"/>
  <c r="BP80" i="23"/>
  <c r="BO80" i="23"/>
  <c r="BN80" i="23"/>
  <c r="BM80" i="23"/>
  <c r="BL80" i="23"/>
  <c r="BK80" i="23"/>
  <c r="BJ80" i="23"/>
  <c r="BI80" i="23"/>
  <c r="BH80" i="23"/>
  <c r="BG80" i="23"/>
  <c r="BF80" i="23"/>
  <c r="BE80" i="23"/>
  <c r="BD80" i="23"/>
  <c r="BC80" i="23"/>
  <c r="BB80" i="23"/>
  <c r="BA80" i="23"/>
  <c r="AZ80" i="23"/>
  <c r="AY80" i="23"/>
  <c r="AX80" i="23"/>
  <c r="AW80" i="23"/>
  <c r="AV80" i="23"/>
  <c r="AU80" i="23"/>
  <c r="AT80" i="23"/>
  <c r="AS80" i="23"/>
  <c r="AR80" i="23"/>
  <c r="AQ80" i="23"/>
  <c r="AP80" i="23"/>
  <c r="AO80" i="23"/>
  <c r="AN80" i="23"/>
  <c r="AM80" i="23"/>
  <c r="AL80" i="23"/>
  <c r="AK80" i="23"/>
  <c r="AJ80" i="23"/>
  <c r="AI80" i="23"/>
  <c r="AH80" i="23"/>
  <c r="AG80" i="23"/>
  <c r="AF80" i="23"/>
  <c r="AE80" i="23"/>
  <c r="AD80" i="23"/>
  <c r="AC80" i="23"/>
  <c r="AB80" i="23"/>
  <c r="AA80" i="23"/>
  <c r="Z80" i="23"/>
  <c r="Y80" i="23"/>
  <c r="X80" i="23"/>
  <c r="W80" i="23"/>
  <c r="V80" i="23"/>
  <c r="U80" i="23"/>
  <c r="T80" i="23"/>
  <c r="S80" i="23"/>
  <c r="R80" i="23"/>
  <c r="Q80" i="23"/>
  <c r="P80" i="23"/>
  <c r="O80" i="23"/>
  <c r="N80" i="23"/>
  <c r="M80" i="23"/>
  <c r="L80" i="23"/>
  <c r="K80" i="23"/>
  <c r="J80" i="23"/>
  <c r="I80" i="23"/>
  <c r="H80" i="23"/>
  <c r="G80" i="23"/>
  <c r="F80" i="23"/>
  <c r="E80" i="23"/>
  <c r="D80" i="23"/>
  <c r="C80" i="23"/>
  <c r="B80" i="23"/>
  <c r="NT79" i="23"/>
  <c r="NS79" i="23"/>
  <c r="NR79" i="23"/>
  <c r="NQ79" i="23"/>
  <c r="NP79" i="23"/>
  <c r="NO79" i="23"/>
  <c r="NN79" i="23"/>
  <c r="NM79" i="23"/>
  <c r="NL79" i="23"/>
  <c r="NK79" i="23"/>
  <c r="NJ79" i="23"/>
  <c r="NI79" i="23"/>
  <c r="NH79" i="23"/>
  <c r="NG79" i="23"/>
  <c r="NF79" i="23"/>
  <c r="NE79" i="23"/>
  <c r="ND79" i="23"/>
  <c r="NC79" i="23"/>
  <c r="NB79" i="23"/>
  <c r="NA79" i="23"/>
  <c r="MZ79" i="23"/>
  <c r="MY79" i="23"/>
  <c r="MX79" i="23"/>
  <c r="MW79" i="23"/>
  <c r="MV79" i="23"/>
  <c r="MU79" i="23"/>
  <c r="MT79" i="23"/>
  <c r="MS79" i="23"/>
  <c r="MR79" i="23"/>
  <c r="MQ79" i="23"/>
  <c r="MP79" i="23"/>
  <c r="MO79" i="23"/>
  <c r="MN79" i="23"/>
  <c r="MM79" i="23"/>
  <c r="ML79" i="23"/>
  <c r="MK79" i="23"/>
  <c r="MJ79" i="23"/>
  <c r="MI79" i="23"/>
  <c r="MH79" i="23"/>
  <c r="MG79" i="23"/>
  <c r="MF79" i="23"/>
  <c r="ME79" i="23"/>
  <c r="MD79" i="23"/>
  <c r="MC79" i="23"/>
  <c r="MB79" i="23"/>
  <c r="MA79" i="23"/>
  <c r="LZ79" i="23"/>
  <c r="LY79" i="23"/>
  <c r="LX79" i="23"/>
  <c r="LW79" i="23"/>
  <c r="LV79" i="23"/>
  <c r="LU79" i="23"/>
  <c r="LT79" i="23"/>
  <c r="LS79" i="23"/>
  <c r="LR79" i="23"/>
  <c r="LQ79" i="23"/>
  <c r="LP79" i="23"/>
  <c r="LO79" i="23"/>
  <c r="LN79" i="23"/>
  <c r="LM79" i="23"/>
  <c r="LL79" i="23"/>
  <c r="LK79" i="23"/>
  <c r="LJ79" i="23"/>
  <c r="LI79" i="23"/>
  <c r="LH79" i="23"/>
  <c r="LG79" i="23"/>
  <c r="LF79" i="23"/>
  <c r="LE79" i="23"/>
  <c r="LD79" i="23"/>
  <c r="LC79" i="23"/>
  <c r="LB79" i="23"/>
  <c r="LA79" i="23"/>
  <c r="KZ79" i="23"/>
  <c r="KY79" i="23"/>
  <c r="KX79" i="23"/>
  <c r="KW79" i="23"/>
  <c r="KV79" i="23"/>
  <c r="KU79" i="23"/>
  <c r="KT79" i="23"/>
  <c r="KS79" i="23"/>
  <c r="KR79" i="23"/>
  <c r="KQ79" i="23"/>
  <c r="KP79" i="23"/>
  <c r="KO79" i="23"/>
  <c r="KN79" i="23"/>
  <c r="KM79" i="23"/>
  <c r="KL79" i="23"/>
  <c r="KK79" i="23"/>
  <c r="KJ79" i="23"/>
  <c r="KI79" i="23"/>
  <c r="KH79" i="23"/>
  <c r="KG79" i="23"/>
  <c r="KF79" i="23"/>
  <c r="KE79" i="23"/>
  <c r="KD79" i="23"/>
  <c r="KC79" i="23"/>
  <c r="KB79" i="23"/>
  <c r="KA79" i="23"/>
  <c r="JZ79" i="23"/>
  <c r="JY79" i="23"/>
  <c r="JX79" i="23"/>
  <c r="JW79" i="23"/>
  <c r="JV79" i="23"/>
  <c r="JU79" i="23"/>
  <c r="JT79" i="23"/>
  <c r="JS79" i="23"/>
  <c r="JR79" i="23"/>
  <c r="JQ79" i="23"/>
  <c r="JP79" i="23"/>
  <c r="JO79" i="23"/>
  <c r="JN79" i="23"/>
  <c r="JM79" i="23"/>
  <c r="JL79" i="23"/>
  <c r="JK79" i="23"/>
  <c r="JJ79" i="23"/>
  <c r="JI79" i="23"/>
  <c r="JH79" i="23"/>
  <c r="JG79" i="23"/>
  <c r="JF79" i="23"/>
  <c r="JE79" i="23"/>
  <c r="JD79" i="23"/>
  <c r="JC79" i="23"/>
  <c r="JB79" i="23"/>
  <c r="JA79" i="23"/>
  <c r="IZ79" i="23"/>
  <c r="IY79" i="23"/>
  <c r="IX79" i="23"/>
  <c r="IW79" i="23"/>
  <c r="IV79" i="23"/>
  <c r="IU79" i="23"/>
  <c r="IT79" i="23"/>
  <c r="IS79" i="23"/>
  <c r="IR79" i="23"/>
  <c r="IQ79" i="23"/>
  <c r="IP79" i="23"/>
  <c r="IO79" i="23"/>
  <c r="IN79" i="23"/>
  <c r="IM79" i="23"/>
  <c r="IL79" i="23"/>
  <c r="IK79" i="23"/>
  <c r="IJ79" i="23"/>
  <c r="II79" i="23"/>
  <c r="IH79" i="23"/>
  <c r="IG79" i="23"/>
  <c r="IF79" i="23"/>
  <c r="IE79" i="23"/>
  <c r="ID79" i="23"/>
  <c r="IC79" i="23"/>
  <c r="IB79" i="23"/>
  <c r="IA79" i="23"/>
  <c r="HZ79" i="23"/>
  <c r="HY79" i="23"/>
  <c r="HX79" i="23"/>
  <c r="HW79" i="23"/>
  <c r="HV79" i="23"/>
  <c r="HU79" i="23"/>
  <c r="HT79" i="23"/>
  <c r="HS79" i="23"/>
  <c r="HR79" i="23"/>
  <c r="HQ79" i="23"/>
  <c r="HP79" i="23"/>
  <c r="HO79" i="23"/>
  <c r="HN79" i="23"/>
  <c r="HM79" i="23"/>
  <c r="HL79" i="23"/>
  <c r="HK79" i="23"/>
  <c r="HJ79" i="23"/>
  <c r="HI79" i="23"/>
  <c r="HH79" i="23"/>
  <c r="HG79" i="23"/>
  <c r="HF79" i="23"/>
  <c r="HE79" i="23"/>
  <c r="HD79" i="23"/>
  <c r="HC79" i="23"/>
  <c r="HB79" i="23"/>
  <c r="HA79" i="23"/>
  <c r="GZ79" i="23"/>
  <c r="GY79" i="23"/>
  <c r="GX79" i="23"/>
  <c r="GW79" i="23"/>
  <c r="GV79" i="23"/>
  <c r="GU79" i="23"/>
  <c r="GT79" i="23"/>
  <c r="GS79" i="23"/>
  <c r="GR79" i="23"/>
  <c r="GQ79" i="23"/>
  <c r="GP79" i="23"/>
  <c r="GO79" i="23"/>
  <c r="GN79" i="23"/>
  <c r="GM79" i="23"/>
  <c r="GL79" i="23"/>
  <c r="GK79" i="23"/>
  <c r="GJ79" i="23"/>
  <c r="GI79" i="23"/>
  <c r="GH79" i="23"/>
  <c r="GG79" i="23"/>
  <c r="GF79" i="23"/>
  <c r="GE79" i="23"/>
  <c r="GD79" i="23"/>
  <c r="GC79" i="23"/>
  <c r="GB79" i="23"/>
  <c r="GA79" i="23"/>
  <c r="FZ79" i="23"/>
  <c r="FY79" i="23"/>
  <c r="FX79" i="23"/>
  <c r="FW79" i="23"/>
  <c r="FV79" i="23"/>
  <c r="FU79" i="23"/>
  <c r="FT79" i="23"/>
  <c r="FS79" i="23"/>
  <c r="FR79" i="23"/>
  <c r="FQ79" i="23"/>
  <c r="FP79" i="23"/>
  <c r="FO79" i="23"/>
  <c r="FN79" i="23"/>
  <c r="FM79" i="23"/>
  <c r="FL79" i="23"/>
  <c r="FK79" i="23"/>
  <c r="FJ79" i="23"/>
  <c r="FI79" i="23"/>
  <c r="FH79" i="23"/>
  <c r="FG79" i="23"/>
  <c r="FF79" i="23"/>
  <c r="FE79" i="23"/>
  <c r="FD79" i="23"/>
  <c r="FC79" i="23"/>
  <c r="FB79" i="23"/>
  <c r="FA79" i="23"/>
  <c r="EZ79" i="23"/>
  <c r="EY79" i="23"/>
  <c r="EX79" i="23"/>
  <c r="EW79" i="23"/>
  <c r="EV79" i="23"/>
  <c r="EU79" i="23"/>
  <c r="ET79" i="23"/>
  <c r="ES79" i="23"/>
  <c r="ER79" i="23"/>
  <c r="EQ79" i="23"/>
  <c r="EP79" i="23"/>
  <c r="EO79" i="23"/>
  <c r="EN79" i="23"/>
  <c r="EM79" i="23"/>
  <c r="EL79" i="23"/>
  <c r="EK79" i="23"/>
  <c r="EJ79" i="23"/>
  <c r="EI79" i="23"/>
  <c r="EH79" i="23"/>
  <c r="EG79" i="23"/>
  <c r="EF79" i="23"/>
  <c r="EE79" i="23"/>
  <c r="ED79" i="23"/>
  <c r="EC79" i="23"/>
  <c r="EB79" i="23"/>
  <c r="EA79" i="23"/>
  <c r="DZ79" i="23"/>
  <c r="DY79" i="23"/>
  <c r="DX79" i="23"/>
  <c r="DW79" i="23"/>
  <c r="DV79" i="23"/>
  <c r="DU79" i="23"/>
  <c r="DT79" i="23"/>
  <c r="DS79" i="23"/>
  <c r="DR79" i="23"/>
  <c r="DQ79" i="23"/>
  <c r="DP79" i="23"/>
  <c r="DO79" i="23"/>
  <c r="DN79" i="23"/>
  <c r="DM79" i="23"/>
  <c r="DL79" i="23"/>
  <c r="DK79" i="23"/>
  <c r="DJ79" i="23"/>
  <c r="DI79" i="23"/>
  <c r="DH79" i="23"/>
  <c r="DG79" i="23"/>
  <c r="DF79" i="23"/>
  <c r="DE79" i="23"/>
  <c r="DD79" i="23"/>
  <c r="DC79" i="23"/>
  <c r="DB79" i="23"/>
  <c r="DA79" i="23"/>
  <c r="CZ79" i="23"/>
  <c r="CY79" i="23"/>
  <c r="CX79" i="23"/>
  <c r="CW79" i="23"/>
  <c r="CV79" i="23"/>
  <c r="CU79" i="23"/>
  <c r="CT79" i="23"/>
  <c r="CS79" i="23"/>
  <c r="CR79" i="23"/>
  <c r="CQ79" i="23"/>
  <c r="CP79" i="23"/>
  <c r="CO79" i="23"/>
  <c r="CN79" i="23"/>
  <c r="CM79" i="23"/>
  <c r="CL79" i="23"/>
  <c r="CK79" i="23"/>
  <c r="CJ79" i="23"/>
  <c r="CI79" i="23"/>
  <c r="CH79" i="23"/>
  <c r="CG79" i="23"/>
  <c r="CF79" i="23"/>
  <c r="CE79" i="23"/>
  <c r="CD79" i="23"/>
  <c r="CC79" i="23"/>
  <c r="CB79" i="23"/>
  <c r="CA79" i="23"/>
  <c r="BZ79" i="23"/>
  <c r="BY79" i="23"/>
  <c r="BX79" i="23"/>
  <c r="BW79" i="23"/>
  <c r="BV79" i="23"/>
  <c r="BU79" i="23"/>
  <c r="BT79" i="23"/>
  <c r="BS79" i="23"/>
  <c r="BR79" i="23"/>
  <c r="BQ79" i="23"/>
  <c r="BP79" i="23"/>
  <c r="BO79" i="23"/>
  <c r="BN79" i="23"/>
  <c r="BM79" i="23"/>
  <c r="BL79" i="23"/>
  <c r="BK79" i="23"/>
  <c r="BJ79" i="23"/>
  <c r="BI79" i="23"/>
  <c r="BH79" i="23"/>
  <c r="BG79" i="23"/>
  <c r="BF79" i="23"/>
  <c r="BE79" i="23"/>
  <c r="BD79" i="23"/>
  <c r="BC79" i="23"/>
  <c r="BB79" i="23"/>
  <c r="BA79" i="23"/>
  <c r="AZ79" i="23"/>
  <c r="AY79" i="23"/>
  <c r="AX79" i="23"/>
  <c r="AW79" i="23"/>
  <c r="AV79" i="23"/>
  <c r="AU79" i="23"/>
  <c r="AT79" i="23"/>
  <c r="AS79" i="23"/>
  <c r="AR79" i="23"/>
  <c r="AQ79" i="23"/>
  <c r="AP79" i="23"/>
  <c r="AO79" i="23"/>
  <c r="AN79" i="23"/>
  <c r="AM79" i="23"/>
  <c r="AL79" i="23"/>
  <c r="AK79" i="23"/>
  <c r="AJ79" i="23"/>
  <c r="AI79" i="23"/>
  <c r="AH79" i="23"/>
  <c r="AG79" i="23"/>
  <c r="AF79" i="23"/>
  <c r="AE79" i="23"/>
  <c r="AD79" i="23"/>
  <c r="AC79" i="23"/>
  <c r="AB79" i="23"/>
  <c r="AA79" i="23"/>
  <c r="Z79" i="23"/>
  <c r="Y79" i="23"/>
  <c r="X79" i="23"/>
  <c r="W79" i="23"/>
  <c r="V79" i="23"/>
  <c r="U79" i="23"/>
  <c r="T79" i="23"/>
  <c r="S79" i="23"/>
  <c r="R79" i="23"/>
  <c r="Q79" i="23"/>
  <c r="P79" i="23"/>
  <c r="O79" i="23"/>
  <c r="N79" i="23"/>
  <c r="M79" i="23"/>
  <c r="L79" i="23"/>
  <c r="K79" i="23"/>
  <c r="J79" i="23"/>
  <c r="I79" i="23"/>
  <c r="H79" i="23"/>
  <c r="G79" i="23"/>
  <c r="F79" i="23"/>
  <c r="E79" i="23"/>
  <c r="D79" i="23"/>
  <c r="C79" i="23"/>
  <c r="B79" i="23"/>
  <c r="NT75" i="23"/>
  <c r="NT76" i="23" s="1"/>
  <c r="NT77" i="23" s="1"/>
  <c r="NS75" i="23"/>
  <c r="NS76" i="23" s="1"/>
  <c r="NS77" i="23" s="1"/>
  <c r="NR75" i="23"/>
  <c r="NR76" i="23" s="1"/>
  <c r="NR77" i="23" s="1"/>
  <c r="NQ75" i="23"/>
  <c r="NQ76" i="23" s="1"/>
  <c r="NQ77" i="23" s="1"/>
  <c r="NP75" i="23"/>
  <c r="NP76" i="23" s="1"/>
  <c r="NP77" i="23" s="1"/>
  <c r="NO75" i="23"/>
  <c r="NO76" i="23" s="1"/>
  <c r="NO77" i="23" s="1"/>
  <c r="NN75" i="23"/>
  <c r="NN76" i="23" s="1"/>
  <c r="NN77" i="23" s="1"/>
  <c r="NM75" i="23"/>
  <c r="NM76" i="23" s="1"/>
  <c r="NM77" i="23" s="1"/>
  <c r="NL75" i="23"/>
  <c r="NL76" i="23" s="1"/>
  <c r="NL77" i="23" s="1"/>
  <c r="NK75" i="23"/>
  <c r="NK76" i="23" s="1"/>
  <c r="NK77" i="23" s="1"/>
  <c r="NJ75" i="23"/>
  <c r="NJ76" i="23" s="1"/>
  <c r="NJ77" i="23" s="1"/>
  <c r="NI75" i="23"/>
  <c r="NI76" i="23" s="1"/>
  <c r="NI77" i="23" s="1"/>
  <c r="NH75" i="23"/>
  <c r="NH76" i="23" s="1"/>
  <c r="NH77" i="23" s="1"/>
  <c r="NG75" i="23"/>
  <c r="NG76" i="23" s="1"/>
  <c r="NG77" i="23" s="1"/>
  <c r="NF75" i="23"/>
  <c r="NF76" i="23" s="1"/>
  <c r="NF77" i="23" s="1"/>
  <c r="NE75" i="23"/>
  <c r="NE76" i="23" s="1"/>
  <c r="NE77" i="23" s="1"/>
  <c r="ND75" i="23"/>
  <c r="ND76" i="23" s="1"/>
  <c r="ND77" i="23" s="1"/>
  <c r="NC75" i="23"/>
  <c r="NC76" i="23" s="1"/>
  <c r="NC77" i="23" s="1"/>
  <c r="NB75" i="23"/>
  <c r="NB76" i="23" s="1"/>
  <c r="NB77" i="23" s="1"/>
  <c r="NA75" i="23"/>
  <c r="NA76" i="23" s="1"/>
  <c r="NA77" i="23" s="1"/>
  <c r="MZ75" i="23"/>
  <c r="MZ76" i="23" s="1"/>
  <c r="MZ77" i="23" s="1"/>
  <c r="MY75" i="23"/>
  <c r="MY76" i="23" s="1"/>
  <c r="MY77" i="23" s="1"/>
  <c r="MX75" i="23"/>
  <c r="MX76" i="23" s="1"/>
  <c r="MX77" i="23" s="1"/>
  <c r="MW75" i="23"/>
  <c r="MW76" i="23" s="1"/>
  <c r="MW77" i="23" s="1"/>
  <c r="MV75" i="23"/>
  <c r="MV76" i="23" s="1"/>
  <c r="MV77" i="23" s="1"/>
  <c r="MU75" i="23"/>
  <c r="MU76" i="23" s="1"/>
  <c r="MU77" i="23" s="1"/>
  <c r="MT75" i="23"/>
  <c r="MT76" i="23" s="1"/>
  <c r="MT77" i="23" s="1"/>
  <c r="MS75" i="23"/>
  <c r="MS76" i="23" s="1"/>
  <c r="MS77" i="23" s="1"/>
  <c r="MR75" i="23"/>
  <c r="MR76" i="23" s="1"/>
  <c r="MR77" i="23" s="1"/>
  <c r="MQ75" i="23"/>
  <c r="MQ76" i="23" s="1"/>
  <c r="MQ77" i="23" s="1"/>
  <c r="MP75" i="23"/>
  <c r="MP76" i="23" s="1"/>
  <c r="MP77" i="23" s="1"/>
  <c r="MO75" i="23"/>
  <c r="MO76" i="23" s="1"/>
  <c r="MO77" i="23" s="1"/>
  <c r="MN75" i="23"/>
  <c r="MN76" i="23" s="1"/>
  <c r="MN77" i="23" s="1"/>
  <c r="MM75" i="23"/>
  <c r="MM76" i="23" s="1"/>
  <c r="MM77" i="23" s="1"/>
  <c r="ML75" i="23"/>
  <c r="ML76" i="23" s="1"/>
  <c r="ML77" i="23" s="1"/>
  <c r="MK75" i="23"/>
  <c r="MK76" i="23" s="1"/>
  <c r="MK77" i="23" s="1"/>
  <c r="MJ75" i="23"/>
  <c r="MJ76" i="23" s="1"/>
  <c r="MJ77" i="23" s="1"/>
  <c r="MI75" i="23"/>
  <c r="MI76" i="23" s="1"/>
  <c r="MI77" i="23" s="1"/>
  <c r="MH75" i="23"/>
  <c r="MH76" i="23" s="1"/>
  <c r="MH77" i="23" s="1"/>
  <c r="MG75" i="23"/>
  <c r="MG76" i="23" s="1"/>
  <c r="MG77" i="23" s="1"/>
  <c r="MF75" i="23"/>
  <c r="MF76" i="23" s="1"/>
  <c r="MF77" i="23" s="1"/>
  <c r="ME75" i="23"/>
  <c r="ME76" i="23" s="1"/>
  <c r="ME77" i="23" s="1"/>
  <c r="MD75" i="23"/>
  <c r="MD76" i="23" s="1"/>
  <c r="MD77" i="23" s="1"/>
  <c r="MC75" i="23"/>
  <c r="MC76" i="23" s="1"/>
  <c r="MC77" i="23" s="1"/>
  <c r="MB75" i="23"/>
  <c r="MB76" i="23" s="1"/>
  <c r="MB77" i="23" s="1"/>
  <c r="MA75" i="23"/>
  <c r="MA76" i="23" s="1"/>
  <c r="MA77" i="23" s="1"/>
  <c r="LZ75" i="23"/>
  <c r="LZ76" i="23" s="1"/>
  <c r="LZ77" i="23" s="1"/>
  <c r="LY75" i="23"/>
  <c r="LY76" i="23" s="1"/>
  <c r="LY77" i="23" s="1"/>
  <c r="LX75" i="23"/>
  <c r="LX76" i="23" s="1"/>
  <c r="LX77" i="23" s="1"/>
  <c r="LW75" i="23"/>
  <c r="LW76" i="23" s="1"/>
  <c r="LW77" i="23" s="1"/>
  <c r="LV75" i="23"/>
  <c r="LV76" i="23" s="1"/>
  <c r="LV77" i="23" s="1"/>
  <c r="LU75" i="23"/>
  <c r="LU76" i="23" s="1"/>
  <c r="LU77" i="23" s="1"/>
  <c r="LT75" i="23"/>
  <c r="LT76" i="23" s="1"/>
  <c r="LT77" i="23" s="1"/>
  <c r="LS75" i="23"/>
  <c r="LS76" i="23" s="1"/>
  <c r="LS77" i="23" s="1"/>
  <c r="LR75" i="23"/>
  <c r="LR76" i="23" s="1"/>
  <c r="LR77" i="23" s="1"/>
  <c r="LQ75" i="23"/>
  <c r="LQ76" i="23" s="1"/>
  <c r="LQ77" i="23" s="1"/>
  <c r="LP75" i="23"/>
  <c r="LP76" i="23" s="1"/>
  <c r="LP77" i="23" s="1"/>
  <c r="LO75" i="23"/>
  <c r="LO76" i="23" s="1"/>
  <c r="LO77" i="23" s="1"/>
  <c r="LN75" i="23"/>
  <c r="LN76" i="23" s="1"/>
  <c r="LN77" i="23" s="1"/>
  <c r="LM75" i="23"/>
  <c r="LM76" i="23" s="1"/>
  <c r="LM77" i="23" s="1"/>
  <c r="LL75" i="23"/>
  <c r="LL76" i="23" s="1"/>
  <c r="LL77" i="23" s="1"/>
  <c r="LK75" i="23"/>
  <c r="LK76" i="23" s="1"/>
  <c r="LK77" i="23" s="1"/>
  <c r="LJ75" i="23"/>
  <c r="LJ76" i="23" s="1"/>
  <c r="LJ77" i="23" s="1"/>
  <c r="LI75" i="23"/>
  <c r="LI76" i="23" s="1"/>
  <c r="LI77" i="23" s="1"/>
  <c r="LH75" i="23"/>
  <c r="LH76" i="23" s="1"/>
  <c r="LH77" i="23" s="1"/>
  <c r="LG75" i="23"/>
  <c r="LG76" i="23" s="1"/>
  <c r="LG77" i="23" s="1"/>
  <c r="LF75" i="23"/>
  <c r="LF76" i="23" s="1"/>
  <c r="LF77" i="23" s="1"/>
  <c r="LE75" i="23"/>
  <c r="LE76" i="23" s="1"/>
  <c r="LE77" i="23" s="1"/>
  <c r="LD75" i="23"/>
  <c r="LD76" i="23" s="1"/>
  <c r="LD77" i="23" s="1"/>
  <c r="LC75" i="23"/>
  <c r="LC76" i="23" s="1"/>
  <c r="LC77" i="23" s="1"/>
  <c r="LB75" i="23"/>
  <c r="LB76" i="23" s="1"/>
  <c r="LB77" i="23" s="1"/>
  <c r="LA75" i="23"/>
  <c r="LA76" i="23" s="1"/>
  <c r="LA77" i="23" s="1"/>
  <c r="KZ75" i="23"/>
  <c r="KZ76" i="23" s="1"/>
  <c r="KZ77" i="23" s="1"/>
  <c r="KY75" i="23"/>
  <c r="KY76" i="23" s="1"/>
  <c r="KY77" i="23" s="1"/>
  <c r="KX75" i="23"/>
  <c r="KX76" i="23" s="1"/>
  <c r="KX77" i="23" s="1"/>
  <c r="KW75" i="23"/>
  <c r="KW76" i="23" s="1"/>
  <c r="KW77" i="23" s="1"/>
  <c r="KV75" i="23"/>
  <c r="KV76" i="23" s="1"/>
  <c r="KV77" i="23" s="1"/>
  <c r="KU75" i="23"/>
  <c r="KU76" i="23" s="1"/>
  <c r="KU77" i="23" s="1"/>
  <c r="KT75" i="23"/>
  <c r="KT76" i="23" s="1"/>
  <c r="KT77" i="23" s="1"/>
  <c r="KS75" i="23"/>
  <c r="KS76" i="23" s="1"/>
  <c r="KS77" i="23" s="1"/>
  <c r="KR75" i="23"/>
  <c r="KR76" i="23" s="1"/>
  <c r="KR77" i="23" s="1"/>
  <c r="KQ75" i="23"/>
  <c r="KQ76" i="23" s="1"/>
  <c r="KQ77" i="23" s="1"/>
  <c r="KP75" i="23"/>
  <c r="KP76" i="23" s="1"/>
  <c r="KP77" i="23" s="1"/>
  <c r="KO75" i="23"/>
  <c r="KO76" i="23" s="1"/>
  <c r="KO77" i="23" s="1"/>
  <c r="KN75" i="23"/>
  <c r="KN76" i="23" s="1"/>
  <c r="KN77" i="23" s="1"/>
  <c r="KM75" i="23"/>
  <c r="KM76" i="23" s="1"/>
  <c r="KM77" i="23" s="1"/>
  <c r="KL75" i="23"/>
  <c r="KL76" i="23" s="1"/>
  <c r="KL77" i="23" s="1"/>
  <c r="KK75" i="23"/>
  <c r="KK76" i="23" s="1"/>
  <c r="KK77" i="23" s="1"/>
  <c r="KJ75" i="23"/>
  <c r="KJ76" i="23" s="1"/>
  <c r="KJ77" i="23" s="1"/>
  <c r="KI75" i="23"/>
  <c r="KI76" i="23" s="1"/>
  <c r="KI77" i="23" s="1"/>
  <c r="KH75" i="23"/>
  <c r="KH76" i="23" s="1"/>
  <c r="KH77" i="23" s="1"/>
  <c r="KG75" i="23"/>
  <c r="KG76" i="23" s="1"/>
  <c r="KG77" i="23" s="1"/>
  <c r="KF75" i="23"/>
  <c r="KF76" i="23" s="1"/>
  <c r="KF77" i="23" s="1"/>
  <c r="KE75" i="23"/>
  <c r="KE76" i="23" s="1"/>
  <c r="KE77" i="23" s="1"/>
  <c r="KD75" i="23"/>
  <c r="KD76" i="23" s="1"/>
  <c r="KD77" i="23" s="1"/>
  <c r="KC75" i="23"/>
  <c r="KC76" i="23" s="1"/>
  <c r="KC77" i="23" s="1"/>
  <c r="KB75" i="23"/>
  <c r="KB76" i="23" s="1"/>
  <c r="KB77" i="23" s="1"/>
  <c r="KA75" i="23"/>
  <c r="KA76" i="23" s="1"/>
  <c r="KA77" i="23" s="1"/>
  <c r="JZ75" i="23"/>
  <c r="JZ76" i="23" s="1"/>
  <c r="JZ77" i="23" s="1"/>
  <c r="JY75" i="23"/>
  <c r="JY76" i="23" s="1"/>
  <c r="JY77" i="23" s="1"/>
  <c r="JX75" i="23"/>
  <c r="JX76" i="23" s="1"/>
  <c r="JX77" i="23" s="1"/>
  <c r="JW75" i="23"/>
  <c r="JW76" i="23" s="1"/>
  <c r="JW77" i="23" s="1"/>
  <c r="JV75" i="23"/>
  <c r="JV76" i="23" s="1"/>
  <c r="JV77" i="23" s="1"/>
  <c r="JU75" i="23"/>
  <c r="JU76" i="23" s="1"/>
  <c r="JU77" i="23" s="1"/>
  <c r="JT75" i="23"/>
  <c r="JT76" i="23" s="1"/>
  <c r="JT77" i="23" s="1"/>
  <c r="JS75" i="23"/>
  <c r="JS76" i="23" s="1"/>
  <c r="JS77" i="23" s="1"/>
  <c r="JR75" i="23"/>
  <c r="JR76" i="23" s="1"/>
  <c r="JR77" i="23" s="1"/>
  <c r="JQ75" i="23"/>
  <c r="JQ76" i="23" s="1"/>
  <c r="JQ77" i="23" s="1"/>
  <c r="JP75" i="23"/>
  <c r="JP76" i="23" s="1"/>
  <c r="JP77" i="23" s="1"/>
  <c r="JO75" i="23"/>
  <c r="JO76" i="23" s="1"/>
  <c r="JO77" i="23" s="1"/>
  <c r="JN75" i="23"/>
  <c r="JN76" i="23" s="1"/>
  <c r="JN77" i="23" s="1"/>
  <c r="JM75" i="23"/>
  <c r="JM76" i="23" s="1"/>
  <c r="JM77" i="23" s="1"/>
  <c r="JL75" i="23"/>
  <c r="JL76" i="23" s="1"/>
  <c r="JL77" i="23" s="1"/>
  <c r="JK75" i="23"/>
  <c r="JK76" i="23" s="1"/>
  <c r="JK77" i="23" s="1"/>
  <c r="JJ75" i="23"/>
  <c r="JJ76" i="23" s="1"/>
  <c r="JJ77" i="23" s="1"/>
  <c r="JI75" i="23"/>
  <c r="JI76" i="23" s="1"/>
  <c r="JI77" i="23" s="1"/>
  <c r="JH75" i="23"/>
  <c r="JH76" i="23" s="1"/>
  <c r="JH77" i="23" s="1"/>
  <c r="JG75" i="23"/>
  <c r="JG76" i="23" s="1"/>
  <c r="JG77" i="23" s="1"/>
  <c r="JF75" i="23"/>
  <c r="JF76" i="23" s="1"/>
  <c r="JF77" i="23" s="1"/>
  <c r="JE75" i="23"/>
  <c r="JE76" i="23" s="1"/>
  <c r="JE77" i="23" s="1"/>
  <c r="JD75" i="23"/>
  <c r="JD76" i="23" s="1"/>
  <c r="JD77" i="23" s="1"/>
  <c r="JC75" i="23"/>
  <c r="JC76" i="23" s="1"/>
  <c r="JC77" i="23" s="1"/>
  <c r="JB75" i="23"/>
  <c r="JB76" i="23" s="1"/>
  <c r="JB77" i="23" s="1"/>
  <c r="JA75" i="23"/>
  <c r="JA76" i="23" s="1"/>
  <c r="JA77" i="23" s="1"/>
  <c r="IZ75" i="23"/>
  <c r="IZ76" i="23" s="1"/>
  <c r="IZ77" i="23" s="1"/>
  <c r="IY75" i="23"/>
  <c r="IY76" i="23" s="1"/>
  <c r="IY77" i="23" s="1"/>
  <c r="IX75" i="23"/>
  <c r="IX76" i="23" s="1"/>
  <c r="IX77" i="23" s="1"/>
  <c r="IW75" i="23"/>
  <c r="IW76" i="23" s="1"/>
  <c r="IW77" i="23" s="1"/>
  <c r="IV75" i="23"/>
  <c r="IV76" i="23" s="1"/>
  <c r="IV77" i="23" s="1"/>
  <c r="IU75" i="23"/>
  <c r="IU76" i="23" s="1"/>
  <c r="IU77" i="23" s="1"/>
  <c r="IT75" i="23"/>
  <c r="IT76" i="23" s="1"/>
  <c r="IT77" i="23" s="1"/>
  <c r="IS75" i="23"/>
  <c r="IS76" i="23" s="1"/>
  <c r="IS77" i="23" s="1"/>
  <c r="IR75" i="23"/>
  <c r="IR76" i="23" s="1"/>
  <c r="IR77" i="23" s="1"/>
  <c r="IQ75" i="23"/>
  <c r="IQ76" i="23" s="1"/>
  <c r="IQ77" i="23" s="1"/>
  <c r="IP75" i="23"/>
  <c r="IP76" i="23" s="1"/>
  <c r="IP77" i="23" s="1"/>
  <c r="IO75" i="23"/>
  <c r="IO76" i="23" s="1"/>
  <c r="IO77" i="23" s="1"/>
  <c r="IN75" i="23"/>
  <c r="IN76" i="23" s="1"/>
  <c r="IN77" i="23" s="1"/>
  <c r="IM75" i="23"/>
  <c r="IM76" i="23" s="1"/>
  <c r="IM77" i="23" s="1"/>
  <c r="IL75" i="23"/>
  <c r="IL76" i="23" s="1"/>
  <c r="IL77" i="23" s="1"/>
  <c r="IK75" i="23"/>
  <c r="IK76" i="23" s="1"/>
  <c r="IK77" i="23" s="1"/>
  <c r="IJ75" i="23"/>
  <c r="IJ76" i="23" s="1"/>
  <c r="IJ77" i="23" s="1"/>
  <c r="II75" i="23"/>
  <c r="II76" i="23" s="1"/>
  <c r="II77" i="23" s="1"/>
  <c r="IH75" i="23"/>
  <c r="IH76" i="23" s="1"/>
  <c r="IH77" i="23" s="1"/>
  <c r="IG75" i="23"/>
  <c r="IG76" i="23" s="1"/>
  <c r="IG77" i="23" s="1"/>
  <c r="IF75" i="23"/>
  <c r="IF76" i="23" s="1"/>
  <c r="IF77" i="23" s="1"/>
  <c r="IE75" i="23"/>
  <c r="IE76" i="23" s="1"/>
  <c r="IE77" i="23" s="1"/>
  <c r="ID75" i="23"/>
  <c r="ID76" i="23" s="1"/>
  <c r="ID77" i="23" s="1"/>
  <c r="IC75" i="23"/>
  <c r="IC76" i="23" s="1"/>
  <c r="IC77" i="23" s="1"/>
  <c r="IB75" i="23"/>
  <c r="IB76" i="23" s="1"/>
  <c r="IB77" i="23" s="1"/>
  <c r="IA75" i="23"/>
  <c r="IA76" i="23" s="1"/>
  <c r="IA77" i="23" s="1"/>
  <c r="HZ75" i="23"/>
  <c r="HZ76" i="23" s="1"/>
  <c r="HZ77" i="23" s="1"/>
  <c r="HY75" i="23"/>
  <c r="HY76" i="23" s="1"/>
  <c r="HY77" i="23" s="1"/>
  <c r="HX75" i="23"/>
  <c r="HX76" i="23" s="1"/>
  <c r="HX77" i="23" s="1"/>
  <c r="HW75" i="23"/>
  <c r="HW76" i="23" s="1"/>
  <c r="HW77" i="23" s="1"/>
  <c r="HV75" i="23"/>
  <c r="HV76" i="23" s="1"/>
  <c r="HV77" i="23" s="1"/>
  <c r="HU75" i="23"/>
  <c r="HU76" i="23" s="1"/>
  <c r="HU77" i="23" s="1"/>
  <c r="HT75" i="23"/>
  <c r="HT76" i="23" s="1"/>
  <c r="HT77" i="23" s="1"/>
  <c r="HS75" i="23"/>
  <c r="HS76" i="23" s="1"/>
  <c r="HS77" i="23" s="1"/>
  <c r="HR75" i="23"/>
  <c r="HR76" i="23" s="1"/>
  <c r="HR77" i="23" s="1"/>
  <c r="HQ75" i="23"/>
  <c r="HQ76" i="23" s="1"/>
  <c r="HQ77" i="23" s="1"/>
  <c r="HP75" i="23"/>
  <c r="HP76" i="23" s="1"/>
  <c r="HP77" i="23" s="1"/>
  <c r="HO75" i="23"/>
  <c r="HO76" i="23" s="1"/>
  <c r="HO77" i="23" s="1"/>
  <c r="HN75" i="23"/>
  <c r="HN76" i="23" s="1"/>
  <c r="HN77" i="23" s="1"/>
  <c r="HM75" i="23"/>
  <c r="HM76" i="23" s="1"/>
  <c r="HM77" i="23" s="1"/>
  <c r="HL75" i="23"/>
  <c r="HL76" i="23" s="1"/>
  <c r="HL77" i="23" s="1"/>
  <c r="HK75" i="23"/>
  <c r="HK76" i="23" s="1"/>
  <c r="HK77" i="23" s="1"/>
  <c r="HJ75" i="23"/>
  <c r="HJ76" i="23" s="1"/>
  <c r="HJ77" i="23" s="1"/>
  <c r="HI75" i="23"/>
  <c r="HI76" i="23" s="1"/>
  <c r="HI77" i="23" s="1"/>
  <c r="HH75" i="23"/>
  <c r="HH76" i="23" s="1"/>
  <c r="HH77" i="23" s="1"/>
  <c r="HG75" i="23"/>
  <c r="HG76" i="23" s="1"/>
  <c r="HG77" i="23" s="1"/>
  <c r="HF75" i="23"/>
  <c r="HF76" i="23" s="1"/>
  <c r="HF77" i="23" s="1"/>
  <c r="HE75" i="23"/>
  <c r="HE76" i="23" s="1"/>
  <c r="HE77" i="23" s="1"/>
  <c r="HD75" i="23"/>
  <c r="HD76" i="23" s="1"/>
  <c r="HD77" i="23" s="1"/>
  <c r="HC75" i="23"/>
  <c r="HC76" i="23" s="1"/>
  <c r="HC77" i="23" s="1"/>
  <c r="HB75" i="23"/>
  <c r="HB76" i="23" s="1"/>
  <c r="HB77" i="23" s="1"/>
  <c r="HA75" i="23"/>
  <c r="HA76" i="23" s="1"/>
  <c r="HA77" i="23" s="1"/>
  <c r="GZ75" i="23"/>
  <c r="GZ76" i="23" s="1"/>
  <c r="GZ77" i="23" s="1"/>
  <c r="GY75" i="23"/>
  <c r="GY76" i="23" s="1"/>
  <c r="GY77" i="23" s="1"/>
  <c r="GX75" i="23"/>
  <c r="GX76" i="23" s="1"/>
  <c r="GX77" i="23" s="1"/>
  <c r="GW75" i="23"/>
  <c r="GW76" i="23" s="1"/>
  <c r="GW77" i="23" s="1"/>
  <c r="GV75" i="23"/>
  <c r="GV76" i="23" s="1"/>
  <c r="GV77" i="23" s="1"/>
  <c r="GU75" i="23"/>
  <c r="GU76" i="23" s="1"/>
  <c r="GU77" i="23" s="1"/>
  <c r="GT75" i="23"/>
  <c r="GT76" i="23" s="1"/>
  <c r="GT77" i="23" s="1"/>
  <c r="GS75" i="23"/>
  <c r="GS76" i="23" s="1"/>
  <c r="GS77" i="23" s="1"/>
  <c r="GR75" i="23"/>
  <c r="GR76" i="23" s="1"/>
  <c r="GR77" i="23" s="1"/>
  <c r="GQ75" i="23"/>
  <c r="GQ76" i="23" s="1"/>
  <c r="GQ77" i="23" s="1"/>
  <c r="GP75" i="23"/>
  <c r="GP76" i="23" s="1"/>
  <c r="GP77" i="23" s="1"/>
  <c r="GO75" i="23"/>
  <c r="GO76" i="23" s="1"/>
  <c r="GO77" i="23" s="1"/>
  <c r="GN75" i="23"/>
  <c r="GN76" i="23" s="1"/>
  <c r="GN77" i="23" s="1"/>
  <c r="GM75" i="23"/>
  <c r="GM76" i="23" s="1"/>
  <c r="GM77" i="23" s="1"/>
  <c r="GL75" i="23"/>
  <c r="GL76" i="23" s="1"/>
  <c r="GL77" i="23" s="1"/>
  <c r="GK75" i="23"/>
  <c r="GK76" i="23" s="1"/>
  <c r="GK77" i="23" s="1"/>
  <c r="GJ75" i="23"/>
  <c r="GJ76" i="23" s="1"/>
  <c r="GJ77" i="23" s="1"/>
  <c r="GI75" i="23"/>
  <c r="GI76" i="23" s="1"/>
  <c r="GI77" i="23" s="1"/>
  <c r="GH75" i="23"/>
  <c r="GH76" i="23" s="1"/>
  <c r="GH77" i="23" s="1"/>
  <c r="GG75" i="23"/>
  <c r="GG76" i="23" s="1"/>
  <c r="GG77" i="23" s="1"/>
  <c r="GF75" i="23"/>
  <c r="GF76" i="23" s="1"/>
  <c r="GF77" i="23" s="1"/>
  <c r="GE75" i="23"/>
  <c r="GE76" i="23" s="1"/>
  <c r="GE77" i="23" s="1"/>
  <c r="GD75" i="23"/>
  <c r="GD76" i="23" s="1"/>
  <c r="GD77" i="23" s="1"/>
  <c r="GC75" i="23"/>
  <c r="GC76" i="23" s="1"/>
  <c r="GC77" i="23" s="1"/>
  <c r="GB75" i="23"/>
  <c r="GB76" i="23" s="1"/>
  <c r="GB77" i="23" s="1"/>
  <c r="GA75" i="23"/>
  <c r="GA76" i="23" s="1"/>
  <c r="GA77" i="23" s="1"/>
  <c r="FZ75" i="23"/>
  <c r="FZ76" i="23" s="1"/>
  <c r="FZ77" i="23" s="1"/>
  <c r="FY75" i="23"/>
  <c r="FY76" i="23" s="1"/>
  <c r="FY77" i="23" s="1"/>
  <c r="FX75" i="23"/>
  <c r="FX76" i="23" s="1"/>
  <c r="FX77" i="23" s="1"/>
  <c r="FW75" i="23"/>
  <c r="FW76" i="23" s="1"/>
  <c r="FW77" i="23" s="1"/>
  <c r="FV75" i="23"/>
  <c r="FV76" i="23" s="1"/>
  <c r="FV77" i="23" s="1"/>
  <c r="FU75" i="23"/>
  <c r="FU76" i="23" s="1"/>
  <c r="FU77" i="23" s="1"/>
  <c r="FT75" i="23"/>
  <c r="FT76" i="23" s="1"/>
  <c r="FT77" i="23" s="1"/>
  <c r="FS75" i="23"/>
  <c r="FS76" i="23" s="1"/>
  <c r="FS77" i="23" s="1"/>
  <c r="FR75" i="23"/>
  <c r="FR76" i="23" s="1"/>
  <c r="FR77" i="23" s="1"/>
  <c r="FQ75" i="23"/>
  <c r="FQ76" i="23" s="1"/>
  <c r="FQ77" i="23" s="1"/>
  <c r="FP75" i="23"/>
  <c r="FP76" i="23" s="1"/>
  <c r="FP77" i="23" s="1"/>
  <c r="FO75" i="23"/>
  <c r="FO76" i="23" s="1"/>
  <c r="FO77" i="23" s="1"/>
  <c r="FN75" i="23"/>
  <c r="FN76" i="23" s="1"/>
  <c r="FN77" i="23" s="1"/>
  <c r="FM75" i="23"/>
  <c r="FM76" i="23" s="1"/>
  <c r="FM77" i="23" s="1"/>
  <c r="FL75" i="23"/>
  <c r="FL76" i="23" s="1"/>
  <c r="FL77" i="23" s="1"/>
  <c r="FK75" i="23"/>
  <c r="FK76" i="23" s="1"/>
  <c r="FK77" i="23" s="1"/>
  <c r="FJ75" i="23"/>
  <c r="FJ76" i="23" s="1"/>
  <c r="FJ77" i="23" s="1"/>
  <c r="FI75" i="23"/>
  <c r="FI76" i="23" s="1"/>
  <c r="FI77" i="23" s="1"/>
  <c r="FH75" i="23"/>
  <c r="FH76" i="23" s="1"/>
  <c r="FH77" i="23" s="1"/>
  <c r="FG75" i="23"/>
  <c r="FG76" i="23" s="1"/>
  <c r="FG77" i="23" s="1"/>
  <c r="FF75" i="23"/>
  <c r="FF76" i="23" s="1"/>
  <c r="FF77" i="23" s="1"/>
  <c r="FE75" i="23"/>
  <c r="FE76" i="23" s="1"/>
  <c r="FE77" i="23" s="1"/>
  <c r="FD75" i="23"/>
  <c r="FD76" i="23" s="1"/>
  <c r="FD77" i="23" s="1"/>
  <c r="FC75" i="23"/>
  <c r="FC76" i="23" s="1"/>
  <c r="FC77" i="23" s="1"/>
  <c r="FB75" i="23"/>
  <c r="FB76" i="23" s="1"/>
  <c r="FB77" i="23" s="1"/>
  <c r="FA75" i="23"/>
  <c r="FA76" i="23" s="1"/>
  <c r="FA77" i="23" s="1"/>
  <c r="EZ75" i="23"/>
  <c r="EZ76" i="23" s="1"/>
  <c r="EZ77" i="23" s="1"/>
  <c r="EY75" i="23"/>
  <c r="EY76" i="23" s="1"/>
  <c r="EY77" i="23" s="1"/>
  <c r="EX75" i="23"/>
  <c r="EX76" i="23" s="1"/>
  <c r="EX77" i="23" s="1"/>
  <c r="EW75" i="23"/>
  <c r="EW76" i="23" s="1"/>
  <c r="EW77" i="23" s="1"/>
  <c r="EV75" i="23"/>
  <c r="EV76" i="23" s="1"/>
  <c r="EV77" i="23" s="1"/>
  <c r="EU75" i="23"/>
  <c r="EU76" i="23" s="1"/>
  <c r="EU77" i="23" s="1"/>
  <c r="ET75" i="23"/>
  <c r="ET76" i="23" s="1"/>
  <c r="ET77" i="23" s="1"/>
  <c r="ES75" i="23"/>
  <c r="ES76" i="23" s="1"/>
  <c r="ES77" i="23" s="1"/>
  <c r="ER75" i="23"/>
  <c r="ER76" i="23" s="1"/>
  <c r="ER77" i="23" s="1"/>
  <c r="EQ75" i="23"/>
  <c r="EQ76" i="23" s="1"/>
  <c r="EQ77" i="23" s="1"/>
  <c r="EP75" i="23"/>
  <c r="EP76" i="23" s="1"/>
  <c r="EP77" i="23" s="1"/>
  <c r="EO75" i="23"/>
  <c r="EO76" i="23" s="1"/>
  <c r="EO77" i="23" s="1"/>
  <c r="EN75" i="23"/>
  <c r="EN76" i="23" s="1"/>
  <c r="EN77" i="23" s="1"/>
  <c r="EM75" i="23"/>
  <c r="EM76" i="23" s="1"/>
  <c r="EM77" i="23" s="1"/>
  <c r="EL75" i="23"/>
  <c r="EL76" i="23" s="1"/>
  <c r="EL77" i="23" s="1"/>
  <c r="EK75" i="23"/>
  <c r="EK76" i="23" s="1"/>
  <c r="EK77" i="23" s="1"/>
  <c r="EJ75" i="23"/>
  <c r="EJ76" i="23" s="1"/>
  <c r="EJ77" i="23" s="1"/>
  <c r="EI75" i="23"/>
  <c r="EI76" i="23" s="1"/>
  <c r="EI77" i="23" s="1"/>
  <c r="EH75" i="23"/>
  <c r="EH76" i="23" s="1"/>
  <c r="EH77" i="23" s="1"/>
  <c r="EG75" i="23"/>
  <c r="EG76" i="23" s="1"/>
  <c r="EG77" i="23" s="1"/>
  <c r="EF75" i="23"/>
  <c r="EF76" i="23" s="1"/>
  <c r="EF77" i="23" s="1"/>
  <c r="EE75" i="23"/>
  <c r="EE76" i="23" s="1"/>
  <c r="EE77" i="23" s="1"/>
  <c r="ED75" i="23"/>
  <c r="ED76" i="23" s="1"/>
  <c r="ED77" i="23" s="1"/>
  <c r="EC75" i="23"/>
  <c r="EC76" i="23" s="1"/>
  <c r="EC77" i="23" s="1"/>
  <c r="EB75" i="23"/>
  <c r="EB76" i="23" s="1"/>
  <c r="EB77" i="23" s="1"/>
  <c r="EA75" i="23"/>
  <c r="EA76" i="23" s="1"/>
  <c r="EA77" i="23" s="1"/>
  <c r="DZ75" i="23"/>
  <c r="DZ76" i="23" s="1"/>
  <c r="DZ77" i="23" s="1"/>
  <c r="DY75" i="23"/>
  <c r="DY76" i="23" s="1"/>
  <c r="DY77" i="23" s="1"/>
  <c r="DX75" i="23"/>
  <c r="DX76" i="23" s="1"/>
  <c r="DX77" i="23" s="1"/>
  <c r="DW75" i="23"/>
  <c r="DW76" i="23" s="1"/>
  <c r="DW77" i="23" s="1"/>
  <c r="DV75" i="23"/>
  <c r="DV76" i="23" s="1"/>
  <c r="DV77" i="23" s="1"/>
  <c r="DU75" i="23"/>
  <c r="DU76" i="23" s="1"/>
  <c r="DU77" i="23" s="1"/>
  <c r="DT75" i="23"/>
  <c r="DT76" i="23" s="1"/>
  <c r="DT77" i="23" s="1"/>
  <c r="DS75" i="23"/>
  <c r="DS76" i="23" s="1"/>
  <c r="DS77" i="23" s="1"/>
  <c r="DR75" i="23"/>
  <c r="DR76" i="23" s="1"/>
  <c r="DR77" i="23" s="1"/>
  <c r="DQ75" i="23"/>
  <c r="DQ76" i="23" s="1"/>
  <c r="DQ77" i="23" s="1"/>
  <c r="DP75" i="23"/>
  <c r="DP76" i="23" s="1"/>
  <c r="DP77" i="23" s="1"/>
  <c r="DO75" i="23"/>
  <c r="DO76" i="23" s="1"/>
  <c r="DO77" i="23" s="1"/>
  <c r="DN75" i="23"/>
  <c r="DN76" i="23" s="1"/>
  <c r="DN77" i="23" s="1"/>
  <c r="DM75" i="23"/>
  <c r="DM76" i="23" s="1"/>
  <c r="DM77" i="23" s="1"/>
  <c r="DL75" i="23"/>
  <c r="DL76" i="23" s="1"/>
  <c r="DL77" i="23" s="1"/>
  <c r="DK75" i="23"/>
  <c r="DK76" i="23" s="1"/>
  <c r="DK77" i="23" s="1"/>
  <c r="DJ75" i="23"/>
  <c r="DJ76" i="23" s="1"/>
  <c r="DJ77" i="23" s="1"/>
  <c r="DI75" i="23"/>
  <c r="DI76" i="23" s="1"/>
  <c r="DI77" i="23" s="1"/>
  <c r="DH75" i="23"/>
  <c r="DH76" i="23" s="1"/>
  <c r="DH77" i="23" s="1"/>
  <c r="DG75" i="23"/>
  <c r="DG76" i="23" s="1"/>
  <c r="DG77" i="23" s="1"/>
  <c r="DF75" i="23"/>
  <c r="DF76" i="23" s="1"/>
  <c r="DF77" i="23" s="1"/>
  <c r="DE75" i="23"/>
  <c r="DE76" i="23" s="1"/>
  <c r="DE77" i="23" s="1"/>
  <c r="DD75" i="23"/>
  <c r="DD76" i="23" s="1"/>
  <c r="DD77" i="23" s="1"/>
  <c r="DC75" i="23"/>
  <c r="DC76" i="23" s="1"/>
  <c r="DC77" i="23" s="1"/>
  <c r="DB75" i="23"/>
  <c r="DB76" i="23" s="1"/>
  <c r="DB77" i="23" s="1"/>
  <c r="DA75" i="23"/>
  <c r="DA76" i="23" s="1"/>
  <c r="DA77" i="23" s="1"/>
  <c r="CZ75" i="23"/>
  <c r="CZ76" i="23" s="1"/>
  <c r="CZ77" i="23" s="1"/>
  <c r="CY75" i="23"/>
  <c r="CY76" i="23" s="1"/>
  <c r="CY77" i="23" s="1"/>
  <c r="CX75" i="23"/>
  <c r="CX76" i="23" s="1"/>
  <c r="CX77" i="23" s="1"/>
  <c r="CW75" i="23"/>
  <c r="CW76" i="23" s="1"/>
  <c r="CW77" i="23" s="1"/>
  <c r="CV75" i="23"/>
  <c r="CV76" i="23" s="1"/>
  <c r="CV77" i="23" s="1"/>
  <c r="CU75" i="23"/>
  <c r="CU76" i="23" s="1"/>
  <c r="CU77" i="23" s="1"/>
  <c r="CT75" i="23"/>
  <c r="CT76" i="23" s="1"/>
  <c r="CT77" i="23" s="1"/>
  <c r="CS75" i="23"/>
  <c r="CS76" i="23" s="1"/>
  <c r="CS77" i="23" s="1"/>
  <c r="CR75" i="23"/>
  <c r="CR76" i="23" s="1"/>
  <c r="CR77" i="23" s="1"/>
  <c r="CQ75" i="23"/>
  <c r="CQ76" i="23" s="1"/>
  <c r="CQ77" i="23" s="1"/>
  <c r="CP75" i="23"/>
  <c r="CP76" i="23" s="1"/>
  <c r="CP77" i="23" s="1"/>
  <c r="CO75" i="23"/>
  <c r="CO76" i="23" s="1"/>
  <c r="CO77" i="23" s="1"/>
  <c r="CN75" i="23"/>
  <c r="CN76" i="23" s="1"/>
  <c r="CN77" i="23" s="1"/>
  <c r="CM75" i="23"/>
  <c r="CM76" i="23" s="1"/>
  <c r="CM77" i="23" s="1"/>
  <c r="CL75" i="23"/>
  <c r="CL76" i="23" s="1"/>
  <c r="CL77" i="23" s="1"/>
  <c r="CK75" i="23"/>
  <c r="CK76" i="23" s="1"/>
  <c r="CK77" i="23" s="1"/>
  <c r="CJ75" i="23"/>
  <c r="CJ76" i="23" s="1"/>
  <c r="CJ77" i="23" s="1"/>
  <c r="CI75" i="23"/>
  <c r="CI76" i="23" s="1"/>
  <c r="CI77" i="23" s="1"/>
  <c r="CH75" i="23"/>
  <c r="CH76" i="23" s="1"/>
  <c r="CH77" i="23" s="1"/>
  <c r="CG75" i="23"/>
  <c r="CG76" i="23" s="1"/>
  <c r="CG77" i="23" s="1"/>
  <c r="CF75" i="23"/>
  <c r="CF76" i="23" s="1"/>
  <c r="CF77" i="23" s="1"/>
  <c r="CE75" i="23"/>
  <c r="CE76" i="23" s="1"/>
  <c r="CE77" i="23" s="1"/>
  <c r="CD75" i="23"/>
  <c r="CD76" i="23" s="1"/>
  <c r="CD77" i="23" s="1"/>
  <c r="CC75" i="23"/>
  <c r="CC76" i="23" s="1"/>
  <c r="CC77" i="23" s="1"/>
  <c r="CB75" i="23"/>
  <c r="CB76" i="23" s="1"/>
  <c r="CB77" i="23" s="1"/>
  <c r="CA75" i="23"/>
  <c r="CA76" i="23" s="1"/>
  <c r="CA77" i="23" s="1"/>
  <c r="BZ75" i="23"/>
  <c r="BZ76" i="23" s="1"/>
  <c r="BZ77" i="23" s="1"/>
  <c r="BY75" i="23"/>
  <c r="BY76" i="23" s="1"/>
  <c r="BY77" i="23" s="1"/>
  <c r="BX75" i="23"/>
  <c r="BX76" i="23" s="1"/>
  <c r="BX77" i="23" s="1"/>
  <c r="BW75" i="23"/>
  <c r="BW76" i="23" s="1"/>
  <c r="BW77" i="23" s="1"/>
  <c r="BV75" i="23"/>
  <c r="BV76" i="23" s="1"/>
  <c r="BV77" i="23" s="1"/>
  <c r="BU75" i="23"/>
  <c r="BU76" i="23" s="1"/>
  <c r="BU77" i="23" s="1"/>
  <c r="BT75" i="23"/>
  <c r="BT76" i="23" s="1"/>
  <c r="BT77" i="23" s="1"/>
  <c r="BS75" i="23"/>
  <c r="BS76" i="23" s="1"/>
  <c r="BS77" i="23" s="1"/>
  <c r="BR75" i="23"/>
  <c r="BR76" i="23" s="1"/>
  <c r="BR77" i="23" s="1"/>
  <c r="BQ75" i="23"/>
  <c r="BQ76" i="23" s="1"/>
  <c r="BQ77" i="23" s="1"/>
  <c r="BP75" i="23"/>
  <c r="BP76" i="23" s="1"/>
  <c r="BP77" i="23" s="1"/>
  <c r="BO75" i="23"/>
  <c r="BO76" i="23" s="1"/>
  <c r="BO77" i="23" s="1"/>
  <c r="BN75" i="23"/>
  <c r="BN76" i="23" s="1"/>
  <c r="BN77" i="23" s="1"/>
  <c r="BM75" i="23"/>
  <c r="BM76" i="23" s="1"/>
  <c r="BM77" i="23" s="1"/>
  <c r="BL75" i="23"/>
  <c r="BL76" i="23" s="1"/>
  <c r="BL77" i="23" s="1"/>
  <c r="BK75" i="23"/>
  <c r="BK76" i="23" s="1"/>
  <c r="BK77" i="23" s="1"/>
  <c r="BJ75" i="23"/>
  <c r="BJ76" i="23" s="1"/>
  <c r="BJ77" i="23" s="1"/>
  <c r="BI75" i="23"/>
  <c r="BI76" i="23" s="1"/>
  <c r="BI77" i="23" s="1"/>
  <c r="BH75" i="23"/>
  <c r="BH76" i="23" s="1"/>
  <c r="BH77" i="23" s="1"/>
  <c r="BG75" i="23"/>
  <c r="BG76" i="23" s="1"/>
  <c r="BG77" i="23" s="1"/>
  <c r="BF75" i="23"/>
  <c r="BF76" i="23" s="1"/>
  <c r="BF77" i="23" s="1"/>
  <c r="BE75" i="23"/>
  <c r="BE76" i="23" s="1"/>
  <c r="BE77" i="23" s="1"/>
  <c r="BD75" i="23"/>
  <c r="BD76" i="23" s="1"/>
  <c r="BD77" i="23" s="1"/>
  <c r="BC75" i="23"/>
  <c r="BC76" i="23" s="1"/>
  <c r="BC77" i="23" s="1"/>
  <c r="BB75" i="23"/>
  <c r="BB76" i="23" s="1"/>
  <c r="BB77" i="23" s="1"/>
  <c r="BA75" i="23"/>
  <c r="BA76" i="23" s="1"/>
  <c r="BA77" i="23" s="1"/>
  <c r="AZ75" i="23"/>
  <c r="AZ76" i="23" s="1"/>
  <c r="AZ77" i="23" s="1"/>
  <c r="AY75" i="23"/>
  <c r="AY76" i="23" s="1"/>
  <c r="AY77" i="23" s="1"/>
  <c r="AX75" i="23"/>
  <c r="AX76" i="23" s="1"/>
  <c r="AX77" i="23" s="1"/>
  <c r="AW75" i="23"/>
  <c r="AW76" i="23" s="1"/>
  <c r="AW77" i="23" s="1"/>
  <c r="AV75" i="23"/>
  <c r="AV76" i="23" s="1"/>
  <c r="AV77" i="23" s="1"/>
  <c r="AU75" i="23"/>
  <c r="AU76" i="23" s="1"/>
  <c r="AU77" i="23" s="1"/>
  <c r="AT75" i="23"/>
  <c r="AT76" i="23" s="1"/>
  <c r="AT77" i="23" s="1"/>
  <c r="AS75" i="23"/>
  <c r="AS76" i="23" s="1"/>
  <c r="AS77" i="23" s="1"/>
  <c r="AR75" i="23"/>
  <c r="AR76" i="23" s="1"/>
  <c r="AR77" i="23" s="1"/>
  <c r="AQ75" i="23"/>
  <c r="AQ76" i="23" s="1"/>
  <c r="AQ77" i="23" s="1"/>
  <c r="AP75" i="23"/>
  <c r="AP76" i="23" s="1"/>
  <c r="AP77" i="23" s="1"/>
  <c r="AO75" i="23"/>
  <c r="AO76" i="23" s="1"/>
  <c r="AO77" i="23" s="1"/>
  <c r="AN75" i="23"/>
  <c r="AN76" i="23" s="1"/>
  <c r="AN77" i="23" s="1"/>
  <c r="AM75" i="23"/>
  <c r="AM76" i="23" s="1"/>
  <c r="AM77" i="23" s="1"/>
  <c r="AL75" i="23"/>
  <c r="AL76" i="23" s="1"/>
  <c r="AL77" i="23" s="1"/>
  <c r="AK75" i="23"/>
  <c r="AK76" i="23" s="1"/>
  <c r="AK77" i="23" s="1"/>
  <c r="AJ75" i="23"/>
  <c r="AJ76" i="23" s="1"/>
  <c r="AJ77" i="23" s="1"/>
  <c r="AI75" i="23"/>
  <c r="AI76" i="23" s="1"/>
  <c r="AI77" i="23" s="1"/>
  <c r="AH75" i="23"/>
  <c r="AH76" i="23" s="1"/>
  <c r="AH77" i="23" s="1"/>
  <c r="AG75" i="23"/>
  <c r="AG76" i="23" s="1"/>
  <c r="AG77" i="23" s="1"/>
  <c r="AF75" i="23"/>
  <c r="AF76" i="23" s="1"/>
  <c r="AF77" i="23" s="1"/>
  <c r="AE75" i="23"/>
  <c r="AE76" i="23" s="1"/>
  <c r="AE77" i="23" s="1"/>
  <c r="AD75" i="23"/>
  <c r="AD76" i="23" s="1"/>
  <c r="AD77" i="23" s="1"/>
  <c r="AC75" i="23"/>
  <c r="AC76" i="23" s="1"/>
  <c r="AC77" i="23" s="1"/>
  <c r="AB75" i="23"/>
  <c r="AB76" i="23" s="1"/>
  <c r="AB77" i="23" s="1"/>
  <c r="AA75" i="23"/>
  <c r="AA76" i="23" s="1"/>
  <c r="AA77" i="23" s="1"/>
  <c r="Z75" i="23"/>
  <c r="Z76" i="23" s="1"/>
  <c r="Z77" i="23" s="1"/>
  <c r="Y75" i="23"/>
  <c r="Y76" i="23" s="1"/>
  <c r="Y77" i="23" s="1"/>
  <c r="X75" i="23"/>
  <c r="X76" i="23" s="1"/>
  <c r="X77" i="23" s="1"/>
  <c r="W75" i="23"/>
  <c r="W76" i="23" s="1"/>
  <c r="W77" i="23" s="1"/>
  <c r="V75" i="23"/>
  <c r="V76" i="23" s="1"/>
  <c r="V77" i="23" s="1"/>
  <c r="U75" i="23"/>
  <c r="U76" i="23" s="1"/>
  <c r="U77" i="23" s="1"/>
  <c r="T75" i="23"/>
  <c r="T76" i="23" s="1"/>
  <c r="T77" i="23" s="1"/>
  <c r="S75" i="23"/>
  <c r="S76" i="23" s="1"/>
  <c r="S77" i="23" s="1"/>
  <c r="R75" i="23"/>
  <c r="R76" i="23" s="1"/>
  <c r="R77" i="23" s="1"/>
  <c r="Q75" i="23"/>
  <c r="Q76" i="23" s="1"/>
  <c r="Q77" i="23" s="1"/>
  <c r="P75" i="23"/>
  <c r="P76" i="23" s="1"/>
  <c r="P77" i="23" s="1"/>
  <c r="O75" i="23"/>
  <c r="O76" i="23" s="1"/>
  <c r="O77" i="23" s="1"/>
  <c r="N75" i="23"/>
  <c r="N76" i="23" s="1"/>
  <c r="N77" i="23" s="1"/>
  <c r="M75" i="23"/>
  <c r="M76" i="23" s="1"/>
  <c r="M77" i="23" s="1"/>
  <c r="L75" i="23"/>
  <c r="L76" i="23" s="1"/>
  <c r="L77" i="23" s="1"/>
  <c r="K75" i="23"/>
  <c r="K76" i="23" s="1"/>
  <c r="K77" i="23" s="1"/>
  <c r="J75" i="23"/>
  <c r="J76" i="23" s="1"/>
  <c r="J77" i="23" s="1"/>
  <c r="I75" i="23"/>
  <c r="I76" i="23" s="1"/>
  <c r="I77" i="23" s="1"/>
  <c r="H75" i="23"/>
  <c r="H76" i="23" s="1"/>
  <c r="H77" i="23" s="1"/>
  <c r="G75" i="23"/>
  <c r="G76" i="23" s="1"/>
  <c r="G77" i="23" s="1"/>
  <c r="F75" i="23"/>
  <c r="F76" i="23" s="1"/>
  <c r="F77" i="23" s="1"/>
  <c r="E75" i="23"/>
  <c r="E76" i="23" s="1"/>
  <c r="E77" i="23" s="1"/>
  <c r="D75" i="23"/>
  <c r="D76" i="23" s="1"/>
  <c r="D77" i="23" s="1"/>
  <c r="C75" i="23"/>
  <c r="C76" i="23" s="1"/>
  <c r="C77" i="23" s="1"/>
  <c r="B75" i="23"/>
  <c r="B76" i="23" s="1"/>
  <c r="B77" i="23" s="1"/>
  <c r="NT73" i="23"/>
  <c r="NS73" i="23"/>
  <c r="NR73" i="23"/>
  <c r="NQ73" i="23"/>
  <c r="NP73" i="23"/>
  <c r="NO73" i="23"/>
  <c r="NN73" i="23"/>
  <c r="NM73" i="23"/>
  <c r="NL73" i="23"/>
  <c r="NK73" i="23"/>
  <c r="NJ73" i="23"/>
  <c r="NI73" i="23"/>
  <c r="NH73" i="23"/>
  <c r="NG73" i="23"/>
  <c r="NF73" i="23"/>
  <c r="NE73" i="23"/>
  <c r="ND73" i="23"/>
  <c r="NC73" i="23"/>
  <c r="NB73" i="23"/>
  <c r="NA73" i="23"/>
  <c r="MZ73" i="23"/>
  <c r="MY73" i="23"/>
  <c r="MX73" i="23"/>
  <c r="MW73" i="23"/>
  <c r="MV73" i="23"/>
  <c r="MU73" i="23"/>
  <c r="MT73" i="23"/>
  <c r="MS73" i="23"/>
  <c r="MR73" i="23"/>
  <c r="MQ73" i="23"/>
  <c r="MP73" i="23"/>
  <c r="MO73" i="23"/>
  <c r="MN73" i="23"/>
  <c r="MM73" i="23"/>
  <c r="ML73" i="23"/>
  <c r="MK73" i="23"/>
  <c r="MJ73" i="23"/>
  <c r="MI73" i="23"/>
  <c r="MH73" i="23"/>
  <c r="MG73" i="23"/>
  <c r="MF73" i="23"/>
  <c r="ME73" i="23"/>
  <c r="MD73" i="23"/>
  <c r="MC73" i="23"/>
  <c r="MB73" i="23"/>
  <c r="MA73" i="23"/>
  <c r="LZ73" i="23"/>
  <c r="LY73" i="23"/>
  <c r="LX73" i="23"/>
  <c r="LW73" i="23"/>
  <c r="LV73" i="23"/>
  <c r="LU73" i="23"/>
  <c r="LT73" i="23"/>
  <c r="LS73" i="23"/>
  <c r="LR73" i="23"/>
  <c r="LQ73" i="23"/>
  <c r="LP73" i="23"/>
  <c r="LO73" i="23"/>
  <c r="LN73" i="23"/>
  <c r="LM73" i="23"/>
  <c r="LL73" i="23"/>
  <c r="LK73" i="23"/>
  <c r="LJ73" i="23"/>
  <c r="LI73" i="23"/>
  <c r="LH73" i="23"/>
  <c r="LG73" i="23"/>
  <c r="LF73" i="23"/>
  <c r="LE73" i="23"/>
  <c r="LD73" i="23"/>
  <c r="LC73" i="23"/>
  <c r="LB73" i="23"/>
  <c r="LA73" i="23"/>
  <c r="KZ73" i="23"/>
  <c r="KY73" i="23"/>
  <c r="KX73" i="23"/>
  <c r="KW73" i="23"/>
  <c r="KV73" i="23"/>
  <c r="KU73" i="23"/>
  <c r="KT73" i="23"/>
  <c r="KS73" i="23"/>
  <c r="KR73" i="23"/>
  <c r="KQ73" i="23"/>
  <c r="KP73" i="23"/>
  <c r="KO73" i="23"/>
  <c r="KN73" i="23"/>
  <c r="KM73" i="23"/>
  <c r="KL73" i="23"/>
  <c r="KK73" i="23"/>
  <c r="KJ73" i="23"/>
  <c r="KI73" i="23"/>
  <c r="KH73" i="23"/>
  <c r="KG73" i="23"/>
  <c r="KF73" i="23"/>
  <c r="KE73" i="23"/>
  <c r="KD73" i="23"/>
  <c r="KC73" i="23"/>
  <c r="KB73" i="23"/>
  <c r="KA73" i="23"/>
  <c r="JZ73" i="23"/>
  <c r="JY73" i="23"/>
  <c r="JX73" i="23"/>
  <c r="JW73" i="23"/>
  <c r="JV73" i="23"/>
  <c r="JU73" i="23"/>
  <c r="JT73" i="23"/>
  <c r="JS73" i="23"/>
  <c r="JR73" i="23"/>
  <c r="JQ73" i="23"/>
  <c r="JP73" i="23"/>
  <c r="JO73" i="23"/>
  <c r="JN73" i="23"/>
  <c r="JM73" i="23"/>
  <c r="JL73" i="23"/>
  <c r="JK73" i="23"/>
  <c r="JJ73" i="23"/>
  <c r="JI73" i="23"/>
  <c r="JH73" i="23"/>
  <c r="JG73" i="23"/>
  <c r="JF73" i="23"/>
  <c r="JE73" i="23"/>
  <c r="JD73" i="23"/>
  <c r="JC73" i="23"/>
  <c r="JB73" i="23"/>
  <c r="JA73" i="23"/>
  <c r="IZ73" i="23"/>
  <c r="IY73" i="23"/>
  <c r="IX73" i="23"/>
  <c r="IW73" i="23"/>
  <c r="IV73" i="23"/>
  <c r="IU73" i="23"/>
  <c r="IT73" i="23"/>
  <c r="IS73" i="23"/>
  <c r="IR73" i="23"/>
  <c r="IQ73" i="23"/>
  <c r="IP73" i="23"/>
  <c r="IO73" i="23"/>
  <c r="IN73" i="23"/>
  <c r="IM73" i="23"/>
  <c r="IL73" i="23"/>
  <c r="IK73" i="23"/>
  <c r="IJ73" i="23"/>
  <c r="II73" i="23"/>
  <c r="IH73" i="23"/>
  <c r="IG73" i="23"/>
  <c r="IF73" i="23"/>
  <c r="IE73" i="23"/>
  <c r="ID73" i="23"/>
  <c r="IC73" i="23"/>
  <c r="IB73" i="23"/>
  <c r="IA73" i="23"/>
  <c r="HZ73" i="23"/>
  <c r="HY73" i="23"/>
  <c r="HX73" i="23"/>
  <c r="HW73" i="23"/>
  <c r="HV73" i="23"/>
  <c r="HU73" i="23"/>
  <c r="HT73" i="23"/>
  <c r="HS73" i="23"/>
  <c r="HR73" i="23"/>
  <c r="HQ73" i="23"/>
  <c r="HP73" i="23"/>
  <c r="HO73" i="23"/>
  <c r="HN73" i="23"/>
  <c r="HM73" i="23"/>
  <c r="HL73" i="23"/>
  <c r="HK73" i="23"/>
  <c r="HJ73" i="23"/>
  <c r="HI73" i="23"/>
  <c r="HH73" i="23"/>
  <c r="HG73" i="23"/>
  <c r="HF73" i="23"/>
  <c r="HE73" i="23"/>
  <c r="HD73" i="23"/>
  <c r="HC73" i="23"/>
  <c r="HB73" i="23"/>
  <c r="HA73" i="23"/>
  <c r="GZ73" i="23"/>
  <c r="GY73" i="23"/>
  <c r="GX73" i="23"/>
  <c r="GW73" i="23"/>
  <c r="GV73" i="23"/>
  <c r="GU73" i="23"/>
  <c r="GT73" i="23"/>
  <c r="GS73" i="23"/>
  <c r="GR73" i="23"/>
  <c r="GQ73" i="23"/>
  <c r="GP73" i="23"/>
  <c r="GO73" i="23"/>
  <c r="GN73" i="23"/>
  <c r="GM73" i="23"/>
  <c r="GL73" i="23"/>
  <c r="GK73" i="23"/>
  <c r="GJ73" i="23"/>
  <c r="GI73" i="23"/>
  <c r="GH73" i="23"/>
  <c r="GG73" i="23"/>
  <c r="GF73" i="23"/>
  <c r="GE73" i="23"/>
  <c r="GD73" i="23"/>
  <c r="GC73" i="23"/>
  <c r="GB73" i="23"/>
  <c r="GA73" i="23"/>
  <c r="FZ73" i="23"/>
  <c r="FY73" i="23"/>
  <c r="FX73" i="23"/>
  <c r="FW73" i="23"/>
  <c r="FV73" i="23"/>
  <c r="FU73" i="23"/>
  <c r="FT73" i="23"/>
  <c r="FS73" i="23"/>
  <c r="FR73" i="23"/>
  <c r="FQ73" i="23"/>
  <c r="FP73" i="23"/>
  <c r="FO73" i="23"/>
  <c r="FN73" i="23"/>
  <c r="FM73" i="23"/>
  <c r="FL73" i="23"/>
  <c r="FK73" i="23"/>
  <c r="FJ73" i="23"/>
  <c r="FI73" i="23"/>
  <c r="FH73" i="23"/>
  <c r="FG73" i="23"/>
  <c r="FF73" i="23"/>
  <c r="FE73" i="23"/>
  <c r="FD73" i="23"/>
  <c r="FC73" i="23"/>
  <c r="FB73" i="23"/>
  <c r="FA73" i="23"/>
  <c r="EZ73" i="23"/>
  <c r="EY73" i="23"/>
  <c r="EX73" i="23"/>
  <c r="EW73" i="23"/>
  <c r="EV73" i="23"/>
  <c r="EU73" i="23"/>
  <c r="ET73" i="23"/>
  <c r="ES73" i="23"/>
  <c r="ER73" i="23"/>
  <c r="EQ73" i="23"/>
  <c r="EP73" i="23"/>
  <c r="EO73" i="23"/>
  <c r="EN73" i="23"/>
  <c r="EM73" i="23"/>
  <c r="EL73" i="23"/>
  <c r="EK73" i="23"/>
  <c r="EJ73" i="23"/>
  <c r="EI73" i="23"/>
  <c r="EH73" i="23"/>
  <c r="EG73" i="23"/>
  <c r="EF73" i="23"/>
  <c r="EE73" i="23"/>
  <c r="ED73" i="23"/>
  <c r="EC73" i="23"/>
  <c r="EB73" i="23"/>
  <c r="EA73" i="23"/>
  <c r="DZ73" i="23"/>
  <c r="DY73" i="23"/>
  <c r="DX73" i="23"/>
  <c r="DW73" i="23"/>
  <c r="DV73" i="23"/>
  <c r="DU73" i="23"/>
  <c r="DT73" i="23"/>
  <c r="DS73" i="23"/>
  <c r="DR73" i="23"/>
  <c r="DQ73" i="23"/>
  <c r="DP73" i="23"/>
  <c r="DO73" i="23"/>
  <c r="DN73" i="23"/>
  <c r="DM73" i="23"/>
  <c r="DL73" i="23"/>
  <c r="DK73" i="23"/>
  <c r="DJ73" i="23"/>
  <c r="DI73" i="23"/>
  <c r="DH73" i="23"/>
  <c r="DG73" i="23"/>
  <c r="DF73" i="23"/>
  <c r="DE73" i="23"/>
  <c r="DD73" i="23"/>
  <c r="DC73" i="23"/>
  <c r="DB73" i="23"/>
  <c r="DA73" i="23"/>
  <c r="CZ73" i="23"/>
  <c r="CY73" i="23"/>
  <c r="CX73" i="23"/>
  <c r="CW73" i="23"/>
  <c r="CV73" i="23"/>
  <c r="CU73" i="23"/>
  <c r="CT73" i="23"/>
  <c r="CS73" i="23"/>
  <c r="CR73" i="23"/>
  <c r="CQ73" i="23"/>
  <c r="CP73" i="23"/>
  <c r="CO73" i="23"/>
  <c r="CN73" i="23"/>
  <c r="CM73" i="23"/>
  <c r="CL73" i="23"/>
  <c r="CK73" i="23"/>
  <c r="CJ73" i="23"/>
  <c r="CI73" i="23"/>
  <c r="CH73" i="23"/>
  <c r="CG73" i="23"/>
  <c r="CF73" i="23"/>
  <c r="CE73" i="23"/>
  <c r="CD73" i="23"/>
  <c r="CC73" i="23"/>
  <c r="CB73" i="23"/>
  <c r="CA73" i="23"/>
  <c r="BZ73" i="23"/>
  <c r="BY73" i="23"/>
  <c r="BX73" i="23"/>
  <c r="BW73" i="23"/>
  <c r="BV73" i="23"/>
  <c r="BU73" i="23"/>
  <c r="BT73" i="23"/>
  <c r="BS73" i="23"/>
  <c r="BR73" i="23"/>
  <c r="BQ73" i="23"/>
  <c r="BP73" i="23"/>
  <c r="BO73" i="23"/>
  <c r="BN73" i="23"/>
  <c r="BM73" i="23"/>
  <c r="BL73" i="23"/>
  <c r="BK73" i="23"/>
  <c r="BJ73" i="23"/>
  <c r="BI73" i="23"/>
  <c r="BH73" i="23"/>
  <c r="BG73" i="23"/>
  <c r="BF73" i="23"/>
  <c r="BE73" i="23"/>
  <c r="BD73" i="23"/>
  <c r="BC73" i="23"/>
  <c r="BB73" i="23"/>
  <c r="BA73" i="23"/>
  <c r="AZ73" i="23"/>
  <c r="AY73" i="23"/>
  <c r="AX73" i="23"/>
  <c r="AW73" i="23"/>
  <c r="AV73" i="23"/>
  <c r="AU73" i="23"/>
  <c r="AT73" i="23"/>
  <c r="AS73" i="23"/>
  <c r="AR73" i="23"/>
  <c r="AQ73" i="23"/>
  <c r="AP73" i="23"/>
  <c r="AO73" i="23"/>
  <c r="AN73" i="23"/>
  <c r="AM73" i="23"/>
  <c r="AL73" i="23"/>
  <c r="AK73" i="23"/>
  <c r="AJ73" i="23"/>
  <c r="AI73" i="23"/>
  <c r="AH73" i="23"/>
  <c r="AG73" i="23"/>
  <c r="AF73" i="23"/>
  <c r="AE73" i="23"/>
  <c r="AD73" i="23"/>
  <c r="AC73" i="23"/>
  <c r="AB73" i="23"/>
  <c r="AA73" i="23"/>
  <c r="Z73" i="23"/>
  <c r="Y73" i="23"/>
  <c r="X73" i="23"/>
  <c r="W73" i="23"/>
  <c r="V73" i="23"/>
  <c r="U73" i="23"/>
  <c r="T73" i="23"/>
  <c r="S73" i="23"/>
  <c r="R73" i="23"/>
  <c r="Q73" i="23"/>
  <c r="P73" i="23"/>
  <c r="O73" i="23"/>
  <c r="N73" i="23"/>
  <c r="M73" i="23"/>
  <c r="L73" i="23"/>
  <c r="K73" i="23"/>
  <c r="J73" i="23"/>
  <c r="I73" i="23"/>
  <c r="H73" i="23"/>
  <c r="G73" i="23"/>
  <c r="F73" i="23"/>
  <c r="E73" i="23"/>
  <c r="D73" i="23"/>
  <c r="C73" i="23"/>
  <c r="B73" i="23"/>
  <c r="NT71" i="23"/>
  <c r="NS71" i="23"/>
  <c r="NR71" i="23"/>
  <c r="NQ71" i="23"/>
  <c r="NP71" i="23"/>
  <c r="NO71" i="23"/>
  <c r="NN71" i="23"/>
  <c r="NM71" i="23"/>
  <c r="NL71" i="23"/>
  <c r="NK71" i="23"/>
  <c r="NJ71" i="23"/>
  <c r="NI71" i="23"/>
  <c r="NH71" i="23"/>
  <c r="NG71" i="23"/>
  <c r="NF71" i="23"/>
  <c r="NE71" i="23"/>
  <c r="ND71" i="23"/>
  <c r="NC71" i="23"/>
  <c r="NB71" i="23"/>
  <c r="NA71" i="23"/>
  <c r="MZ71" i="23"/>
  <c r="MY71" i="23"/>
  <c r="MX71" i="23"/>
  <c r="MW71" i="23"/>
  <c r="MV71" i="23"/>
  <c r="MU71" i="23"/>
  <c r="MT71" i="23"/>
  <c r="MS71" i="23"/>
  <c r="MR71" i="23"/>
  <c r="MQ71" i="23"/>
  <c r="MP71" i="23"/>
  <c r="MO71" i="23"/>
  <c r="MN71" i="23"/>
  <c r="MM71" i="23"/>
  <c r="ML71" i="23"/>
  <c r="MK71" i="23"/>
  <c r="MJ71" i="23"/>
  <c r="MI71" i="23"/>
  <c r="MH71" i="23"/>
  <c r="MG71" i="23"/>
  <c r="MF71" i="23"/>
  <c r="ME71" i="23"/>
  <c r="MD71" i="23"/>
  <c r="MC71" i="23"/>
  <c r="MB71" i="23"/>
  <c r="MA71" i="23"/>
  <c r="LZ71" i="23"/>
  <c r="LY71" i="23"/>
  <c r="LX71" i="23"/>
  <c r="LW71" i="23"/>
  <c r="LV71" i="23"/>
  <c r="LU71" i="23"/>
  <c r="LT71" i="23"/>
  <c r="LS71" i="23"/>
  <c r="LR71" i="23"/>
  <c r="LQ71" i="23"/>
  <c r="LP71" i="23"/>
  <c r="LO71" i="23"/>
  <c r="LN71" i="23"/>
  <c r="LM71" i="23"/>
  <c r="LL71" i="23"/>
  <c r="LK71" i="23"/>
  <c r="LJ71" i="23"/>
  <c r="LI71" i="23"/>
  <c r="LH71" i="23"/>
  <c r="LG71" i="23"/>
  <c r="LF71" i="23"/>
  <c r="LE71" i="23"/>
  <c r="LD71" i="23"/>
  <c r="LC71" i="23"/>
  <c r="LB71" i="23"/>
  <c r="LA71" i="23"/>
  <c r="KZ71" i="23"/>
  <c r="KY71" i="23"/>
  <c r="KX71" i="23"/>
  <c r="KW71" i="23"/>
  <c r="KV71" i="23"/>
  <c r="KU71" i="23"/>
  <c r="KT71" i="23"/>
  <c r="KS71" i="23"/>
  <c r="KR71" i="23"/>
  <c r="KQ71" i="23"/>
  <c r="KP71" i="23"/>
  <c r="KO71" i="23"/>
  <c r="KN71" i="23"/>
  <c r="KM71" i="23"/>
  <c r="KL71" i="23"/>
  <c r="KK71" i="23"/>
  <c r="KJ71" i="23"/>
  <c r="KI71" i="23"/>
  <c r="KH71" i="23"/>
  <c r="KG71" i="23"/>
  <c r="KF71" i="23"/>
  <c r="KE71" i="23"/>
  <c r="KD71" i="23"/>
  <c r="KC71" i="23"/>
  <c r="KB71" i="23"/>
  <c r="KA71" i="23"/>
  <c r="JZ71" i="23"/>
  <c r="JY71" i="23"/>
  <c r="JX71" i="23"/>
  <c r="JW71" i="23"/>
  <c r="JV71" i="23"/>
  <c r="JU71" i="23"/>
  <c r="JT71" i="23"/>
  <c r="JS71" i="23"/>
  <c r="JR71" i="23"/>
  <c r="JQ71" i="23"/>
  <c r="JP71" i="23"/>
  <c r="JO71" i="23"/>
  <c r="JN71" i="23"/>
  <c r="JM71" i="23"/>
  <c r="JL71" i="23"/>
  <c r="JK71" i="23"/>
  <c r="JJ71" i="23"/>
  <c r="JI71" i="23"/>
  <c r="JH71" i="23"/>
  <c r="JG71" i="23"/>
  <c r="JF71" i="23"/>
  <c r="JE71" i="23"/>
  <c r="JD71" i="23"/>
  <c r="JC71" i="23"/>
  <c r="JB71" i="23"/>
  <c r="JA71" i="23"/>
  <c r="IZ71" i="23"/>
  <c r="IY71" i="23"/>
  <c r="IX71" i="23"/>
  <c r="IW71" i="23"/>
  <c r="IV71" i="23"/>
  <c r="IU71" i="23"/>
  <c r="IT71" i="23"/>
  <c r="IS71" i="23"/>
  <c r="IR71" i="23"/>
  <c r="IQ71" i="23"/>
  <c r="IP71" i="23"/>
  <c r="IO71" i="23"/>
  <c r="IN71" i="23"/>
  <c r="IM71" i="23"/>
  <c r="IL71" i="23"/>
  <c r="IK71" i="23"/>
  <c r="IJ71" i="23"/>
  <c r="II71" i="23"/>
  <c r="IH71" i="23"/>
  <c r="IG71" i="23"/>
  <c r="IF71" i="23"/>
  <c r="IE71" i="23"/>
  <c r="ID71" i="23"/>
  <c r="IC71" i="23"/>
  <c r="IB71" i="23"/>
  <c r="IA71" i="23"/>
  <c r="HZ71" i="23"/>
  <c r="HY71" i="23"/>
  <c r="HX71" i="23"/>
  <c r="HW71" i="23"/>
  <c r="HV71" i="23"/>
  <c r="HU71" i="23"/>
  <c r="HT71" i="23"/>
  <c r="HS71" i="23"/>
  <c r="HR71" i="23"/>
  <c r="HQ71" i="23"/>
  <c r="HP71" i="23"/>
  <c r="HO71" i="23"/>
  <c r="HN71" i="23"/>
  <c r="HM71" i="23"/>
  <c r="HL71" i="23"/>
  <c r="HK71" i="23"/>
  <c r="HJ71" i="23"/>
  <c r="HI71" i="23"/>
  <c r="HH71" i="23"/>
  <c r="HG71" i="23"/>
  <c r="HF71" i="23"/>
  <c r="HE71" i="23"/>
  <c r="HD71" i="23"/>
  <c r="HC71" i="23"/>
  <c r="HB71" i="23"/>
  <c r="HA71" i="23"/>
  <c r="GZ71" i="23"/>
  <c r="GY71" i="23"/>
  <c r="GX71" i="23"/>
  <c r="GW71" i="23"/>
  <c r="GV71" i="23"/>
  <c r="GU71" i="23"/>
  <c r="GT71" i="23"/>
  <c r="GS71" i="23"/>
  <c r="GR71" i="23"/>
  <c r="GQ71" i="23"/>
  <c r="GP71" i="23"/>
  <c r="GO71" i="23"/>
  <c r="GN71" i="23"/>
  <c r="GM71" i="23"/>
  <c r="GL71" i="23"/>
  <c r="GK71" i="23"/>
  <c r="GJ71" i="23"/>
  <c r="GI71" i="23"/>
  <c r="GH71" i="23"/>
  <c r="GG71" i="23"/>
  <c r="GF71" i="23"/>
  <c r="GE71" i="23"/>
  <c r="GD71" i="23"/>
  <c r="GC71" i="23"/>
  <c r="GB71" i="23"/>
  <c r="GA71" i="23"/>
  <c r="FZ71" i="23"/>
  <c r="FY71" i="23"/>
  <c r="FX71" i="23"/>
  <c r="FW71" i="23"/>
  <c r="FV71" i="23"/>
  <c r="FU71" i="23"/>
  <c r="FT71" i="23"/>
  <c r="FS71" i="23"/>
  <c r="FR71" i="23"/>
  <c r="FQ71" i="23"/>
  <c r="FP71" i="23"/>
  <c r="FO71" i="23"/>
  <c r="FN71" i="23"/>
  <c r="FM71" i="23"/>
  <c r="FL71" i="23"/>
  <c r="FK71" i="23"/>
  <c r="FJ71" i="23"/>
  <c r="FI71" i="23"/>
  <c r="FH71" i="23"/>
  <c r="FG71" i="23"/>
  <c r="FF71" i="23"/>
  <c r="FE71" i="23"/>
  <c r="FD71" i="23"/>
  <c r="FC71" i="23"/>
  <c r="FB71" i="23"/>
  <c r="FA71" i="23"/>
  <c r="EZ71" i="23"/>
  <c r="EY71" i="23"/>
  <c r="EX71" i="23"/>
  <c r="EW71" i="23"/>
  <c r="EV71" i="23"/>
  <c r="EU71" i="23"/>
  <c r="ET71" i="23"/>
  <c r="ES71" i="23"/>
  <c r="ER71" i="23"/>
  <c r="EQ71" i="23"/>
  <c r="EP71" i="23"/>
  <c r="EO71" i="23"/>
  <c r="EN71" i="23"/>
  <c r="EM71" i="23"/>
  <c r="EL71" i="23"/>
  <c r="EK71" i="23"/>
  <c r="EJ71" i="23"/>
  <c r="EI71" i="23"/>
  <c r="EH71" i="23"/>
  <c r="EG71" i="23"/>
  <c r="EF71" i="23"/>
  <c r="EE71" i="23"/>
  <c r="ED71" i="23"/>
  <c r="EC71" i="23"/>
  <c r="EB71" i="23"/>
  <c r="EA71" i="23"/>
  <c r="DZ71" i="23"/>
  <c r="DY71" i="23"/>
  <c r="DX71" i="23"/>
  <c r="DW71" i="23"/>
  <c r="DV71" i="23"/>
  <c r="DU71" i="23"/>
  <c r="DT71" i="23"/>
  <c r="DS71" i="23"/>
  <c r="DR71" i="23"/>
  <c r="DQ71" i="23"/>
  <c r="DP71" i="23"/>
  <c r="DO71" i="23"/>
  <c r="DN71" i="23"/>
  <c r="DM71" i="23"/>
  <c r="DL71" i="23"/>
  <c r="DK71" i="23"/>
  <c r="DJ71" i="23"/>
  <c r="DI71" i="23"/>
  <c r="DH71" i="23"/>
  <c r="DG71" i="23"/>
  <c r="DF71" i="23"/>
  <c r="DE71" i="23"/>
  <c r="DD71" i="23"/>
  <c r="DC71" i="23"/>
  <c r="DB71" i="23"/>
  <c r="DA71" i="23"/>
  <c r="CZ71" i="23"/>
  <c r="CY71" i="23"/>
  <c r="CX71" i="23"/>
  <c r="CW71" i="23"/>
  <c r="CV71" i="23"/>
  <c r="CU71" i="23"/>
  <c r="CT71" i="23"/>
  <c r="CS71" i="23"/>
  <c r="CR71" i="23"/>
  <c r="CQ71" i="23"/>
  <c r="CP71" i="23"/>
  <c r="CO71" i="23"/>
  <c r="CN71" i="23"/>
  <c r="CM71" i="23"/>
  <c r="CL71" i="23"/>
  <c r="CK71" i="23"/>
  <c r="CJ71" i="23"/>
  <c r="CI71" i="23"/>
  <c r="CH71" i="23"/>
  <c r="CG71" i="23"/>
  <c r="CF71" i="23"/>
  <c r="CE71" i="23"/>
  <c r="CD71" i="23"/>
  <c r="CC71" i="23"/>
  <c r="CB71" i="23"/>
  <c r="CA71" i="23"/>
  <c r="BZ71" i="23"/>
  <c r="BY71" i="23"/>
  <c r="BX71" i="23"/>
  <c r="BW71" i="23"/>
  <c r="BV71" i="23"/>
  <c r="BU71" i="23"/>
  <c r="BT71" i="23"/>
  <c r="BS71" i="23"/>
  <c r="BR71" i="23"/>
  <c r="BQ71" i="23"/>
  <c r="BP71" i="23"/>
  <c r="BO71" i="23"/>
  <c r="BN71" i="23"/>
  <c r="BM71" i="23"/>
  <c r="BL71" i="23"/>
  <c r="BK71" i="23"/>
  <c r="BJ71" i="23"/>
  <c r="BI71" i="23"/>
  <c r="BH71" i="23"/>
  <c r="BG71" i="23"/>
  <c r="BF71" i="23"/>
  <c r="BE71" i="23"/>
  <c r="BD71" i="23"/>
  <c r="BC71" i="23"/>
  <c r="BB71" i="23"/>
  <c r="BA71" i="23"/>
  <c r="AZ71" i="23"/>
  <c r="AY71" i="23"/>
  <c r="AX71" i="23"/>
  <c r="AW71" i="23"/>
  <c r="AV71" i="23"/>
  <c r="AU71" i="23"/>
  <c r="AT71" i="23"/>
  <c r="AS71" i="23"/>
  <c r="AR71" i="23"/>
  <c r="AQ71" i="23"/>
  <c r="AP71" i="23"/>
  <c r="AO71" i="23"/>
  <c r="AN71" i="23"/>
  <c r="AM71" i="23"/>
  <c r="AL71" i="23"/>
  <c r="AK71" i="23"/>
  <c r="AJ71" i="23"/>
  <c r="AI71" i="23"/>
  <c r="AH71" i="23"/>
  <c r="AG71" i="23"/>
  <c r="AF71" i="23"/>
  <c r="AE71" i="23"/>
  <c r="AD71" i="23"/>
  <c r="AC71" i="23"/>
  <c r="AB71" i="23"/>
  <c r="AA71" i="23"/>
  <c r="Z71" i="23"/>
  <c r="Y71" i="23"/>
  <c r="X71" i="23"/>
  <c r="W71" i="23"/>
  <c r="V71" i="23"/>
  <c r="U71" i="23"/>
  <c r="T71" i="23"/>
  <c r="S71" i="23"/>
  <c r="R71" i="23"/>
  <c r="Q71" i="23"/>
  <c r="P71" i="23"/>
  <c r="O71" i="23"/>
  <c r="N71" i="23"/>
  <c r="M71" i="23"/>
  <c r="L71" i="23"/>
  <c r="K71" i="23"/>
  <c r="J71" i="23"/>
  <c r="I71" i="23"/>
  <c r="H71" i="23"/>
  <c r="G71" i="23"/>
  <c r="F71" i="23"/>
  <c r="E71" i="23"/>
  <c r="D71" i="23"/>
  <c r="C71" i="23"/>
  <c r="B71" i="23"/>
  <c r="NT6" i="22" l="1"/>
  <c r="NT7" i="22"/>
  <c r="NT8" i="22"/>
  <c r="NT9" i="22"/>
  <c r="NT10" i="22"/>
  <c r="NT11" i="22"/>
  <c r="NT12" i="22"/>
  <c r="NT13" i="22"/>
  <c r="NT14" i="22"/>
  <c r="NT15" i="22"/>
  <c r="NT16" i="22"/>
  <c r="NT17" i="22"/>
  <c r="NT18" i="22"/>
  <c r="NT19" i="22"/>
  <c r="NT20" i="22"/>
  <c r="NT21" i="22"/>
  <c r="NT22" i="22"/>
  <c r="NT23" i="22"/>
  <c r="NT24" i="22"/>
  <c r="NT25" i="22"/>
  <c r="NT26" i="22"/>
  <c r="NT27" i="22"/>
  <c r="NT28" i="22"/>
  <c r="NT29" i="22"/>
  <c r="NT30" i="22"/>
  <c r="NT31" i="22"/>
  <c r="NT32" i="22"/>
  <c r="NT33" i="22"/>
  <c r="NT34" i="22"/>
  <c r="NT35" i="22"/>
  <c r="NT36" i="22"/>
  <c r="NT37" i="22"/>
  <c r="NT38" i="22"/>
  <c r="NT39" i="22"/>
  <c r="NT40" i="22"/>
  <c r="NT41" i="22"/>
  <c r="NT42" i="22"/>
  <c r="NT43" i="22"/>
  <c r="NT44" i="22"/>
  <c r="NT45" i="22"/>
  <c r="NT46" i="22"/>
  <c r="NT47" i="22"/>
  <c r="NT48" i="22"/>
  <c r="NT49" i="22"/>
  <c r="NT50" i="22"/>
  <c r="NT51" i="22"/>
  <c r="NT52" i="22"/>
  <c r="NT53" i="22"/>
  <c r="NT54" i="22"/>
  <c r="NT55" i="22"/>
  <c r="NT56" i="22"/>
  <c r="NT57" i="22"/>
  <c r="NT58" i="22"/>
  <c r="NT59" i="22"/>
  <c r="NT60" i="22"/>
  <c r="NT61" i="22"/>
  <c r="NT62" i="22"/>
  <c r="NT63" i="22"/>
  <c r="NT64" i="22"/>
  <c r="NT65" i="22"/>
  <c r="NT66" i="22"/>
  <c r="NT67" i="22"/>
  <c r="NT68" i="22"/>
  <c r="NT69" i="22"/>
  <c r="NT5" i="22"/>
  <c r="NR6" i="22"/>
  <c r="NR7" i="22"/>
  <c r="NR8" i="22"/>
  <c r="NR9" i="22"/>
  <c r="NR10" i="22"/>
  <c r="NR11" i="22"/>
  <c r="NR12" i="22"/>
  <c r="NR13" i="22"/>
  <c r="NR14" i="22"/>
  <c r="NR15" i="22"/>
  <c r="NR16" i="22"/>
  <c r="NR17" i="22"/>
  <c r="NR18" i="22"/>
  <c r="NR19" i="22"/>
  <c r="NR20" i="22"/>
  <c r="NR21" i="22"/>
  <c r="NR22" i="22"/>
  <c r="NR23" i="22"/>
  <c r="NR24" i="22"/>
  <c r="NR25" i="22"/>
  <c r="NR26" i="22"/>
  <c r="NR27" i="22"/>
  <c r="NR28" i="22"/>
  <c r="NR29" i="22"/>
  <c r="NR30" i="22"/>
  <c r="NR31" i="22"/>
  <c r="NR32" i="22"/>
  <c r="NR33" i="22"/>
  <c r="NR34" i="22"/>
  <c r="NR35" i="22"/>
  <c r="NR36" i="22"/>
  <c r="NR37" i="22"/>
  <c r="NR38" i="22"/>
  <c r="NR39" i="22"/>
  <c r="NR40" i="22"/>
  <c r="NR41" i="22"/>
  <c r="NR42" i="22"/>
  <c r="NR43" i="22"/>
  <c r="NR44" i="22"/>
  <c r="NR45" i="22"/>
  <c r="NR46" i="22"/>
  <c r="NR47" i="22"/>
  <c r="NR48" i="22"/>
  <c r="NR49" i="22"/>
  <c r="NR50" i="22"/>
  <c r="NR51" i="22"/>
  <c r="NR52" i="22"/>
  <c r="NR53" i="22"/>
  <c r="NR54" i="22"/>
  <c r="NR55" i="22"/>
  <c r="NR56" i="22"/>
  <c r="NR57" i="22"/>
  <c r="NR58" i="22"/>
  <c r="NR59" i="22"/>
  <c r="NR60" i="22"/>
  <c r="NR61" i="22"/>
  <c r="NR62" i="22"/>
  <c r="NR63" i="22"/>
  <c r="NR64" i="22"/>
  <c r="NR65" i="22"/>
  <c r="NR66" i="22"/>
  <c r="NR67" i="22"/>
  <c r="NR68" i="22"/>
  <c r="NR69" i="22"/>
  <c r="NR5" i="22"/>
  <c r="NU5" i="22"/>
  <c r="NU6" i="22"/>
  <c r="NU7" i="22"/>
  <c r="NU8" i="22"/>
  <c r="NU9" i="22"/>
  <c r="NU10" i="22"/>
  <c r="NU11" i="22"/>
  <c r="NU12" i="22"/>
  <c r="NU13" i="22"/>
  <c r="NU14" i="22"/>
  <c r="NU15" i="22"/>
  <c r="NU16" i="22"/>
  <c r="NU17" i="22"/>
  <c r="NU18" i="22"/>
  <c r="NU19" i="22"/>
  <c r="NU20" i="22"/>
  <c r="NU21" i="22"/>
  <c r="NU22" i="22"/>
  <c r="NU23" i="22"/>
  <c r="NU24" i="22"/>
  <c r="NU25" i="22"/>
  <c r="NU26" i="22"/>
  <c r="NU27" i="22"/>
  <c r="NU28" i="22"/>
  <c r="NU29" i="22"/>
  <c r="NU30" i="22"/>
  <c r="NU31" i="22"/>
  <c r="NU32" i="22"/>
  <c r="NU33" i="22"/>
  <c r="NU34" i="22"/>
  <c r="NU35" i="22"/>
  <c r="NU36" i="22"/>
  <c r="NU37" i="22"/>
  <c r="NU38" i="22"/>
  <c r="NU39" i="22"/>
  <c r="NU40" i="22"/>
  <c r="NU41" i="22"/>
  <c r="NU42" i="22"/>
  <c r="NU43" i="22"/>
  <c r="NU44" i="22"/>
  <c r="NU45" i="22"/>
  <c r="NU46" i="22"/>
  <c r="NU47" i="22"/>
  <c r="NU48" i="22"/>
  <c r="NU49" i="22"/>
  <c r="NU50" i="22"/>
  <c r="NU51" i="22"/>
  <c r="NU52" i="22"/>
  <c r="NU53" i="22"/>
  <c r="NU54" i="22"/>
  <c r="NU55" i="22"/>
  <c r="NU56" i="22"/>
  <c r="NU57" i="22"/>
  <c r="NU58" i="22"/>
  <c r="NU59" i="22"/>
  <c r="NU60" i="22"/>
  <c r="NU61" i="22"/>
  <c r="NU62" i="22"/>
  <c r="NU63" i="22"/>
  <c r="NU64" i="22"/>
  <c r="NU65" i="22"/>
  <c r="NU66" i="22"/>
  <c r="NU67" i="22"/>
  <c r="NU68" i="22"/>
  <c r="NU69" i="22"/>
  <c r="NS5" i="22"/>
  <c r="NS6" i="22"/>
  <c r="NS7" i="22"/>
  <c r="NS8" i="22"/>
  <c r="NQ5" i="22"/>
  <c r="NO5" i="22"/>
  <c r="NN5" i="22"/>
  <c r="NM5" i="22"/>
  <c r="NL5" i="22"/>
  <c r="NK5" i="22"/>
  <c r="NJ5" i="22"/>
  <c r="NI5" i="22"/>
  <c r="NH5" i="22"/>
  <c r="NG5" i="22"/>
  <c r="NF5" i="22"/>
  <c r="NE5" i="22"/>
  <c r="ND5" i="22"/>
  <c r="ND6" i="22"/>
  <c r="NE6" i="22"/>
  <c r="NF6" i="22"/>
  <c r="NG6" i="22"/>
  <c r="NH6" i="22"/>
  <c r="NI6" i="22"/>
  <c r="NJ6" i="22"/>
  <c r="NK6" i="22"/>
  <c r="NL6" i="22"/>
  <c r="NM6" i="22"/>
  <c r="NN6" i="22"/>
  <c r="NO6" i="22"/>
  <c r="NQ6" i="22"/>
  <c r="ND7" i="22"/>
  <c r="NE7" i="22"/>
  <c r="NF7" i="22"/>
  <c r="NG7" i="22"/>
  <c r="NH7" i="22"/>
  <c r="NI7" i="22"/>
  <c r="NJ7" i="22"/>
  <c r="NK7" i="22"/>
  <c r="NL7" i="22"/>
  <c r="NM7" i="22"/>
  <c r="NN7" i="22"/>
  <c r="NO7" i="22"/>
  <c r="NQ7" i="22"/>
  <c r="C5" i="22"/>
  <c r="D5" i="22"/>
  <c r="E5" i="22"/>
  <c r="F5" i="22"/>
  <c r="G5" i="22"/>
  <c r="H5" i="22"/>
  <c r="I5" i="22"/>
  <c r="J5" i="22"/>
  <c r="K5" i="22"/>
  <c r="L5" i="22"/>
  <c r="M5" i="22"/>
  <c r="N5" i="22"/>
  <c r="O5" i="22"/>
  <c r="P5" i="22"/>
  <c r="Q5" i="22"/>
  <c r="R5" i="22"/>
  <c r="S5" i="22"/>
  <c r="T5" i="22"/>
  <c r="U5" i="22"/>
  <c r="V5" i="22"/>
  <c r="W5" i="22"/>
  <c r="X5" i="22"/>
  <c r="Y5" i="22"/>
  <c r="Z5" i="22"/>
  <c r="AA5" i="22"/>
  <c r="AB5" i="22"/>
  <c r="AC5" i="22"/>
  <c r="AD5" i="22"/>
  <c r="AE5" i="22"/>
  <c r="AF5" i="22"/>
  <c r="AG5" i="22"/>
  <c r="AH5" i="22"/>
  <c r="AI5" i="22"/>
  <c r="AJ5" i="22"/>
  <c r="AK5" i="22"/>
  <c r="AL5" i="22"/>
  <c r="AM5" i="22"/>
  <c r="AN5" i="22"/>
  <c r="AO5" i="22"/>
  <c r="AP5" i="22"/>
  <c r="AQ5" i="22"/>
  <c r="AR5" i="22"/>
  <c r="AS5" i="22"/>
  <c r="AT5" i="22"/>
  <c r="AU5" i="22"/>
  <c r="AV5" i="22"/>
  <c r="AW5" i="22"/>
  <c r="AX5" i="22"/>
  <c r="AY5" i="22"/>
  <c r="AZ5" i="22"/>
  <c r="BA5" i="22"/>
  <c r="BB5" i="22"/>
  <c r="BC5" i="22"/>
  <c r="BD5" i="22"/>
  <c r="BE5" i="22"/>
  <c r="BF5" i="22"/>
  <c r="BG5" i="22"/>
  <c r="BH5" i="22"/>
  <c r="BI5" i="22"/>
  <c r="BJ5" i="22"/>
  <c r="BK5" i="22"/>
  <c r="BL5" i="22"/>
  <c r="BM5" i="22"/>
  <c r="BN5" i="22"/>
  <c r="BO5" i="22"/>
  <c r="BP5" i="22"/>
  <c r="BQ5" i="22"/>
  <c r="BR5" i="22"/>
  <c r="BS5" i="22"/>
  <c r="BT5" i="22"/>
  <c r="BU5" i="22"/>
  <c r="BV5" i="22"/>
  <c r="BW5" i="22"/>
  <c r="BX5" i="22"/>
  <c r="BY5" i="22"/>
  <c r="BZ5" i="22"/>
  <c r="CA5" i="22"/>
  <c r="CB5" i="22"/>
  <c r="CC5" i="22"/>
  <c r="CD5" i="22"/>
  <c r="CE5" i="22"/>
  <c r="CF5" i="22"/>
  <c r="CG5" i="22"/>
  <c r="CH5" i="22"/>
  <c r="CI5" i="22"/>
  <c r="CJ5" i="22"/>
  <c r="CK5" i="22"/>
  <c r="CL5" i="22"/>
  <c r="CM5" i="22"/>
  <c r="CN5" i="22"/>
  <c r="CO5" i="22"/>
  <c r="CP5" i="22"/>
  <c r="CQ5" i="22"/>
  <c r="CR5" i="22"/>
  <c r="CS5" i="22"/>
  <c r="CT5" i="22"/>
  <c r="CU5" i="22"/>
  <c r="CV5" i="22"/>
  <c r="CW5" i="22"/>
  <c r="CX5" i="22"/>
  <c r="CY5" i="22"/>
  <c r="CZ5" i="22"/>
  <c r="DA5" i="22"/>
  <c r="DB5" i="22"/>
  <c r="DC5" i="22"/>
  <c r="DD5" i="22"/>
  <c r="DE5" i="22"/>
  <c r="DF5" i="22"/>
  <c r="DG5" i="22"/>
  <c r="DH5" i="22"/>
  <c r="DI5" i="22"/>
  <c r="DJ5" i="22"/>
  <c r="DK5" i="22"/>
  <c r="DL5" i="22"/>
  <c r="DM5" i="22"/>
  <c r="DN5" i="22"/>
  <c r="DO5" i="22"/>
  <c r="DP5" i="22"/>
  <c r="DQ5" i="22"/>
  <c r="DR5" i="22"/>
  <c r="DS5" i="22"/>
  <c r="DT5" i="22"/>
  <c r="DU5" i="22"/>
  <c r="DV5" i="22"/>
  <c r="DW5" i="22"/>
  <c r="DX5" i="22"/>
  <c r="DY5" i="22"/>
  <c r="DZ5" i="22"/>
  <c r="EA5" i="22"/>
  <c r="EB5" i="22"/>
  <c r="EC5" i="22"/>
  <c r="ED5" i="22"/>
  <c r="EE5" i="22"/>
  <c r="EF5" i="22"/>
  <c r="EG5" i="22"/>
  <c r="EH5" i="22"/>
  <c r="EI5" i="22"/>
  <c r="EJ5" i="22"/>
  <c r="EK5" i="22"/>
  <c r="EL5" i="22"/>
  <c r="EM5" i="22"/>
  <c r="EN5" i="22"/>
  <c r="EO5" i="22"/>
  <c r="EP5" i="22"/>
  <c r="EQ5" i="22"/>
  <c r="ER5" i="22"/>
  <c r="ES5" i="22"/>
  <c r="ET5" i="22"/>
  <c r="EU5" i="22"/>
  <c r="EV5" i="22"/>
  <c r="EW5" i="22"/>
  <c r="EX5" i="22"/>
  <c r="EY5" i="22"/>
  <c r="EZ5" i="22"/>
  <c r="FA5" i="22"/>
  <c r="FB5" i="22"/>
  <c r="FC5" i="22"/>
  <c r="FD5" i="22"/>
  <c r="FE5" i="22"/>
  <c r="FF5" i="22"/>
  <c r="FG5" i="22"/>
  <c r="FH5" i="22"/>
  <c r="FI5" i="22"/>
  <c r="FJ5" i="22"/>
  <c r="FK5" i="22"/>
  <c r="FL5" i="22"/>
  <c r="FM5" i="22"/>
  <c r="FN5" i="22"/>
  <c r="FO5" i="22"/>
  <c r="FP5" i="22"/>
  <c r="FQ5" i="22"/>
  <c r="FR5" i="22"/>
  <c r="FS5" i="22"/>
  <c r="FT5" i="22"/>
  <c r="FU5" i="22"/>
  <c r="FV5" i="22"/>
  <c r="FW5" i="22"/>
  <c r="FX5" i="22"/>
  <c r="FY5" i="22"/>
  <c r="FZ5" i="22"/>
  <c r="GA5" i="22"/>
  <c r="GB5" i="22"/>
  <c r="GC5" i="22"/>
  <c r="GD5" i="22"/>
  <c r="GE5" i="22"/>
  <c r="GF5" i="22"/>
  <c r="GG5" i="22"/>
  <c r="GH5" i="22"/>
  <c r="GI5" i="22"/>
  <c r="GJ5" i="22"/>
  <c r="GK5" i="22"/>
  <c r="GL5" i="22"/>
  <c r="GM5" i="22"/>
  <c r="GN5" i="22"/>
  <c r="GO5" i="22"/>
  <c r="GP5" i="22"/>
  <c r="GQ5" i="22"/>
  <c r="GR5" i="22"/>
  <c r="GS5" i="22"/>
  <c r="GT5" i="22"/>
  <c r="GU5" i="22"/>
  <c r="GV5" i="22"/>
  <c r="GW5" i="22"/>
  <c r="GX5" i="22"/>
  <c r="GY5" i="22"/>
  <c r="GZ5" i="22"/>
  <c r="HA5" i="22"/>
  <c r="HB5" i="22"/>
  <c r="HC5" i="22"/>
  <c r="HD5" i="22"/>
  <c r="HE5" i="22"/>
  <c r="HF5" i="22"/>
  <c r="HG5" i="22"/>
  <c r="HH5" i="22"/>
  <c r="HI5" i="22"/>
  <c r="HJ5" i="22"/>
  <c r="HK5" i="22"/>
  <c r="HL5" i="22"/>
  <c r="HM5" i="22"/>
  <c r="HN5" i="22"/>
  <c r="HO5" i="22"/>
  <c r="HP5" i="22"/>
  <c r="HQ5" i="22"/>
  <c r="HR5" i="22"/>
  <c r="HS5" i="22"/>
  <c r="HT5" i="22"/>
  <c r="HU5" i="22"/>
  <c r="HV5" i="22"/>
  <c r="HW5" i="22"/>
  <c r="HX5" i="22"/>
  <c r="HY5" i="22"/>
  <c r="HZ5" i="22"/>
  <c r="IA5" i="22"/>
  <c r="IB5" i="22"/>
  <c r="IC5" i="22"/>
  <c r="ID5" i="22"/>
  <c r="IE5" i="22"/>
  <c r="IF5" i="22"/>
  <c r="IG5" i="22"/>
  <c r="IH5" i="22"/>
  <c r="II5" i="22"/>
  <c r="IJ5" i="22"/>
  <c r="IK5" i="22"/>
  <c r="IL5" i="22"/>
  <c r="IM5" i="22"/>
  <c r="IN5" i="22"/>
  <c r="IO5" i="22"/>
  <c r="IP5" i="22"/>
  <c r="IQ5" i="22"/>
  <c r="IR5" i="22"/>
  <c r="IS5" i="22"/>
  <c r="IT5" i="22"/>
  <c r="IU5" i="22"/>
  <c r="IV5" i="22"/>
  <c r="IW5" i="22"/>
  <c r="IX5" i="22"/>
  <c r="IY5" i="22"/>
  <c r="IZ5" i="22"/>
  <c r="JA5" i="22"/>
  <c r="JB5" i="22"/>
  <c r="JC5" i="22"/>
  <c r="JD5" i="22"/>
  <c r="JE5" i="22"/>
  <c r="JF5" i="22"/>
  <c r="JG5" i="22"/>
  <c r="JH5" i="22"/>
  <c r="JI5" i="22"/>
  <c r="JJ5" i="22"/>
  <c r="JK5" i="22"/>
  <c r="JL5" i="22"/>
  <c r="JM5" i="22"/>
  <c r="JN5" i="22"/>
  <c r="JO5" i="22"/>
  <c r="JP5" i="22"/>
  <c r="JQ5" i="22"/>
  <c r="JR5" i="22"/>
  <c r="JS5" i="22"/>
  <c r="JT5" i="22"/>
  <c r="JU5" i="22"/>
  <c r="JV5" i="22"/>
  <c r="JW5" i="22"/>
  <c r="JX5" i="22"/>
  <c r="JY5" i="22"/>
  <c r="JZ5" i="22"/>
  <c r="KA5" i="22"/>
  <c r="KB5" i="22"/>
  <c r="KC5" i="22"/>
  <c r="KD5" i="22"/>
  <c r="KE5" i="22"/>
  <c r="KF5" i="22"/>
  <c r="KG5" i="22"/>
  <c r="KH5" i="22"/>
  <c r="KI5" i="22"/>
  <c r="KJ5" i="22"/>
  <c r="KK5" i="22"/>
  <c r="KL5" i="22"/>
  <c r="KM5" i="22"/>
  <c r="KN5" i="22"/>
  <c r="KO5" i="22"/>
  <c r="KP5" i="22"/>
  <c r="KQ5" i="22"/>
  <c r="KR5" i="22"/>
  <c r="KS5" i="22"/>
  <c r="KT5" i="22"/>
  <c r="KU5" i="22"/>
  <c r="KV5" i="22"/>
  <c r="KW5" i="22"/>
  <c r="KX5" i="22"/>
  <c r="KY5" i="22"/>
  <c r="KZ5" i="22"/>
  <c r="LA5" i="22"/>
  <c r="LB5" i="22"/>
  <c r="LC5" i="22"/>
  <c r="LD5" i="22"/>
  <c r="LE5" i="22"/>
  <c r="LF5" i="22"/>
  <c r="LG5" i="22"/>
  <c r="LH5" i="22"/>
  <c r="LI5" i="22"/>
  <c r="LJ5" i="22"/>
  <c r="LK5" i="22"/>
  <c r="LL5" i="22"/>
  <c r="LM5" i="22"/>
  <c r="LN5" i="22"/>
  <c r="LO5" i="22"/>
  <c r="LP5" i="22"/>
  <c r="LQ5" i="22"/>
  <c r="LR5" i="22"/>
  <c r="LS5" i="22"/>
  <c r="LT5" i="22"/>
  <c r="LU5" i="22"/>
  <c r="LV5" i="22"/>
  <c r="LW5" i="22"/>
  <c r="LX5" i="22"/>
  <c r="LY5" i="22"/>
  <c r="LZ5" i="22"/>
  <c r="MA5" i="22"/>
  <c r="MB5" i="22"/>
  <c r="MC5" i="22"/>
  <c r="MD5" i="22"/>
  <c r="ME5" i="22"/>
  <c r="MF5" i="22"/>
  <c r="MG5" i="22"/>
  <c r="MH5" i="22"/>
  <c r="MI5" i="22"/>
  <c r="MJ5" i="22"/>
  <c r="MK5" i="22"/>
  <c r="ML5" i="22"/>
  <c r="MM5" i="22"/>
  <c r="MN5" i="22"/>
  <c r="MO5" i="22"/>
  <c r="MP5" i="22"/>
  <c r="MQ5" i="22"/>
  <c r="MR5" i="22"/>
  <c r="MS5" i="22"/>
  <c r="MT5" i="22"/>
  <c r="MU5" i="22"/>
  <c r="MV5" i="22"/>
  <c r="MW5" i="22"/>
  <c r="MX5" i="22"/>
  <c r="MY5" i="22"/>
  <c r="MZ5" i="22"/>
  <c r="NA5" i="22"/>
  <c r="NB5" i="22"/>
  <c r="NC5" i="22"/>
  <c r="C6" i="22"/>
  <c r="D6" i="22"/>
  <c r="E6" i="22"/>
  <c r="F6" i="22"/>
  <c r="G6" i="22"/>
  <c r="H6" i="22"/>
  <c r="I6" i="22"/>
  <c r="J6" i="22"/>
  <c r="K6" i="22"/>
  <c r="L6" i="22"/>
  <c r="M6" i="22"/>
  <c r="N6" i="22"/>
  <c r="O6" i="22"/>
  <c r="P6" i="22"/>
  <c r="Q6" i="22"/>
  <c r="R6" i="22"/>
  <c r="S6" i="22"/>
  <c r="T6" i="22"/>
  <c r="U6" i="22"/>
  <c r="V6" i="22"/>
  <c r="W6" i="22"/>
  <c r="X6" i="22"/>
  <c r="Y6" i="22"/>
  <c r="Z6" i="22"/>
  <c r="AA6" i="22"/>
  <c r="AB6" i="22"/>
  <c r="AC6" i="22"/>
  <c r="AD6" i="22"/>
  <c r="AE6" i="22"/>
  <c r="AF6" i="22"/>
  <c r="AG6" i="22"/>
  <c r="AH6" i="22"/>
  <c r="AI6" i="22"/>
  <c r="AJ6" i="22"/>
  <c r="AK6" i="22"/>
  <c r="AL6" i="22"/>
  <c r="AM6" i="22"/>
  <c r="AN6" i="22"/>
  <c r="AO6" i="22"/>
  <c r="AP6" i="22"/>
  <c r="AQ6" i="22"/>
  <c r="AR6" i="22"/>
  <c r="AS6" i="22"/>
  <c r="AT6" i="22"/>
  <c r="AU6" i="22"/>
  <c r="AV6" i="22"/>
  <c r="AW6" i="22"/>
  <c r="AX6" i="22"/>
  <c r="AY6" i="22"/>
  <c r="AZ6" i="22"/>
  <c r="BA6" i="22"/>
  <c r="BB6" i="22"/>
  <c r="BC6" i="22"/>
  <c r="BD6" i="22"/>
  <c r="BE6" i="22"/>
  <c r="BF6" i="22"/>
  <c r="BG6" i="22"/>
  <c r="BH6" i="22"/>
  <c r="BJ6" i="22"/>
  <c r="BK6" i="22"/>
  <c r="BL6" i="22"/>
  <c r="BM6" i="22"/>
  <c r="BN6" i="22"/>
  <c r="BO6" i="22"/>
  <c r="BP6" i="22"/>
  <c r="BQ6" i="22"/>
  <c r="BR6" i="22"/>
  <c r="BS6" i="22"/>
  <c r="BT6" i="22"/>
  <c r="BU6" i="22"/>
  <c r="BV6" i="22"/>
  <c r="BW6" i="22"/>
  <c r="BX6" i="22"/>
  <c r="BY6" i="22"/>
  <c r="BZ6" i="22"/>
  <c r="CA6" i="22"/>
  <c r="CB6" i="22"/>
  <c r="CC6" i="22"/>
  <c r="CD6" i="22"/>
  <c r="CE6" i="22"/>
  <c r="CF6" i="22"/>
  <c r="CG6" i="22"/>
  <c r="CH6" i="22"/>
  <c r="CI6" i="22"/>
  <c r="CJ6" i="22"/>
  <c r="CK6" i="22"/>
  <c r="CL6" i="22"/>
  <c r="CM6" i="22"/>
  <c r="CN6" i="22"/>
  <c r="CO6" i="22"/>
  <c r="CP6" i="22"/>
  <c r="CQ6" i="22"/>
  <c r="CR6" i="22"/>
  <c r="CS6" i="22"/>
  <c r="CT6" i="22"/>
  <c r="CU6" i="22"/>
  <c r="CV6" i="22"/>
  <c r="CW6" i="22"/>
  <c r="CX6" i="22"/>
  <c r="CY6" i="22"/>
  <c r="CZ6" i="22"/>
  <c r="DA6" i="22"/>
  <c r="DB6" i="22"/>
  <c r="DC6" i="22"/>
  <c r="DD6" i="22"/>
  <c r="DE6" i="22"/>
  <c r="DF6" i="22"/>
  <c r="DG6" i="22"/>
  <c r="DH6" i="22"/>
  <c r="DI6" i="22"/>
  <c r="DJ6" i="22"/>
  <c r="DK6" i="22"/>
  <c r="DL6" i="22"/>
  <c r="DM6" i="22"/>
  <c r="DN6" i="22"/>
  <c r="DO6" i="22"/>
  <c r="DP6" i="22"/>
  <c r="DQ6" i="22"/>
  <c r="DR6" i="22"/>
  <c r="DS6" i="22"/>
  <c r="DT6" i="22"/>
  <c r="DU6" i="22"/>
  <c r="DV6" i="22"/>
  <c r="DW6" i="22"/>
  <c r="DX6" i="22"/>
  <c r="DY6" i="22"/>
  <c r="DZ6" i="22"/>
  <c r="EA6" i="22"/>
  <c r="EB6" i="22"/>
  <c r="EC6" i="22"/>
  <c r="ED6" i="22"/>
  <c r="EE6" i="22"/>
  <c r="EF6" i="22"/>
  <c r="EG6" i="22"/>
  <c r="EH6" i="22"/>
  <c r="EI6" i="22"/>
  <c r="EJ6" i="22"/>
  <c r="EK6" i="22"/>
  <c r="EL6" i="22"/>
  <c r="EM6" i="22"/>
  <c r="EN6" i="22"/>
  <c r="EO6" i="22"/>
  <c r="EP6" i="22"/>
  <c r="EQ6" i="22"/>
  <c r="ER6" i="22"/>
  <c r="ES6" i="22"/>
  <c r="ET6" i="22"/>
  <c r="EU6" i="22"/>
  <c r="EV6" i="22"/>
  <c r="EW6" i="22"/>
  <c r="EX6" i="22"/>
  <c r="EY6" i="22"/>
  <c r="EZ6" i="22"/>
  <c r="FA6" i="22"/>
  <c r="FB6" i="22"/>
  <c r="FC6" i="22"/>
  <c r="FD6" i="22"/>
  <c r="FE6" i="22"/>
  <c r="FF6" i="22"/>
  <c r="FG6" i="22"/>
  <c r="FH6" i="22"/>
  <c r="FI6" i="22"/>
  <c r="FJ6" i="22"/>
  <c r="FK6" i="22"/>
  <c r="FL6" i="22"/>
  <c r="FM6" i="22"/>
  <c r="FN6" i="22"/>
  <c r="FO6" i="22"/>
  <c r="FP6" i="22"/>
  <c r="FQ6" i="22"/>
  <c r="FR6" i="22"/>
  <c r="FS6" i="22"/>
  <c r="FT6" i="22"/>
  <c r="FU6" i="22"/>
  <c r="FV6" i="22"/>
  <c r="FW6" i="22"/>
  <c r="FX6" i="22"/>
  <c r="FY6" i="22"/>
  <c r="FZ6" i="22"/>
  <c r="GA6" i="22"/>
  <c r="GB6" i="22"/>
  <c r="GC6" i="22"/>
  <c r="GD6" i="22"/>
  <c r="GE6" i="22"/>
  <c r="GF6" i="22"/>
  <c r="GG6" i="22"/>
  <c r="GH6" i="22"/>
  <c r="GI6" i="22"/>
  <c r="GJ6" i="22"/>
  <c r="GK6" i="22"/>
  <c r="GL6" i="22"/>
  <c r="GM6" i="22"/>
  <c r="GN6" i="22"/>
  <c r="GO6" i="22"/>
  <c r="GP6" i="22"/>
  <c r="GQ6" i="22"/>
  <c r="GR6" i="22"/>
  <c r="GS6" i="22"/>
  <c r="GT6" i="22"/>
  <c r="GU6" i="22"/>
  <c r="GV6" i="22"/>
  <c r="GW6" i="22"/>
  <c r="GX6" i="22"/>
  <c r="GY6" i="22"/>
  <c r="GZ6" i="22"/>
  <c r="HA6" i="22"/>
  <c r="HB6" i="22"/>
  <c r="HC6" i="22"/>
  <c r="HD6" i="22"/>
  <c r="HE6" i="22"/>
  <c r="HF6" i="22"/>
  <c r="HG6" i="22"/>
  <c r="HH6" i="22"/>
  <c r="HI6" i="22"/>
  <c r="HJ6" i="22"/>
  <c r="HK6" i="22"/>
  <c r="HL6" i="22"/>
  <c r="HM6" i="22"/>
  <c r="HN6" i="22"/>
  <c r="HO6" i="22"/>
  <c r="HP6" i="22"/>
  <c r="HQ6" i="22"/>
  <c r="HR6" i="22"/>
  <c r="HS6" i="22"/>
  <c r="HT6" i="22"/>
  <c r="HU6" i="22"/>
  <c r="HV6" i="22"/>
  <c r="HW6" i="22"/>
  <c r="HX6" i="22"/>
  <c r="HY6" i="22"/>
  <c r="HZ6" i="22"/>
  <c r="IA6" i="22"/>
  <c r="IB6" i="22"/>
  <c r="IC6" i="22"/>
  <c r="ID6" i="22"/>
  <c r="IE6" i="22"/>
  <c r="IF6" i="22"/>
  <c r="IG6" i="22"/>
  <c r="IH6" i="22"/>
  <c r="II6" i="22"/>
  <c r="IJ6" i="22"/>
  <c r="IK6" i="22"/>
  <c r="IL6" i="22"/>
  <c r="IM6" i="22"/>
  <c r="IN6" i="22"/>
  <c r="IO6" i="22"/>
  <c r="IP6" i="22"/>
  <c r="IQ6" i="22"/>
  <c r="IR6" i="22"/>
  <c r="IS6" i="22"/>
  <c r="IT6" i="22"/>
  <c r="IU6" i="22"/>
  <c r="IV6" i="22"/>
  <c r="IW6" i="22"/>
  <c r="IX6" i="22"/>
  <c r="IY6" i="22"/>
  <c r="IZ6" i="22"/>
  <c r="JA6" i="22"/>
  <c r="JB6" i="22"/>
  <c r="JC6" i="22"/>
  <c r="JD6" i="22"/>
  <c r="JE6" i="22"/>
  <c r="JF6" i="22"/>
  <c r="JG6" i="22"/>
  <c r="JH6" i="22"/>
  <c r="JI6" i="22"/>
  <c r="JJ6" i="22"/>
  <c r="JK6" i="22"/>
  <c r="JL6" i="22"/>
  <c r="JM6" i="22"/>
  <c r="JN6" i="22"/>
  <c r="JO6" i="22"/>
  <c r="JP6" i="22"/>
  <c r="JQ6" i="22"/>
  <c r="JR6" i="22"/>
  <c r="JS6" i="22"/>
  <c r="JT6" i="22"/>
  <c r="JU6" i="22"/>
  <c r="JV6" i="22"/>
  <c r="JW6" i="22"/>
  <c r="JX6" i="22"/>
  <c r="JY6" i="22"/>
  <c r="JZ6" i="22"/>
  <c r="KA6" i="22"/>
  <c r="KB6" i="22"/>
  <c r="KC6" i="22"/>
  <c r="KD6" i="22"/>
  <c r="KE6" i="22"/>
  <c r="KF6" i="22"/>
  <c r="KG6" i="22"/>
  <c r="KH6" i="22"/>
  <c r="KI6" i="22"/>
  <c r="KJ6" i="22"/>
  <c r="KK6" i="22"/>
  <c r="KL6" i="22"/>
  <c r="KM6" i="22"/>
  <c r="KN6" i="22"/>
  <c r="KO6" i="22"/>
  <c r="KP6" i="22"/>
  <c r="KQ6" i="22"/>
  <c r="KR6" i="22"/>
  <c r="KS6" i="22"/>
  <c r="KT6" i="22"/>
  <c r="KU6" i="22"/>
  <c r="KV6" i="22"/>
  <c r="KW6" i="22"/>
  <c r="KX6" i="22"/>
  <c r="KY6" i="22"/>
  <c r="KZ6" i="22"/>
  <c r="LA6" i="22"/>
  <c r="LB6" i="22"/>
  <c r="LC6" i="22"/>
  <c r="LD6" i="22"/>
  <c r="LE6" i="22"/>
  <c r="LF6" i="22"/>
  <c r="LG6" i="22"/>
  <c r="LH6" i="22"/>
  <c r="LI6" i="22"/>
  <c r="LJ6" i="22"/>
  <c r="LK6" i="22"/>
  <c r="LL6" i="22"/>
  <c r="LM6" i="22"/>
  <c r="LN6" i="22"/>
  <c r="LO6" i="22"/>
  <c r="LP6" i="22"/>
  <c r="LQ6" i="22"/>
  <c r="LR6" i="22"/>
  <c r="LS6" i="22"/>
  <c r="LT6" i="22"/>
  <c r="LU6" i="22"/>
  <c r="LV6" i="22"/>
  <c r="LW6" i="22"/>
  <c r="LX6" i="22"/>
  <c r="LY6" i="22"/>
  <c r="LZ6" i="22"/>
  <c r="MA6" i="22"/>
  <c r="MB6" i="22"/>
  <c r="MC6" i="22"/>
  <c r="MD6" i="22"/>
  <c r="ME6" i="22"/>
  <c r="MF6" i="22"/>
  <c r="MG6" i="22"/>
  <c r="MH6" i="22"/>
  <c r="MI6" i="22"/>
  <c r="MJ6" i="22"/>
  <c r="MK6" i="22"/>
  <c r="ML6" i="22"/>
  <c r="MM6" i="22"/>
  <c r="MN6" i="22"/>
  <c r="MO6" i="22"/>
  <c r="MP6" i="22"/>
  <c r="MQ6" i="22"/>
  <c r="MR6" i="22"/>
  <c r="MS6" i="22"/>
  <c r="MT6" i="22"/>
  <c r="MU6" i="22"/>
  <c r="MV6" i="22"/>
  <c r="MW6" i="22"/>
  <c r="MX6" i="22"/>
  <c r="MY6" i="22"/>
  <c r="MZ6" i="22"/>
  <c r="NA6" i="22"/>
  <c r="NB6" i="22"/>
  <c r="C7" i="22"/>
  <c r="D7" i="22"/>
  <c r="E7" i="22"/>
  <c r="F7" i="22"/>
  <c r="G7" i="22"/>
  <c r="H7" i="22"/>
  <c r="I7" i="22"/>
  <c r="J7" i="22"/>
  <c r="K7" i="22"/>
  <c r="L7" i="22"/>
  <c r="M7" i="22"/>
  <c r="N7" i="22"/>
  <c r="O7" i="22"/>
  <c r="P7" i="22"/>
  <c r="Q7" i="22"/>
  <c r="R7" i="22"/>
  <c r="S7" i="22"/>
  <c r="T7" i="22"/>
  <c r="U7" i="22"/>
  <c r="V7" i="22"/>
  <c r="W7" i="22"/>
  <c r="X7" i="22"/>
  <c r="Y7" i="22"/>
  <c r="Z7" i="22"/>
  <c r="AA7" i="22"/>
  <c r="AB7" i="22"/>
  <c r="AC7" i="22"/>
  <c r="AD7" i="22"/>
  <c r="AE7" i="22"/>
  <c r="AF7" i="22"/>
  <c r="AG7" i="22"/>
  <c r="AH7" i="22"/>
  <c r="AI7" i="22"/>
  <c r="AJ7" i="22"/>
  <c r="AK7" i="22"/>
  <c r="AL7" i="22"/>
  <c r="AM7" i="22"/>
  <c r="AN7" i="22"/>
  <c r="AO7" i="22"/>
  <c r="AP7" i="22"/>
  <c r="AQ7" i="22"/>
  <c r="AR7" i="22"/>
  <c r="AS7" i="22"/>
  <c r="AT7" i="22"/>
  <c r="AU7" i="22"/>
  <c r="AV7" i="22"/>
  <c r="AW7" i="22"/>
  <c r="AX7" i="22"/>
  <c r="AY7" i="22"/>
  <c r="AZ7" i="22"/>
  <c r="BA7" i="22"/>
  <c r="BB7" i="22"/>
  <c r="BC7" i="22"/>
  <c r="BD7" i="22"/>
  <c r="BE7" i="22"/>
  <c r="BF7" i="22"/>
  <c r="BG7" i="22"/>
  <c r="BH7" i="22"/>
  <c r="BJ7" i="22"/>
  <c r="BK7" i="22"/>
  <c r="BL7" i="22"/>
  <c r="BM7" i="22"/>
  <c r="BN7" i="22"/>
  <c r="BO7" i="22"/>
  <c r="BP7" i="22"/>
  <c r="BQ7" i="22"/>
  <c r="BR7" i="22"/>
  <c r="BS7" i="22"/>
  <c r="BT7" i="22"/>
  <c r="BU7" i="22"/>
  <c r="BV7" i="22"/>
  <c r="BW7" i="22"/>
  <c r="BX7" i="22"/>
  <c r="BY7" i="22"/>
  <c r="BZ7" i="22"/>
  <c r="CA7" i="22"/>
  <c r="CB7" i="22"/>
  <c r="CC7" i="22"/>
  <c r="CD7" i="22"/>
  <c r="CE7" i="22"/>
  <c r="CF7" i="22"/>
  <c r="CG7" i="22"/>
  <c r="CH7" i="22"/>
  <c r="CI7" i="22"/>
  <c r="CJ7" i="22"/>
  <c r="CK7" i="22"/>
  <c r="CL7" i="22"/>
  <c r="CM7" i="22"/>
  <c r="CN7" i="22"/>
  <c r="CO7" i="22"/>
  <c r="CP7" i="22"/>
  <c r="CQ7" i="22"/>
  <c r="CR7" i="22"/>
  <c r="CS7" i="22"/>
  <c r="CT7" i="22"/>
  <c r="CU7" i="22"/>
  <c r="CV7" i="22"/>
  <c r="CW7" i="22"/>
  <c r="CX7" i="22"/>
  <c r="CY7" i="22"/>
  <c r="CZ7" i="22"/>
  <c r="DA7" i="22"/>
  <c r="DB7" i="22"/>
  <c r="DC7" i="22"/>
  <c r="DD7" i="22"/>
  <c r="DE7" i="22"/>
  <c r="DF7" i="22"/>
  <c r="DG7" i="22"/>
  <c r="DH7" i="22"/>
  <c r="DI7" i="22"/>
  <c r="DJ7" i="22"/>
  <c r="DK7" i="22"/>
  <c r="DL7" i="22"/>
  <c r="DM7" i="22"/>
  <c r="DN7" i="22"/>
  <c r="DO7" i="22"/>
  <c r="DP7" i="22"/>
  <c r="DQ7" i="22"/>
  <c r="DR7" i="22"/>
  <c r="DS7" i="22"/>
  <c r="DT7" i="22"/>
  <c r="DU7" i="22"/>
  <c r="DV7" i="22"/>
  <c r="DW7" i="22"/>
  <c r="DX7" i="22"/>
  <c r="DY7" i="22"/>
  <c r="DZ7" i="22"/>
  <c r="EA7" i="22"/>
  <c r="EB7" i="22"/>
  <c r="EC7" i="22"/>
  <c r="ED7" i="22"/>
  <c r="EE7" i="22"/>
  <c r="EF7" i="22"/>
  <c r="EG7" i="22"/>
  <c r="EH7" i="22"/>
  <c r="EI7" i="22"/>
  <c r="EJ7" i="22"/>
  <c r="EK7" i="22"/>
  <c r="EL7" i="22"/>
  <c r="EM7" i="22"/>
  <c r="EN7" i="22"/>
  <c r="EO7" i="22"/>
  <c r="EP7" i="22"/>
  <c r="EQ7" i="22"/>
  <c r="ER7" i="22"/>
  <c r="ES7" i="22"/>
  <c r="ET7" i="22"/>
  <c r="EU7" i="22"/>
  <c r="EV7" i="22"/>
  <c r="EW7" i="22"/>
  <c r="EX7" i="22"/>
  <c r="EY7" i="22"/>
  <c r="EZ7" i="22"/>
  <c r="FA7" i="22"/>
  <c r="FB7" i="22"/>
  <c r="FC7" i="22"/>
  <c r="FD7" i="22"/>
  <c r="FE7" i="22"/>
  <c r="FF7" i="22"/>
  <c r="FG7" i="22"/>
  <c r="FH7" i="22"/>
  <c r="FI7" i="22"/>
  <c r="FJ7" i="22"/>
  <c r="FK7" i="22"/>
  <c r="FL7" i="22"/>
  <c r="FM7" i="22"/>
  <c r="FN7" i="22"/>
  <c r="FO7" i="22"/>
  <c r="FP7" i="22"/>
  <c r="FQ7" i="22"/>
  <c r="FR7" i="22"/>
  <c r="FS7" i="22"/>
  <c r="FT7" i="22"/>
  <c r="FU7" i="22"/>
  <c r="FV7" i="22"/>
  <c r="FW7" i="22"/>
  <c r="FX7" i="22"/>
  <c r="FY7" i="22"/>
  <c r="FZ7" i="22"/>
  <c r="GA7" i="22"/>
  <c r="GB7" i="22"/>
  <c r="GC7" i="22"/>
  <c r="GD7" i="22"/>
  <c r="GE7" i="22"/>
  <c r="GF7" i="22"/>
  <c r="GG7" i="22"/>
  <c r="GH7" i="22"/>
  <c r="GI7" i="22"/>
  <c r="GJ7" i="22"/>
  <c r="GK7" i="22"/>
  <c r="GL7" i="22"/>
  <c r="GM7" i="22"/>
  <c r="GN7" i="22"/>
  <c r="GO7" i="22"/>
  <c r="GP7" i="22"/>
  <c r="GQ7" i="22"/>
  <c r="GR7" i="22"/>
  <c r="GS7" i="22"/>
  <c r="GT7" i="22"/>
  <c r="GU7" i="22"/>
  <c r="GV7" i="22"/>
  <c r="GW7" i="22"/>
  <c r="GX7" i="22"/>
  <c r="GY7" i="22"/>
  <c r="GZ7" i="22"/>
  <c r="HA7" i="22"/>
  <c r="HB7" i="22"/>
  <c r="HC7" i="22"/>
  <c r="HD7" i="22"/>
  <c r="HE7" i="22"/>
  <c r="HF7" i="22"/>
  <c r="HG7" i="22"/>
  <c r="HH7" i="22"/>
  <c r="HI7" i="22"/>
  <c r="HJ7" i="22"/>
  <c r="HK7" i="22"/>
  <c r="HL7" i="22"/>
  <c r="HM7" i="22"/>
  <c r="HN7" i="22"/>
  <c r="HO7" i="22"/>
  <c r="HP7" i="22"/>
  <c r="HQ7" i="22"/>
  <c r="HR7" i="22"/>
  <c r="HS7" i="22"/>
  <c r="HT7" i="22"/>
  <c r="HU7" i="22"/>
  <c r="HV7" i="22"/>
  <c r="HW7" i="22"/>
  <c r="HX7" i="22"/>
  <c r="HY7" i="22"/>
  <c r="HZ7" i="22"/>
  <c r="IA7" i="22"/>
  <c r="IB7" i="22"/>
  <c r="IC7" i="22"/>
  <c r="ID7" i="22"/>
  <c r="IE7" i="22"/>
  <c r="IF7" i="22"/>
  <c r="IG7" i="22"/>
  <c r="IH7" i="22"/>
  <c r="II7" i="22"/>
  <c r="IJ7" i="22"/>
  <c r="IK7" i="22"/>
  <c r="IL7" i="22"/>
  <c r="IM7" i="22"/>
  <c r="IN7" i="22"/>
  <c r="IO7" i="22"/>
  <c r="IP7" i="22"/>
  <c r="IQ7" i="22"/>
  <c r="IR7" i="22"/>
  <c r="IS7" i="22"/>
  <c r="IT7" i="22"/>
  <c r="IU7" i="22"/>
  <c r="IV7" i="22"/>
  <c r="IW7" i="22"/>
  <c r="IX7" i="22"/>
  <c r="IY7" i="22"/>
  <c r="IZ7" i="22"/>
  <c r="JA7" i="22"/>
  <c r="JB7" i="22"/>
  <c r="JC7" i="22"/>
  <c r="JD7" i="22"/>
  <c r="JE7" i="22"/>
  <c r="JF7" i="22"/>
  <c r="JG7" i="22"/>
  <c r="JH7" i="22"/>
  <c r="JI7" i="22"/>
  <c r="JJ7" i="22"/>
  <c r="JK7" i="22"/>
  <c r="JL7" i="22"/>
  <c r="JM7" i="22"/>
  <c r="JN7" i="22"/>
  <c r="JO7" i="22"/>
  <c r="JP7" i="22"/>
  <c r="JQ7" i="22"/>
  <c r="JR7" i="22"/>
  <c r="JS7" i="22"/>
  <c r="JT7" i="22"/>
  <c r="JU7" i="22"/>
  <c r="JV7" i="22"/>
  <c r="JW7" i="22"/>
  <c r="JX7" i="22"/>
  <c r="JY7" i="22"/>
  <c r="JZ7" i="22"/>
  <c r="KA7" i="22"/>
  <c r="KB7" i="22"/>
  <c r="KC7" i="22"/>
  <c r="KD7" i="22"/>
  <c r="KE7" i="22"/>
  <c r="KF7" i="22"/>
  <c r="KG7" i="22"/>
  <c r="KH7" i="22"/>
  <c r="KI7" i="22"/>
  <c r="KJ7" i="22"/>
  <c r="KK7" i="22"/>
  <c r="KL7" i="22"/>
  <c r="KM7" i="22"/>
  <c r="KN7" i="22"/>
  <c r="KO7" i="22"/>
  <c r="KP7" i="22"/>
  <c r="KQ7" i="22"/>
  <c r="KR7" i="22"/>
  <c r="KS7" i="22"/>
  <c r="KT7" i="22"/>
  <c r="KU7" i="22"/>
  <c r="KV7" i="22"/>
  <c r="KW7" i="22"/>
  <c r="KX7" i="22"/>
  <c r="KY7" i="22"/>
  <c r="KZ7" i="22"/>
  <c r="LA7" i="22"/>
  <c r="LB7" i="22"/>
  <c r="LC7" i="22"/>
  <c r="LD7" i="22"/>
  <c r="LE7" i="22"/>
  <c r="LF7" i="22"/>
  <c r="LG7" i="22"/>
  <c r="LH7" i="22"/>
  <c r="LI7" i="22"/>
  <c r="LJ7" i="22"/>
  <c r="LK7" i="22"/>
  <c r="LL7" i="22"/>
  <c r="LM7" i="22"/>
  <c r="LN7" i="22"/>
  <c r="LO7" i="22"/>
  <c r="LP7" i="22"/>
  <c r="LQ7" i="22"/>
  <c r="LR7" i="22"/>
  <c r="LS7" i="22"/>
  <c r="LT7" i="22"/>
  <c r="LU7" i="22"/>
  <c r="LV7" i="22"/>
  <c r="LW7" i="22"/>
  <c r="LX7" i="22"/>
  <c r="LY7" i="22"/>
  <c r="LZ7" i="22"/>
  <c r="MA7" i="22"/>
  <c r="MB7" i="22"/>
  <c r="MC7" i="22"/>
  <c r="MD7" i="22"/>
  <c r="ME7" i="22"/>
  <c r="MF7" i="22"/>
  <c r="MG7" i="22"/>
  <c r="MH7" i="22"/>
  <c r="MI7" i="22"/>
  <c r="MJ7" i="22"/>
  <c r="MK7" i="22"/>
  <c r="ML7" i="22"/>
  <c r="MM7" i="22"/>
  <c r="MN7" i="22"/>
  <c r="MO7" i="22"/>
  <c r="MP7" i="22"/>
  <c r="MQ7" i="22"/>
  <c r="MR7" i="22"/>
  <c r="MS7" i="22"/>
  <c r="MT7" i="22"/>
  <c r="MU7" i="22"/>
  <c r="MV7" i="22"/>
  <c r="MW7" i="22"/>
  <c r="MX7" i="22"/>
  <c r="MY7" i="22"/>
  <c r="MZ7" i="22"/>
  <c r="NA7" i="22"/>
  <c r="NB7" i="22"/>
  <c r="B5" i="22"/>
  <c r="B6" i="22"/>
  <c r="B7" i="22"/>
  <c r="NS69" i="22"/>
  <c r="NQ69" i="22"/>
  <c r="NO69" i="22"/>
  <c r="NN69" i="22"/>
  <c r="NM69" i="22"/>
  <c r="NL69" i="22"/>
  <c r="NK69" i="22"/>
  <c r="NJ69" i="22"/>
  <c r="NI69" i="22"/>
  <c r="NH69" i="22"/>
  <c r="NG69" i="22"/>
  <c r="NF69" i="22"/>
  <c r="NE69" i="22"/>
  <c r="ND69" i="22"/>
  <c r="C69" i="22"/>
  <c r="D69" i="22"/>
  <c r="E69" i="22"/>
  <c r="F69" i="22"/>
  <c r="G69" i="22"/>
  <c r="H69" i="22"/>
  <c r="I69" i="22"/>
  <c r="J69" i="22"/>
  <c r="K69" i="22"/>
  <c r="L69" i="22"/>
  <c r="M69" i="22"/>
  <c r="N69" i="22"/>
  <c r="O69" i="22"/>
  <c r="P69" i="22"/>
  <c r="Q69" i="22"/>
  <c r="R69" i="22"/>
  <c r="S69" i="22"/>
  <c r="T69" i="22"/>
  <c r="U69" i="22"/>
  <c r="V69" i="22"/>
  <c r="W69" i="22"/>
  <c r="X69" i="22"/>
  <c r="Y69" i="22"/>
  <c r="Z69" i="22"/>
  <c r="AA69" i="22"/>
  <c r="AB69" i="22"/>
  <c r="AC69" i="22"/>
  <c r="AD69" i="22"/>
  <c r="AE69" i="22"/>
  <c r="AF69" i="22"/>
  <c r="AG69" i="22"/>
  <c r="AH69" i="22"/>
  <c r="AI69" i="22"/>
  <c r="AJ69" i="22"/>
  <c r="AK69" i="22"/>
  <c r="AL69" i="22"/>
  <c r="AM69" i="22"/>
  <c r="AN69" i="22"/>
  <c r="AO69" i="22"/>
  <c r="AP69" i="22"/>
  <c r="AQ69" i="22"/>
  <c r="AR69" i="22"/>
  <c r="AS69" i="22"/>
  <c r="AT69" i="22"/>
  <c r="AU69" i="22"/>
  <c r="AV69" i="22"/>
  <c r="AW69" i="22"/>
  <c r="AX69" i="22"/>
  <c r="AY69" i="22"/>
  <c r="AZ69" i="22"/>
  <c r="BA69" i="22"/>
  <c r="BB69" i="22"/>
  <c r="BC69" i="22"/>
  <c r="BD69" i="22"/>
  <c r="BE69" i="22"/>
  <c r="BF69" i="22"/>
  <c r="BG69" i="22"/>
  <c r="BH69" i="22"/>
  <c r="BI69" i="22"/>
  <c r="BJ69" i="22"/>
  <c r="BK69" i="22"/>
  <c r="BL69" i="22"/>
  <c r="BM69" i="22"/>
  <c r="BN69" i="22"/>
  <c r="BO69" i="22"/>
  <c r="BP69" i="22"/>
  <c r="BQ69" i="22"/>
  <c r="BR69" i="22"/>
  <c r="BS69" i="22"/>
  <c r="BT69" i="22"/>
  <c r="BU69" i="22"/>
  <c r="BV69" i="22"/>
  <c r="BW69" i="22"/>
  <c r="BX69" i="22"/>
  <c r="BY69" i="22"/>
  <c r="BZ69" i="22"/>
  <c r="CA69" i="22"/>
  <c r="CB69" i="22"/>
  <c r="CC69" i="22"/>
  <c r="CD69" i="22"/>
  <c r="CE69" i="22"/>
  <c r="CF69" i="22"/>
  <c r="CG69" i="22"/>
  <c r="CH69" i="22"/>
  <c r="CI69" i="22"/>
  <c r="CJ69" i="22"/>
  <c r="CK69" i="22"/>
  <c r="CL69" i="22"/>
  <c r="CM69" i="22"/>
  <c r="CN69" i="22"/>
  <c r="CO69" i="22"/>
  <c r="CP69" i="22"/>
  <c r="CQ69" i="22"/>
  <c r="CR69" i="22"/>
  <c r="CS69" i="22"/>
  <c r="CT69" i="22"/>
  <c r="CU69" i="22"/>
  <c r="CV69" i="22"/>
  <c r="CW69" i="22"/>
  <c r="CX69" i="22"/>
  <c r="CY69" i="22"/>
  <c r="CZ69" i="22"/>
  <c r="DA69" i="22"/>
  <c r="DB69" i="22"/>
  <c r="DC69" i="22"/>
  <c r="DD69" i="22"/>
  <c r="DE69" i="22"/>
  <c r="DF69" i="22"/>
  <c r="DG69" i="22"/>
  <c r="DH69" i="22"/>
  <c r="DI69" i="22"/>
  <c r="DJ69" i="22"/>
  <c r="DK69" i="22"/>
  <c r="DL69" i="22"/>
  <c r="DM69" i="22"/>
  <c r="DN69" i="22"/>
  <c r="DO69" i="22"/>
  <c r="DP69" i="22"/>
  <c r="DQ69" i="22"/>
  <c r="DR69" i="22"/>
  <c r="DS69" i="22"/>
  <c r="DT69" i="22"/>
  <c r="DU69" i="22"/>
  <c r="DV69" i="22"/>
  <c r="DW69" i="22"/>
  <c r="DX69" i="22"/>
  <c r="DY69" i="22"/>
  <c r="DZ69" i="22"/>
  <c r="EA69" i="22"/>
  <c r="EB69" i="22"/>
  <c r="EC69" i="22"/>
  <c r="ED69" i="22"/>
  <c r="EE69" i="22"/>
  <c r="EF69" i="22"/>
  <c r="EG69" i="22"/>
  <c r="EH69" i="22"/>
  <c r="EI69" i="22"/>
  <c r="EJ69" i="22"/>
  <c r="EK69" i="22"/>
  <c r="EL69" i="22"/>
  <c r="EM69" i="22"/>
  <c r="EN69" i="22"/>
  <c r="EO69" i="22"/>
  <c r="EP69" i="22"/>
  <c r="EQ69" i="22"/>
  <c r="ER69" i="22"/>
  <c r="ES69" i="22"/>
  <c r="ET69" i="22"/>
  <c r="EU69" i="22"/>
  <c r="EV69" i="22"/>
  <c r="EW69" i="22"/>
  <c r="EX69" i="22"/>
  <c r="EY69" i="22"/>
  <c r="EZ69" i="22"/>
  <c r="FA69" i="22"/>
  <c r="FB69" i="22"/>
  <c r="FC69" i="22"/>
  <c r="FD69" i="22"/>
  <c r="FE69" i="22"/>
  <c r="FF69" i="22"/>
  <c r="FG69" i="22"/>
  <c r="FH69" i="22"/>
  <c r="FI69" i="22"/>
  <c r="FJ69" i="22"/>
  <c r="FK69" i="22"/>
  <c r="FL69" i="22"/>
  <c r="FM69" i="22"/>
  <c r="FN69" i="22"/>
  <c r="FO69" i="22"/>
  <c r="FP69" i="22"/>
  <c r="FQ69" i="22"/>
  <c r="FR69" i="22"/>
  <c r="FS69" i="22"/>
  <c r="FT69" i="22"/>
  <c r="FU69" i="22"/>
  <c r="FV69" i="22"/>
  <c r="FW69" i="22"/>
  <c r="FX69" i="22"/>
  <c r="FY69" i="22"/>
  <c r="FZ69" i="22"/>
  <c r="GA69" i="22"/>
  <c r="GB69" i="22"/>
  <c r="GC69" i="22"/>
  <c r="GD69" i="22"/>
  <c r="GE69" i="22"/>
  <c r="GF69" i="22"/>
  <c r="GG69" i="22"/>
  <c r="GH69" i="22"/>
  <c r="GI69" i="22"/>
  <c r="GJ69" i="22"/>
  <c r="GK69" i="22"/>
  <c r="GL69" i="22"/>
  <c r="GM69" i="22"/>
  <c r="GN69" i="22"/>
  <c r="GO69" i="22"/>
  <c r="GP69" i="22"/>
  <c r="GQ69" i="22"/>
  <c r="GR69" i="22"/>
  <c r="GS69" i="22"/>
  <c r="GT69" i="22"/>
  <c r="GU69" i="22"/>
  <c r="GV69" i="22"/>
  <c r="GW69" i="22"/>
  <c r="GX69" i="22"/>
  <c r="GY69" i="22"/>
  <c r="GZ69" i="22"/>
  <c r="HA69" i="22"/>
  <c r="HB69" i="22"/>
  <c r="HC69" i="22"/>
  <c r="HD69" i="22"/>
  <c r="HE69" i="22"/>
  <c r="HF69" i="22"/>
  <c r="HG69" i="22"/>
  <c r="HH69" i="22"/>
  <c r="HI69" i="22"/>
  <c r="HJ69" i="22"/>
  <c r="HK69" i="22"/>
  <c r="HL69" i="22"/>
  <c r="HM69" i="22"/>
  <c r="HN69" i="22"/>
  <c r="HO69" i="22"/>
  <c r="HP69" i="22"/>
  <c r="HQ69" i="22"/>
  <c r="HR69" i="22"/>
  <c r="HS69" i="22"/>
  <c r="HT69" i="22"/>
  <c r="HU69" i="22"/>
  <c r="HV69" i="22"/>
  <c r="HW69" i="22"/>
  <c r="HX69" i="22"/>
  <c r="HY69" i="22"/>
  <c r="HZ69" i="22"/>
  <c r="IA69" i="22"/>
  <c r="IB69" i="22"/>
  <c r="IC69" i="22"/>
  <c r="ID69" i="22"/>
  <c r="IE69" i="22"/>
  <c r="IF69" i="22"/>
  <c r="IG69" i="22"/>
  <c r="IH69" i="22"/>
  <c r="II69" i="22"/>
  <c r="IJ69" i="22"/>
  <c r="IK69" i="22"/>
  <c r="IL69" i="22"/>
  <c r="IM69" i="22"/>
  <c r="IN69" i="22"/>
  <c r="IO69" i="22"/>
  <c r="IP69" i="22"/>
  <c r="IQ69" i="22"/>
  <c r="IR69" i="22"/>
  <c r="IS69" i="22"/>
  <c r="IT69" i="22"/>
  <c r="IU69" i="22"/>
  <c r="IV69" i="22"/>
  <c r="IW69" i="22"/>
  <c r="IX69" i="22"/>
  <c r="IY69" i="22"/>
  <c r="IZ69" i="22"/>
  <c r="JA69" i="22"/>
  <c r="JB69" i="22"/>
  <c r="JC69" i="22"/>
  <c r="JD69" i="22"/>
  <c r="JE69" i="22"/>
  <c r="JF69" i="22"/>
  <c r="JG69" i="22"/>
  <c r="JH69" i="22"/>
  <c r="JI69" i="22"/>
  <c r="JJ69" i="22"/>
  <c r="JK69" i="22"/>
  <c r="JL69" i="22"/>
  <c r="JM69" i="22"/>
  <c r="JN69" i="22"/>
  <c r="JO69" i="22"/>
  <c r="JP69" i="22"/>
  <c r="JQ69" i="22"/>
  <c r="JR69" i="22"/>
  <c r="JS69" i="22"/>
  <c r="JT69" i="22"/>
  <c r="JU69" i="22"/>
  <c r="JV69" i="22"/>
  <c r="JW69" i="22"/>
  <c r="JX69" i="22"/>
  <c r="JY69" i="22"/>
  <c r="JZ69" i="22"/>
  <c r="KA69" i="22"/>
  <c r="KB69" i="22"/>
  <c r="KC69" i="22"/>
  <c r="KD69" i="22"/>
  <c r="KE69" i="22"/>
  <c r="KF69" i="22"/>
  <c r="KG69" i="22"/>
  <c r="KH69" i="22"/>
  <c r="KI69" i="22"/>
  <c r="KJ69" i="22"/>
  <c r="KK69" i="22"/>
  <c r="KL69" i="22"/>
  <c r="KM69" i="22"/>
  <c r="KN69" i="22"/>
  <c r="KO69" i="22"/>
  <c r="KP69" i="22"/>
  <c r="KQ69" i="22"/>
  <c r="KR69" i="22"/>
  <c r="KS69" i="22"/>
  <c r="KT69" i="22"/>
  <c r="KU69" i="22"/>
  <c r="KV69" i="22"/>
  <c r="KW69" i="22"/>
  <c r="KX69" i="22"/>
  <c r="KY69" i="22"/>
  <c r="KZ69" i="22"/>
  <c r="LA69" i="22"/>
  <c r="LB69" i="22"/>
  <c r="LC69" i="22"/>
  <c r="LD69" i="22"/>
  <c r="LE69" i="22"/>
  <c r="LF69" i="22"/>
  <c r="LG69" i="22"/>
  <c r="LH69" i="22"/>
  <c r="LI69" i="22"/>
  <c r="LJ69" i="22"/>
  <c r="LK69" i="22"/>
  <c r="LL69" i="22"/>
  <c r="LM69" i="22"/>
  <c r="LN69" i="22"/>
  <c r="LO69" i="22"/>
  <c r="LP69" i="22"/>
  <c r="LQ69" i="22"/>
  <c r="LR69" i="22"/>
  <c r="LS69" i="22"/>
  <c r="LT69" i="22"/>
  <c r="LU69" i="22"/>
  <c r="LV69" i="22"/>
  <c r="LW69" i="22"/>
  <c r="LX69" i="22"/>
  <c r="LY69" i="22"/>
  <c r="LZ69" i="22"/>
  <c r="MA69" i="22"/>
  <c r="MB69" i="22"/>
  <c r="MC69" i="22"/>
  <c r="MD69" i="22"/>
  <c r="ME69" i="22"/>
  <c r="MF69" i="22"/>
  <c r="MG69" i="22"/>
  <c r="MH69" i="22"/>
  <c r="MI69" i="22"/>
  <c r="MJ69" i="22"/>
  <c r="MK69" i="22"/>
  <c r="ML69" i="22"/>
  <c r="MM69" i="22"/>
  <c r="MN69" i="22"/>
  <c r="MO69" i="22"/>
  <c r="MP69" i="22"/>
  <c r="MQ69" i="22"/>
  <c r="MR69" i="22"/>
  <c r="MS69" i="22"/>
  <c r="MT69" i="22"/>
  <c r="MU69" i="22"/>
  <c r="MV69" i="22"/>
  <c r="MW69" i="22"/>
  <c r="MX69" i="22"/>
  <c r="MY69" i="22"/>
  <c r="MZ69" i="22"/>
  <c r="NA69" i="22"/>
  <c r="NB69" i="22"/>
  <c r="NC69" i="22"/>
  <c r="B69" i="22"/>
  <c r="B67" i="22"/>
  <c r="C67" i="22"/>
  <c r="D67" i="22"/>
  <c r="E67" i="22"/>
  <c r="F67" i="22"/>
  <c r="G67" i="22"/>
  <c r="H67" i="22"/>
  <c r="I67" i="22"/>
  <c r="J67" i="22"/>
  <c r="K67" i="22"/>
  <c r="L67" i="22"/>
  <c r="M67" i="22"/>
  <c r="N67" i="22"/>
  <c r="O67" i="22"/>
  <c r="P67" i="22"/>
  <c r="Q67" i="22"/>
  <c r="R67" i="22"/>
  <c r="S67" i="22"/>
  <c r="T67" i="22"/>
  <c r="U67" i="22"/>
  <c r="V67" i="22"/>
  <c r="W67" i="22"/>
  <c r="X67" i="22"/>
  <c r="Y67" i="22"/>
  <c r="Z67" i="22"/>
  <c r="AA67" i="22"/>
  <c r="AB67" i="22"/>
  <c r="AC67" i="22"/>
  <c r="AD67" i="22"/>
  <c r="AE67" i="22"/>
  <c r="AF67" i="22"/>
  <c r="AG67" i="22"/>
  <c r="AH67" i="22"/>
  <c r="AI67" i="22"/>
  <c r="AJ67" i="22"/>
  <c r="AK67" i="22"/>
  <c r="AL67" i="22"/>
  <c r="AM67" i="22"/>
  <c r="AN67" i="22"/>
  <c r="AO67" i="22"/>
  <c r="AP67" i="22"/>
  <c r="AQ67" i="22"/>
  <c r="AR67" i="22"/>
  <c r="AS67" i="22"/>
  <c r="AT67" i="22"/>
  <c r="AU67" i="22"/>
  <c r="AV67" i="22"/>
  <c r="AW67" i="22"/>
  <c r="AX67" i="22"/>
  <c r="AY67" i="22"/>
  <c r="AZ67" i="22"/>
  <c r="BA67" i="22"/>
  <c r="BB67" i="22"/>
  <c r="BC67" i="22"/>
  <c r="BD67" i="22"/>
  <c r="BE67" i="22"/>
  <c r="BF67" i="22"/>
  <c r="BG67" i="22"/>
  <c r="BH67" i="22"/>
  <c r="BJ67" i="22"/>
  <c r="BK67" i="22"/>
  <c r="BL67" i="22"/>
  <c r="BM67" i="22"/>
  <c r="BN67" i="22"/>
  <c r="BO67" i="22"/>
  <c r="BP67" i="22"/>
  <c r="BQ67" i="22"/>
  <c r="BR67" i="22"/>
  <c r="BS67" i="22"/>
  <c r="BT67" i="22"/>
  <c r="BU67" i="22"/>
  <c r="BV67" i="22"/>
  <c r="BW67" i="22"/>
  <c r="BX67" i="22"/>
  <c r="BY67" i="22"/>
  <c r="BZ67" i="22"/>
  <c r="CA67" i="22"/>
  <c r="CB67" i="22"/>
  <c r="CC67" i="22"/>
  <c r="CD67" i="22"/>
  <c r="CE67" i="22"/>
  <c r="CF67" i="22"/>
  <c r="CG67" i="22"/>
  <c r="CH67" i="22"/>
  <c r="CI67" i="22"/>
  <c r="CJ67" i="22"/>
  <c r="CK67" i="22"/>
  <c r="CL67" i="22"/>
  <c r="CM67" i="22"/>
  <c r="CN67" i="22"/>
  <c r="CO67" i="22"/>
  <c r="CP67" i="22"/>
  <c r="CQ67" i="22"/>
  <c r="CR67" i="22"/>
  <c r="CS67" i="22"/>
  <c r="CT67" i="22"/>
  <c r="CU67" i="22"/>
  <c r="CV67" i="22"/>
  <c r="CW67" i="22"/>
  <c r="CX67" i="22"/>
  <c r="CY67" i="22"/>
  <c r="CZ67" i="22"/>
  <c r="DA67" i="22"/>
  <c r="DB67" i="22"/>
  <c r="DC67" i="22"/>
  <c r="DD67" i="22"/>
  <c r="DE67" i="22"/>
  <c r="DF67" i="22"/>
  <c r="DG67" i="22"/>
  <c r="DH67" i="22"/>
  <c r="DI67" i="22"/>
  <c r="DJ67" i="22"/>
  <c r="DK67" i="22"/>
  <c r="DL67" i="22"/>
  <c r="DM67" i="22"/>
  <c r="DN67" i="22"/>
  <c r="DO67" i="22"/>
  <c r="DP67" i="22"/>
  <c r="DQ67" i="22"/>
  <c r="DR67" i="22"/>
  <c r="DS67" i="22"/>
  <c r="DT67" i="22"/>
  <c r="DU67" i="22"/>
  <c r="DV67" i="22"/>
  <c r="DW67" i="22"/>
  <c r="DX67" i="22"/>
  <c r="DY67" i="22"/>
  <c r="DZ67" i="22"/>
  <c r="EA67" i="22"/>
  <c r="EB67" i="22"/>
  <c r="EC67" i="22"/>
  <c r="ED67" i="22"/>
  <c r="EE67" i="22"/>
  <c r="EF67" i="22"/>
  <c r="EG67" i="22"/>
  <c r="EH67" i="22"/>
  <c r="EI67" i="22"/>
  <c r="EJ67" i="22"/>
  <c r="EK67" i="22"/>
  <c r="EL67" i="22"/>
  <c r="EM67" i="22"/>
  <c r="EN67" i="22"/>
  <c r="EO67" i="22"/>
  <c r="EP67" i="22"/>
  <c r="EQ67" i="22"/>
  <c r="ER67" i="22"/>
  <c r="ES67" i="22"/>
  <c r="ET67" i="22"/>
  <c r="EU67" i="22"/>
  <c r="EV67" i="22"/>
  <c r="EW67" i="22"/>
  <c r="EX67" i="22"/>
  <c r="EY67" i="22"/>
  <c r="EZ67" i="22"/>
  <c r="FA67" i="22"/>
  <c r="FB67" i="22"/>
  <c r="FC67" i="22"/>
  <c r="FD67" i="22"/>
  <c r="FE67" i="22"/>
  <c r="FF67" i="22"/>
  <c r="FG67" i="22"/>
  <c r="FH67" i="22"/>
  <c r="FI67" i="22"/>
  <c r="FJ67" i="22"/>
  <c r="FK67" i="22"/>
  <c r="FL67" i="22"/>
  <c r="FM67" i="22"/>
  <c r="FN67" i="22"/>
  <c r="FO67" i="22"/>
  <c r="FP67" i="22"/>
  <c r="FQ67" i="22"/>
  <c r="FR67" i="22"/>
  <c r="FS67" i="22"/>
  <c r="FT67" i="22"/>
  <c r="FU67" i="22"/>
  <c r="FV67" i="22"/>
  <c r="FW67" i="22"/>
  <c r="FX67" i="22"/>
  <c r="FY67" i="22"/>
  <c r="FZ67" i="22"/>
  <c r="GA67" i="22"/>
  <c r="GB67" i="22"/>
  <c r="GC67" i="22"/>
  <c r="GD67" i="22"/>
  <c r="GE67" i="22"/>
  <c r="GF67" i="22"/>
  <c r="GG67" i="22"/>
  <c r="GH67" i="22"/>
  <c r="GI67" i="22"/>
  <c r="GJ67" i="22"/>
  <c r="GK67" i="22"/>
  <c r="GL67" i="22"/>
  <c r="GM67" i="22"/>
  <c r="GN67" i="22"/>
  <c r="GO67" i="22"/>
  <c r="GP67" i="22"/>
  <c r="GQ67" i="22"/>
  <c r="GR67" i="22"/>
  <c r="GS67" i="22"/>
  <c r="GT67" i="22"/>
  <c r="GU67" i="22"/>
  <c r="GV67" i="22"/>
  <c r="GW67" i="22"/>
  <c r="GX67" i="22"/>
  <c r="GY67" i="22"/>
  <c r="GZ67" i="22"/>
  <c r="HA67" i="22"/>
  <c r="HB67" i="22"/>
  <c r="HC67" i="22"/>
  <c r="HD67" i="22"/>
  <c r="HE67" i="22"/>
  <c r="HF67" i="22"/>
  <c r="HG67" i="22"/>
  <c r="HH67" i="22"/>
  <c r="HI67" i="22"/>
  <c r="HJ67" i="22"/>
  <c r="HK67" i="22"/>
  <c r="HL67" i="22"/>
  <c r="HM67" i="22"/>
  <c r="HN67" i="22"/>
  <c r="HO67" i="22"/>
  <c r="HP67" i="22"/>
  <c r="HQ67" i="22"/>
  <c r="HR67" i="22"/>
  <c r="HS67" i="22"/>
  <c r="HT67" i="22"/>
  <c r="HU67" i="22"/>
  <c r="HV67" i="22"/>
  <c r="HW67" i="22"/>
  <c r="HX67" i="22"/>
  <c r="HY67" i="22"/>
  <c r="HZ67" i="22"/>
  <c r="IA67" i="22"/>
  <c r="IB67" i="22"/>
  <c r="IC67" i="22"/>
  <c r="ID67" i="22"/>
  <c r="IE67" i="22"/>
  <c r="IF67" i="22"/>
  <c r="IG67" i="22"/>
  <c r="IH67" i="22"/>
  <c r="II67" i="22"/>
  <c r="IJ67" i="22"/>
  <c r="IK67" i="22"/>
  <c r="IL67" i="22"/>
  <c r="IM67" i="22"/>
  <c r="IN67" i="22"/>
  <c r="IO67" i="22"/>
  <c r="IP67" i="22"/>
  <c r="IQ67" i="22"/>
  <c r="IR67" i="22"/>
  <c r="IS67" i="22"/>
  <c r="IT67" i="22"/>
  <c r="IU67" i="22"/>
  <c r="IV67" i="22"/>
  <c r="IW67" i="22"/>
  <c r="IX67" i="22"/>
  <c r="IY67" i="22"/>
  <c r="IZ67" i="22"/>
  <c r="JA67" i="22"/>
  <c r="JB67" i="22"/>
  <c r="JC67" i="22"/>
  <c r="JD67" i="22"/>
  <c r="JE67" i="22"/>
  <c r="JF67" i="22"/>
  <c r="JG67" i="22"/>
  <c r="JH67" i="22"/>
  <c r="JI67" i="22"/>
  <c r="JJ67" i="22"/>
  <c r="JK67" i="22"/>
  <c r="JL67" i="22"/>
  <c r="JM67" i="22"/>
  <c r="JN67" i="22"/>
  <c r="JO67" i="22"/>
  <c r="JP67" i="22"/>
  <c r="JQ67" i="22"/>
  <c r="JR67" i="22"/>
  <c r="JS67" i="22"/>
  <c r="JT67" i="22"/>
  <c r="JU67" i="22"/>
  <c r="JV67" i="22"/>
  <c r="JW67" i="22"/>
  <c r="JX67" i="22"/>
  <c r="JY67" i="22"/>
  <c r="JZ67" i="22"/>
  <c r="KA67" i="22"/>
  <c r="KB67" i="22"/>
  <c r="KC67" i="22"/>
  <c r="KD67" i="22"/>
  <c r="KE67" i="22"/>
  <c r="KF67" i="22"/>
  <c r="KG67" i="22"/>
  <c r="KH67" i="22"/>
  <c r="KI67" i="22"/>
  <c r="KJ67" i="22"/>
  <c r="KK67" i="22"/>
  <c r="KL67" i="22"/>
  <c r="KM67" i="22"/>
  <c r="KN67" i="22"/>
  <c r="KO67" i="22"/>
  <c r="KP67" i="22"/>
  <c r="KQ67" i="22"/>
  <c r="KR67" i="22"/>
  <c r="KS67" i="22"/>
  <c r="KT67" i="22"/>
  <c r="KU67" i="22"/>
  <c r="KV67" i="22"/>
  <c r="KW67" i="22"/>
  <c r="KX67" i="22"/>
  <c r="KY67" i="22"/>
  <c r="KZ67" i="22"/>
  <c r="LA67" i="22"/>
  <c r="LB67" i="22"/>
  <c r="LC67" i="22"/>
  <c r="LD67" i="22"/>
  <c r="LE67" i="22"/>
  <c r="LF67" i="22"/>
  <c r="LG67" i="22"/>
  <c r="LH67" i="22"/>
  <c r="LI67" i="22"/>
  <c r="LJ67" i="22"/>
  <c r="LK67" i="22"/>
  <c r="LL67" i="22"/>
  <c r="LM67" i="22"/>
  <c r="LN67" i="22"/>
  <c r="LO67" i="22"/>
  <c r="LP67" i="22"/>
  <c r="LQ67" i="22"/>
  <c r="LR67" i="22"/>
  <c r="LS67" i="22"/>
  <c r="LT67" i="22"/>
  <c r="LU67" i="22"/>
  <c r="LV67" i="22"/>
  <c r="LW67" i="22"/>
  <c r="LX67" i="22"/>
  <c r="LY67" i="22"/>
  <c r="LZ67" i="22"/>
  <c r="MA67" i="22"/>
  <c r="MB67" i="22"/>
  <c r="MC67" i="22"/>
  <c r="MD67" i="22"/>
  <c r="ME67" i="22"/>
  <c r="MF67" i="22"/>
  <c r="MG67" i="22"/>
  <c r="MH67" i="22"/>
  <c r="MI67" i="22"/>
  <c r="MJ67" i="22"/>
  <c r="MK67" i="22"/>
  <c r="ML67" i="22"/>
  <c r="MM67" i="22"/>
  <c r="MN67" i="22"/>
  <c r="MO67" i="22"/>
  <c r="MP67" i="22"/>
  <c r="MQ67" i="22"/>
  <c r="MR67" i="22"/>
  <c r="MS67" i="22"/>
  <c r="MT67" i="22"/>
  <c r="MU67" i="22"/>
  <c r="MV67" i="22"/>
  <c r="MW67" i="22"/>
  <c r="MX67" i="22"/>
  <c r="MY67" i="22"/>
  <c r="MZ67" i="22"/>
  <c r="NA67" i="22"/>
  <c r="NB67" i="22"/>
  <c r="ND67" i="22"/>
  <c r="NE67" i="22"/>
  <c r="NF67" i="22"/>
  <c r="NG67" i="22"/>
  <c r="NH67" i="22"/>
  <c r="NI67" i="22"/>
  <c r="B68" i="22"/>
  <c r="C68" i="22"/>
  <c r="D68" i="22"/>
  <c r="E68" i="22"/>
  <c r="F68" i="22"/>
  <c r="G68" i="22"/>
  <c r="H68" i="22"/>
  <c r="I68" i="22"/>
  <c r="J68" i="22"/>
  <c r="K68" i="22"/>
  <c r="L68" i="22"/>
  <c r="M68" i="22"/>
  <c r="N68" i="22"/>
  <c r="O68" i="22"/>
  <c r="P68" i="22"/>
  <c r="Q68" i="22"/>
  <c r="R68" i="22"/>
  <c r="S68" i="22"/>
  <c r="T68" i="22"/>
  <c r="U68" i="22"/>
  <c r="V68" i="22"/>
  <c r="W68" i="22"/>
  <c r="X68" i="22"/>
  <c r="Y68" i="22"/>
  <c r="Z68" i="22"/>
  <c r="AA68" i="22"/>
  <c r="AB68" i="22"/>
  <c r="AC68" i="22"/>
  <c r="AD68" i="22"/>
  <c r="AE68" i="22"/>
  <c r="AF68" i="22"/>
  <c r="AG68" i="22"/>
  <c r="AH68" i="22"/>
  <c r="AI68" i="22"/>
  <c r="AJ68" i="22"/>
  <c r="AK68" i="22"/>
  <c r="AL68" i="22"/>
  <c r="AM68" i="22"/>
  <c r="AN68" i="22"/>
  <c r="AO68" i="22"/>
  <c r="AP68" i="22"/>
  <c r="AQ68" i="22"/>
  <c r="AR68" i="22"/>
  <c r="AS68" i="22"/>
  <c r="AT68" i="22"/>
  <c r="AU68" i="22"/>
  <c r="AV68" i="22"/>
  <c r="AW68" i="22"/>
  <c r="AX68" i="22"/>
  <c r="AY68" i="22"/>
  <c r="AZ68" i="22"/>
  <c r="BA68" i="22"/>
  <c r="BB68" i="22"/>
  <c r="BC68" i="22"/>
  <c r="BD68" i="22"/>
  <c r="BE68" i="22"/>
  <c r="BF68" i="22"/>
  <c r="BG68" i="22"/>
  <c r="BH68" i="22"/>
  <c r="BJ68" i="22"/>
  <c r="BK68" i="22"/>
  <c r="BL68" i="22"/>
  <c r="BM68" i="22"/>
  <c r="BN68" i="22"/>
  <c r="BO68" i="22"/>
  <c r="BP68" i="22"/>
  <c r="BQ68" i="22"/>
  <c r="BR68" i="22"/>
  <c r="BS68" i="22"/>
  <c r="BT68" i="22"/>
  <c r="BU68" i="22"/>
  <c r="BV68" i="22"/>
  <c r="BW68" i="22"/>
  <c r="BX68" i="22"/>
  <c r="BY68" i="22"/>
  <c r="BZ68" i="22"/>
  <c r="CA68" i="22"/>
  <c r="CB68" i="22"/>
  <c r="CC68" i="22"/>
  <c r="CD68" i="22"/>
  <c r="CE68" i="22"/>
  <c r="CF68" i="22"/>
  <c r="CG68" i="22"/>
  <c r="CH68" i="22"/>
  <c r="CI68" i="22"/>
  <c r="CJ68" i="22"/>
  <c r="CK68" i="22"/>
  <c r="CL68" i="22"/>
  <c r="CM68" i="22"/>
  <c r="CN68" i="22"/>
  <c r="CO68" i="22"/>
  <c r="CP68" i="22"/>
  <c r="CQ68" i="22"/>
  <c r="CR68" i="22"/>
  <c r="CS68" i="22"/>
  <c r="CT68" i="22"/>
  <c r="CU68" i="22"/>
  <c r="CV68" i="22"/>
  <c r="CW68" i="22"/>
  <c r="CX68" i="22"/>
  <c r="CY68" i="22"/>
  <c r="CZ68" i="22"/>
  <c r="DA68" i="22"/>
  <c r="DB68" i="22"/>
  <c r="DC68" i="22"/>
  <c r="DD68" i="22"/>
  <c r="DE68" i="22"/>
  <c r="DF68" i="22"/>
  <c r="DG68" i="22"/>
  <c r="DH68" i="22"/>
  <c r="DI68" i="22"/>
  <c r="DJ68" i="22"/>
  <c r="DK68" i="22"/>
  <c r="DL68" i="22"/>
  <c r="DM68" i="22"/>
  <c r="DN68" i="22"/>
  <c r="DO68" i="22"/>
  <c r="DP68" i="22"/>
  <c r="DQ68" i="22"/>
  <c r="DR68" i="22"/>
  <c r="DS68" i="22"/>
  <c r="DT68" i="22"/>
  <c r="DU68" i="22"/>
  <c r="DV68" i="22"/>
  <c r="DW68" i="22"/>
  <c r="DX68" i="22"/>
  <c r="DY68" i="22"/>
  <c r="DZ68" i="22"/>
  <c r="EA68" i="22"/>
  <c r="EB68" i="22"/>
  <c r="EC68" i="22"/>
  <c r="ED68" i="22"/>
  <c r="EE68" i="22"/>
  <c r="EF68" i="22"/>
  <c r="EG68" i="22"/>
  <c r="EH68" i="22"/>
  <c r="EI68" i="22"/>
  <c r="EJ68" i="22"/>
  <c r="EK68" i="22"/>
  <c r="EL68" i="22"/>
  <c r="EM68" i="22"/>
  <c r="EN68" i="22"/>
  <c r="EO68" i="22"/>
  <c r="EP68" i="22"/>
  <c r="EQ68" i="22"/>
  <c r="ER68" i="22"/>
  <c r="ES68" i="22"/>
  <c r="ET68" i="22"/>
  <c r="EU68" i="22"/>
  <c r="EV68" i="22"/>
  <c r="EW68" i="22"/>
  <c r="EX68" i="22"/>
  <c r="EY68" i="22"/>
  <c r="EZ68" i="22"/>
  <c r="FA68" i="22"/>
  <c r="FB68" i="22"/>
  <c r="FC68" i="22"/>
  <c r="FD68" i="22"/>
  <c r="FE68" i="22"/>
  <c r="FF68" i="22"/>
  <c r="FG68" i="22"/>
  <c r="FH68" i="22"/>
  <c r="FI68" i="22"/>
  <c r="FJ68" i="22"/>
  <c r="FK68" i="22"/>
  <c r="FL68" i="22"/>
  <c r="FM68" i="22"/>
  <c r="FN68" i="22"/>
  <c r="FO68" i="22"/>
  <c r="FP68" i="22"/>
  <c r="FQ68" i="22"/>
  <c r="FR68" i="22"/>
  <c r="FS68" i="22"/>
  <c r="FT68" i="22"/>
  <c r="FU68" i="22"/>
  <c r="FV68" i="22"/>
  <c r="FW68" i="22"/>
  <c r="FX68" i="22"/>
  <c r="FY68" i="22"/>
  <c r="FZ68" i="22"/>
  <c r="GA68" i="22"/>
  <c r="GB68" i="22"/>
  <c r="GC68" i="22"/>
  <c r="GD68" i="22"/>
  <c r="GE68" i="22"/>
  <c r="GF68" i="22"/>
  <c r="GG68" i="22"/>
  <c r="GH68" i="22"/>
  <c r="GI68" i="22"/>
  <c r="GJ68" i="22"/>
  <c r="GK68" i="22"/>
  <c r="GL68" i="22"/>
  <c r="GM68" i="22"/>
  <c r="GN68" i="22"/>
  <c r="GO68" i="22"/>
  <c r="GP68" i="22"/>
  <c r="GQ68" i="22"/>
  <c r="GR68" i="22"/>
  <c r="GS68" i="22"/>
  <c r="GT68" i="22"/>
  <c r="GU68" i="22"/>
  <c r="GV68" i="22"/>
  <c r="GW68" i="22"/>
  <c r="GX68" i="22"/>
  <c r="GY68" i="22"/>
  <c r="GZ68" i="22"/>
  <c r="HA68" i="22"/>
  <c r="HB68" i="22"/>
  <c r="HC68" i="22"/>
  <c r="HD68" i="22"/>
  <c r="HE68" i="22"/>
  <c r="HF68" i="22"/>
  <c r="HG68" i="22"/>
  <c r="HH68" i="22"/>
  <c r="HI68" i="22"/>
  <c r="HJ68" i="22"/>
  <c r="HK68" i="22"/>
  <c r="HL68" i="22"/>
  <c r="HM68" i="22"/>
  <c r="HN68" i="22"/>
  <c r="HO68" i="22"/>
  <c r="HP68" i="22"/>
  <c r="HQ68" i="22"/>
  <c r="HR68" i="22"/>
  <c r="HS68" i="22"/>
  <c r="HT68" i="22"/>
  <c r="HU68" i="22"/>
  <c r="HV68" i="22"/>
  <c r="HW68" i="22"/>
  <c r="HX68" i="22"/>
  <c r="HY68" i="22"/>
  <c r="HZ68" i="22"/>
  <c r="IA68" i="22"/>
  <c r="IB68" i="22"/>
  <c r="IC68" i="22"/>
  <c r="ID68" i="22"/>
  <c r="IE68" i="22"/>
  <c r="IF68" i="22"/>
  <c r="IG68" i="22"/>
  <c r="IH68" i="22"/>
  <c r="II68" i="22"/>
  <c r="IJ68" i="22"/>
  <c r="IK68" i="22"/>
  <c r="IL68" i="22"/>
  <c r="IM68" i="22"/>
  <c r="IN68" i="22"/>
  <c r="IO68" i="22"/>
  <c r="IP68" i="22"/>
  <c r="IQ68" i="22"/>
  <c r="IR68" i="22"/>
  <c r="IS68" i="22"/>
  <c r="IT68" i="22"/>
  <c r="IU68" i="22"/>
  <c r="IV68" i="22"/>
  <c r="IW68" i="22"/>
  <c r="IX68" i="22"/>
  <c r="IY68" i="22"/>
  <c r="IZ68" i="22"/>
  <c r="JA68" i="22"/>
  <c r="JB68" i="22"/>
  <c r="JC68" i="22"/>
  <c r="JD68" i="22"/>
  <c r="JE68" i="22"/>
  <c r="JF68" i="22"/>
  <c r="JG68" i="22"/>
  <c r="JH68" i="22"/>
  <c r="JI68" i="22"/>
  <c r="JJ68" i="22"/>
  <c r="JK68" i="22"/>
  <c r="JL68" i="22"/>
  <c r="JM68" i="22"/>
  <c r="JN68" i="22"/>
  <c r="JO68" i="22"/>
  <c r="JP68" i="22"/>
  <c r="JQ68" i="22"/>
  <c r="JR68" i="22"/>
  <c r="JS68" i="22"/>
  <c r="JT68" i="22"/>
  <c r="JU68" i="22"/>
  <c r="JV68" i="22"/>
  <c r="JW68" i="22"/>
  <c r="JX68" i="22"/>
  <c r="JY68" i="22"/>
  <c r="JZ68" i="22"/>
  <c r="KA68" i="22"/>
  <c r="KB68" i="22"/>
  <c r="KC68" i="22"/>
  <c r="KD68" i="22"/>
  <c r="KE68" i="22"/>
  <c r="KF68" i="22"/>
  <c r="KG68" i="22"/>
  <c r="KH68" i="22"/>
  <c r="KI68" i="22"/>
  <c r="KJ68" i="22"/>
  <c r="KK68" i="22"/>
  <c r="KL68" i="22"/>
  <c r="KM68" i="22"/>
  <c r="KN68" i="22"/>
  <c r="KO68" i="22"/>
  <c r="KP68" i="22"/>
  <c r="KQ68" i="22"/>
  <c r="KR68" i="22"/>
  <c r="KS68" i="22"/>
  <c r="KT68" i="22"/>
  <c r="KU68" i="22"/>
  <c r="KV68" i="22"/>
  <c r="KW68" i="22"/>
  <c r="KX68" i="22"/>
  <c r="KY68" i="22"/>
  <c r="KZ68" i="22"/>
  <c r="LA68" i="22"/>
  <c r="LB68" i="22"/>
  <c r="LC68" i="22"/>
  <c r="LD68" i="22"/>
  <c r="LE68" i="22"/>
  <c r="LF68" i="22"/>
  <c r="LG68" i="22"/>
  <c r="LH68" i="22"/>
  <c r="LI68" i="22"/>
  <c r="LJ68" i="22"/>
  <c r="LK68" i="22"/>
  <c r="LL68" i="22"/>
  <c r="LM68" i="22"/>
  <c r="LN68" i="22"/>
  <c r="LO68" i="22"/>
  <c r="LP68" i="22"/>
  <c r="LQ68" i="22"/>
  <c r="LR68" i="22"/>
  <c r="LS68" i="22"/>
  <c r="LT68" i="22"/>
  <c r="LU68" i="22"/>
  <c r="LV68" i="22"/>
  <c r="LW68" i="22"/>
  <c r="LX68" i="22"/>
  <c r="LY68" i="22"/>
  <c r="LZ68" i="22"/>
  <c r="MA68" i="22"/>
  <c r="MB68" i="22"/>
  <c r="MC68" i="22"/>
  <c r="MD68" i="22"/>
  <c r="ME68" i="22"/>
  <c r="MF68" i="22"/>
  <c r="MG68" i="22"/>
  <c r="MH68" i="22"/>
  <c r="MI68" i="22"/>
  <c r="MJ68" i="22"/>
  <c r="MK68" i="22"/>
  <c r="ML68" i="22"/>
  <c r="MM68" i="22"/>
  <c r="MN68" i="22"/>
  <c r="MO68" i="22"/>
  <c r="MP68" i="22"/>
  <c r="MQ68" i="22"/>
  <c r="MR68" i="22"/>
  <c r="MS68" i="22"/>
  <c r="MT68" i="22"/>
  <c r="MU68" i="22"/>
  <c r="MV68" i="22"/>
  <c r="MW68" i="22"/>
  <c r="MX68" i="22"/>
  <c r="MY68" i="22"/>
  <c r="MZ68" i="22"/>
  <c r="NA68" i="22"/>
  <c r="NB68" i="22"/>
  <c r="ND68" i="22"/>
  <c r="NE68" i="22"/>
  <c r="NF68" i="22"/>
  <c r="NG68" i="22"/>
  <c r="NH68" i="22"/>
  <c r="NI68" i="22"/>
  <c r="NW69" i="22" l="1"/>
  <c r="NY69" i="22"/>
  <c r="NY7" i="22"/>
  <c r="OC6" i="22"/>
  <c r="NY5" i="22"/>
  <c r="NR84" i="22"/>
  <c r="NR80" i="22"/>
  <c r="NU82" i="22"/>
  <c r="NU80" i="22"/>
  <c r="NR82" i="22"/>
  <c r="NW6" i="22"/>
  <c r="NP6" i="22"/>
  <c r="OE6" i="22" s="1"/>
  <c r="NP69" i="22"/>
  <c r="OC69" i="22"/>
  <c r="OC7" i="22"/>
  <c r="NP7" i="22"/>
  <c r="OA7" i="22" s="1"/>
  <c r="OB7" i="22" s="1"/>
  <c r="NP5" i="22"/>
  <c r="OF5" i="22" s="1"/>
  <c r="OC5" i="22"/>
  <c r="NU84" i="22"/>
  <c r="NW7" i="22"/>
  <c r="NY6" i="22"/>
  <c r="NW5" i="22"/>
  <c r="NU88" i="22"/>
  <c r="NU86" i="22"/>
  <c r="NU79" i="22"/>
  <c r="NU75" i="22"/>
  <c r="NU76" i="22" s="1"/>
  <c r="NU77" i="22" s="1"/>
  <c r="NU73" i="22"/>
  <c r="NU71" i="22"/>
  <c r="NR87" i="22"/>
  <c r="NR83" i="22"/>
  <c r="NR88" i="22"/>
  <c r="NR79" i="22"/>
  <c r="NR86" i="22"/>
  <c r="NR75" i="22"/>
  <c r="NR76" i="22" s="1"/>
  <c r="NR77" i="22" s="1"/>
  <c r="NR73" i="22"/>
  <c r="NR71" i="22"/>
  <c r="NT82" i="22"/>
  <c r="NR85" i="22"/>
  <c r="NR89" i="22"/>
  <c r="NR81" i="22"/>
  <c r="NU87" i="22"/>
  <c r="NU83" i="22"/>
  <c r="NT87" i="22"/>
  <c r="NT83" i="22"/>
  <c r="NT88" i="22"/>
  <c r="NT86" i="22"/>
  <c r="NT79" i="22"/>
  <c r="NT75" i="22"/>
  <c r="NT76" i="22" s="1"/>
  <c r="NT77" i="22" s="1"/>
  <c r="NT73" i="22"/>
  <c r="NT71" i="22"/>
  <c r="NT84" i="22"/>
  <c r="NT80" i="22"/>
  <c r="NU85" i="22"/>
  <c r="NU89" i="22"/>
  <c r="NU81" i="22"/>
  <c r="NT85" i="22"/>
  <c r="NT89" i="22"/>
  <c r="NT81" i="22"/>
  <c r="NQ68" i="22"/>
  <c r="NO68" i="22"/>
  <c r="NN68" i="22"/>
  <c r="NM68" i="22"/>
  <c r="NL68" i="22"/>
  <c r="NK68" i="22"/>
  <c r="NJ68" i="22"/>
  <c r="NQ67" i="22"/>
  <c r="NO67" i="22"/>
  <c r="NN67" i="22"/>
  <c r="NM67" i="22"/>
  <c r="NL67" i="22"/>
  <c r="NK67" i="22"/>
  <c r="NJ67" i="22"/>
  <c r="NQ66" i="22"/>
  <c r="NO66" i="22"/>
  <c r="NN66" i="22"/>
  <c r="NM66" i="22"/>
  <c r="NL66" i="22"/>
  <c r="NK66" i="22"/>
  <c r="NJ66" i="22"/>
  <c r="NI66" i="22"/>
  <c r="NH66" i="22"/>
  <c r="NG66" i="22"/>
  <c r="NF66" i="22"/>
  <c r="NE66" i="22"/>
  <c r="ND66" i="22"/>
  <c r="NQ65" i="22"/>
  <c r="NO65" i="22"/>
  <c r="NN65" i="22"/>
  <c r="NM65" i="22"/>
  <c r="NL65" i="22"/>
  <c r="NK65" i="22"/>
  <c r="NJ65" i="22"/>
  <c r="NI65" i="22"/>
  <c r="NH65" i="22"/>
  <c r="NG65" i="22"/>
  <c r="NF65" i="22"/>
  <c r="NE65" i="22"/>
  <c r="ND65" i="22"/>
  <c r="NQ64" i="22"/>
  <c r="NO64" i="22"/>
  <c r="NN64" i="22"/>
  <c r="NM64" i="22"/>
  <c r="NL64" i="22"/>
  <c r="NK64" i="22"/>
  <c r="NJ64" i="22"/>
  <c r="NI64" i="22"/>
  <c r="NH64" i="22"/>
  <c r="NG64" i="22"/>
  <c r="NF64" i="22"/>
  <c r="NE64" i="22"/>
  <c r="ND64" i="22"/>
  <c r="NQ63" i="22"/>
  <c r="NO63" i="22"/>
  <c r="NN63" i="22"/>
  <c r="NM63" i="22"/>
  <c r="NL63" i="22"/>
  <c r="NK63" i="22"/>
  <c r="NJ63" i="22"/>
  <c r="NI63" i="22"/>
  <c r="NH63" i="22"/>
  <c r="NG63" i="22"/>
  <c r="NF63" i="22"/>
  <c r="NE63" i="22"/>
  <c r="ND63" i="22"/>
  <c r="NQ62" i="22"/>
  <c r="NO62" i="22"/>
  <c r="NN62" i="22"/>
  <c r="NM62" i="22"/>
  <c r="NL62" i="22"/>
  <c r="NK62" i="22"/>
  <c r="NJ62" i="22"/>
  <c r="NI62" i="22"/>
  <c r="NH62" i="22"/>
  <c r="NG62" i="22"/>
  <c r="NF62" i="22"/>
  <c r="NE62" i="22"/>
  <c r="ND62" i="22"/>
  <c r="NQ61" i="22"/>
  <c r="NO61" i="22"/>
  <c r="NN61" i="22"/>
  <c r="NM61" i="22"/>
  <c r="NL61" i="22"/>
  <c r="NK61" i="22"/>
  <c r="NJ61" i="22"/>
  <c r="NI61" i="22"/>
  <c r="NH61" i="22"/>
  <c r="NG61" i="22"/>
  <c r="NF61" i="22"/>
  <c r="NE61" i="22"/>
  <c r="ND61" i="22"/>
  <c r="NQ60" i="22"/>
  <c r="NO60" i="22"/>
  <c r="NN60" i="22"/>
  <c r="NM60" i="22"/>
  <c r="NL60" i="22"/>
  <c r="NK60" i="22"/>
  <c r="NJ60" i="22"/>
  <c r="NI60" i="22"/>
  <c r="NH60" i="22"/>
  <c r="NG60" i="22"/>
  <c r="NF60" i="22"/>
  <c r="NE60" i="22"/>
  <c r="ND60" i="22"/>
  <c r="NQ59" i="22"/>
  <c r="NO59" i="22"/>
  <c r="NN59" i="22"/>
  <c r="NM59" i="22"/>
  <c r="NL59" i="22"/>
  <c r="NK59" i="22"/>
  <c r="NJ59" i="22"/>
  <c r="NI59" i="22"/>
  <c r="NH59" i="22"/>
  <c r="NG59" i="22"/>
  <c r="NF59" i="22"/>
  <c r="NE59" i="22"/>
  <c r="ND59" i="22"/>
  <c r="NQ58" i="22"/>
  <c r="NO58" i="22"/>
  <c r="NN58" i="22"/>
  <c r="NM58" i="22"/>
  <c r="NL58" i="22"/>
  <c r="NK58" i="22"/>
  <c r="NJ58" i="22"/>
  <c r="NI58" i="22"/>
  <c r="NH58" i="22"/>
  <c r="NG58" i="22"/>
  <c r="NF58" i="22"/>
  <c r="NE58" i="22"/>
  <c r="ND58" i="22"/>
  <c r="NQ57" i="22"/>
  <c r="NO57" i="22"/>
  <c r="NN57" i="22"/>
  <c r="NM57" i="22"/>
  <c r="NL57" i="22"/>
  <c r="NK57" i="22"/>
  <c r="NJ57" i="22"/>
  <c r="NI57" i="22"/>
  <c r="NH57" i="22"/>
  <c r="NG57" i="22"/>
  <c r="NF57" i="22"/>
  <c r="NE57" i="22"/>
  <c r="ND57" i="22"/>
  <c r="NQ56" i="22"/>
  <c r="NO56" i="22"/>
  <c r="NN56" i="22"/>
  <c r="NM56" i="22"/>
  <c r="NL56" i="22"/>
  <c r="NK56" i="22"/>
  <c r="NJ56" i="22"/>
  <c r="NI56" i="22"/>
  <c r="NH56" i="22"/>
  <c r="NG56" i="22"/>
  <c r="NF56" i="22"/>
  <c r="NE56" i="22"/>
  <c r="ND56" i="22"/>
  <c r="NQ55" i="22"/>
  <c r="NO55" i="22"/>
  <c r="NN55" i="22"/>
  <c r="NM55" i="22"/>
  <c r="NL55" i="22"/>
  <c r="NK55" i="22"/>
  <c r="NJ55" i="22"/>
  <c r="NI55" i="22"/>
  <c r="NH55" i="22"/>
  <c r="NG55" i="22"/>
  <c r="NF55" i="22"/>
  <c r="NE55" i="22"/>
  <c r="ND55" i="22"/>
  <c r="NQ54" i="22"/>
  <c r="NO54" i="22"/>
  <c r="NN54" i="22"/>
  <c r="NM54" i="22"/>
  <c r="NL54" i="22"/>
  <c r="NK54" i="22"/>
  <c r="NJ54" i="22"/>
  <c r="NI54" i="22"/>
  <c r="NH54" i="22"/>
  <c r="NG54" i="22"/>
  <c r="NF54" i="22"/>
  <c r="NE54" i="22"/>
  <c r="ND54" i="22"/>
  <c r="NQ53" i="22"/>
  <c r="NO53" i="22"/>
  <c r="NN53" i="22"/>
  <c r="NM53" i="22"/>
  <c r="NL53" i="22"/>
  <c r="NK53" i="22"/>
  <c r="NJ53" i="22"/>
  <c r="NI53" i="22"/>
  <c r="NH53" i="22"/>
  <c r="NG53" i="22"/>
  <c r="NF53" i="22"/>
  <c r="NE53" i="22"/>
  <c r="ND53" i="22"/>
  <c r="NQ52" i="22"/>
  <c r="NO52" i="22"/>
  <c r="NN52" i="22"/>
  <c r="NM52" i="22"/>
  <c r="NL52" i="22"/>
  <c r="NK52" i="22"/>
  <c r="NJ52" i="22"/>
  <c r="NI52" i="22"/>
  <c r="NH52" i="22"/>
  <c r="NG52" i="22"/>
  <c r="NF52" i="22"/>
  <c r="NE52" i="22"/>
  <c r="ND52" i="22"/>
  <c r="NQ51" i="22"/>
  <c r="NO51" i="22"/>
  <c r="NN51" i="22"/>
  <c r="NM51" i="22"/>
  <c r="NL51" i="22"/>
  <c r="NK51" i="22"/>
  <c r="NJ51" i="22"/>
  <c r="NI51" i="22"/>
  <c r="NH51" i="22"/>
  <c r="NG51" i="22"/>
  <c r="NF51" i="22"/>
  <c r="NE51" i="22"/>
  <c r="ND51" i="22"/>
  <c r="NQ50" i="22"/>
  <c r="NO50" i="22"/>
  <c r="NN50" i="22"/>
  <c r="NM50" i="22"/>
  <c r="NL50" i="22"/>
  <c r="NK50" i="22"/>
  <c r="NJ50" i="22"/>
  <c r="NI50" i="22"/>
  <c r="NH50" i="22"/>
  <c r="NG50" i="22"/>
  <c r="NF50" i="22"/>
  <c r="NE50" i="22"/>
  <c r="ND50" i="22"/>
  <c r="NQ49" i="22"/>
  <c r="NO49" i="22"/>
  <c r="NN49" i="22"/>
  <c r="NM49" i="22"/>
  <c r="NL49" i="22"/>
  <c r="NK49" i="22"/>
  <c r="NJ49" i="22"/>
  <c r="NI49" i="22"/>
  <c r="NH49" i="22"/>
  <c r="NG49" i="22"/>
  <c r="NF49" i="22"/>
  <c r="NE49" i="22"/>
  <c r="ND49" i="22"/>
  <c r="NQ48" i="22"/>
  <c r="NO48" i="22"/>
  <c r="NN48" i="22"/>
  <c r="NM48" i="22"/>
  <c r="NL48" i="22"/>
  <c r="NK48" i="22"/>
  <c r="NJ48" i="22"/>
  <c r="NI48" i="22"/>
  <c r="NH48" i="22"/>
  <c r="NG48" i="22"/>
  <c r="NF48" i="22"/>
  <c r="NE48" i="22"/>
  <c r="ND48" i="22"/>
  <c r="NQ47" i="22"/>
  <c r="NO47" i="22"/>
  <c r="NN47" i="22"/>
  <c r="NM47" i="22"/>
  <c r="NL47" i="22"/>
  <c r="NK47" i="22"/>
  <c r="NJ47" i="22"/>
  <c r="NI47" i="22"/>
  <c r="NH47" i="22"/>
  <c r="NG47" i="22"/>
  <c r="NF47" i="22"/>
  <c r="NE47" i="22"/>
  <c r="ND47" i="22"/>
  <c r="NQ46" i="22"/>
  <c r="NO46" i="22"/>
  <c r="NN46" i="22"/>
  <c r="NM46" i="22"/>
  <c r="NL46" i="22"/>
  <c r="NK46" i="22"/>
  <c r="NJ46" i="22"/>
  <c r="NI46" i="22"/>
  <c r="NH46" i="22"/>
  <c r="NG46" i="22"/>
  <c r="NF46" i="22"/>
  <c r="NE46" i="22"/>
  <c r="ND46" i="22"/>
  <c r="NQ45" i="22"/>
  <c r="NO45" i="22"/>
  <c r="NN45" i="22"/>
  <c r="NM45" i="22"/>
  <c r="NL45" i="22"/>
  <c r="NK45" i="22"/>
  <c r="NJ45" i="22"/>
  <c r="NI45" i="22"/>
  <c r="NH45" i="22"/>
  <c r="NG45" i="22"/>
  <c r="NF45" i="22"/>
  <c r="NE45" i="22"/>
  <c r="ND45" i="22"/>
  <c r="NQ44" i="22"/>
  <c r="NO44" i="22"/>
  <c r="NN44" i="22"/>
  <c r="NM44" i="22"/>
  <c r="NL44" i="22"/>
  <c r="NK44" i="22"/>
  <c r="NJ44" i="22"/>
  <c r="NI44" i="22"/>
  <c r="NH44" i="22"/>
  <c r="NG44" i="22"/>
  <c r="NF44" i="22"/>
  <c r="NE44" i="22"/>
  <c r="ND44" i="22"/>
  <c r="NQ43" i="22"/>
  <c r="NO43" i="22"/>
  <c r="NN43" i="22"/>
  <c r="NM43" i="22"/>
  <c r="NL43" i="22"/>
  <c r="NK43" i="22"/>
  <c r="NJ43" i="22"/>
  <c r="NI43" i="22"/>
  <c r="NH43" i="22"/>
  <c r="NG43" i="22"/>
  <c r="NF43" i="22"/>
  <c r="NE43" i="22"/>
  <c r="ND43" i="22"/>
  <c r="NQ42" i="22"/>
  <c r="NO42" i="22"/>
  <c r="NN42" i="22"/>
  <c r="NM42" i="22"/>
  <c r="NL42" i="22"/>
  <c r="NK42" i="22"/>
  <c r="NJ42" i="22"/>
  <c r="NI42" i="22"/>
  <c r="NH42" i="22"/>
  <c r="NG42" i="22"/>
  <c r="NF42" i="22"/>
  <c r="NE42" i="22"/>
  <c r="ND42" i="22"/>
  <c r="NQ41" i="22"/>
  <c r="NO41" i="22"/>
  <c r="NN41" i="22"/>
  <c r="NM41" i="22"/>
  <c r="NL41" i="22"/>
  <c r="NK41" i="22"/>
  <c r="NJ41" i="22"/>
  <c r="NI41" i="22"/>
  <c r="NH41" i="22"/>
  <c r="NG41" i="22"/>
  <c r="NF41" i="22"/>
  <c r="NE41" i="22"/>
  <c r="ND41" i="22"/>
  <c r="NQ40" i="22"/>
  <c r="NO40" i="22"/>
  <c r="NN40" i="22"/>
  <c r="NM40" i="22"/>
  <c r="NL40" i="22"/>
  <c r="NK40" i="22"/>
  <c r="NJ40" i="22"/>
  <c r="NI40" i="22"/>
  <c r="NH40" i="22"/>
  <c r="NG40" i="22"/>
  <c r="NF40" i="22"/>
  <c r="NE40" i="22"/>
  <c r="ND40" i="22"/>
  <c r="NQ39" i="22"/>
  <c r="NO39" i="22"/>
  <c r="NN39" i="22"/>
  <c r="NM39" i="22"/>
  <c r="NL39" i="22"/>
  <c r="NK39" i="22"/>
  <c r="NJ39" i="22"/>
  <c r="NI39" i="22"/>
  <c r="NH39" i="22"/>
  <c r="NG39" i="22"/>
  <c r="NF39" i="22"/>
  <c r="NE39" i="22"/>
  <c r="ND39" i="22"/>
  <c r="NQ38" i="22"/>
  <c r="NO38" i="22"/>
  <c r="NN38" i="22"/>
  <c r="NM38" i="22"/>
  <c r="NL38" i="22"/>
  <c r="NK38" i="22"/>
  <c r="NJ38" i="22"/>
  <c r="NI38" i="22"/>
  <c r="NH38" i="22"/>
  <c r="NG38" i="22"/>
  <c r="NF38" i="22"/>
  <c r="NE38" i="22"/>
  <c r="ND38" i="22"/>
  <c r="NQ37" i="22"/>
  <c r="NO37" i="22"/>
  <c r="NN37" i="22"/>
  <c r="NM37" i="22"/>
  <c r="NL37" i="22"/>
  <c r="NK37" i="22"/>
  <c r="NJ37" i="22"/>
  <c r="NI37" i="22"/>
  <c r="NH37" i="22"/>
  <c r="NG37" i="22"/>
  <c r="NF37" i="22"/>
  <c r="NE37" i="22"/>
  <c r="ND37" i="22"/>
  <c r="NQ36" i="22"/>
  <c r="NO36" i="22"/>
  <c r="NN36" i="22"/>
  <c r="NM36" i="22"/>
  <c r="NL36" i="22"/>
  <c r="NK36" i="22"/>
  <c r="NJ36" i="22"/>
  <c r="NI36" i="22"/>
  <c r="NH36" i="22"/>
  <c r="NG36" i="22"/>
  <c r="NF36" i="22"/>
  <c r="NE36" i="22"/>
  <c r="ND36" i="22"/>
  <c r="NQ35" i="22"/>
  <c r="NO35" i="22"/>
  <c r="NN35" i="22"/>
  <c r="NM35" i="22"/>
  <c r="NL35" i="22"/>
  <c r="NK35" i="22"/>
  <c r="NJ35" i="22"/>
  <c r="NI35" i="22"/>
  <c r="NH35" i="22"/>
  <c r="NG35" i="22"/>
  <c r="NF35" i="22"/>
  <c r="NE35" i="22"/>
  <c r="ND35" i="22"/>
  <c r="NQ34" i="22"/>
  <c r="NO34" i="22"/>
  <c r="NN34" i="22"/>
  <c r="NM34" i="22"/>
  <c r="NL34" i="22"/>
  <c r="NK34" i="22"/>
  <c r="NJ34" i="22"/>
  <c r="NI34" i="22"/>
  <c r="NH34" i="22"/>
  <c r="NG34" i="22"/>
  <c r="NF34" i="22"/>
  <c r="NE34" i="22"/>
  <c r="ND34" i="22"/>
  <c r="NQ33" i="22"/>
  <c r="NO33" i="22"/>
  <c r="NN33" i="22"/>
  <c r="NM33" i="22"/>
  <c r="NL33" i="22"/>
  <c r="NK33" i="22"/>
  <c r="NJ33" i="22"/>
  <c r="NI33" i="22"/>
  <c r="NH33" i="22"/>
  <c r="NG33" i="22"/>
  <c r="NF33" i="22"/>
  <c r="NE33" i="22"/>
  <c r="ND33" i="22"/>
  <c r="NQ32" i="22"/>
  <c r="NO32" i="22"/>
  <c r="NN32" i="22"/>
  <c r="NM32" i="22"/>
  <c r="NL32" i="22"/>
  <c r="NK32" i="22"/>
  <c r="NJ32" i="22"/>
  <c r="NI32" i="22"/>
  <c r="NH32" i="22"/>
  <c r="NG32" i="22"/>
  <c r="NF32" i="22"/>
  <c r="NE32" i="22"/>
  <c r="ND32" i="22"/>
  <c r="NQ31" i="22"/>
  <c r="NO31" i="22"/>
  <c r="NN31" i="22"/>
  <c r="NM31" i="22"/>
  <c r="NL31" i="22"/>
  <c r="NK31" i="22"/>
  <c r="NJ31" i="22"/>
  <c r="NI31" i="22"/>
  <c r="NH31" i="22"/>
  <c r="NG31" i="22"/>
  <c r="NF31" i="22"/>
  <c r="NE31" i="22"/>
  <c r="ND31" i="22"/>
  <c r="NQ30" i="22"/>
  <c r="NO30" i="22"/>
  <c r="NN30" i="22"/>
  <c r="NM30" i="22"/>
  <c r="NL30" i="22"/>
  <c r="NK30" i="22"/>
  <c r="NJ30" i="22"/>
  <c r="NI30" i="22"/>
  <c r="NH30" i="22"/>
  <c r="NG30" i="22"/>
  <c r="NF30" i="22"/>
  <c r="NE30" i="22"/>
  <c r="ND30" i="22"/>
  <c r="NQ29" i="22"/>
  <c r="NO29" i="22"/>
  <c r="NN29" i="22"/>
  <c r="NM29" i="22"/>
  <c r="NL29" i="22"/>
  <c r="NK29" i="22"/>
  <c r="NJ29" i="22"/>
  <c r="NI29" i="22"/>
  <c r="NH29" i="22"/>
  <c r="NG29" i="22"/>
  <c r="NF29" i="22"/>
  <c r="NE29" i="22"/>
  <c r="ND29" i="22"/>
  <c r="NQ28" i="22"/>
  <c r="NO28" i="22"/>
  <c r="NN28" i="22"/>
  <c r="NM28" i="22"/>
  <c r="NL28" i="22"/>
  <c r="NK28" i="22"/>
  <c r="NJ28" i="22"/>
  <c r="NI28" i="22"/>
  <c r="NH28" i="22"/>
  <c r="NG28" i="22"/>
  <c r="NF28" i="22"/>
  <c r="NE28" i="22"/>
  <c r="ND28" i="22"/>
  <c r="NQ27" i="22"/>
  <c r="NO27" i="22"/>
  <c r="NN27" i="22"/>
  <c r="NM27" i="22"/>
  <c r="NL27" i="22"/>
  <c r="NK27" i="22"/>
  <c r="NJ27" i="22"/>
  <c r="NI27" i="22"/>
  <c r="NH27" i="22"/>
  <c r="NG27" i="22"/>
  <c r="NF27" i="22"/>
  <c r="NE27" i="22"/>
  <c r="ND27" i="22"/>
  <c r="NQ26" i="22"/>
  <c r="NO26" i="22"/>
  <c r="NN26" i="22"/>
  <c r="NM26" i="22"/>
  <c r="NL26" i="22"/>
  <c r="NK26" i="22"/>
  <c r="NJ26" i="22"/>
  <c r="NI26" i="22"/>
  <c r="NH26" i="22"/>
  <c r="NG26" i="22"/>
  <c r="NF26" i="22"/>
  <c r="NE26" i="22"/>
  <c r="ND26" i="22"/>
  <c r="NQ25" i="22"/>
  <c r="NO25" i="22"/>
  <c r="NN25" i="22"/>
  <c r="NM25" i="22"/>
  <c r="NL25" i="22"/>
  <c r="NK25" i="22"/>
  <c r="NJ25" i="22"/>
  <c r="NI25" i="22"/>
  <c r="NH25" i="22"/>
  <c r="NG25" i="22"/>
  <c r="NF25" i="22"/>
  <c r="NE25" i="22"/>
  <c r="ND25" i="22"/>
  <c r="NQ24" i="22"/>
  <c r="NO24" i="22"/>
  <c r="NN24" i="22"/>
  <c r="NM24" i="22"/>
  <c r="NL24" i="22"/>
  <c r="NK24" i="22"/>
  <c r="NJ24" i="22"/>
  <c r="NI24" i="22"/>
  <c r="NH24" i="22"/>
  <c r="NG24" i="22"/>
  <c r="NF24" i="22"/>
  <c r="NE24" i="22"/>
  <c r="ND24" i="22"/>
  <c r="NQ23" i="22"/>
  <c r="NO23" i="22"/>
  <c r="NN23" i="22"/>
  <c r="NM23" i="22"/>
  <c r="NL23" i="22"/>
  <c r="NK23" i="22"/>
  <c r="NJ23" i="22"/>
  <c r="NI23" i="22"/>
  <c r="NH23" i="22"/>
  <c r="NG23" i="22"/>
  <c r="NF23" i="22"/>
  <c r="NE23" i="22"/>
  <c r="ND23" i="22"/>
  <c r="NQ22" i="22"/>
  <c r="NO22" i="22"/>
  <c r="NN22" i="22"/>
  <c r="NM22" i="22"/>
  <c r="NL22" i="22"/>
  <c r="NK22" i="22"/>
  <c r="NJ22" i="22"/>
  <c r="NI22" i="22"/>
  <c r="NH22" i="22"/>
  <c r="NG22" i="22"/>
  <c r="NF22" i="22"/>
  <c r="NE22" i="22"/>
  <c r="ND22" i="22"/>
  <c r="NQ21" i="22"/>
  <c r="NO21" i="22"/>
  <c r="NN21" i="22"/>
  <c r="NM21" i="22"/>
  <c r="NL21" i="22"/>
  <c r="NK21" i="22"/>
  <c r="NJ21" i="22"/>
  <c r="NI21" i="22"/>
  <c r="NH21" i="22"/>
  <c r="NG21" i="22"/>
  <c r="NF21" i="22"/>
  <c r="NE21" i="22"/>
  <c r="ND21" i="22"/>
  <c r="NQ20" i="22"/>
  <c r="NO20" i="22"/>
  <c r="NN20" i="22"/>
  <c r="NM20" i="22"/>
  <c r="NL20" i="22"/>
  <c r="NK20" i="22"/>
  <c r="NJ20" i="22"/>
  <c r="NI20" i="22"/>
  <c r="NH20" i="22"/>
  <c r="NG20" i="22"/>
  <c r="NF20" i="22"/>
  <c r="NE20" i="22"/>
  <c r="ND20" i="22"/>
  <c r="NQ19" i="22"/>
  <c r="NO19" i="22"/>
  <c r="NN19" i="22"/>
  <c r="NM19" i="22"/>
  <c r="NL19" i="22"/>
  <c r="NK19" i="22"/>
  <c r="NJ19" i="22"/>
  <c r="NI19" i="22"/>
  <c r="NH19" i="22"/>
  <c r="NG19" i="22"/>
  <c r="NF19" i="22"/>
  <c r="NE19" i="22"/>
  <c r="ND19" i="22"/>
  <c r="NQ18" i="22"/>
  <c r="NO18" i="22"/>
  <c r="NN18" i="22"/>
  <c r="NM18" i="22"/>
  <c r="NL18" i="22"/>
  <c r="NK18" i="22"/>
  <c r="NJ18" i="22"/>
  <c r="NI18" i="22"/>
  <c r="NH18" i="22"/>
  <c r="NG18" i="22"/>
  <c r="NF18" i="22"/>
  <c r="NE18" i="22"/>
  <c r="ND18" i="22"/>
  <c r="NQ17" i="22"/>
  <c r="NO17" i="22"/>
  <c r="NN17" i="22"/>
  <c r="NM17" i="22"/>
  <c r="NL17" i="22"/>
  <c r="NK17" i="22"/>
  <c r="NJ17" i="22"/>
  <c r="NI17" i="22"/>
  <c r="NH17" i="22"/>
  <c r="NG17" i="22"/>
  <c r="NF17" i="22"/>
  <c r="NE17" i="22"/>
  <c r="ND17" i="22"/>
  <c r="NQ16" i="22"/>
  <c r="NO16" i="22"/>
  <c r="NN16" i="22"/>
  <c r="NM16" i="22"/>
  <c r="NL16" i="22"/>
  <c r="NK16" i="22"/>
  <c r="NJ16" i="22"/>
  <c r="NI16" i="22"/>
  <c r="NH16" i="22"/>
  <c r="NG16" i="22"/>
  <c r="NF16" i="22"/>
  <c r="NE16" i="22"/>
  <c r="ND16" i="22"/>
  <c r="NQ15" i="22"/>
  <c r="NO15" i="22"/>
  <c r="NN15" i="22"/>
  <c r="NM15" i="22"/>
  <c r="NL15" i="22"/>
  <c r="NK15" i="22"/>
  <c r="NJ15" i="22"/>
  <c r="NI15" i="22"/>
  <c r="NH15" i="22"/>
  <c r="NG15" i="22"/>
  <c r="NF15" i="22"/>
  <c r="NE15" i="22"/>
  <c r="ND15" i="22"/>
  <c r="NQ14" i="22"/>
  <c r="NO14" i="22"/>
  <c r="NN14" i="22"/>
  <c r="NM14" i="22"/>
  <c r="NL14" i="22"/>
  <c r="NK14" i="22"/>
  <c r="NJ14" i="22"/>
  <c r="NI14" i="22"/>
  <c r="NH14" i="22"/>
  <c r="NG14" i="22"/>
  <c r="NF14" i="22"/>
  <c r="NE14" i="22"/>
  <c r="ND14" i="22"/>
  <c r="NQ13" i="22"/>
  <c r="NO13" i="22"/>
  <c r="NN13" i="22"/>
  <c r="NM13" i="22"/>
  <c r="NL13" i="22"/>
  <c r="NK13" i="22"/>
  <c r="NJ13" i="22"/>
  <c r="NI13" i="22"/>
  <c r="NH13" i="22"/>
  <c r="NG13" i="22"/>
  <c r="NF13" i="22"/>
  <c r="NE13" i="22"/>
  <c r="ND13" i="22"/>
  <c r="NO12" i="22"/>
  <c r="NN12" i="22"/>
  <c r="NM12" i="22"/>
  <c r="NL12" i="22"/>
  <c r="NK12" i="22"/>
  <c r="NJ12" i="22"/>
  <c r="NI12" i="22"/>
  <c r="NH12" i="22"/>
  <c r="NG12" i="22"/>
  <c r="NF12" i="22"/>
  <c r="NE12" i="22"/>
  <c r="ND12" i="22"/>
  <c r="NO11" i="22"/>
  <c r="NN11" i="22"/>
  <c r="NM11" i="22"/>
  <c r="NL11" i="22"/>
  <c r="NK11" i="22"/>
  <c r="NJ11" i="22"/>
  <c r="NI11" i="22"/>
  <c r="NH11" i="22"/>
  <c r="NG11" i="22"/>
  <c r="NF11" i="22"/>
  <c r="NE11" i="22"/>
  <c r="ND11" i="22"/>
  <c r="NO10" i="22"/>
  <c r="NN10" i="22"/>
  <c r="NM10" i="22"/>
  <c r="NL10" i="22"/>
  <c r="NK10" i="22"/>
  <c r="NJ10" i="22"/>
  <c r="NI10" i="22"/>
  <c r="NH10" i="22"/>
  <c r="NG10" i="22"/>
  <c r="NF10" i="22"/>
  <c r="NE10" i="22"/>
  <c r="ND10" i="22"/>
  <c r="ND9" i="22"/>
  <c r="NE9" i="22"/>
  <c r="NF9" i="22"/>
  <c r="NG9" i="22"/>
  <c r="NH9" i="22"/>
  <c r="NI9" i="22"/>
  <c r="NJ9" i="22"/>
  <c r="NK9" i="22"/>
  <c r="NL9" i="22"/>
  <c r="NM9" i="22"/>
  <c r="NN9" i="22"/>
  <c r="NO9" i="22"/>
  <c r="NN8" i="22"/>
  <c r="NL8" i="22"/>
  <c r="NI8" i="22"/>
  <c r="NG8" i="22"/>
  <c r="NH8" i="22"/>
  <c r="NJ8" i="22"/>
  <c r="NK8" i="22"/>
  <c r="NM8" i="22"/>
  <c r="NO8" i="22"/>
  <c r="NF8" i="22"/>
  <c r="ND8" i="22"/>
  <c r="NE8" i="22"/>
  <c r="B9" i="22"/>
  <c r="C9" i="22"/>
  <c r="D9" i="22"/>
  <c r="E9" i="22"/>
  <c r="F9" i="22"/>
  <c r="G9" i="22"/>
  <c r="H9" i="22"/>
  <c r="I9" i="22"/>
  <c r="J9" i="22"/>
  <c r="K9" i="22"/>
  <c r="L9" i="22"/>
  <c r="M9" i="22"/>
  <c r="N9" i="22"/>
  <c r="O9" i="22"/>
  <c r="P9" i="22"/>
  <c r="Q9" i="22"/>
  <c r="R9" i="22"/>
  <c r="S9" i="22"/>
  <c r="T9" i="22"/>
  <c r="U9" i="22"/>
  <c r="V9" i="22"/>
  <c r="W9" i="22"/>
  <c r="X9" i="22"/>
  <c r="Y9" i="22"/>
  <c r="Z9" i="22"/>
  <c r="AA9" i="22"/>
  <c r="AB9" i="22"/>
  <c r="AC9" i="22"/>
  <c r="AD9" i="22"/>
  <c r="AE9" i="22"/>
  <c r="AF9" i="22"/>
  <c r="AG9" i="22"/>
  <c r="AH9" i="22"/>
  <c r="AI9" i="22"/>
  <c r="AJ9" i="22"/>
  <c r="AK9" i="22"/>
  <c r="AL9" i="22"/>
  <c r="AM9" i="22"/>
  <c r="AN9" i="22"/>
  <c r="AO9" i="22"/>
  <c r="AP9" i="22"/>
  <c r="AQ9" i="22"/>
  <c r="AR9" i="22"/>
  <c r="AS9" i="22"/>
  <c r="AT9" i="22"/>
  <c r="AU9" i="22"/>
  <c r="AV9" i="22"/>
  <c r="AW9" i="22"/>
  <c r="AX9" i="22"/>
  <c r="AY9" i="22"/>
  <c r="AZ9" i="22"/>
  <c r="BA9" i="22"/>
  <c r="BB9" i="22"/>
  <c r="BC9" i="22"/>
  <c r="BD9" i="22"/>
  <c r="BE9" i="22"/>
  <c r="BF9" i="22"/>
  <c r="BG9" i="22"/>
  <c r="BH9" i="22"/>
  <c r="BI9" i="22"/>
  <c r="BJ9" i="22"/>
  <c r="BK9" i="22"/>
  <c r="BL9" i="22"/>
  <c r="BM9" i="22"/>
  <c r="BN9" i="22"/>
  <c r="BO9" i="22"/>
  <c r="BP9" i="22"/>
  <c r="BQ9" i="22"/>
  <c r="BR9" i="22"/>
  <c r="BS9" i="22"/>
  <c r="BT9" i="22"/>
  <c r="BU9" i="22"/>
  <c r="BV9" i="22"/>
  <c r="BW9" i="22"/>
  <c r="BX9" i="22"/>
  <c r="BY9" i="22"/>
  <c r="BZ9" i="22"/>
  <c r="CA9" i="22"/>
  <c r="CB9" i="22"/>
  <c r="CC9" i="22"/>
  <c r="CD9" i="22"/>
  <c r="CE9" i="22"/>
  <c r="CF9" i="22"/>
  <c r="CG9" i="22"/>
  <c r="CH9" i="22"/>
  <c r="CI9" i="22"/>
  <c r="CJ9" i="22"/>
  <c r="CK9" i="22"/>
  <c r="CL9" i="22"/>
  <c r="CM9" i="22"/>
  <c r="CN9" i="22"/>
  <c r="CO9" i="22"/>
  <c r="CP9" i="22"/>
  <c r="CQ9" i="22"/>
  <c r="CR9" i="22"/>
  <c r="CS9" i="22"/>
  <c r="CT9" i="22"/>
  <c r="CU9" i="22"/>
  <c r="CV9" i="22"/>
  <c r="CW9" i="22"/>
  <c r="CX9" i="22"/>
  <c r="CY9" i="22"/>
  <c r="CZ9" i="22"/>
  <c r="DA9" i="22"/>
  <c r="DB9" i="22"/>
  <c r="DC9" i="22"/>
  <c r="DD9" i="22"/>
  <c r="DE9" i="22"/>
  <c r="DF9" i="22"/>
  <c r="DG9" i="22"/>
  <c r="DH9" i="22"/>
  <c r="DI9" i="22"/>
  <c r="DJ9" i="22"/>
  <c r="DK9" i="22"/>
  <c r="DL9" i="22"/>
  <c r="DM9" i="22"/>
  <c r="DN9" i="22"/>
  <c r="DO9" i="22"/>
  <c r="DP9" i="22"/>
  <c r="DQ9" i="22"/>
  <c r="DR9" i="22"/>
  <c r="DS9" i="22"/>
  <c r="DT9" i="22"/>
  <c r="DU9" i="22"/>
  <c r="DV9" i="22"/>
  <c r="DW9" i="22"/>
  <c r="DX9" i="22"/>
  <c r="DY9" i="22"/>
  <c r="DZ9" i="22"/>
  <c r="EA9" i="22"/>
  <c r="EB9" i="22"/>
  <c r="EC9" i="22"/>
  <c r="ED9" i="22"/>
  <c r="EE9" i="22"/>
  <c r="EF9" i="22"/>
  <c r="EG9" i="22"/>
  <c r="EH9" i="22"/>
  <c r="EI9" i="22"/>
  <c r="EJ9" i="22"/>
  <c r="EK9" i="22"/>
  <c r="EL9" i="22"/>
  <c r="EM9" i="22"/>
  <c r="EN9" i="22"/>
  <c r="EO9" i="22"/>
  <c r="EP9" i="22"/>
  <c r="EQ9" i="22"/>
  <c r="ER9" i="22"/>
  <c r="ES9" i="22"/>
  <c r="ET9" i="22"/>
  <c r="EU9" i="22"/>
  <c r="EV9" i="22"/>
  <c r="EW9" i="22"/>
  <c r="EX9" i="22"/>
  <c r="EY9" i="22"/>
  <c r="EZ9" i="22"/>
  <c r="FA9" i="22"/>
  <c r="FB9" i="22"/>
  <c r="FC9" i="22"/>
  <c r="FD9" i="22"/>
  <c r="FE9" i="22"/>
  <c r="FF9" i="22"/>
  <c r="FG9" i="22"/>
  <c r="FH9" i="22"/>
  <c r="FI9" i="22"/>
  <c r="FJ9" i="22"/>
  <c r="FK9" i="22"/>
  <c r="FL9" i="22"/>
  <c r="FM9" i="22"/>
  <c r="FN9" i="22"/>
  <c r="FO9" i="22"/>
  <c r="FP9" i="22"/>
  <c r="FQ9" i="22"/>
  <c r="FR9" i="22"/>
  <c r="FS9" i="22"/>
  <c r="FT9" i="22"/>
  <c r="FU9" i="22"/>
  <c r="FV9" i="22"/>
  <c r="FW9" i="22"/>
  <c r="FX9" i="22"/>
  <c r="FY9" i="22"/>
  <c r="FZ9" i="22"/>
  <c r="GA9" i="22"/>
  <c r="GB9" i="22"/>
  <c r="GC9" i="22"/>
  <c r="GD9" i="22"/>
  <c r="GE9" i="22"/>
  <c r="GF9" i="22"/>
  <c r="GG9" i="22"/>
  <c r="GH9" i="22"/>
  <c r="GI9" i="22"/>
  <c r="GJ9" i="22"/>
  <c r="GK9" i="22"/>
  <c r="GL9" i="22"/>
  <c r="GM9" i="22"/>
  <c r="GN9" i="22"/>
  <c r="GO9" i="22"/>
  <c r="GP9" i="22"/>
  <c r="GQ9" i="22"/>
  <c r="GR9" i="22"/>
  <c r="GS9" i="22"/>
  <c r="GT9" i="22"/>
  <c r="GU9" i="22"/>
  <c r="GV9" i="22"/>
  <c r="GW9" i="22"/>
  <c r="GX9" i="22"/>
  <c r="GY9" i="22"/>
  <c r="GZ9" i="22"/>
  <c r="HA9" i="22"/>
  <c r="HB9" i="22"/>
  <c r="HC9" i="22"/>
  <c r="HD9" i="22"/>
  <c r="HE9" i="22"/>
  <c r="HF9" i="22"/>
  <c r="HG9" i="22"/>
  <c r="HH9" i="22"/>
  <c r="HI9" i="22"/>
  <c r="HJ9" i="22"/>
  <c r="HK9" i="22"/>
  <c r="HL9" i="22"/>
  <c r="HM9" i="22"/>
  <c r="HN9" i="22"/>
  <c r="HO9" i="22"/>
  <c r="HP9" i="22"/>
  <c r="HQ9" i="22"/>
  <c r="HR9" i="22"/>
  <c r="HS9" i="22"/>
  <c r="HT9" i="22"/>
  <c r="HU9" i="22"/>
  <c r="HV9" i="22"/>
  <c r="HW9" i="22"/>
  <c r="HX9" i="22"/>
  <c r="HY9" i="22"/>
  <c r="HZ9" i="22"/>
  <c r="IA9" i="22"/>
  <c r="IB9" i="22"/>
  <c r="IC9" i="22"/>
  <c r="ID9" i="22"/>
  <c r="IE9" i="22"/>
  <c r="IF9" i="22"/>
  <c r="IG9" i="22"/>
  <c r="IH9" i="22"/>
  <c r="II9" i="22"/>
  <c r="IJ9" i="22"/>
  <c r="IK9" i="22"/>
  <c r="IL9" i="22"/>
  <c r="IM9" i="22"/>
  <c r="IN9" i="22"/>
  <c r="IO9" i="22"/>
  <c r="IP9" i="22"/>
  <c r="IQ9" i="22"/>
  <c r="IR9" i="22"/>
  <c r="IS9" i="22"/>
  <c r="IT9" i="22"/>
  <c r="IU9" i="22"/>
  <c r="IV9" i="22"/>
  <c r="IW9" i="22"/>
  <c r="IX9" i="22"/>
  <c r="IY9" i="22"/>
  <c r="IZ9" i="22"/>
  <c r="JA9" i="22"/>
  <c r="JB9" i="22"/>
  <c r="JC9" i="22"/>
  <c r="JD9" i="22"/>
  <c r="JE9" i="22"/>
  <c r="JF9" i="22"/>
  <c r="JG9" i="22"/>
  <c r="JH9" i="22"/>
  <c r="JI9" i="22"/>
  <c r="JJ9" i="22"/>
  <c r="JK9" i="22"/>
  <c r="JL9" i="22"/>
  <c r="JM9" i="22"/>
  <c r="JN9" i="22"/>
  <c r="JO9" i="22"/>
  <c r="JP9" i="22"/>
  <c r="JQ9" i="22"/>
  <c r="JR9" i="22"/>
  <c r="JS9" i="22"/>
  <c r="JT9" i="22"/>
  <c r="JU9" i="22"/>
  <c r="JV9" i="22"/>
  <c r="JW9" i="22"/>
  <c r="JX9" i="22"/>
  <c r="JY9" i="22"/>
  <c r="JZ9" i="22"/>
  <c r="KA9" i="22"/>
  <c r="KB9" i="22"/>
  <c r="KC9" i="22"/>
  <c r="KD9" i="22"/>
  <c r="KE9" i="22"/>
  <c r="KF9" i="22"/>
  <c r="KG9" i="22"/>
  <c r="KH9" i="22"/>
  <c r="KI9" i="22"/>
  <c r="KJ9" i="22"/>
  <c r="KK9" i="22"/>
  <c r="KL9" i="22"/>
  <c r="KM9" i="22"/>
  <c r="KN9" i="22"/>
  <c r="KO9" i="22"/>
  <c r="KP9" i="22"/>
  <c r="KQ9" i="22"/>
  <c r="KR9" i="22"/>
  <c r="KS9" i="22"/>
  <c r="KT9" i="22"/>
  <c r="KU9" i="22"/>
  <c r="KV9" i="22"/>
  <c r="KW9" i="22"/>
  <c r="KX9" i="22"/>
  <c r="KY9" i="22"/>
  <c r="KZ9" i="22"/>
  <c r="LA9" i="22"/>
  <c r="LB9" i="22"/>
  <c r="LC9" i="22"/>
  <c r="LD9" i="22"/>
  <c r="LE9" i="22"/>
  <c r="LF9" i="22"/>
  <c r="LG9" i="22"/>
  <c r="LH9" i="22"/>
  <c r="LI9" i="22"/>
  <c r="LJ9" i="22"/>
  <c r="LK9" i="22"/>
  <c r="LL9" i="22"/>
  <c r="LM9" i="22"/>
  <c r="LN9" i="22"/>
  <c r="LO9" i="22"/>
  <c r="LP9" i="22"/>
  <c r="LQ9" i="22"/>
  <c r="LR9" i="22"/>
  <c r="LS9" i="22"/>
  <c r="LT9" i="22"/>
  <c r="LU9" i="22"/>
  <c r="LV9" i="22"/>
  <c r="LW9" i="22"/>
  <c r="LX9" i="22"/>
  <c r="LY9" i="22"/>
  <c r="LZ9" i="22"/>
  <c r="MA9" i="22"/>
  <c r="MB9" i="22"/>
  <c r="MC9" i="22"/>
  <c r="MD9" i="22"/>
  <c r="ME9" i="22"/>
  <c r="MF9" i="22"/>
  <c r="MG9" i="22"/>
  <c r="MH9" i="22"/>
  <c r="MI9" i="22"/>
  <c r="MJ9" i="22"/>
  <c r="MK9" i="22"/>
  <c r="ML9" i="22"/>
  <c r="MM9" i="22"/>
  <c r="MN9" i="22"/>
  <c r="MO9" i="22"/>
  <c r="MP9" i="22"/>
  <c r="MQ9" i="22"/>
  <c r="MR9" i="22"/>
  <c r="MS9" i="22"/>
  <c r="MT9" i="22"/>
  <c r="MU9" i="22"/>
  <c r="MV9" i="22"/>
  <c r="MW9" i="22"/>
  <c r="MX9" i="22"/>
  <c r="MY9" i="22"/>
  <c r="MZ9" i="22"/>
  <c r="NA9" i="22"/>
  <c r="NB9" i="22"/>
  <c r="NC9" i="22"/>
  <c r="NQ9" i="22"/>
  <c r="NS9" i="22"/>
  <c r="B10" i="22"/>
  <c r="C10" i="22"/>
  <c r="D10" i="22"/>
  <c r="E10" i="22"/>
  <c r="F10" i="22"/>
  <c r="G10" i="22"/>
  <c r="H10" i="22"/>
  <c r="I10" i="22"/>
  <c r="J10" i="22"/>
  <c r="K10" i="22"/>
  <c r="L10" i="22"/>
  <c r="M10" i="22"/>
  <c r="N10" i="22"/>
  <c r="O10" i="22"/>
  <c r="P10" i="22"/>
  <c r="Q10" i="22"/>
  <c r="R10" i="22"/>
  <c r="S10" i="22"/>
  <c r="T10" i="22"/>
  <c r="U10" i="22"/>
  <c r="V10" i="22"/>
  <c r="W10" i="22"/>
  <c r="X10" i="22"/>
  <c r="Y10" i="22"/>
  <c r="Z10" i="22"/>
  <c r="AA10" i="22"/>
  <c r="AB10" i="22"/>
  <c r="AC10" i="22"/>
  <c r="AD10" i="22"/>
  <c r="AE10" i="22"/>
  <c r="AF10" i="22"/>
  <c r="AG10" i="22"/>
  <c r="AH10" i="22"/>
  <c r="AI10" i="22"/>
  <c r="AJ10" i="22"/>
  <c r="AK10" i="22"/>
  <c r="AL10" i="22"/>
  <c r="AM10" i="22"/>
  <c r="AN10" i="22"/>
  <c r="AO10" i="22"/>
  <c r="AP10" i="22"/>
  <c r="AQ10" i="22"/>
  <c r="AR10" i="22"/>
  <c r="AS10" i="22"/>
  <c r="AT10" i="22"/>
  <c r="AU10" i="22"/>
  <c r="AV10" i="22"/>
  <c r="AW10" i="22"/>
  <c r="AX10" i="22"/>
  <c r="AY10" i="22"/>
  <c r="AZ10" i="22"/>
  <c r="BA10" i="22"/>
  <c r="BB10" i="22"/>
  <c r="BC10" i="22"/>
  <c r="BD10" i="22"/>
  <c r="BE10" i="22"/>
  <c r="BF10" i="22"/>
  <c r="BG10" i="22"/>
  <c r="BH10" i="22"/>
  <c r="BJ10" i="22"/>
  <c r="BK10" i="22"/>
  <c r="BL10" i="22"/>
  <c r="BM10" i="22"/>
  <c r="BN10" i="22"/>
  <c r="BO10" i="22"/>
  <c r="BP10" i="22"/>
  <c r="BQ10" i="22"/>
  <c r="BR10" i="22"/>
  <c r="BS10" i="22"/>
  <c r="BT10" i="22"/>
  <c r="BU10" i="22"/>
  <c r="BV10" i="22"/>
  <c r="BW10" i="22"/>
  <c r="BX10" i="22"/>
  <c r="BY10" i="22"/>
  <c r="BZ10" i="22"/>
  <c r="CA10" i="22"/>
  <c r="CB10" i="22"/>
  <c r="CC10" i="22"/>
  <c r="CD10" i="22"/>
  <c r="CE10" i="22"/>
  <c r="CF10" i="22"/>
  <c r="CG10" i="22"/>
  <c r="CH10" i="22"/>
  <c r="CI10" i="22"/>
  <c r="CJ10" i="22"/>
  <c r="CK10" i="22"/>
  <c r="CL10" i="22"/>
  <c r="CM10" i="22"/>
  <c r="CN10" i="22"/>
  <c r="CO10" i="22"/>
  <c r="CP10" i="22"/>
  <c r="CQ10" i="22"/>
  <c r="CR10" i="22"/>
  <c r="CS10" i="22"/>
  <c r="CT10" i="22"/>
  <c r="CU10" i="22"/>
  <c r="CV10" i="22"/>
  <c r="CW10" i="22"/>
  <c r="CX10" i="22"/>
  <c r="CY10" i="22"/>
  <c r="CZ10" i="22"/>
  <c r="DA10" i="22"/>
  <c r="DB10" i="22"/>
  <c r="DC10" i="22"/>
  <c r="DD10" i="22"/>
  <c r="DE10" i="22"/>
  <c r="DF10" i="22"/>
  <c r="DG10" i="22"/>
  <c r="DH10" i="22"/>
  <c r="DI10" i="22"/>
  <c r="DJ10" i="22"/>
  <c r="DK10" i="22"/>
  <c r="DL10" i="22"/>
  <c r="DM10" i="22"/>
  <c r="DN10" i="22"/>
  <c r="DO10" i="22"/>
  <c r="DP10" i="22"/>
  <c r="DQ10" i="22"/>
  <c r="DR10" i="22"/>
  <c r="DS10" i="22"/>
  <c r="DT10" i="22"/>
  <c r="DU10" i="22"/>
  <c r="DV10" i="22"/>
  <c r="DW10" i="22"/>
  <c r="DX10" i="22"/>
  <c r="DY10" i="22"/>
  <c r="DZ10" i="22"/>
  <c r="EA10" i="22"/>
  <c r="EB10" i="22"/>
  <c r="EC10" i="22"/>
  <c r="ED10" i="22"/>
  <c r="EE10" i="22"/>
  <c r="EF10" i="22"/>
  <c r="EG10" i="22"/>
  <c r="EH10" i="22"/>
  <c r="EI10" i="22"/>
  <c r="EJ10" i="22"/>
  <c r="EK10" i="22"/>
  <c r="EL10" i="22"/>
  <c r="EM10" i="22"/>
  <c r="EN10" i="22"/>
  <c r="EO10" i="22"/>
  <c r="EP10" i="22"/>
  <c r="EQ10" i="22"/>
  <c r="ER10" i="22"/>
  <c r="ES10" i="22"/>
  <c r="ET10" i="22"/>
  <c r="EU10" i="22"/>
  <c r="EV10" i="22"/>
  <c r="EW10" i="22"/>
  <c r="EX10" i="22"/>
  <c r="EY10" i="22"/>
  <c r="EZ10" i="22"/>
  <c r="FA10" i="22"/>
  <c r="FB10" i="22"/>
  <c r="FC10" i="22"/>
  <c r="FD10" i="22"/>
  <c r="FE10" i="22"/>
  <c r="FF10" i="22"/>
  <c r="FG10" i="22"/>
  <c r="FH10" i="22"/>
  <c r="FI10" i="22"/>
  <c r="FJ10" i="22"/>
  <c r="FK10" i="22"/>
  <c r="FL10" i="22"/>
  <c r="FM10" i="22"/>
  <c r="FN10" i="22"/>
  <c r="FO10" i="22"/>
  <c r="FP10" i="22"/>
  <c r="FQ10" i="22"/>
  <c r="FR10" i="22"/>
  <c r="FS10" i="22"/>
  <c r="FT10" i="22"/>
  <c r="FU10" i="22"/>
  <c r="FV10" i="22"/>
  <c r="FW10" i="22"/>
  <c r="FX10" i="22"/>
  <c r="FY10" i="22"/>
  <c r="FZ10" i="22"/>
  <c r="GA10" i="22"/>
  <c r="GB10" i="22"/>
  <c r="GC10" i="22"/>
  <c r="GD10" i="22"/>
  <c r="GE10" i="22"/>
  <c r="GF10" i="22"/>
  <c r="GG10" i="22"/>
  <c r="GH10" i="22"/>
  <c r="GI10" i="22"/>
  <c r="GJ10" i="22"/>
  <c r="GK10" i="22"/>
  <c r="GL10" i="22"/>
  <c r="GM10" i="22"/>
  <c r="GN10" i="22"/>
  <c r="GO10" i="22"/>
  <c r="GP10" i="22"/>
  <c r="GQ10" i="22"/>
  <c r="GR10" i="22"/>
  <c r="GS10" i="22"/>
  <c r="GT10" i="22"/>
  <c r="GU10" i="22"/>
  <c r="GV10" i="22"/>
  <c r="GW10" i="22"/>
  <c r="GX10" i="22"/>
  <c r="GY10" i="22"/>
  <c r="GZ10" i="22"/>
  <c r="HA10" i="22"/>
  <c r="HB10" i="22"/>
  <c r="HC10" i="22"/>
  <c r="HD10" i="22"/>
  <c r="HE10" i="22"/>
  <c r="HF10" i="22"/>
  <c r="HG10" i="22"/>
  <c r="HH10" i="22"/>
  <c r="HI10" i="22"/>
  <c r="HJ10" i="22"/>
  <c r="HK10" i="22"/>
  <c r="HL10" i="22"/>
  <c r="HM10" i="22"/>
  <c r="HN10" i="22"/>
  <c r="HO10" i="22"/>
  <c r="HP10" i="22"/>
  <c r="HQ10" i="22"/>
  <c r="HR10" i="22"/>
  <c r="HS10" i="22"/>
  <c r="HT10" i="22"/>
  <c r="HU10" i="22"/>
  <c r="HV10" i="22"/>
  <c r="HW10" i="22"/>
  <c r="HX10" i="22"/>
  <c r="HY10" i="22"/>
  <c r="HZ10" i="22"/>
  <c r="IA10" i="22"/>
  <c r="IB10" i="22"/>
  <c r="IC10" i="22"/>
  <c r="ID10" i="22"/>
  <c r="IE10" i="22"/>
  <c r="IF10" i="22"/>
  <c r="IG10" i="22"/>
  <c r="IH10" i="22"/>
  <c r="II10" i="22"/>
  <c r="IJ10" i="22"/>
  <c r="IK10" i="22"/>
  <c r="IL10" i="22"/>
  <c r="IM10" i="22"/>
  <c r="IN10" i="22"/>
  <c r="IO10" i="22"/>
  <c r="IP10" i="22"/>
  <c r="IQ10" i="22"/>
  <c r="IR10" i="22"/>
  <c r="IS10" i="22"/>
  <c r="IT10" i="22"/>
  <c r="IU10" i="22"/>
  <c r="IV10" i="22"/>
  <c r="IW10" i="22"/>
  <c r="IX10" i="22"/>
  <c r="IY10" i="22"/>
  <c r="IZ10" i="22"/>
  <c r="JA10" i="22"/>
  <c r="JB10" i="22"/>
  <c r="JC10" i="22"/>
  <c r="JD10" i="22"/>
  <c r="JE10" i="22"/>
  <c r="JF10" i="22"/>
  <c r="JG10" i="22"/>
  <c r="JH10" i="22"/>
  <c r="JI10" i="22"/>
  <c r="JJ10" i="22"/>
  <c r="JK10" i="22"/>
  <c r="JL10" i="22"/>
  <c r="JM10" i="22"/>
  <c r="JN10" i="22"/>
  <c r="JO10" i="22"/>
  <c r="JP10" i="22"/>
  <c r="JQ10" i="22"/>
  <c r="JR10" i="22"/>
  <c r="JS10" i="22"/>
  <c r="JT10" i="22"/>
  <c r="JU10" i="22"/>
  <c r="JV10" i="22"/>
  <c r="JW10" i="22"/>
  <c r="JX10" i="22"/>
  <c r="JY10" i="22"/>
  <c r="JZ10" i="22"/>
  <c r="KA10" i="22"/>
  <c r="KB10" i="22"/>
  <c r="KC10" i="22"/>
  <c r="KD10" i="22"/>
  <c r="KE10" i="22"/>
  <c r="KF10" i="22"/>
  <c r="KG10" i="22"/>
  <c r="KH10" i="22"/>
  <c r="KI10" i="22"/>
  <c r="KJ10" i="22"/>
  <c r="KK10" i="22"/>
  <c r="KL10" i="22"/>
  <c r="KM10" i="22"/>
  <c r="KN10" i="22"/>
  <c r="KO10" i="22"/>
  <c r="KP10" i="22"/>
  <c r="KQ10" i="22"/>
  <c r="KR10" i="22"/>
  <c r="KS10" i="22"/>
  <c r="KT10" i="22"/>
  <c r="KU10" i="22"/>
  <c r="KV10" i="22"/>
  <c r="KW10" i="22"/>
  <c r="KX10" i="22"/>
  <c r="KY10" i="22"/>
  <c r="KZ10" i="22"/>
  <c r="LA10" i="22"/>
  <c r="LB10" i="22"/>
  <c r="LC10" i="22"/>
  <c r="LD10" i="22"/>
  <c r="LE10" i="22"/>
  <c r="LF10" i="22"/>
  <c r="LG10" i="22"/>
  <c r="LH10" i="22"/>
  <c r="LI10" i="22"/>
  <c r="LJ10" i="22"/>
  <c r="LK10" i="22"/>
  <c r="LL10" i="22"/>
  <c r="LM10" i="22"/>
  <c r="LN10" i="22"/>
  <c r="LO10" i="22"/>
  <c r="LP10" i="22"/>
  <c r="LQ10" i="22"/>
  <c r="LR10" i="22"/>
  <c r="LS10" i="22"/>
  <c r="LT10" i="22"/>
  <c r="LU10" i="22"/>
  <c r="LV10" i="22"/>
  <c r="LW10" i="22"/>
  <c r="LX10" i="22"/>
  <c r="LY10" i="22"/>
  <c r="LZ10" i="22"/>
  <c r="MA10" i="22"/>
  <c r="MB10" i="22"/>
  <c r="MC10" i="22"/>
  <c r="MD10" i="22"/>
  <c r="ME10" i="22"/>
  <c r="MF10" i="22"/>
  <c r="MG10" i="22"/>
  <c r="MH10" i="22"/>
  <c r="MI10" i="22"/>
  <c r="MJ10" i="22"/>
  <c r="MK10" i="22"/>
  <c r="ML10" i="22"/>
  <c r="MM10" i="22"/>
  <c r="MN10" i="22"/>
  <c r="MO10" i="22"/>
  <c r="MP10" i="22"/>
  <c r="MQ10" i="22"/>
  <c r="MR10" i="22"/>
  <c r="MS10" i="22"/>
  <c r="MT10" i="22"/>
  <c r="MU10" i="22"/>
  <c r="MV10" i="22"/>
  <c r="MW10" i="22"/>
  <c r="MX10" i="22"/>
  <c r="MY10" i="22"/>
  <c r="MZ10" i="22"/>
  <c r="NA10" i="22"/>
  <c r="NB10" i="22"/>
  <c r="NQ10" i="22"/>
  <c r="NS10" i="22"/>
  <c r="B11" i="22"/>
  <c r="C11" i="22"/>
  <c r="D11" i="22"/>
  <c r="E11" i="22"/>
  <c r="F11" i="22"/>
  <c r="G11" i="22"/>
  <c r="H11" i="22"/>
  <c r="I11" i="22"/>
  <c r="J11" i="22"/>
  <c r="K11" i="22"/>
  <c r="L11" i="22"/>
  <c r="M11" i="22"/>
  <c r="N11" i="22"/>
  <c r="O11" i="22"/>
  <c r="P11" i="22"/>
  <c r="Q11" i="22"/>
  <c r="R11" i="22"/>
  <c r="S11" i="22"/>
  <c r="T11" i="22"/>
  <c r="U11" i="22"/>
  <c r="V11" i="22"/>
  <c r="W11" i="22"/>
  <c r="X11" i="22"/>
  <c r="Y11" i="22"/>
  <c r="Z11" i="22"/>
  <c r="AA11" i="22"/>
  <c r="AB11" i="22"/>
  <c r="AC11" i="22"/>
  <c r="AD11" i="22"/>
  <c r="AE11" i="22"/>
  <c r="AF11" i="22"/>
  <c r="AG11" i="22"/>
  <c r="AH11" i="22"/>
  <c r="AI11" i="22"/>
  <c r="AJ11" i="22"/>
  <c r="AK11" i="22"/>
  <c r="AL11" i="22"/>
  <c r="AM11" i="22"/>
  <c r="AN11" i="22"/>
  <c r="AO11" i="22"/>
  <c r="AP11" i="22"/>
  <c r="AQ11" i="22"/>
  <c r="AR11" i="22"/>
  <c r="AS11" i="22"/>
  <c r="AT11" i="22"/>
  <c r="AU11" i="22"/>
  <c r="AV11" i="22"/>
  <c r="AW11" i="22"/>
  <c r="AX11" i="22"/>
  <c r="AY11" i="22"/>
  <c r="AZ11" i="22"/>
  <c r="BA11" i="22"/>
  <c r="BB11" i="22"/>
  <c r="BC11" i="22"/>
  <c r="BD11" i="22"/>
  <c r="BE11" i="22"/>
  <c r="BF11" i="22"/>
  <c r="BG11" i="22"/>
  <c r="BH11" i="22"/>
  <c r="BJ11" i="22"/>
  <c r="BK11" i="22"/>
  <c r="BL11" i="22"/>
  <c r="BM11" i="22"/>
  <c r="BN11" i="22"/>
  <c r="BO11" i="22"/>
  <c r="BP11" i="22"/>
  <c r="BQ11" i="22"/>
  <c r="BR11" i="22"/>
  <c r="BS11" i="22"/>
  <c r="BT11" i="22"/>
  <c r="BU11" i="22"/>
  <c r="BV11" i="22"/>
  <c r="BW11" i="22"/>
  <c r="BX11" i="22"/>
  <c r="BY11" i="22"/>
  <c r="BZ11" i="22"/>
  <c r="CA11" i="22"/>
  <c r="CB11" i="22"/>
  <c r="CC11" i="22"/>
  <c r="CD11" i="22"/>
  <c r="CE11" i="22"/>
  <c r="CF11" i="22"/>
  <c r="CG11" i="22"/>
  <c r="CH11" i="22"/>
  <c r="CI11" i="22"/>
  <c r="CJ11" i="22"/>
  <c r="CK11" i="22"/>
  <c r="CL11" i="22"/>
  <c r="CM11" i="22"/>
  <c r="CN11" i="22"/>
  <c r="CO11" i="22"/>
  <c r="CP11" i="22"/>
  <c r="CQ11" i="22"/>
  <c r="CR11" i="22"/>
  <c r="CS11" i="22"/>
  <c r="CT11" i="22"/>
  <c r="CU11" i="22"/>
  <c r="CV11" i="22"/>
  <c r="CW11" i="22"/>
  <c r="CX11" i="22"/>
  <c r="CY11" i="22"/>
  <c r="CZ11" i="22"/>
  <c r="DA11" i="22"/>
  <c r="DB11" i="22"/>
  <c r="DC11" i="22"/>
  <c r="DD11" i="22"/>
  <c r="DE11" i="22"/>
  <c r="DF11" i="22"/>
  <c r="DG11" i="22"/>
  <c r="DH11" i="22"/>
  <c r="DI11" i="22"/>
  <c r="DJ11" i="22"/>
  <c r="DK11" i="22"/>
  <c r="DL11" i="22"/>
  <c r="DM11" i="22"/>
  <c r="DN11" i="22"/>
  <c r="DO11" i="22"/>
  <c r="DP11" i="22"/>
  <c r="DQ11" i="22"/>
  <c r="DR11" i="22"/>
  <c r="DS11" i="22"/>
  <c r="DT11" i="22"/>
  <c r="DU11" i="22"/>
  <c r="DV11" i="22"/>
  <c r="DW11" i="22"/>
  <c r="DX11" i="22"/>
  <c r="DY11" i="22"/>
  <c r="DZ11" i="22"/>
  <c r="EA11" i="22"/>
  <c r="EB11" i="22"/>
  <c r="EC11" i="22"/>
  <c r="ED11" i="22"/>
  <c r="EE11" i="22"/>
  <c r="EF11" i="22"/>
  <c r="EG11" i="22"/>
  <c r="EH11" i="22"/>
  <c r="EI11" i="22"/>
  <c r="EJ11" i="22"/>
  <c r="EK11" i="22"/>
  <c r="EL11" i="22"/>
  <c r="EM11" i="22"/>
  <c r="EN11" i="22"/>
  <c r="EO11" i="22"/>
  <c r="EP11" i="22"/>
  <c r="EQ11" i="22"/>
  <c r="ER11" i="22"/>
  <c r="ES11" i="22"/>
  <c r="ET11" i="22"/>
  <c r="EU11" i="22"/>
  <c r="EV11" i="22"/>
  <c r="EW11" i="22"/>
  <c r="EX11" i="22"/>
  <c r="EY11" i="22"/>
  <c r="EZ11" i="22"/>
  <c r="FA11" i="22"/>
  <c r="FB11" i="22"/>
  <c r="FC11" i="22"/>
  <c r="FD11" i="22"/>
  <c r="FE11" i="22"/>
  <c r="FF11" i="22"/>
  <c r="FG11" i="22"/>
  <c r="FH11" i="22"/>
  <c r="FI11" i="22"/>
  <c r="FJ11" i="22"/>
  <c r="FK11" i="22"/>
  <c r="FL11" i="22"/>
  <c r="FM11" i="22"/>
  <c r="FN11" i="22"/>
  <c r="FO11" i="22"/>
  <c r="FP11" i="22"/>
  <c r="FQ11" i="22"/>
  <c r="FR11" i="22"/>
  <c r="FS11" i="22"/>
  <c r="FT11" i="22"/>
  <c r="FU11" i="22"/>
  <c r="FV11" i="22"/>
  <c r="FW11" i="22"/>
  <c r="FX11" i="22"/>
  <c r="FY11" i="22"/>
  <c r="FZ11" i="22"/>
  <c r="GA11" i="22"/>
  <c r="GB11" i="22"/>
  <c r="GC11" i="22"/>
  <c r="GD11" i="22"/>
  <c r="GE11" i="22"/>
  <c r="GF11" i="22"/>
  <c r="GG11" i="22"/>
  <c r="GH11" i="22"/>
  <c r="GI11" i="22"/>
  <c r="GJ11" i="22"/>
  <c r="GK11" i="22"/>
  <c r="GL11" i="22"/>
  <c r="GM11" i="22"/>
  <c r="GN11" i="22"/>
  <c r="GO11" i="22"/>
  <c r="GP11" i="22"/>
  <c r="GQ11" i="22"/>
  <c r="GR11" i="22"/>
  <c r="GS11" i="22"/>
  <c r="GT11" i="22"/>
  <c r="GU11" i="22"/>
  <c r="GV11" i="22"/>
  <c r="GW11" i="22"/>
  <c r="GX11" i="22"/>
  <c r="GY11" i="22"/>
  <c r="GZ11" i="22"/>
  <c r="HA11" i="22"/>
  <c r="HB11" i="22"/>
  <c r="HC11" i="22"/>
  <c r="HD11" i="22"/>
  <c r="HE11" i="22"/>
  <c r="HF11" i="22"/>
  <c r="HG11" i="22"/>
  <c r="HH11" i="22"/>
  <c r="HI11" i="22"/>
  <c r="HJ11" i="22"/>
  <c r="HK11" i="22"/>
  <c r="HL11" i="22"/>
  <c r="HM11" i="22"/>
  <c r="HN11" i="22"/>
  <c r="HO11" i="22"/>
  <c r="HP11" i="22"/>
  <c r="HQ11" i="22"/>
  <c r="HR11" i="22"/>
  <c r="HS11" i="22"/>
  <c r="HT11" i="22"/>
  <c r="HU11" i="22"/>
  <c r="HV11" i="22"/>
  <c r="HW11" i="22"/>
  <c r="HX11" i="22"/>
  <c r="HY11" i="22"/>
  <c r="HZ11" i="22"/>
  <c r="IA11" i="22"/>
  <c r="IB11" i="22"/>
  <c r="IC11" i="22"/>
  <c r="ID11" i="22"/>
  <c r="IE11" i="22"/>
  <c r="IF11" i="22"/>
  <c r="IG11" i="22"/>
  <c r="IH11" i="22"/>
  <c r="II11" i="22"/>
  <c r="IJ11" i="22"/>
  <c r="IK11" i="22"/>
  <c r="IL11" i="22"/>
  <c r="IM11" i="22"/>
  <c r="IN11" i="22"/>
  <c r="IO11" i="22"/>
  <c r="IP11" i="22"/>
  <c r="IQ11" i="22"/>
  <c r="IR11" i="22"/>
  <c r="IS11" i="22"/>
  <c r="IT11" i="22"/>
  <c r="IU11" i="22"/>
  <c r="IV11" i="22"/>
  <c r="IW11" i="22"/>
  <c r="IX11" i="22"/>
  <c r="IY11" i="22"/>
  <c r="IZ11" i="22"/>
  <c r="JA11" i="22"/>
  <c r="JB11" i="22"/>
  <c r="JC11" i="22"/>
  <c r="JD11" i="22"/>
  <c r="JE11" i="22"/>
  <c r="JF11" i="22"/>
  <c r="JG11" i="22"/>
  <c r="JH11" i="22"/>
  <c r="JI11" i="22"/>
  <c r="JJ11" i="22"/>
  <c r="JK11" i="22"/>
  <c r="JL11" i="22"/>
  <c r="JM11" i="22"/>
  <c r="JN11" i="22"/>
  <c r="JO11" i="22"/>
  <c r="JP11" i="22"/>
  <c r="JQ11" i="22"/>
  <c r="JR11" i="22"/>
  <c r="JS11" i="22"/>
  <c r="JT11" i="22"/>
  <c r="JU11" i="22"/>
  <c r="JV11" i="22"/>
  <c r="JW11" i="22"/>
  <c r="JX11" i="22"/>
  <c r="JY11" i="22"/>
  <c r="JZ11" i="22"/>
  <c r="KA11" i="22"/>
  <c r="KB11" i="22"/>
  <c r="KC11" i="22"/>
  <c r="KD11" i="22"/>
  <c r="KE11" i="22"/>
  <c r="KF11" i="22"/>
  <c r="KG11" i="22"/>
  <c r="KH11" i="22"/>
  <c r="KI11" i="22"/>
  <c r="KJ11" i="22"/>
  <c r="KK11" i="22"/>
  <c r="KL11" i="22"/>
  <c r="KM11" i="22"/>
  <c r="KN11" i="22"/>
  <c r="KO11" i="22"/>
  <c r="KP11" i="22"/>
  <c r="KQ11" i="22"/>
  <c r="KR11" i="22"/>
  <c r="KS11" i="22"/>
  <c r="KT11" i="22"/>
  <c r="KU11" i="22"/>
  <c r="KV11" i="22"/>
  <c r="KW11" i="22"/>
  <c r="KX11" i="22"/>
  <c r="KY11" i="22"/>
  <c r="KZ11" i="22"/>
  <c r="LA11" i="22"/>
  <c r="LB11" i="22"/>
  <c r="LC11" i="22"/>
  <c r="LD11" i="22"/>
  <c r="LE11" i="22"/>
  <c r="LF11" i="22"/>
  <c r="LG11" i="22"/>
  <c r="LH11" i="22"/>
  <c r="LI11" i="22"/>
  <c r="LJ11" i="22"/>
  <c r="LK11" i="22"/>
  <c r="LL11" i="22"/>
  <c r="LM11" i="22"/>
  <c r="LN11" i="22"/>
  <c r="LO11" i="22"/>
  <c r="LP11" i="22"/>
  <c r="LQ11" i="22"/>
  <c r="LR11" i="22"/>
  <c r="LS11" i="22"/>
  <c r="LT11" i="22"/>
  <c r="LU11" i="22"/>
  <c r="LV11" i="22"/>
  <c r="LW11" i="22"/>
  <c r="LX11" i="22"/>
  <c r="LY11" i="22"/>
  <c r="LZ11" i="22"/>
  <c r="MA11" i="22"/>
  <c r="MB11" i="22"/>
  <c r="MC11" i="22"/>
  <c r="MD11" i="22"/>
  <c r="ME11" i="22"/>
  <c r="MF11" i="22"/>
  <c r="MG11" i="22"/>
  <c r="MH11" i="22"/>
  <c r="MI11" i="22"/>
  <c r="MJ11" i="22"/>
  <c r="MK11" i="22"/>
  <c r="ML11" i="22"/>
  <c r="MM11" i="22"/>
  <c r="MN11" i="22"/>
  <c r="MO11" i="22"/>
  <c r="MP11" i="22"/>
  <c r="MQ11" i="22"/>
  <c r="MR11" i="22"/>
  <c r="MS11" i="22"/>
  <c r="MT11" i="22"/>
  <c r="MU11" i="22"/>
  <c r="MV11" i="22"/>
  <c r="MW11" i="22"/>
  <c r="MX11" i="22"/>
  <c r="MY11" i="22"/>
  <c r="MZ11" i="22"/>
  <c r="NA11" i="22"/>
  <c r="NB11" i="22"/>
  <c r="NQ11" i="22"/>
  <c r="NS11" i="22"/>
  <c r="B12" i="22"/>
  <c r="C12" i="22"/>
  <c r="D12" i="22"/>
  <c r="E12" i="22"/>
  <c r="F12" i="22"/>
  <c r="G12" i="22"/>
  <c r="H12" i="22"/>
  <c r="I12" i="22"/>
  <c r="J12" i="22"/>
  <c r="K12" i="22"/>
  <c r="L12" i="22"/>
  <c r="M12" i="22"/>
  <c r="N12" i="22"/>
  <c r="O12" i="22"/>
  <c r="P12" i="22"/>
  <c r="Q12" i="22"/>
  <c r="R12" i="22"/>
  <c r="S12" i="22"/>
  <c r="T12" i="22"/>
  <c r="U12" i="22"/>
  <c r="V12" i="22"/>
  <c r="W12" i="22"/>
  <c r="X12" i="22"/>
  <c r="Y12" i="22"/>
  <c r="Z12" i="22"/>
  <c r="AA12" i="22"/>
  <c r="AB12" i="22"/>
  <c r="AC12" i="22"/>
  <c r="AD12" i="22"/>
  <c r="AE12" i="22"/>
  <c r="AF12" i="22"/>
  <c r="AG12" i="22"/>
  <c r="AH12" i="22"/>
  <c r="AI12" i="22"/>
  <c r="AJ12" i="22"/>
  <c r="AK12" i="22"/>
  <c r="AL12" i="22"/>
  <c r="AM12" i="22"/>
  <c r="AN12" i="22"/>
  <c r="AO12" i="22"/>
  <c r="AP12" i="22"/>
  <c r="AQ12" i="22"/>
  <c r="AR12" i="22"/>
  <c r="AS12" i="22"/>
  <c r="AT12" i="22"/>
  <c r="AU12" i="22"/>
  <c r="AV12" i="22"/>
  <c r="AW12" i="22"/>
  <c r="AX12" i="22"/>
  <c r="AY12" i="22"/>
  <c r="AZ12" i="22"/>
  <c r="BA12" i="22"/>
  <c r="BB12" i="22"/>
  <c r="BC12" i="22"/>
  <c r="BD12" i="22"/>
  <c r="BE12" i="22"/>
  <c r="BF12" i="22"/>
  <c r="BG12" i="22"/>
  <c r="BH12" i="22"/>
  <c r="BJ12" i="22"/>
  <c r="BK12" i="22"/>
  <c r="BL12" i="22"/>
  <c r="BM12" i="22"/>
  <c r="BN12" i="22"/>
  <c r="BO12" i="22"/>
  <c r="BP12" i="22"/>
  <c r="BQ12" i="22"/>
  <c r="BR12" i="22"/>
  <c r="BS12" i="22"/>
  <c r="BT12" i="22"/>
  <c r="BU12" i="22"/>
  <c r="BV12" i="22"/>
  <c r="BW12" i="22"/>
  <c r="BX12" i="22"/>
  <c r="BY12" i="22"/>
  <c r="BZ12" i="22"/>
  <c r="CA12" i="22"/>
  <c r="CB12" i="22"/>
  <c r="CC12" i="22"/>
  <c r="CD12" i="22"/>
  <c r="CE12" i="22"/>
  <c r="CF12" i="22"/>
  <c r="CG12" i="22"/>
  <c r="CH12" i="22"/>
  <c r="CI12" i="22"/>
  <c r="CJ12" i="22"/>
  <c r="CK12" i="22"/>
  <c r="CL12" i="22"/>
  <c r="CM12" i="22"/>
  <c r="CN12" i="22"/>
  <c r="CO12" i="22"/>
  <c r="CP12" i="22"/>
  <c r="CQ12" i="22"/>
  <c r="CR12" i="22"/>
  <c r="CS12" i="22"/>
  <c r="CT12" i="22"/>
  <c r="CU12" i="22"/>
  <c r="CV12" i="22"/>
  <c r="CW12" i="22"/>
  <c r="CX12" i="22"/>
  <c r="CY12" i="22"/>
  <c r="CZ12" i="22"/>
  <c r="DA12" i="22"/>
  <c r="DB12" i="22"/>
  <c r="DC12" i="22"/>
  <c r="DD12" i="22"/>
  <c r="DE12" i="22"/>
  <c r="DF12" i="22"/>
  <c r="DG12" i="22"/>
  <c r="DH12" i="22"/>
  <c r="DI12" i="22"/>
  <c r="DJ12" i="22"/>
  <c r="DK12" i="22"/>
  <c r="DL12" i="22"/>
  <c r="DM12" i="22"/>
  <c r="DN12" i="22"/>
  <c r="DO12" i="22"/>
  <c r="DP12" i="22"/>
  <c r="DQ12" i="22"/>
  <c r="DR12" i="22"/>
  <c r="DS12" i="22"/>
  <c r="DT12" i="22"/>
  <c r="DU12" i="22"/>
  <c r="DV12" i="22"/>
  <c r="DW12" i="22"/>
  <c r="DX12" i="22"/>
  <c r="DY12" i="22"/>
  <c r="DZ12" i="22"/>
  <c r="EA12" i="22"/>
  <c r="EB12" i="22"/>
  <c r="EC12" i="22"/>
  <c r="ED12" i="22"/>
  <c r="EE12" i="22"/>
  <c r="EF12" i="22"/>
  <c r="EG12" i="22"/>
  <c r="EH12" i="22"/>
  <c r="EI12" i="22"/>
  <c r="EJ12" i="22"/>
  <c r="EK12" i="22"/>
  <c r="EL12" i="22"/>
  <c r="EM12" i="22"/>
  <c r="EN12" i="22"/>
  <c r="EO12" i="22"/>
  <c r="EP12" i="22"/>
  <c r="EQ12" i="22"/>
  <c r="ER12" i="22"/>
  <c r="ES12" i="22"/>
  <c r="ET12" i="22"/>
  <c r="EU12" i="22"/>
  <c r="EV12" i="22"/>
  <c r="EW12" i="22"/>
  <c r="EX12" i="22"/>
  <c r="EY12" i="22"/>
  <c r="EZ12" i="22"/>
  <c r="FA12" i="22"/>
  <c r="FB12" i="22"/>
  <c r="FC12" i="22"/>
  <c r="FD12" i="22"/>
  <c r="FE12" i="22"/>
  <c r="FF12" i="22"/>
  <c r="FG12" i="22"/>
  <c r="FH12" i="22"/>
  <c r="FI12" i="22"/>
  <c r="FJ12" i="22"/>
  <c r="FK12" i="22"/>
  <c r="FL12" i="22"/>
  <c r="FM12" i="22"/>
  <c r="FN12" i="22"/>
  <c r="FO12" i="22"/>
  <c r="FP12" i="22"/>
  <c r="FQ12" i="22"/>
  <c r="FR12" i="22"/>
  <c r="FS12" i="22"/>
  <c r="FT12" i="22"/>
  <c r="FU12" i="22"/>
  <c r="FV12" i="22"/>
  <c r="FW12" i="22"/>
  <c r="FX12" i="22"/>
  <c r="FY12" i="22"/>
  <c r="FZ12" i="22"/>
  <c r="GA12" i="22"/>
  <c r="GB12" i="22"/>
  <c r="GC12" i="22"/>
  <c r="GD12" i="22"/>
  <c r="GE12" i="22"/>
  <c r="GF12" i="22"/>
  <c r="GG12" i="22"/>
  <c r="GH12" i="22"/>
  <c r="GI12" i="22"/>
  <c r="GJ12" i="22"/>
  <c r="GK12" i="22"/>
  <c r="GL12" i="22"/>
  <c r="GM12" i="22"/>
  <c r="GN12" i="22"/>
  <c r="GO12" i="22"/>
  <c r="GP12" i="22"/>
  <c r="GQ12" i="22"/>
  <c r="GR12" i="22"/>
  <c r="GS12" i="22"/>
  <c r="GT12" i="22"/>
  <c r="GU12" i="22"/>
  <c r="GV12" i="22"/>
  <c r="GW12" i="22"/>
  <c r="GX12" i="22"/>
  <c r="GY12" i="22"/>
  <c r="GZ12" i="22"/>
  <c r="HA12" i="22"/>
  <c r="HB12" i="22"/>
  <c r="HC12" i="22"/>
  <c r="HD12" i="22"/>
  <c r="HE12" i="22"/>
  <c r="HF12" i="22"/>
  <c r="HG12" i="22"/>
  <c r="HH12" i="22"/>
  <c r="HI12" i="22"/>
  <c r="HJ12" i="22"/>
  <c r="HK12" i="22"/>
  <c r="HL12" i="22"/>
  <c r="HM12" i="22"/>
  <c r="HN12" i="22"/>
  <c r="HO12" i="22"/>
  <c r="HP12" i="22"/>
  <c r="HQ12" i="22"/>
  <c r="HR12" i="22"/>
  <c r="HS12" i="22"/>
  <c r="HT12" i="22"/>
  <c r="HU12" i="22"/>
  <c r="HV12" i="22"/>
  <c r="HW12" i="22"/>
  <c r="HX12" i="22"/>
  <c r="HY12" i="22"/>
  <c r="HZ12" i="22"/>
  <c r="IA12" i="22"/>
  <c r="IB12" i="22"/>
  <c r="IC12" i="22"/>
  <c r="ID12" i="22"/>
  <c r="IE12" i="22"/>
  <c r="IF12" i="22"/>
  <c r="IG12" i="22"/>
  <c r="IH12" i="22"/>
  <c r="II12" i="22"/>
  <c r="IJ12" i="22"/>
  <c r="IK12" i="22"/>
  <c r="IL12" i="22"/>
  <c r="IM12" i="22"/>
  <c r="IN12" i="22"/>
  <c r="IO12" i="22"/>
  <c r="IP12" i="22"/>
  <c r="IQ12" i="22"/>
  <c r="IR12" i="22"/>
  <c r="IS12" i="22"/>
  <c r="IT12" i="22"/>
  <c r="IU12" i="22"/>
  <c r="IV12" i="22"/>
  <c r="IW12" i="22"/>
  <c r="IX12" i="22"/>
  <c r="IY12" i="22"/>
  <c r="IZ12" i="22"/>
  <c r="JA12" i="22"/>
  <c r="JB12" i="22"/>
  <c r="JC12" i="22"/>
  <c r="JD12" i="22"/>
  <c r="JE12" i="22"/>
  <c r="JF12" i="22"/>
  <c r="JG12" i="22"/>
  <c r="JH12" i="22"/>
  <c r="JI12" i="22"/>
  <c r="JJ12" i="22"/>
  <c r="JK12" i="22"/>
  <c r="JL12" i="22"/>
  <c r="JM12" i="22"/>
  <c r="JN12" i="22"/>
  <c r="JO12" i="22"/>
  <c r="JP12" i="22"/>
  <c r="JQ12" i="22"/>
  <c r="JR12" i="22"/>
  <c r="JS12" i="22"/>
  <c r="JT12" i="22"/>
  <c r="JU12" i="22"/>
  <c r="JV12" i="22"/>
  <c r="JW12" i="22"/>
  <c r="JX12" i="22"/>
  <c r="JY12" i="22"/>
  <c r="JZ12" i="22"/>
  <c r="KA12" i="22"/>
  <c r="KB12" i="22"/>
  <c r="KC12" i="22"/>
  <c r="KD12" i="22"/>
  <c r="KE12" i="22"/>
  <c r="KF12" i="22"/>
  <c r="KG12" i="22"/>
  <c r="KH12" i="22"/>
  <c r="KI12" i="22"/>
  <c r="KJ12" i="22"/>
  <c r="KK12" i="22"/>
  <c r="KL12" i="22"/>
  <c r="KM12" i="22"/>
  <c r="KN12" i="22"/>
  <c r="KO12" i="22"/>
  <c r="KP12" i="22"/>
  <c r="KQ12" i="22"/>
  <c r="KR12" i="22"/>
  <c r="KS12" i="22"/>
  <c r="KT12" i="22"/>
  <c r="KU12" i="22"/>
  <c r="KV12" i="22"/>
  <c r="KW12" i="22"/>
  <c r="KX12" i="22"/>
  <c r="KY12" i="22"/>
  <c r="KZ12" i="22"/>
  <c r="LA12" i="22"/>
  <c r="LB12" i="22"/>
  <c r="LC12" i="22"/>
  <c r="LD12" i="22"/>
  <c r="LE12" i="22"/>
  <c r="LF12" i="22"/>
  <c r="LG12" i="22"/>
  <c r="LH12" i="22"/>
  <c r="LI12" i="22"/>
  <c r="LJ12" i="22"/>
  <c r="LK12" i="22"/>
  <c r="LL12" i="22"/>
  <c r="LM12" i="22"/>
  <c r="LN12" i="22"/>
  <c r="LO12" i="22"/>
  <c r="LP12" i="22"/>
  <c r="LQ12" i="22"/>
  <c r="LR12" i="22"/>
  <c r="LS12" i="22"/>
  <c r="LT12" i="22"/>
  <c r="LU12" i="22"/>
  <c r="LV12" i="22"/>
  <c r="LW12" i="22"/>
  <c r="LX12" i="22"/>
  <c r="LY12" i="22"/>
  <c r="LZ12" i="22"/>
  <c r="MA12" i="22"/>
  <c r="MB12" i="22"/>
  <c r="MC12" i="22"/>
  <c r="MD12" i="22"/>
  <c r="ME12" i="22"/>
  <c r="MF12" i="22"/>
  <c r="MG12" i="22"/>
  <c r="MH12" i="22"/>
  <c r="MI12" i="22"/>
  <c r="MJ12" i="22"/>
  <c r="MK12" i="22"/>
  <c r="ML12" i="22"/>
  <c r="MM12" i="22"/>
  <c r="MN12" i="22"/>
  <c r="MO12" i="22"/>
  <c r="MP12" i="22"/>
  <c r="MQ12" i="22"/>
  <c r="MR12" i="22"/>
  <c r="MS12" i="22"/>
  <c r="MT12" i="22"/>
  <c r="MU12" i="22"/>
  <c r="MV12" i="22"/>
  <c r="MW12" i="22"/>
  <c r="MX12" i="22"/>
  <c r="MY12" i="22"/>
  <c r="MZ12" i="22"/>
  <c r="NA12" i="22"/>
  <c r="NB12" i="22"/>
  <c r="NQ12" i="22"/>
  <c r="NS12" i="22"/>
  <c r="B13" i="22"/>
  <c r="C13" i="22"/>
  <c r="D13" i="22"/>
  <c r="E13" i="22"/>
  <c r="F13" i="22"/>
  <c r="G13" i="22"/>
  <c r="H13" i="22"/>
  <c r="I13" i="22"/>
  <c r="J13" i="22"/>
  <c r="K13" i="22"/>
  <c r="L13" i="22"/>
  <c r="M13" i="22"/>
  <c r="N13" i="22"/>
  <c r="O13" i="22"/>
  <c r="P13" i="22"/>
  <c r="Q13" i="22"/>
  <c r="R13" i="22"/>
  <c r="S13" i="22"/>
  <c r="T13" i="22"/>
  <c r="U13" i="22"/>
  <c r="V13" i="22"/>
  <c r="W13" i="22"/>
  <c r="X13" i="22"/>
  <c r="Y13" i="22"/>
  <c r="Z13" i="22"/>
  <c r="AA13" i="22"/>
  <c r="AB13" i="22"/>
  <c r="AC13" i="22"/>
  <c r="AD13" i="22"/>
  <c r="AE13" i="22"/>
  <c r="AF13" i="22"/>
  <c r="AG13" i="22"/>
  <c r="AH13" i="22"/>
  <c r="AI13" i="22"/>
  <c r="AJ13" i="22"/>
  <c r="AK13" i="22"/>
  <c r="AL13" i="22"/>
  <c r="AM13" i="22"/>
  <c r="AN13" i="22"/>
  <c r="AO13" i="22"/>
  <c r="AP13" i="22"/>
  <c r="AQ13" i="22"/>
  <c r="AR13" i="22"/>
  <c r="AS13" i="22"/>
  <c r="AT13" i="22"/>
  <c r="AU13" i="22"/>
  <c r="AV13" i="22"/>
  <c r="AW13" i="22"/>
  <c r="AX13" i="22"/>
  <c r="AY13" i="22"/>
  <c r="AZ13" i="22"/>
  <c r="BA13" i="22"/>
  <c r="BB13" i="22"/>
  <c r="BC13" i="22"/>
  <c r="BD13" i="22"/>
  <c r="BE13" i="22"/>
  <c r="BF13" i="22"/>
  <c r="BG13" i="22"/>
  <c r="BH13" i="22"/>
  <c r="BI13" i="22"/>
  <c r="BJ13" i="22"/>
  <c r="BK13" i="22"/>
  <c r="BL13" i="22"/>
  <c r="BM13" i="22"/>
  <c r="BN13" i="22"/>
  <c r="BO13" i="22"/>
  <c r="BP13" i="22"/>
  <c r="BQ13" i="22"/>
  <c r="BR13" i="22"/>
  <c r="BS13" i="22"/>
  <c r="BT13" i="22"/>
  <c r="BU13" i="22"/>
  <c r="BV13" i="22"/>
  <c r="BW13" i="22"/>
  <c r="BX13" i="22"/>
  <c r="BY13" i="22"/>
  <c r="BZ13" i="22"/>
  <c r="CA13" i="22"/>
  <c r="CB13" i="22"/>
  <c r="CC13" i="22"/>
  <c r="CD13" i="22"/>
  <c r="CE13" i="22"/>
  <c r="CF13" i="22"/>
  <c r="CG13" i="22"/>
  <c r="CH13" i="22"/>
  <c r="CI13" i="22"/>
  <c r="CJ13" i="22"/>
  <c r="CK13" i="22"/>
  <c r="CL13" i="22"/>
  <c r="CM13" i="22"/>
  <c r="CN13" i="22"/>
  <c r="CO13" i="22"/>
  <c r="CP13" i="22"/>
  <c r="CQ13" i="22"/>
  <c r="CR13" i="22"/>
  <c r="CS13" i="22"/>
  <c r="CT13" i="22"/>
  <c r="CU13" i="22"/>
  <c r="CV13" i="22"/>
  <c r="CW13" i="22"/>
  <c r="CX13" i="22"/>
  <c r="CY13" i="22"/>
  <c r="CZ13" i="22"/>
  <c r="DA13" i="22"/>
  <c r="DB13" i="22"/>
  <c r="DC13" i="22"/>
  <c r="DD13" i="22"/>
  <c r="DE13" i="22"/>
  <c r="DF13" i="22"/>
  <c r="DG13" i="22"/>
  <c r="DH13" i="22"/>
  <c r="DI13" i="22"/>
  <c r="DJ13" i="22"/>
  <c r="DK13" i="22"/>
  <c r="DL13" i="22"/>
  <c r="DM13" i="22"/>
  <c r="DN13" i="22"/>
  <c r="DO13" i="22"/>
  <c r="DP13" i="22"/>
  <c r="DQ13" i="22"/>
  <c r="DR13" i="22"/>
  <c r="DS13" i="22"/>
  <c r="DT13" i="22"/>
  <c r="DU13" i="22"/>
  <c r="DV13" i="22"/>
  <c r="DW13" i="22"/>
  <c r="DX13" i="22"/>
  <c r="DY13" i="22"/>
  <c r="DZ13" i="22"/>
  <c r="EA13" i="22"/>
  <c r="EB13" i="22"/>
  <c r="EC13" i="22"/>
  <c r="ED13" i="22"/>
  <c r="EE13" i="22"/>
  <c r="EF13" i="22"/>
  <c r="EG13" i="22"/>
  <c r="EH13" i="22"/>
  <c r="EI13" i="22"/>
  <c r="EJ13" i="22"/>
  <c r="EK13" i="22"/>
  <c r="EL13" i="22"/>
  <c r="EM13" i="22"/>
  <c r="EN13" i="22"/>
  <c r="EO13" i="22"/>
  <c r="EP13" i="22"/>
  <c r="EQ13" i="22"/>
  <c r="ER13" i="22"/>
  <c r="ES13" i="22"/>
  <c r="ET13" i="22"/>
  <c r="EU13" i="22"/>
  <c r="EV13" i="22"/>
  <c r="EW13" i="22"/>
  <c r="EX13" i="22"/>
  <c r="EY13" i="22"/>
  <c r="EZ13" i="22"/>
  <c r="FA13" i="22"/>
  <c r="FB13" i="22"/>
  <c r="FC13" i="22"/>
  <c r="FD13" i="22"/>
  <c r="FE13" i="22"/>
  <c r="FF13" i="22"/>
  <c r="FG13" i="22"/>
  <c r="FH13" i="22"/>
  <c r="FI13" i="22"/>
  <c r="FJ13" i="22"/>
  <c r="FK13" i="22"/>
  <c r="FL13" i="22"/>
  <c r="FM13" i="22"/>
  <c r="FN13" i="22"/>
  <c r="FO13" i="22"/>
  <c r="FP13" i="22"/>
  <c r="FQ13" i="22"/>
  <c r="FR13" i="22"/>
  <c r="FS13" i="22"/>
  <c r="FT13" i="22"/>
  <c r="FU13" i="22"/>
  <c r="FV13" i="22"/>
  <c r="FW13" i="22"/>
  <c r="FX13" i="22"/>
  <c r="FY13" i="22"/>
  <c r="FZ13" i="22"/>
  <c r="GA13" i="22"/>
  <c r="GB13" i="22"/>
  <c r="GC13" i="22"/>
  <c r="GD13" i="22"/>
  <c r="GE13" i="22"/>
  <c r="GF13" i="22"/>
  <c r="GG13" i="22"/>
  <c r="GH13" i="22"/>
  <c r="GI13" i="22"/>
  <c r="GJ13" i="22"/>
  <c r="GK13" i="22"/>
  <c r="GL13" i="22"/>
  <c r="GM13" i="22"/>
  <c r="GN13" i="22"/>
  <c r="GO13" i="22"/>
  <c r="GP13" i="22"/>
  <c r="GQ13" i="22"/>
  <c r="GR13" i="22"/>
  <c r="GS13" i="22"/>
  <c r="GT13" i="22"/>
  <c r="GU13" i="22"/>
  <c r="GV13" i="22"/>
  <c r="GW13" i="22"/>
  <c r="GX13" i="22"/>
  <c r="GY13" i="22"/>
  <c r="GZ13" i="22"/>
  <c r="HA13" i="22"/>
  <c r="HB13" i="22"/>
  <c r="HC13" i="22"/>
  <c r="HD13" i="22"/>
  <c r="HE13" i="22"/>
  <c r="HF13" i="22"/>
  <c r="HG13" i="22"/>
  <c r="HH13" i="22"/>
  <c r="HI13" i="22"/>
  <c r="HJ13" i="22"/>
  <c r="HK13" i="22"/>
  <c r="HL13" i="22"/>
  <c r="HM13" i="22"/>
  <c r="HN13" i="22"/>
  <c r="HO13" i="22"/>
  <c r="HP13" i="22"/>
  <c r="HQ13" i="22"/>
  <c r="HR13" i="22"/>
  <c r="HS13" i="22"/>
  <c r="HT13" i="22"/>
  <c r="HU13" i="22"/>
  <c r="HV13" i="22"/>
  <c r="HW13" i="22"/>
  <c r="HX13" i="22"/>
  <c r="HY13" i="22"/>
  <c r="HZ13" i="22"/>
  <c r="IA13" i="22"/>
  <c r="IB13" i="22"/>
  <c r="IC13" i="22"/>
  <c r="ID13" i="22"/>
  <c r="IE13" i="22"/>
  <c r="IF13" i="22"/>
  <c r="IG13" i="22"/>
  <c r="IH13" i="22"/>
  <c r="II13" i="22"/>
  <c r="IJ13" i="22"/>
  <c r="IK13" i="22"/>
  <c r="IL13" i="22"/>
  <c r="IM13" i="22"/>
  <c r="IN13" i="22"/>
  <c r="IO13" i="22"/>
  <c r="IP13" i="22"/>
  <c r="IQ13" i="22"/>
  <c r="IR13" i="22"/>
  <c r="IS13" i="22"/>
  <c r="IT13" i="22"/>
  <c r="IU13" i="22"/>
  <c r="IV13" i="22"/>
  <c r="IW13" i="22"/>
  <c r="IX13" i="22"/>
  <c r="IY13" i="22"/>
  <c r="IZ13" i="22"/>
  <c r="JA13" i="22"/>
  <c r="JB13" i="22"/>
  <c r="JC13" i="22"/>
  <c r="JD13" i="22"/>
  <c r="JE13" i="22"/>
  <c r="JF13" i="22"/>
  <c r="JG13" i="22"/>
  <c r="JH13" i="22"/>
  <c r="JI13" i="22"/>
  <c r="JJ13" i="22"/>
  <c r="JK13" i="22"/>
  <c r="JL13" i="22"/>
  <c r="JM13" i="22"/>
  <c r="JN13" i="22"/>
  <c r="JO13" i="22"/>
  <c r="JP13" i="22"/>
  <c r="JQ13" i="22"/>
  <c r="JR13" i="22"/>
  <c r="JS13" i="22"/>
  <c r="JT13" i="22"/>
  <c r="JU13" i="22"/>
  <c r="JV13" i="22"/>
  <c r="JW13" i="22"/>
  <c r="JX13" i="22"/>
  <c r="JY13" i="22"/>
  <c r="JZ13" i="22"/>
  <c r="KA13" i="22"/>
  <c r="KB13" i="22"/>
  <c r="KC13" i="22"/>
  <c r="KD13" i="22"/>
  <c r="KE13" i="22"/>
  <c r="KF13" i="22"/>
  <c r="KG13" i="22"/>
  <c r="KH13" i="22"/>
  <c r="KI13" i="22"/>
  <c r="KJ13" i="22"/>
  <c r="KK13" i="22"/>
  <c r="KL13" i="22"/>
  <c r="KM13" i="22"/>
  <c r="KN13" i="22"/>
  <c r="KO13" i="22"/>
  <c r="KP13" i="22"/>
  <c r="KQ13" i="22"/>
  <c r="KR13" i="22"/>
  <c r="KS13" i="22"/>
  <c r="KT13" i="22"/>
  <c r="KU13" i="22"/>
  <c r="KV13" i="22"/>
  <c r="KW13" i="22"/>
  <c r="KX13" i="22"/>
  <c r="KY13" i="22"/>
  <c r="KZ13" i="22"/>
  <c r="LA13" i="22"/>
  <c r="LB13" i="22"/>
  <c r="LC13" i="22"/>
  <c r="LD13" i="22"/>
  <c r="LE13" i="22"/>
  <c r="LF13" i="22"/>
  <c r="LG13" i="22"/>
  <c r="LH13" i="22"/>
  <c r="LI13" i="22"/>
  <c r="LJ13" i="22"/>
  <c r="LK13" i="22"/>
  <c r="LL13" i="22"/>
  <c r="LM13" i="22"/>
  <c r="LN13" i="22"/>
  <c r="LO13" i="22"/>
  <c r="LP13" i="22"/>
  <c r="LQ13" i="22"/>
  <c r="LR13" i="22"/>
  <c r="LS13" i="22"/>
  <c r="LT13" i="22"/>
  <c r="LU13" i="22"/>
  <c r="LV13" i="22"/>
  <c r="LW13" i="22"/>
  <c r="LX13" i="22"/>
  <c r="LY13" i="22"/>
  <c r="LZ13" i="22"/>
  <c r="MA13" i="22"/>
  <c r="MB13" i="22"/>
  <c r="MC13" i="22"/>
  <c r="MD13" i="22"/>
  <c r="ME13" i="22"/>
  <c r="MF13" i="22"/>
  <c r="MG13" i="22"/>
  <c r="MH13" i="22"/>
  <c r="MI13" i="22"/>
  <c r="MJ13" i="22"/>
  <c r="MK13" i="22"/>
  <c r="ML13" i="22"/>
  <c r="MM13" i="22"/>
  <c r="MN13" i="22"/>
  <c r="MO13" i="22"/>
  <c r="MP13" i="22"/>
  <c r="MQ13" i="22"/>
  <c r="MR13" i="22"/>
  <c r="MS13" i="22"/>
  <c r="MT13" i="22"/>
  <c r="MU13" i="22"/>
  <c r="MV13" i="22"/>
  <c r="MW13" i="22"/>
  <c r="MX13" i="22"/>
  <c r="MY13" i="22"/>
  <c r="MZ13" i="22"/>
  <c r="NA13" i="22"/>
  <c r="NB13" i="22"/>
  <c r="NC13" i="22"/>
  <c r="NS13" i="22"/>
  <c r="B14" i="22"/>
  <c r="C14" i="22"/>
  <c r="D14" i="22"/>
  <c r="E14" i="22"/>
  <c r="F14" i="22"/>
  <c r="G14" i="22"/>
  <c r="H14" i="22"/>
  <c r="I14" i="22"/>
  <c r="J14" i="22"/>
  <c r="K14" i="22"/>
  <c r="L14" i="22"/>
  <c r="M14" i="22"/>
  <c r="N14" i="22"/>
  <c r="O14" i="22"/>
  <c r="P14" i="22"/>
  <c r="Q14" i="22"/>
  <c r="R14" i="22"/>
  <c r="S14" i="22"/>
  <c r="T14" i="22"/>
  <c r="U14" i="22"/>
  <c r="V14" i="22"/>
  <c r="W14" i="22"/>
  <c r="X14" i="22"/>
  <c r="Y14" i="22"/>
  <c r="Z14" i="22"/>
  <c r="AA14" i="22"/>
  <c r="AB14" i="22"/>
  <c r="AC14" i="22"/>
  <c r="AD14" i="22"/>
  <c r="AE14" i="22"/>
  <c r="AF14" i="22"/>
  <c r="AG14" i="22"/>
  <c r="AH14" i="22"/>
  <c r="AI14" i="22"/>
  <c r="AJ14" i="22"/>
  <c r="AK14" i="22"/>
  <c r="AL14" i="22"/>
  <c r="AM14" i="22"/>
  <c r="AN14" i="22"/>
  <c r="AO14" i="22"/>
  <c r="AP14" i="22"/>
  <c r="AQ14" i="22"/>
  <c r="AR14" i="22"/>
  <c r="AS14" i="22"/>
  <c r="AT14" i="22"/>
  <c r="AU14" i="22"/>
  <c r="AV14" i="22"/>
  <c r="AW14" i="22"/>
  <c r="AX14" i="22"/>
  <c r="AY14" i="22"/>
  <c r="AZ14" i="22"/>
  <c r="BA14" i="22"/>
  <c r="BB14" i="22"/>
  <c r="BC14" i="22"/>
  <c r="BD14" i="22"/>
  <c r="BE14" i="22"/>
  <c r="BF14" i="22"/>
  <c r="BG14" i="22"/>
  <c r="BH14" i="22"/>
  <c r="BJ14" i="22"/>
  <c r="BK14" i="22"/>
  <c r="BL14" i="22"/>
  <c r="BM14" i="22"/>
  <c r="BN14" i="22"/>
  <c r="BO14" i="22"/>
  <c r="BP14" i="22"/>
  <c r="BQ14" i="22"/>
  <c r="BR14" i="22"/>
  <c r="BS14" i="22"/>
  <c r="BT14" i="22"/>
  <c r="BU14" i="22"/>
  <c r="BV14" i="22"/>
  <c r="BW14" i="22"/>
  <c r="BX14" i="22"/>
  <c r="BY14" i="22"/>
  <c r="BZ14" i="22"/>
  <c r="CA14" i="22"/>
  <c r="CB14" i="22"/>
  <c r="CC14" i="22"/>
  <c r="CD14" i="22"/>
  <c r="CE14" i="22"/>
  <c r="CF14" i="22"/>
  <c r="CG14" i="22"/>
  <c r="CH14" i="22"/>
  <c r="CI14" i="22"/>
  <c r="CJ14" i="22"/>
  <c r="CK14" i="22"/>
  <c r="CL14" i="22"/>
  <c r="CM14" i="22"/>
  <c r="CN14" i="22"/>
  <c r="CO14" i="22"/>
  <c r="CP14" i="22"/>
  <c r="CQ14" i="22"/>
  <c r="CR14" i="22"/>
  <c r="CS14" i="22"/>
  <c r="CT14" i="22"/>
  <c r="CU14" i="22"/>
  <c r="CV14" i="22"/>
  <c r="CW14" i="22"/>
  <c r="CX14" i="22"/>
  <c r="CY14" i="22"/>
  <c r="CZ14" i="22"/>
  <c r="DA14" i="22"/>
  <c r="DB14" i="22"/>
  <c r="DC14" i="22"/>
  <c r="DD14" i="22"/>
  <c r="DE14" i="22"/>
  <c r="DF14" i="22"/>
  <c r="DG14" i="22"/>
  <c r="DH14" i="22"/>
  <c r="DI14" i="22"/>
  <c r="DJ14" i="22"/>
  <c r="DK14" i="22"/>
  <c r="DL14" i="22"/>
  <c r="DM14" i="22"/>
  <c r="DN14" i="22"/>
  <c r="DO14" i="22"/>
  <c r="DP14" i="22"/>
  <c r="DQ14" i="22"/>
  <c r="DR14" i="22"/>
  <c r="DS14" i="22"/>
  <c r="DT14" i="22"/>
  <c r="DU14" i="22"/>
  <c r="DV14" i="22"/>
  <c r="DW14" i="22"/>
  <c r="DX14" i="22"/>
  <c r="DY14" i="22"/>
  <c r="DZ14" i="22"/>
  <c r="EA14" i="22"/>
  <c r="EB14" i="22"/>
  <c r="EC14" i="22"/>
  <c r="ED14" i="22"/>
  <c r="EE14" i="22"/>
  <c r="EF14" i="22"/>
  <c r="EG14" i="22"/>
  <c r="EH14" i="22"/>
  <c r="EI14" i="22"/>
  <c r="EJ14" i="22"/>
  <c r="EK14" i="22"/>
  <c r="EL14" i="22"/>
  <c r="EM14" i="22"/>
  <c r="EN14" i="22"/>
  <c r="EO14" i="22"/>
  <c r="EP14" i="22"/>
  <c r="EQ14" i="22"/>
  <c r="ER14" i="22"/>
  <c r="ES14" i="22"/>
  <c r="ET14" i="22"/>
  <c r="EU14" i="22"/>
  <c r="EV14" i="22"/>
  <c r="EW14" i="22"/>
  <c r="EX14" i="22"/>
  <c r="EY14" i="22"/>
  <c r="EZ14" i="22"/>
  <c r="FA14" i="22"/>
  <c r="FB14" i="22"/>
  <c r="FC14" i="22"/>
  <c r="FD14" i="22"/>
  <c r="FE14" i="22"/>
  <c r="FF14" i="22"/>
  <c r="FG14" i="22"/>
  <c r="FH14" i="22"/>
  <c r="FI14" i="22"/>
  <c r="FJ14" i="22"/>
  <c r="FK14" i="22"/>
  <c r="FL14" i="22"/>
  <c r="FM14" i="22"/>
  <c r="FN14" i="22"/>
  <c r="FO14" i="22"/>
  <c r="FP14" i="22"/>
  <c r="FQ14" i="22"/>
  <c r="FR14" i="22"/>
  <c r="FS14" i="22"/>
  <c r="FT14" i="22"/>
  <c r="FU14" i="22"/>
  <c r="FV14" i="22"/>
  <c r="FW14" i="22"/>
  <c r="FX14" i="22"/>
  <c r="FY14" i="22"/>
  <c r="FZ14" i="22"/>
  <c r="GA14" i="22"/>
  <c r="GB14" i="22"/>
  <c r="GC14" i="22"/>
  <c r="GD14" i="22"/>
  <c r="GE14" i="22"/>
  <c r="GF14" i="22"/>
  <c r="GG14" i="22"/>
  <c r="GH14" i="22"/>
  <c r="GI14" i="22"/>
  <c r="GJ14" i="22"/>
  <c r="GK14" i="22"/>
  <c r="GL14" i="22"/>
  <c r="GM14" i="22"/>
  <c r="GN14" i="22"/>
  <c r="GO14" i="22"/>
  <c r="GP14" i="22"/>
  <c r="GQ14" i="22"/>
  <c r="GR14" i="22"/>
  <c r="GS14" i="22"/>
  <c r="GT14" i="22"/>
  <c r="GU14" i="22"/>
  <c r="GV14" i="22"/>
  <c r="GW14" i="22"/>
  <c r="GX14" i="22"/>
  <c r="GY14" i="22"/>
  <c r="GZ14" i="22"/>
  <c r="HA14" i="22"/>
  <c r="HB14" i="22"/>
  <c r="HC14" i="22"/>
  <c r="HD14" i="22"/>
  <c r="HE14" i="22"/>
  <c r="HF14" i="22"/>
  <c r="HG14" i="22"/>
  <c r="HH14" i="22"/>
  <c r="HI14" i="22"/>
  <c r="HJ14" i="22"/>
  <c r="HK14" i="22"/>
  <c r="HL14" i="22"/>
  <c r="HM14" i="22"/>
  <c r="HN14" i="22"/>
  <c r="HO14" i="22"/>
  <c r="HP14" i="22"/>
  <c r="HQ14" i="22"/>
  <c r="HR14" i="22"/>
  <c r="HS14" i="22"/>
  <c r="HT14" i="22"/>
  <c r="HU14" i="22"/>
  <c r="HV14" i="22"/>
  <c r="HW14" i="22"/>
  <c r="HX14" i="22"/>
  <c r="HY14" i="22"/>
  <c r="HZ14" i="22"/>
  <c r="IA14" i="22"/>
  <c r="IB14" i="22"/>
  <c r="IC14" i="22"/>
  <c r="ID14" i="22"/>
  <c r="IE14" i="22"/>
  <c r="IF14" i="22"/>
  <c r="IG14" i="22"/>
  <c r="IH14" i="22"/>
  <c r="II14" i="22"/>
  <c r="IJ14" i="22"/>
  <c r="IK14" i="22"/>
  <c r="IL14" i="22"/>
  <c r="IM14" i="22"/>
  <c r="IN14" i="22"/>
  <c r="IO14" i="22"/>
  <c r="IP14" i="22"/>
  <c r="IQ14" i="22"/>
  <c r="IR14" i="22"/>
  <c r="IS14" i="22"/>
  <c r="IT14" i="22"/>
  <c r="IU14" i="22"/>
  <c r="IV14" i="22"/>
  <c r="IW14" i="22"/>
  <c r="IX14" i="22"/>
  <c r="IY14" i="22"/>
  <c r="IZ14" i="22"/>
  <c r="JA14" i="22"/>
  <c r="JB14" i="22"/>
  <c r="JC14" i="22"/>
  <c r="JD14" i="22"/>
  <c r="JE14" i="22"/>
  <c r="JF14" i="22"/>
  <c r="JG14" i="22"/>
  <c r="JH14" i="22"/>
  <c r="JI14" i="22"/>
  <c r="JJ14" i="22"/>
  <c r="JK14" i="22"/>
  <c r="JL14" i="22"/>
  <c r="JM14" i="22"/>
  <c r="JN14" i="22"/>
  <c r="JO14" i="22"/>
  <c r="JP14" i="22"/>
  <c r="JQ14" i="22"/>
  <c r="JR14" i="22"/>
  <c r="JS14" i="22"/>
  <c r="JT14" i="22"/>
  <c r="JU14" i="22"/>
  <c r="JV14" i="22"/>
  <c r="JW14" i="22"/>
  <c r="JX14" i="22"/>
  <c r="JY14" i="22"/>
  <c r="JZ14" i="22"/>
  <c r="KA14" i="22"/>
  <c r="KB14" i="22"/>
  <c r="KC14" i="22"/>
  <c r="KD14" i="22"/>
  <c r="KE14" i="22"/>
  <c r="KF14" i="22"/>
  <c r="KG14" i="22"/>
  <c r="KH14" i="22"/>
  <c r="KI14" i="22"/>
  <c r="KJ14" i="22"/>
  <c r="KK14" i="22"/>
  <c r="KL14" i="22"/>
  <c r="KM14" i="22"/>
  <c r="KN14" i="22"/>
  <c r="KO14" i="22"/>
  <c r="KP14" i="22"/>
  <c r="KQ14" i="22"/>
  <c r="KR14" i="22"/>
  <c r="KS14" i="22"/>
  <c r="KT14" i="22"/>
  <c r="KU14" i="22"/>
  <c r="KV14" i="22"/>
  <c r="KW14" i="22"/>
  <c r="KX14" i="22"/>
  <c r="KY14" i="22"/>
  <c r="KZ14" i="22"/>
  <c r="LA14" i="22"/>
  <c r="LB14" i="22"/>
  <c r="LC14" i="22"/>
  <c r="LD14" i="22"/>
  <c r="LE14" i="22"/>
  <c r="LF14" i="22"/>
  <c r="LG14" i="22"/>
  <c r="LH14" i="22"/>
  <c r="LI14" i="22"/>
  <c r="LJ14" i="22"/>
  <c r="LK14" i="22"/>
  <c r="LL14" i="22"/>
  <c r="LM14" i="22"/>
  <c r="LN14" i="22"/>
  <c r="LO14" i="22"/>
  <c r="LP14" i="22"/>
  <c r="LQ14" i="22"/>
  <c r="LR14" i="22"/>
  <c r="LS14" i="22"/>
  <c r="LT14" i="22"/>
  <c r="LU14" i="22"/>
  <c r="LV14" i="22"/>
  <c r="LW14" i="22"/>
  <c r="LX14" i="22"/>
  <c r="LY14" i="22"/>
  <c r="LZ14" i="22"/>
  <c r="MA14" i="22"/>
  <c r="MB14" i="22"/>
  <c r="MC14" i="22"/>
  <c r="MD14" i="22"/>
  <c r="ME14" i="22"/>
  <c r="MF14" i="22"/>
  <c r="MG14" i="22"/>
  <c r="MH14" i="22"/>
  <c r="MI14" i="22"/>
  <c r="MJ14" i="22"/>
  <c r="MK14" i="22"/>
  <c r="ML14" i="22"/>
  <c r="MM14" i="22"/>
  <c r="MN14" i="22"/>
  <c r="MO14" i="22"/>
  <c r="MP14" i="22"/>
  <c r="MQ14" i="22"/>
  <c r="MR14" i="22"/>
  <c r="MS14" i="22"/>
  <c r="MT14" i="22"/>
  <c r="MU14" i="22"/>
  <c r="MV14" i="22"/>
  <c r="MW14" i="22"/>
  <c r="MX14" i="22"/>
  <c r="MY14" i="22"/>
  <c r="MZ14" i="22"/>
  <c r="NA14" i="22"/>
  <c r="NB14" i="22"/>
  <c r="NS14" i="22"/>
  <c r="B15" i="22"/>
  <c r="C15" i="22"/>
  <c r="D15" i="22"/>
  <c r="E15" i="22"/>
  <c r="F15" i="22"/>
  <c r="G15" i="22"/>
  <c r="H15" i="22"/>
  <c r="I15" i="22"/>
  <c r="J15" i="22"/>
  <c r="K15" i="22"/>
  <c r="L15" i="22"/>
  <c r="M15" i="22"/>
  <c r="N15" i="22"/>
  <c r="O15" i="22"/>
  <c r="P15" i="22"/>
  <c r="Q15" i="22"/>
  <c r="R15" i="22"/>
  <c r="S15" i="22"/>
  <c r="T15" i="22"/>
  <c r="U15" i="22"/>
  <c r="V15" i="22"/>
  <c r="W15" i="22"/>
  <c r="X15" i="22"/>
  <c r="Y15" i="22"/>
  <c r="Z15" i="22"/>
  <c r="AA15" i="22"/>
  <c r="AB15" i="22"/>
  <c r="AC15" i="22"/>
  <c r="AD15" i="22"/>
  <c r="AE15" i="22"/>
  <c r="AF15" i="22"/>
  <c r="AG15" i="22"/>
  <c r="AH15" i="22"/>
  <c r="AI15" i="22"/>
  <c r="AJ15" i="22"/>
  <c r="AK15" i="22"/>
  <c r="AL15" i="22"/>
  <c r="AM15" i="22"/>
  <c r="AN15" i="22"/>
  <c r="AO15" i="22"/>
  <c r="AP15" i="22"/>
  <c r="AQ15" i="22"/>
  <c r="AR15" i="22"/>
  <c r="AS15" i="22"/>
  <c r="AT15" i="22"/>
  <c r="AU15" i="22"/>
  <c r="AV15" i="22"/>
  <c r="AW15" i="22"/>
  <c r="AX15" i="22"/>
  <c r="AY15" i="22"/>
  <c r="AZ15" i="22"/>
  <c r="BA15" i="22"/>
  <c r="BB15" i="22"/>
  <c r="BC15" i="22"/>
  <c r="BD15" i="22"/>
  <c r="BE15" i="22"/>
  <c r="BF15" i="22"/>
  <c r="BG15" i="22"/>
  <c r="BH15" i="22"/>
  <c r="BJ15" i="22"/>
  <c r="BK15" i="22"/>
  <c r="BL15" i="22"/>
  <c r="BM15" i="22"/>
  <c r="BN15" i="22"/>
  <c r="BO15" i="22"/>
  <c r="BP15" i="22"/>
  <c r="BQ15" i="22"/>
  <c r="BR15" i="22"/>
  <c r="BS15" i="22"/>
  <c r="BT15" i="22"/>
  <c r="BU15" i="22"/>
  <c r="BV15" i="22"/>
  <c r="BW15" i="22"/>
  <c r="BX15" i="22"/>
  <c r="BY15" i="22"/>
  <c r="BZ15" i="22"/>
  <c r="CA15" i="22"/>
  <c r="CB15" i="22"/>
  <c r="CC15" i="22"/>
  <c r="CD15" i="22"/>
  <c r="CE15" i="22"/>
  <c r="CF15" i="22"/>
  <c r="CG15" i="22"/>
  <c r="CH15" i="22"/>
  <c r="CI15" i="22"/>
  <c r="CJ15" i="22"/>
  <c r="CK15" i="22"/>
  <c r="CL15" i="22"/>
  <c r="CM15" i="22"/>
  <c r="CN15" i="22"/>
  <c r="CO15" i="22"/>
  <c r="CP15" i="22"/>
  <c r="CQ15" i="22"/>
  <c r="CR15" i="22"/>
  <c r="CS15" i="22"/>
  <c r="CT15" i="22"/>
  <c r="CU15" i="22"/>
  <c r="CV15" i="22"/>
  <c r="CW15" i="22"/>
  <c r="CX15" i="22"/>
  <c r="CY15" i="22"/>
  <c r="CZ15" i="22"/>
  <c r="DA15" i="22"/>
  <c r="DB15" i="22"/>
  <c r="DC15" i="22"/>
  <c r="DD15" i="22"/>
  <c r="DE15" i="22"/>
  <c r="DF15" i="22"/>
  <c r="DG15" i="22"/>
  <c r="DH15" i="22"/>
  <c r="DI15" i="22"/>
  <c r="DJ15" i="22"/>
  <c r="DK15" i="22"/>
  <c r="DL15" i="22"/>
  <c r="DM15" i="22"/>
  <c r="DN15" i="22"/>
  <c r="DO15" i="22"/>
  <c r="DP15" i="22"/>
  <c r="DQ15" i="22"/>
  <c r="DR15" i="22"/>
  <c r="DS15" i="22"/>
  <c r="DT15" i="22"/>
  <c r="DU15" i="22"/>
  <c r="DV15" i="22"/>
  <c r="DW15" i="22"/>
  <c r="DX15" i="22"/>
  <c r="DY15" i="22"/>
  <c r="DZ15" i="22"/>
  <c r="EA15" i="22"/>
  <c r="EB15" i="22"/>
  <c r="EC15" i="22"/>
  <c r="ED15" i="22"/>
  <c r="EE15" i="22"/>
  <c r="EF15" i="22"/>
  <c r="EG15" i="22"/>
  <c r="EH15" i="22"/>
  <c r="EI15" i="22"/>
  <c r="EJ15" i="22"/>
  <c r="EK15" i="22"/>
  <c r="EL15" i="22"/>
  <c r="EM15" i="22"/>
  <c r="EN15" i="22"/>
  <c r="EO15" i="22"/>
  <c r="EP15" i="22"/>
  <c r="EQ15" i="22"/>
  <c r="ER15" i="22"/>
  <c r="ES15" i="22"/>
  <c r="ET15" i="22"/>
  <c r="EU15" i="22"/>
  <c r="EV15" i="22"/>
  <c r="EW15" i="22"/>
  <c r="EX15" i="22"/>
  <c r="EY15" i="22"/>
  <c r="EZ15" i="22"/>
  <c r="FA15" i="22"/>
  <c r="FB15" i="22"/>
  <c r="FC15" i="22"/>
  <c r="FD15" i="22"/>
  <c r="FE15" i="22"/>
  <c r="FF15" i="22"/>
  <c r="FG15" i="22"/>
  <c r="FH15" i="22"/>
  <c r="FI15" i="22"/>
  <c r="FJ15" i="22"/>
  <c r="FK15" i="22"/>
  <c r="FL15" i="22"/>
  <c r="FM15" i="22"/>
  <c r="FN15" i="22"/>
  <c r="FO15" i="22"/>
  <c r="FP15" i="22"/>
  <c r="FQ15" i="22"/>
  <c r="FR15" i="22"/>
  <c r="FS15" i="22"/>
  <c r="FT15" i="22"/>
  <c r="FU15" i="22"/>
  <c r="FV15" i="22"/>
  <c r="FW15" i="22"/>
  <c r="FX15" i="22"/>
  <c r="FY15" i="22"/>
  <c r="FZ15" i="22"/>
  <c r="GA15" i="22"/>
  <c r="GB15" i="22"/>
  <c r="GC15" i="22"/>
  <c r="GD15" i="22"/>
  <c r="GE15" i="22"/>
  <c r="GF15" i="22"/>
  <c r="GG15" i="22"/>
  <c r="GH15" i="22"/>
  <c r="GI15" i="22"/>
  <c r="GJ15" i="22"/>
  <c r="GK15" i="22"/>
  <c r="GL15" i="22"/>
  <c r="GM15" i="22"/>
  <c r="GN15" i="22"/>
  <c r="GO15" i="22"/>
  <c r="GP15" i="22"/>
  <c r="GQ15" i="22"/>
  <c r="GR15" i="22"/>
  <c r="GS15" i="22"/>
  <c r="GT15" i="22"/>
  <c r="GU15" i="22"/>
  <c r="GV15" i="22"/>
  <c r="GW15" i="22"/>
  <c r="GX15" i="22"/>
  <c r="GY15" i="22"/>
  <c r="GZ15" i="22"/>
  <c r="HA15" i="22"/>
  <c r="HB15" i="22"/>
  <c r="HC15" i="22"/>
  <c r="HD15" i="22"/>
  <c r="HE15" i="22"/>
  <c r="HF15" i="22"/>
  <c r="HG15" i="22"/>
  <c r="HH15" i="22"/>
  <c r="HI15" i="22"/>
  <c r="HJ15" i="22"/>
  <c r="HK15" i="22"/>
  <c r="HL15" i="22"/>
  <c r="HM15" i="22"/>
  <c r="HN15" i="22"/>
  <c r="HO15" i="22"/>
  <c r="HP15" i="22"/>
  <c r="HQ15" i="22"/>
  <c r="HR15" i="22"/>
  <c r="HS15" i="22"/>
  <c r="HT15" i="22"/>
  <c r="HU15" i="22"/>
  <c r="HV15" i="22"/>
  <c r="HW15" i="22"/>
  <c r="HX15" i="22"/>
  <c r="HY15" i="22"/>
  <c r="HZ15" i="22"/>
  <c r="IA15" i="22"/>
  <c r="IB15" i="22"/>
  <c r="IC15" i="22"/>
  <c r="ID15" i="22"/>
  <c r="IE15" i="22"/>
  <c r="IF15" i="22"/>
  <c r="IG15" i="22"/>
  <c r="IH15" i="22"/>
  <c r="II15" i="22"/>
  <c r="IJ15" i="22"/>
  <c r="IK15" i="22"/>
  <c r="IL15" i="22"/>
  <c r="IM15" i="22"/>
  <c r="IN15" i="22"/>
  <c r="IO15" i="22"/>
  <c r="IP15" i="22"/>
  <c r="IQ15" i="22"/>
  <c r="IR15" i="22"/>
  <c r="IS15" i="22"/>
  <c r="IT15" i="22"/>
  <c r="IU15" i="22"/>
  <c r="IV15" i="22"/>
  <c r="IW15" i="22"/>
  <c r="IX15" i="22"/>
  <c r="IY15" i="22"/>
  <c r="IZ15" i="22"/>
  <c r="JA15" i="22"/>
  <c r="JB15" i="22"/>
  <c r="JC15" i="22"/>
  <c r="JD15" i="22"/>
  <c r="JE15" i="22"/>
  <c r="JF15" i="22"/>
  <c r="JG15" i="22"/>
  <c r="JH15" i="22"/>
  <c r="JI15" i="22"/>
  <c r="JJ15" i="22"/>
  <c r="JK15" i="22"/>
  <c r="JL15" i="22"/>
  <c r="JM15" i="22"/>
  <c r="JN15" i="22"/>
  <c r="JO15" i="22"/>
  <c r="JP15" i="22"/>
  <c r="JQ15" i="22"/>
  <c r="JR15" i="22"/>
  <c r="JS15" i="22"/>
  <c r="JT15" i="22"/>
  <c r="JU15" i="22"/>
  <c r="JV15" i="22"/>
  <c r="JW15" i="22"/>
  <c r="JX15" i="22"/>
  <c r="JY15" i="22"/>
  <c r="JZ15" i="22"/>
  <c r="KA15" i="22"/>
  <c r="KB15" i="22"/>
  <c r="KC15" i="22"/>
  <c r="KD15" i="22"/>
  <c r="KE15" i="22"/>
  <c r="KF15" i="22"/>
  <c r="KG15" i="22"/>
  <c r="KH15" i="22"/>
  <c r="KI15" i="22"/>
  <c r="KJ15" i="22"/>
  <c r="KK15" i="22"/>
  <c r="KL15" i="22"/>
  <c r="KM15" i="22"/>
  <c r="KN15" i="22"/>
  <c r="KO15" i="22"/>
  <c r="KP15" i="22"/>
  <c r="KQ15" i="22"/>
  <c r="KR15" i="22"/>
  <c r="KS15" i="22"/>
  <c r="KT15" i="22"/>
  <c r="KU15" i="22"/>
  <c r="KV15" i="22"/>
  <c r="KW15" i="22"/>
  <c r="KX15" i="22"/>
  <c r="KY15" i="22"/>
  <c r="KZ15" i="22"/>
  <c r="LA15" i="22"/>
  <c r="LB15" i="22"/>
  <c r="LC15" i="22"/>
  <c r="LD15" i="22"/>
  <c r="LE15" i="22"/>
  <c r="LF15" i="22"/>
  <c r="LG15" i="22"/>
  <c r="LH15" i="22"/>
  <c r="LI15" i="22"/>
  <c r="LJ15" i="22"/>
  <c r="LK15" i="22"/>
  <c r="LL15" i="22"/>
  <c r="LM15" i="22"/>
  <c r="LN15" i="22"/>
  <c r="LO15" i="22"/>
  <c r="LP15" i="22"/>
  <c r="LQ15" i="22"/>
  <c r="LR15" i="22"/>
  <c r="LS15" i="22"/>
  <c r="LT15" i="22"/>
  <c r="LU15" i="22"/>
  <c r="LV15" i="22"/>
  <c r="LW15" i="22"/>
  <c r="LX15" i="22"/>
  <c r="LY15" i="22"/>
  <c r="LZ15" i="22"/>
  <c r="MA15" i="22"/>
  <c r="MB15" i="22"/>
  <c r="MC15" i="22"/>
  <c r="MD15" i="22"/>
  <c r="ME15" i="22"/>
  <c r="MF15" i="22"/>
  <c r="MG15" i="22"/>
  <c r="MH15" i="22"/>
  <c r="MI15" i="22"/>
  <c r="MJ15" i="22"/>
  <c r="MK15" i="22"/>
  <c r="ML15" i="22"/>
  <c r="MM15" i="22"/>
  <c r="MN15" i="22"/>
  <c r="MO15" i="22"/>
  <c r="MP15" i="22"/>
  <c r="MQ15" i="22"/>
  <c r="MR15" i="22"/>
  <c r="MS15" i="22"/>
  <c r="MT15" i="22"/>
  <c r="MU15" i="22"/>
  <c r="MV15" i="22"/>
  <c r="MW15" i="22"/>
  <c r="MX15" i="22"/>
  <c r="MY15" i="22"/>
  <c r="MZ15" i="22"/>
  <c r="NA15" i="22"/>
  <c r="NB15" i="22"/>
  <c r="NS15" i="22"/>
  <c r="B16" i="22"/>
  <c r="C16" i="22"/>
  <c r="D16" i="22"/>
  <c r="E16" i="22"/>
  <c r="F16" i="22"/>
  <c r="G16" i="22"/>
  <c r="H16" i="22"/>
  <c r="I16" i="22"/>
  <c r="J16" i="22"/>
  <c r="K16" i="22"/>
  <c r="L16" i="22"/>
  <c r="M16" i="22"/>
  <c r="N16" i="22"/>
  <c r="O16" i="22"/>
  <c r="P16" i="22"/>
  <c r="Q16" i="22"/>
  <c r="R16" i="22"/>
  <c r="S16" i="22"/>
  <c r="T16" i="22"/>
  <c r="U16" i="22"/>
  <c r="V16" i="22"/>
  <c r="W16" i="22"/>
  <c r="X16" i="22"/>
  <c r="Y16" i="22"/>
  <c r="Z16" i="22"/>
  <c r="AA16" i="22"/>
  <c r="AB16" i="22"/>
  <c r="AC16" i="22"/>
  <c r="AD16" i="22"/>
  <c r="AE16" i="22"/>
  <c r="AF16" i="22"/>
  <c r="AG16" i="22"/>
  <c r="AH16" i="22"/>
  <c r="AI16" i="22"/>
  <c r="AJ16" i="22"/>
  <c r="AK16" i="22"/>
  <c r="AL16" i="22"/>
  <c r="AM16" i="22"/>
  <c r="AN16" i="22"/>
  <c r="AO16" i="22"/>
  <c r="AP16" i="22"/>
  <c r="AQ16" i="22"/>
  <c r="AR16" i="22"/>
  <c r="AS16" i="22"/>
  <c r="AT16" i="22"/>
  <c r="AU16" i="22"/>
  <c r="AV16" i="22"/>
  <c r="AW16" i="22"/>
  <c r="AX16" i="22"/>
  <c r="AY16" i="22"/>
  <c r="AZ16" i="22"/>
  <c r="BA16" i="22"/>
  <c r="BB16" i="22"/>
  <c r="BC16" i="22"/>
  <c r="BD16" i="22"/>
  <c r="BE16" i="22"/>
  <c r="BF16" i="22"/>
  <c r="BG16" i="22"/>
  <c r="BH16" i="22"/>
  <c r="BJ16" i="22"/>
  <c r="BK16" i="22"/>
  <c r="BL16" i="22"/>
  <c r="BM16" i="22"/>
  <c r="BN16" i="22"/>
  <c r="BO16" i="22"/>
  <c r="BP16" i="22"/>
  <c r="BQ16" i="22"/>
  <c r="BR16" i="22"/>
  <c r="BS16" i="22"/>
  <c r="BT16" i="22"/>
  <c r="BU16" i="22"/>
  <c r="BV16" i="22"/>
  <c r="BW16" i="22"/>
  <c r="BX16" i="22"/>
  <c r="BY16" i="22"/>
  <c r="BZ16" i="22"/>
  <c r="CA16" i="22"/>
  <c r="CB16" i="22"/>
  <c r="CC16" i="22"/>
  <c r="CD16" i="22"/>
  <c r="CE16" i="22"/>
  <c r="CF16" i="22"/>
  <c r="CG16" i="22"/>
  <c r="CH16" i="22"/>
  <c r="CI16" i="22"/>
  <c r="CJ16" i="22"/>
  <c r="CK16" i="22"/>
  <c r="CL16" i="22"/>
  <c r="CM16" i="22"/>
  <c r="CN16" i="22"/>
  <c r="CO16" i="22"/>
  <c r="CP16" i="22"/>
  <c r="CQ16" i="22"/>
  <c r="CR16" i="22"/>
  <c r="CS16" i="22"/>
  <c r="CT16" i="22"/>
  <c r="CU16" i="22"/>
  <c r="CV16" i="22"/>
  <c r="CW16" i="22"/>
  <c r="CX16" i="22"/>
  <c r="CY16" i="22"/>
  <c r="CZ16" i="22"/>
  <c r="DA16" i="22"/>
  <c r="DB16" i="22"/>
  <c r="DC16" i="22"/>
  <c r="DD16" i="22"/>
  <c r="DE16" i="22"/>
  <c r="DF16" i="22"/>
  <c r="DG16" i="22"/>
  <c r="DH16" i="22"/>
  <c r="DI16" i="22"/>
  <c r="DJ16" i="22"/>
  <c r="DK16" i="22"/>
  <c r="DL16" i="22"/>
  <c r="DM16" i="22"/>
  <c r="DN16" i="22"/>
  <c r="DO16" i="22"/>
  <c r="DP16" i="22"/>
  <c r="DQ16" i="22"/>
  <c r="DR16" i="22"/>
  <c r="DS16" i="22"/>
  <c r="DT16" i="22"/>
  <c r="DU16" i="22"/>
  <c r="DV16" i="22"/>
  <c r="DW16" i="22"/>
  <c r="DX16" i="22"/>
  <c r="DY16" i="22"/>
  <c r="DZ16" i="22"/>
  <c r="EA16" i="22"/>
  <c r="EB16" i="22"/>
  <c r="EC16" i="22"/>
  <c r="ED16" i="22"/>
  <c r="EE16" i="22"/>
  <c r="EF16" i="22"/>
  <c r="EG16" i="22"/>
  <c r="EH16" i="22"/>
  <c r="EI16" i="22"/>
  <c r="EJ16" i="22"/>
  <c r="EK16" i="22"/>
  <c r="EL16" i="22"/>
  <c r="EM16" i="22"/>
  <c r="EN16" i="22"/>
  <c r="EO16" i="22"/>
  <c r="EP16" i="22"/>
  <c r="EQ16" i="22"/>
  <c r="ER16" i="22"/>
  <c r="ES16" i="22"/>
  <c r="ET16" i="22"/>
  <c r="EU16" i="22"/>
  <c r="EV16" i="22"/>
  <c r="EW16" i="22"/>
  <c r="EX16" i="22"/>
  <c r="EY16" i="22"/>
  <c r="EZ16" i="22"/>
  <c r="FA16" i="22"/>
  <c r="FB16" i="22"/>
  <c r="FC16" i="22"/>
  <c r="FD16" i="22"/>
  <c r="FE16" i="22"/>
  <c r="FF16" i="22"/>
  <c r="FG16" i="22"/>
  <c r="FH16" i="22"/>
  <c r="FI16" i="22"/>
  <c r="FJ16" i="22"/>
  <c r="FK16" i="22"/>
  <c r="FL16" i="22"/>
  <c r="FM16" i="22"/>
  <c r="FN16" i="22"/>
  <c r="FO16" i="22"/>
  <c r="FP16" i="22"/>
  <c r="FQ16" i="22"/>
  <c r="FR16" i="22"/>
  <c r="FS16" i="22"/>
  <c r="FT16" i="22"/>
  <c r="FU16" i="22"/>
  <c r="FV16" i="22"/>
  <c r="FW16" i="22"/>
  <c r="FX16" i="22"/>
  <c r="FY16" i="22"/>
  <c r="FZ16" i="22"/>
  <c r="GA16" i="22"/>
  <c r="GB16" i="22"/>
  <c r="GC16" i="22"/>
  <c r="GD16" i="22"/>
  <c r="GE16" i="22"/>
  <c r="GF16" i="22"/>
  <c r="GG16" i="22"/>
  <c r="GH16" i="22"/>
  <c r="GI16" i="22"/>
  <c r="GJ16" i="22"/>
  <c r="GK16" i="22"/>
  <c r="GL16" i="22"/>
  <c r="GM16" i="22"/>
  <c r="GN16" i="22"/>
  <c r="GO16" i="22"/>
  <c r="GP16" i="22"/>
  <c r="GQ16" i="22"/>
  <c r="GR16" i="22"/>
  <c r="GS16" i="22"/>
  <c r="GT16" i="22"/>
  <c r="GU16" i="22"/>
  <c r="GV16" i="22"/>
  <c r="GW16" i="22"/>
  <c r="GX16" i="22"/>
  <c r="GY16" i="22"/>
  <c r="GZ16" i="22"/>
  <c r="HA16" i="22"/>
  <c r="HB16" i="22"/>
  <c r="HC16" i="22"/>
  <c r="HD16" i="22"/>
  <c r="HE16" i="22"/>
  <c r="HF16" i="22"/>
  <c r="HG16" i="22"/>
  <c r="HH16" i="22"/>
  <c r="HI16" i="22"/>
  <c r="HJ16" i="22"/>
  <c r="HK16" i="22"/>
  <c r="HL16" i="22"/>
  <c r="HM16" i="22"/>
  <c r="HN16" i="22"/>
  <c r="HO16" i="22"/>
  <c r="HP16" i="22"/>
  <c r="HQ16" i="22"/>
  <c r="HR16" i="22"/>
  <c r="HS16" i="22"/>
  <c r="HT16" i="22"/>
  <c r="HU16" i="22"/>
  <c r="HV16" i="22"/>
  <c r="HW16" i="22"/>
  <c r="HX16" i="22"/>
  <c r="HY16" i="22"/>
  <c r="HZ16" i="22"/>
  <c r="IA16" i="22"/>
  <c r="IB16" i="22"/>
  <c r="IC16" i="22"/>
  <c r="ID16" i="22"/>
  <c r="IE16" i="22"/>
  <c r="IF16" i="22"/>
  <c r="IG16" i="22"/>
  <c r="IH16" i="22"/>
  <c r="II16" i="22"/>
  <c r="IJ16" i="22"/>
  <c r="IK16" i="22"/>
  <c r="IL16" i="22"/>
  <c r="IM16" i="22"/>
  <c r="IN16" i="22"/>
  <c r="IO16" i="22"/>
  <c r="IP16" i="22"/>
  <c r="IQ16" i="22"/>
  <c r="IR16" i="22"/>
  <c r="IS16" i="22"/>
  <c r="IT16" i="22"/>
  <c r="IU16" i="22"/>
  <c r="IV16" i="22"/>
  <c r="IW16" i="22"/>
  <c r="IX16" i="22"/>
  <c r="IY16" i="22"/>
  <c r="IZ16" i="22"/>
  <c r="JA16" i="22"/>
  <c r="JB16" i="22"/>
  <c r="JC16" i="22"/>
  <c r="JD16" i="22"/>
  <c r="JE16" i="22"/>
  <c r="JF16" i="22"/>
  <c r="JG16" i="22"/>
  <c r="JH16" i="22"/>
  <c r="JI16" i="22"/>
  <c r="JJ16" i="22"/>
  <c r="JK16" i="22"/>
  <c r="JL16" i="22"/>
  <c r="JM16" i="22"/>
  <c r="JN16" i="22"/>
  <c r="JO16" i="22"/>
  <c r="JP16" i="22"/>
  <c r="JQ16" i="22"/>
  <c r="JR16" i="22"/>
  <c r="JS16" i="22"/>
  <c r="JT16" i="22"/>
  <c r="JU16" i="22"/>
  <c r="JV16" i="22"/>
  <c r="JW16" i="22"/>
  <c r="JX16" i="22"/>
  <c r="JY16" i="22"/>
  <c r="JZ16" i="22"/>
  <c r="KA16" i="22"/>
  <c r="KB16" i="22"/>
  <c r="KC16" i="22"/>
  <c r="KD16" i="22"/>
  <c r="KE16" i="22"/>
  <c r="KF16" i="22"/>
  <c r="KG16" i="22"/>
  <c r="KH16" i="22"/>
  <c r="KI16" i="22"/>
  <c r="KJ16" i="22"/>
  <c r="KK16" i="22"/>
  <c r="KL16" i="22"/>
  <c r="KM16" i="22"/>
  <c r="KN16" i="22"/>
  <c r="KO16" i="22"/>
  <c r="KP16" i="22"/>
  <c r="KQ16" i="22"/>
  <c r="KR16" i="22"/>
  <c r="KS16" i="22"/>
  <c r="KT16" i="22"/>
  <c r="KU16" i="22"/>
  <c r="KV16" i="22"/>
  <c r="KW16" i="22"/>
  <c r="KX16" i="22"/>
  <c r="KY16" i="22"/>
  <c r="KZ16" i="22"/>
  <c r="LA16" i="22"/>
  <c r="LB16" i="22"/>
  <c r="LC16" i="22"/>
  <c r="LD16" i="22"/>
  <c r="LE16" i="22"/>
  <c r="LF16" i="22"/>
  <c r="LG16" i="22"/>
  <c r="LH16" i="22"/>
  <c r="LI16" i="22"/>
  <c r="LJ16" i="22"/>
  <c r="LK16" i="22"/>
  <c r="LL16" i="22"/>
  <c r="LM16" i="22"/>
  <c r="LN16" i="22"/>
  <c r="LO16" i="22"/>
  <c r="LP16" i="22"/>
  <c r="LQ16" i="22"/>
  <c r="LR16" i="22"/>
  <c r="LS16" i="22"/>
  <c r="LT16" i="22"/>
  <c r="LU16" i="22"/>
  <c r="LV16" i="22"/>
  <c r="LW16" i="22"/>
  <c r="LX16" i="22"/>
  <c r="LY16" i="22"/>
  <c r="LZ16" i="22"/>
  <c r="MA16" i="22"/>
  <c r="MB16" i="22"/>
  <c r="MC16" i="22"/>
  <c r="MD16" i="22"/>
  <c r="ME16" i="22"/>
  <c r="MF16" i="22"/>
  <c r="MG16" i="22"/>
  <c r="MH16" i="22"/>
  <c r="MI16" i="22"/>
  <c r="MJ16" i="22"/>
  <c r="MK16" i="22"/>
  <c r="ML16" i="22"/>
  <c r="MM16" i="22"/>
  <c r="MN16" i="22"/>
  <c r="MO16" i="22"/>
  <c r="MP16" i="22"/>
  <c r="MQ16" i="22"/>
  <c r="MR16" i="22"/>
  <c r="MS16" i="22"/>
  <c r="MT16" i="22"/>
  <c r="MU16" i="22"/>
  <c r="MV16" i="22"/>
  <c r="MW16" i="22"/>
  <c r="MX16" i="22"/>
  <c r="MY16" i="22"/>
  <c r="MZ16" i="22"/>
  <c r="NA16" i="22"/>
  <c r="NB16" i="22"/>
  <c r="NS16" i="22"/>
  <c r="B17" i="22"/>
  <c r="C17" i="22"/>
  <c r="D17" i="22"/>
  <c r="E17" i="22"/>
  <c r="F17" i="22"/>
  <c r="G17" i="22"/>
  <c r="H17" i="22"/>
  <c r="I17" i="22"/>
  <c r="J17" i="22"/>
  <c r="K17" i="22"/>
  <c r="L17" i="22"/>
  <c r="M17" i="22"/>
  <c r="N17" i="22"/>
  <c r="O17" i="22"/>
  <c r="P17" i="22"/>
  <c r="Q17" i="22"/>
  <c r="R17" i="22"/>
  <c r="S17" i="22"/>
  <c r="T17" i="22"/>
  <c r="U17" i="22"/>
  <c r="V17" i="22"/>
  <c r="W17" i="22"/>
  <c r="X17" i="22"/>
  <c r="Y17" i="22"/>
  <c r="Z17" i="22"/>
  <c r="AA17" i="22"/>
  <c r="AB17" i="22"/>
  <c r="AC17" i="22"/>
  <c r="AD17" i="22"/>
  <c r="AE17" i="22"/>
  <c r="AF17" i="22"/>
  <c r="AG17" i="22"/>
  <c r="AH17" i="22"/>
  <c r="AI17" i="22"/>
  <c r="AJ17" i="22"/>
  <c r="AK17" i="22"/>
  <c r="AL17" i="22"/>
  <c r="AM17" i="22"/>
  <c r="AN17" i="22"/>
  <c r="AO17" i="22"/>
  <c r="AP17" i="22"/>
  <c r="AQ17" i="22"/>
  <c r="AR17" i="22"/>
  <c r="AS17" i="22"/>
  <c r="AT17" i="22"/>
  <c r="AU17" i="22"/>
  <c r="AV17" i="22"/>
  <c r="AW17" i="22"/>
  <c r="AX17" i="22"/>
  <c r="AY17" i="22"/>
  <c r="AZ17" i="22"/>
  <c r="BA17" i="22"/>
  <c r="BB17" i="22"/>
  <c r="BC17" i="22"/>
  <c r="BD17" i="22"/>
  <c r="BE17" i="22"/>
  <c r="BF17" i="22"/>
  <c r="BG17" i="22"/>
  <c r="BH17" i="22"/>
  <c r="BI17" i="22"/>
  <c r="BJ17" i="22"/>
  <c r="BK17" i="22"/>
  <c r="BL17" i="22"/>
  <c r="BM17" i="22"/>
  <c r="BN17" i="22"/>
  <c r="BO17" i="22"/>
  <c r="BP17" i="22"/>
  <c r="BQ17" i="22"/>
  <c r="BR17" i="22"/>
  <c r="BS17" i="22"/>
  <c r="BT17" i="22"/>
  <c r="BU17" i="22"/>
  <c r="BV17" i="22"/>
  <c r="BW17" i="22"/>
  <c r="BX17" i="22"/>
  <c r="BY17" i="22"/>
  <c r="BZ17" i="22"/>
  <c r="CA17" i="22"/>
  <c r="CB17" i="22"/>
  <c r="CC17" i="22"/>
  <c r="CD17" i="22"/>
  <c r="CE17" i="22"/>
  <c r="CF17" i="22"/>
  <c r="CG17" i="22"/>
  <c r="CH17" i="22"/>
  <c r="CI17" i="22"/>
  <c r="CJ17" i="22"/>
  <c r="CK17" i="22"/>
  <c r="CL17" i="22"/>
  <c r="CM17" i="22"/>
  <c r="CN17" i="22"/>
  <c r="CO17" i="22"/>
  <c r="CP17" i="22"/>
  <c r="CQ17" i="22"/>
  <c r="CR17" i="22"/>
  <c r="CS17" i="22"/>
  <c r="CT17" i="22"/>
  <c r="CU17" i="22"/>
  <c r="CV17" i="22"/>
  <c r="CW17" i="22"/>
  <c r="CX17" i="22"/>
  <c r="CY17" i="22"/>
  <c r="CZ17" i="22"/>
  <c r="DA17" i="22"/>
  <c r="DB17" i="22"/>
  <c r="DC17" i="22"/>
  <c r="DD17" i="22"/>
  <c r="DE17" i="22"/>
  <c r="DF17" i="22"/>
  <c r="DG17" i="22"/>
  <c r="DH17" i="22"/>
  <c r="DI17" i="22"/>
  <c r="DJ17" i="22"/>
  <c r="DK17" i="22"/>
  <c r="DL17" i="22"/>
  <c r="DM17" i="22"/>
  <c r="DN17" i="22"/>
  <c r="DO17" i="22"/>
  <c r="DP17" i="22"/>
  <c r="DQ17" i="22"/>
  <c r="DR17" i="22"/>
  <c r="DS17" i="22"/>
  <c r="DT17" i="22"/>
  <c r="DU17" i="22"/>
  <c r="DV17" i="22"/>
  <c r="DW17" i="22"/>
  <c r="DX17" i="22"/>
  <c r="DY17" i="22"/>
  <c r="DZ17" i="22"/>
  <c r="EA17" i="22"/>
  <c r="EB17" i="22"/>
  <c r="EC17" i="22"/>
  <c r="ED17" i="22"/>
  <c r="EE17" i="22"/>
  <c r="EF17" i="22"/>
  <c r="EG17" i="22"/>
  <c r="EH17" i="22"/>
  <c r="EI17" i="22"/>
  <c r="EJ17" i="22"/>
  <c r="EK17" i="22"/>
  <c r="EL17" i="22"/>
  <c r="EM17" i="22"/>
  <c r="EN17" i="22"/>
  <c r="EO17" i="22"/>
  <c r="EP17" i="22"/>
  <c r="EQ17" i="22"/>
  <c r="ER17" i="22"/>
  <c r="ES17" i="22"/>
  <c r="ET17" i="22"/>
  <c r="EU17" i="22"/>
  <c r="EV17" i="22"/>
  <c r="EW17" i="22"/>
  <c r="EX17" i="22"/>
  <c r="EY17" i="22"/>
  <c r="EZ17" i="22"/>
  <c r="FA17" i="22"/>
  <c r="FB17" i="22"/>
  <c r="FC17" i="22"/>
  <c r="FD17" i="22"/>
  <c r="FE17" i="22"/>
  <c r="FF17" i="22"/>
  <c r="FG17" i="22"/>
  <c r="FH17" i="22"/>
  <c r="FI17" i="22"/>
  <c r="FJ17" i="22"/>
  <c r="FK17" i="22"/>
  <c r="FL17" i="22"/>
  <c r="FM17" i="22"/>
  <c r="FN17" i="22"/>
  <c r="FO17" i="22"/>
  <c r="FP17" i="22"/>
  <c r="FQ17" i="22"/>
  <c r="FR17" i="22"/>
  <c r="FS17" i="22"/>
  <c r="FT17" i="22"/>
  <c r="FU17" i="22"/>
  <c r="FV17" i="22"/>
  <c r="FW17" i="22"/>
  <c r="FX17" i="22"/>
  <c r="FY17" i="22"/>
  <c r="FZ17" i="22"/>
  <c r="GA17" i="22"/>
  <c r="GB17" i="22"/>
  <c r="GC17" i="22"/>
  <c r="GD17" i="22"/>
  <c r="GE17" i="22"/>
  <c r="GF17" i="22"/>
  <c r="GG17" i="22"/>
  <c r="GH17" i="22"/>
  <c r="GI17" i="22"/>
  <c r="GJ17" i="22"/>
  <c r="GK17" i="22"/>
  <c r="GL17" i="22"/>
  <c r="GM17" i="22"/>
  <c r="GN17" i="22"/>
  <c r="GO17" i="22"/>
  <c r="GP17" i="22"/>
  <c r="GQ17" i="22"/>
  <c r="GR17" i="22"/>
  <c r="GS17" i="22"/>
  <c r="GT17" i="22"/>
  <c r="GU17" i="22"/>
  <c r="GV17" i="22"/>
  <c r="GW17" i="22"/>
  <c r="GX17" i="22"/>
  <c r="GY17" i="22"/>
  <c r="GZ17" i="22"/>
  <c r="HA17" i="22"/>
  <c r="HB17" i="22"/>
  <c r="HC17" i="22"/>
  <c r="HD17" i="22"/>
  <c r="HE17" i="22"/>
  <c r="HF17" i="22"/>
  <c r="HG17" i="22"/>
  <c r="HH17" i="22"/>
  <c r="HI17" i="22"/>
  <c r="HJ17" i="22"/>
  <c r="HK17" i="22"/>
  <c r="HL17" i="22"/>
  <c r="HM17" i="22"/>
  <c r="HN17" i="22"/>
  <c r="HO17" i="22"/>
  <c r="HP17" i="22"/>
  <c r="HQ17" i="22"/>
  <c r="HR17" i="22"/>
  <c r="HS17" i="22"/>
  <c r="HT17" i="22"/>
  <c r="HU17" i="22"/>
  <c r="HV17" i="22"/>
  <c r="HW17" i="22"/>
  <c r="HX17" i="22"/>
  <c r="HY17" i="22"/>
  <c r="HZ17" i="22"/>
  <c r="IA17" i="22"/>
  <c r="IB17" i="22"/>
  <c r="IC17" i="22"/>
  <c r="ID17" i="22"/>
  <c r="IE17" i="22"/>
  <c r="IF17" i="22"/>
  <c r="IG17" i="22"/>
  <c r="IH17" i="22"/>
  <c r="II17" i="22"/>
  <c r="IJ17" i="22"/>
  <c r="IK17" i="22"/>
  <c r="IL17" i="22"/>
  <c r="IM17" i="22"/>
  <c r="IN17" i="22"/>
  <c r="IO17" i="22"/>
  <c r="IP17" i="22"/>
  <c r="IQ17" i="22"/>
  <c r="IR17" i="22"/>
  <c r="IS17" i="22"/>
  <c r="IT17" i="22"/>
  <c r="IU17" i="22"/>
  <c r="IV17" i="22"/>
  <c r="IW17" i="22"/>
  <c r="IX17" i="22"/>
  <c r="IY17" i="22"/>
  <c r="IZ17" i="22"/>
  <c r="JA17" i="22"/>
  <c r="JB17" i="22"/>
  <c r="JC17" i="22"/>
  <c r="JD17" i="22"/>
  <c r="JE17" i="22"/>
  <c r="JF17" i="22"/>
  <c r="JG17" i="22"/>
  <c r="JH17" i="22"/>
  <c r="JI17" i="22"/>
  <c r="JJ17" i="22"/>
  <c r="JK17" i="22"/>
  <c r="JL17" i="22"/>
  <c r="JM17" i="22"/>
  <c r="JN17" i="22"/>
  <c r="JO17" i="22"/>
  <c r="JP17" i="22"/>
  <c r="JQ17" i="22"/>
  <c r="JR17" i="22"/>
  <c r="JS17" i="22"/>
  <c r="JT17" i="22"/>
  <c r="JU17" i="22"/>
  <c r="JV17" i="22"/>
  <c r="JW17" i="22"/>
  <c r="JX17" i="22"/>
  <c r="JY17" i="22"/>
  <c r="JZ17" i="22"/>
  <c r="KA17" i="22"/>
  <c r="KB17" i="22"/>
  <c r="KC17" i="22"/>
  <c r="KD17" i="22"/>
  <c r="KE17" i="22"/>
  <c r="KF17" i="22"/>
  <c r="KG17" i="22"/>
  <c r="KH17" i="22"/>
  <c r="KI17" i="22"/>
  <c r="KJ17" i="22"/>
  <c r="KK17" i="22"/>
  <c r="KL17" i="22"/>
  <c r="KM17" i="22"/>
  <c r="KN17" i="22"/>
  <c r="KO17" i="22"/>
  <c r="KP17" i="22"/>
  <c r="KQ17" i="22"/>
  <c r="KR17" i="22"/>
  <c r="KS17" i="22"/>
  <c r="KT17" i="22"/>
  <c r="KU17" i="22"/>
  <c r="KV17" i="22"/>
  <c r="KW17" i="22"/>
  <c r="KX17" i="22"/>
  <c r="KY17" i="22"/>
  <c r="KZ17" i="22"/>
  <c r="LA17" i="22"/>
  <c r="LB17" i="22"/>
  <c r="LC17" i="22"/>
  <c r="LD17" i="22"/>
  <c r="LE17" i="22"/>
  <c r="LF17" i="22"/>
  <c r="LG17" i="22"/>
  <c r="LH17" i="22"/>
  <c r="LI17" i="22"/>
  <c r="LJ17" i="22"/>
  <c r="LK17" i="22"/>
  <c r="LL17" i="22"/>
  <c r="LM17" i="22"/>
  <c r="LN17" i="22"/>
  <c r="LO17" i="22"/>
  <c r="LP17" i="22"/>
  <c r="LQ17" i="22"/>
  <c r="LR17" i="22"/>
  <c r="LS17" i="22"/>
  <c r="LT17" i="22"/>
  <c r="LU17" i="22"/>
  <c r="LV17" i="22"/>
  <c r="LW17" i="22"/>
  <c r="LX17" i="22"/>
  <c r="LY17" i="22"/>
  <c r="LZ17" i="22"/>
  <c r="MA17" i="22"/>
  <c r="MB17" i="22"/>
  <c r="MC17" i="22"/>
  <c r="MD17" i="22"/>
  <c r="ME17" i="22"/>
  <c r="MF17" i="22"/>
  <c r="MG17" i="22"/>
  <c r="MH17" i="22"/>
  <c r="MI17" i="22"/>
  <c r="MJ17" i="22"/>
  <c r="MK17" i="22"/>
  <c r="ML17" i="22"/>
  <c r="MM17" i="22"/>
  <c r="MN17" i="22"/>
  <c r="MO17" i="22"/>
  <c r="MP17" i="22"/>
  <c r="MQ17" i="22"/>
  <c r="MR17" i="22"/>
  <c r="MS17" i="22"/>
  <c r="MT17" i="22"/>
  <c r="MU17" i="22"/>
  <c r="MV17" i="22"/>
  <c r="MW17" i="22"/>
  <c r="MX17" i="22"/>
  <c r="MY17" i="22"/>
  <c r="MZ17" i="22"/>
  <c r="NA17" i="22"/>
  <c r="NB17" i="22"/>
  <c r="NC17" i="22"/>
  <c r="NS17" i="22"/>
  <c r="B18" i="22"/>
  <c r="C18" i="22"/>
  <c r="D18" i="22"/>
  <c r="E18" i="22"/>
  <c r="F18" i="22"/>
  <c r="G18" i="22"/>
  <c r="H18" i="22"/>
  <c r="I18" i="22"/>
  <c r="J18" i="22"/>
  <c r="K18" i="22"/>
  <c r="L18" i="22"/>
  <c r="M18" i="22"/>
  <c r="N18" i="22"/>
  <c r="O18" i="22"/>
  <c r="P18" i="22"/>
  <c r="Q18" i="22"/>
  <c r="R18" i="22"/>
  <c r="S18" i="22"/>
  <c r="T18" i="22"/>
  <c r="U18" i="22"/>
  <c r="V18" i="22"/>
  <c r="W18" i="22"/>
  <c r="X18" i="22"/>
  <c r="Y18" i="22"/>
  <c r="Z18" i="22"/>
  <c r="AA18" i="22"/>
  <c r="AB18" i="22"/>
  <c r="AC18" i="22"/>
  <c r="AD18" i="22"/>
  <c r="AE18" i="22"/>
  <c r="AF18" i="22"/>
  <c r="AG18" i="22"/>
  <c r="AH18" i="22"/>
  <c r="AI18" i="22"/>
  <c r="AJ18" i="22"/>
  <c r="AK18" i="22"/>
  <c r="AL18" i="22"/>
  <c r="AM18" i="22"/>
  <c r="AN18" i="22"/>
  <c r="AO18" i="22"/>
  <c r="AP18" i="22"/>
  <c r="AQ18" i="22"/>
  <c r="AR18" i="22"/>
  <c r="AS18" i="22"/>
  <c r="AT18" i="22"/>
  <c r="AU18" i="22"/>
  <c r="AV18" i="22"/>
  <c r="AW18" i="22"/>
  <c r="AX18" i="22"/>
  <c r="AY18" i="22"/>
  <c r="AZ18" i="22"/>
  <c r="BA18" i="22"/>
  <c r="BB18" i="22"/>
  <c r="BC18" i="22"/>
  <c r="BD18" i="22"/>
  <c r="BE18" i="22"/>
  <c r="BF18" i="22"/>
  <c r="BG18" i="22"/>
  <c r="BH18" i="22"/>
  <c r="BJ18" i="22"/>
  <c r="BK18" i="22"/>
  <c r="BL18" i="22"/>
  <c r="BM18" i="22"/>
  <c r="BN18" i="22"/>
  <c r="BO18" i="22"/>
  <c r="BP18" i="22"/>
  <c r="BQ18" i="22"/>
  <c r="BR18" i="22"/>
  <c r="BS18" i="22"/>
  <c r="BT18" i="22"/>
  <c r="BU18" i="22"/>
  <c r="BV18" i="22"/>
  <c r="BW18" i="22"/>
  <c r="BX18" i="22"/>
  <c r="BY18" i="22"/>
  <c r="BZ18" i="22"/>
  <c r="CA18" i="22"/>
  <c r="CB18" i="22"/>
  <c r="CC18" i="22"/>
  <c r="CD18" i="22"/>
  <c r="CE18" i="22"/>
  <c r="CF18" i="22"/>
  <c r="CG18" i="22"/>
  <c r="CH18" i="22"/>
  <c r="CI18" i="22"/>
  <c r="CJ18" i="22"/>
  <c r="CK18" i="22"/>
  <c r="CL18" i="22"/>
  <c r="CM18" i="22"/>
  <c r="CN18" i="22"/>
  <c r="CO18" i="22"/>
  <c r="CP18" i="22"/>
  <c r="CQ18" i="22"/>
  <c r="CR18" i="22"/>
  <c r="CS18" i="22"/>
  <c r="CT18" i="22"/>
  <c r="CU18" i="22"/>
  <c r="CV18" i="22"/>
  <c r="CW18" i="22"/>
  <c r="CX18" i="22"/>
  <c r="CY18" i="22"/>
  <c r="CZ18" i="22"/>
  <c r="DA18" i="22"/>
  <c r="DB18" i="22"/>
  <c r="DC18" i="22"/>
  <c r="DD18" i="22"/>
  <c r="DE18" i="22"/>
  <c r="DF18" i="22"/>
  <c r="DG18" i="22"/>
  <c r="DH18" i="22"/>
  <c r="DI18" i="22"/>
  <c r="DJ18" i="22"/>
  <c r="DK18" i="22"/>
  <c r="DL18" i="22"/>
  <c r="DM18" i="22"/>
  <c r="DN18" i="22"/>
  <c r="DO18" i="22"/>
  <c r="DP18" i="22"/>
  <c r="DQ18" i="22"/>
  <c r="DR18" i="22"/>
  <c r="DS18" i="22"/>
  <c r="DT18" i="22"/>
  <c r="DU18" i="22"/>
  <c r="DV18" i="22"/>
  <c r="DW18" i="22"/>
  <c r="DX18" i="22"/>
  <c r="DY18" i="22"/>
  <c r="DZ18" i="22"/>
  <c r="EA18" i="22"/>
  <c r="EB18" i="22"/>
  <c r="EC18" i="22"/>
  <c r="ED18" i="22"/>
  <c r="EE18" i="22"/>
  <c r="EF18" i="22"/>
  <c r="EG18" i="22"/>
  <c r="EH18" i="22"/>
  <c r="EI18" i="22"/>
  <c r="EJ18" i="22"/>
  <c r="EK18" i="22"/>
  <c r="EL18" i="22"/>
  <c r="EM18" i="22"/>
  <c r="EN18" i="22"/>
  <c r="EO18" i="22"/>
  <c r="EP18" i="22"/>
  <c r="EQ18" i="22"/>
  <c r="ER18" i="22"/>
  <c r="ES18" i="22"/>
  <c r="ET18" i="22"/>
  <c r="EU18" i="22"/>
  <c r="EV18" i="22"/>
  <c r="EW18" i="22"/>
  <c r="EX18" i="22"/>
  <c r="EY18" i="22"/>
  <c r="EZ18" i="22"/>
  <c r="FA18" i="22"/>
  <c r="FB18" i="22"/>
  <c r="FC18" i="22"/>
  <c r="FD18" i="22"/>
  <c r="FE18" i="22"/>
  <c r="FF18" i="22"/>
  <c r="FG18" i="22"/>
  <c r="FH18" i="22"/>
  <c r="FI18" i="22"/>
  <c r="FJ18" i="22"/>
  <c r="FK18" i="22"/>
  <c r="FL18" i="22"/>
  <c r="FM18" i="22"/>
  <c r="FN18" i="22"/>
  <c r="FO18" i="22"/>
  <c r="FP18" i="22"/>
  <c r="FQ18" i="22"/>
  <c r="FR18" i="22"/>
  <c r="FS18" i="22"/>
  <c r="FT18" i="22"/>
  <c r="FU18" i="22"/>
  <c r="FV18" i="22"/>
  <c r="FW18" i="22"/>
  <c r="FX18" i="22"/>
  <c r="FY18" i="22"/>
  <c r="FZ18" i="22"/>
  <c r="GA18" i="22"/>
  <c r="GB18" i="22"/>
  <c r="GC18" i="22"/>
  <c r="GD18" i="22"/>
  <c r="GE18" i="22"/>
  <c r="GF18" i="22"/>
  <c r="GG18" i="22"/>
  <c r="GH18" i="22"/>
  <c r="GI18" i="22"/>
  <c r="GJ18" i="22"/>
  <c r="GK18" i="22"/>
  <c r="GL18" i="22"/>
  <c r="GM18" i="22"/>
  <c r="GN18" i="22"/>
  <c r="GO18" i="22"/>
  <c r="GP18" i="22"/>
  <c r="GQ18" i="22"/>
  <c r="GR18" i="22"/>
  <c r="GS18" i="22"/>
  <c r="GT18" i="22"/>
  <c r="GU18" i="22"/>
  <c r="GV18" i="22"/>
  <c r="GW18" i="22"/>
  <c r="GX18" i="22"/>
  <c r="GY18" i="22"/>
  <c r="GZ18" i="22"/>
  <c r="HA18" i="22"/>
  <c r="HB18" i="22"/>
  <c r="HC18" i="22"/>
  <c r="HD18" i="22"/>
  <c r="HE18" i="22"/>
  <c r="HF18" i="22"/>
  <c r="HG18" i="22"/>
  <c r="HH18" i="22"/>
  <c r="HI18" i="22"/>
  <c r="HJ18" i="22"/>
  <c r="HK18" i="22"/>
  <c r="HL18" i="22"/>
  <c r="HM18" i="22"/>
  <c r="HN18" i="22"/>
  <c r="HO18" i="22"/>
  <c r="HP18" i="22"/>
  <c r="HQ18" i="22"/>
  <c r="HR18" i="22"/>
  <c r="HS18" i="22"/>
  <c r="HT18" i="22"/>
  <c r="HU18" i="22"/>
  <c r="HV18" i="22"/>
  <c r="HW18" i="22"/>
  <c r="HX18" i="22"/>
  <c r="HY18" i="22"/>
  <c r="HZ18" i="22"/>
  <c r="IA18" i="22"/>
  <c r="IB18" i="22"/>
  <c r="IC18" i="22"/>
  <c r="ID18" i="22"/>
  <c r="IE18" i="22"/>
  <c r="IF18" i="22"/>
  <c r="IG18" i="22"/>
  <c r="IH18" i="22"/>
  <c r="II18" i="22"/>
  <c r="IJ18" i="22"/>
  <c r="IK18" i="22"/>
  <c r="IL18" i="22"/>
  <c r="IM18" i="22"/>
  <c r="IN18" i="22"/>
  <c r="IO18" i="22"/>
  <c r="IP18" i="22"/>
  <c r="IQ18" i="22"/>
  <c r="IR18" i="22"/>
  <c r="IS18" i="22"/>
  <c r="IT18" i="22"/>
  <c r="IU18" i="22"/>
  <c r="IV18" i="22"/>
  <c r="IW18" i="22"/>
  <c r="IX18" i="22"/>
  <c r="IY18" i="22"/>
  <c r="IZ18" i="22"/>
  <c r="JA18" i="22"/>
  <c r="JB18" i="22"/>
  <c r="JC18" i="22"/>
  <c r="JD18" i="22"/>
  <c r="JE18" i="22"/>
  <c r="JF18" i="22"/>
  <c r="JG18" i="22"/>
  <c r="JH18" i="22"/>
  <c r="JI18" i="22"/>
  <c r="JJ18" i="22"/>
  <c r="JK18" i="22"/>
  <c r="JL18" i="22"/>
  <c r="JM18" i="22"/>
  <c r="JN18" i="22"/>
  <c r="JO18" i="22"/>
  <c r="JP18" i="22"/>
  <c r="JQ18" i="22"/>
  <c r="JR18" i="22"/>
  <c r="JS18" i="22"/>
  <c r="JT18" i="22"/>
  <c r="JU18" i="22"/>
  <c r="JV18" i="22"/>
  <c r="JW18" i="22"/>
  <c r="JX18" i="22"/>
  <c r="JY18" i="22"/>
  <c r="JZ18" i="22"/>
  <c r="KA18" i="22"/>
  <c r="KB18" i="22"/>
  <c r="KC18" i="22"/>
  <c r="KD18" i="22"/>
  <c r="KE18" i="22"/>
  <c r="KF18" i="22"/>
  <c r="KG18" i="22"/>
  <c r="KH18" i="22"/>
  <c r="KI18" i="22"/>
  <c r="KJ18" i="22"/>
  <c r="KK18" i="22"/>
  <c r="KL18" i="22"/>
  <c r="KM18" i="22"/>
  <c r="KN18" i="22"/>
  <c r="KO18" i="22"/>
  <c r="KP18" i="22"/>
  <c r="KQ18" i="22"/>
  <c r="KR18" i="22"/>
  <c r="KS18" i="22"/>
  <c r="KT18" i="22"/>
  <c r="KU18" i="22"/>
  <c r="KV18" i="22"/>
  <c r="KW18" i="22"/>
  <c r="KX18" i="22"/>
  <c r="KY18" i="22"/>
  <c r="KZ18" i="22"/>
  <c r="LA18" i="22"/>
  <c r="LB18" i="22"/>
  <c r="LC18" i="22"/>
  <c r="LD18" i="22"/>
  <c r="LE18" i="22"/>
  <c r="LF18" i="22"/>
  <c r="LG18" i="22"/>
  <c r="LH18" i="22"/>
  <c r="LI18" i="22"/>
  <c r="LJ18" i="22"/>
  <c r="LK18" i="22"/>
  <c r="LL18" i="22"/>
  <c r="LM18" i="22"/>
  <c r="LN18" i="22"/>
  <c r="LO18" i="22"/>
  <c r="LP18" i="22"/>
  <c r="LQ18" i="22"/>
  <c r="LR18" i="22"/>
  <c r="LS18" i="22"/>
  <c r="LT18" i="22"/>
  <c r="LU18" i="22"/>
  <c r="LV18" i="22"/>
  <c r="LW18" i="22"/>
  <c r="LX18" i="22"/>
  <c r="LY18" i="22"/>
  <c r="LZ18" i="22"/>
  <c r="MA18" i="22"/>
  <c r="MB18" i="22"/>
  <c r="MC18" i="22"/>
  <c r="MD18" i="22"/>
  <c r="ME18" i="22"/>
  <c r="MF18" i="22"/>
  <c r="MG18" i="22"/>
  <c r="MH18" i="22"/>
  <c r="MI18" i="22"/>
  <c r="MJ18" i="22"/>
  <c r="MK18" i="22"/>
  <c r="ML18" i="22"/>
  <c r="MM18" i="22"/>
  <c r="MN18" i="22"/>
  <c r="MO18" i="22"/>
  <c r="MP18" i="22"/>
  <c r="MQ18" i="22"/>
  <c r="MR18" i="22"/>
  <c r="MS18" i="22"/>
  <c r="MT18" i="22"/>
  <c r="MU18" i="22"/>
  <c r="MV18" i="22"/>
  <c r="MW18" i="22"/>
  <c r="MX18" i="22"/>
  <c r="MY18" i="22"/>
  <c r="MZ18" i="22"/>
  <c r="NA18" i="22"/>
  <c r="NB18" i="22"/>
  <c r="NS18" i="22"/>
  <c r="B19" i="22"/>
  <c r="C19" i="22"/>
  <c r="D19" i="22"/>
  <c r="E19" i="22"/>
  <c r="F19" i="22"/>
  <c r="G19" i="22"/>
  <c r="H19" i="22"/>
  <c r="I19" i="22"/>
  <c r="J19" i="22"/>
  <c r="K19" i="22"/>
  <c r="L19" i="22"/>
  <c r="M19" i="22"/>
  <c r="N19" i="22"/>
  <c r="O19" i="22"/>
  <c r="P19" i="22"/>
  <c r="Q19" i="22"/>
  <c r="R19" i="22"/>
  <c r="S19" i="22"/>
  <c r="T19" i="22"/>
  <c r="U19" i="22"/>
  <c r="V19" i="22"/>
  <c r="W19" i="22"/>
  <c r="X19" i="22"/>
  <c r="Y19" i="22"/>
  <c r="Z19" i="22"/>
  <c r="AA19" i="22"/>
  <c r="AB19" i="22"/>
  <c r="AC19" i="22"/>
  <c r="AD19" i="22"/>
  <c r="AE19" i="22"/>
  <c r="AF19" i="22"/>
  <c r="AG19" i="22"/>
  <c r="AH19" i="22"/>
  <c r="AI19" i="22"/>
  <c r="AJ19" i="22"/>
  <c r="AK19" i="22"/>
  <c r="AL19" i="22"/>
  <c r="AM19" i="22"/>
  <c r="AN19" i="22"/>
  <c r="AO19" i="22"/>
  <c r="AP19" i="22"/>
  <c r="AQ19" i="22"/>
  <c r="AR19" i="22"/>
  <c r="AS19" i="22"/>
  <c r="AT19" i="22"/>
  <c r="AU19" i="22"/>
  <c r="AV19" i="22"/>
  <c r="AW19" i="22"/>
  <c r="AX19" i="22"/>
  <c r="AY19" i="22"/>
  <c r="AZ19" i="22"/>
  <c r="BA19" i="22"/>
  <c r="BB19" i="22"/>
  <c r="BC19" i="22"/>
  <c r="BD19" i="22"/>
  <c r="BE19" i="22"/>
  <c r="BF19" i="22"/>
  <c r="BG19" i="22"/>
  <c r="BH19" i="22"/>
  <c r="BJ19" i="22"/>
  <c r="BK19" i="22"/>
  <c r="BL19" i="22"/>
  <c r="BM19" i="22"/>
  <c r="BN19" i="22"/>
  <c r="BO19" i="22"/>
  <c r="BP19" i="22"/>
  <c r="BQ19" i="22"/>
  <c r="BR19" i="22"/>
  <c r="BS19" i="22"/>
  <c r="BT19" i="22"/>
  <c r="BU19" i="22"/>
  <c r="BV19" i="22"/>
  <c r="BW19" i="22"/>
  <c r="BX19" i="22"/>
  <c r="BY19" i="22"/>
  <c r="BZ19" i="22"/>
  <c r="CA19" i="22"/>
  <c r="CB19" i="22"/>
  <c r="CC19" i="22"/>
  <c r="CD19" i="22"/>
  <c r="CE19" i="22"/>
  <c r="CF19" i="22"/>
  <c r="CG19" i="22"/>
  <c r="CH19" i="22"/>
  <c r="CI19" i="22"/>
  <c r="CJ19" i="22"/>
  <c r="CK19" i="22"/>
  <c r="CL19" i="22"/>
  <c r="CM19" i="22"/>
  <c r="CN19" i="22"/>
  <c r="CO19" i="22"/>
  <c r="CP19" i="22"/>
  <c r="CQ19" i="22"/>
  <c r="CR19" i="22"/>
  <c r="CS19" i="22"/>
  <c r="CT19" i="22"/>
  <c r="CU19" i="22"/>
  <c r="CV19" i="22"/>
  <c r="CW19" i="22"/>
  <c r="CX19" i="22"/>
  <c r="CY19" i="22"/>
  <c r="CZ19" i="22"/>
  <c r="DA19" i="22"/>
  <c r="DB19" i="22"/>
  <c r="DC19" i="22"/>
  <c r="DD19" i="22"/>
  <c r="DE19" i="22"/>
  <c r="DF19" i="22"/>
  <c r="DG19" i="22"/>
  <c r="DH19" i="22"/>
  <c r="DI19" i="22"/>
  <c r="DJ19" i="22"/>
  <c r="DK19" i="22"/>
  <c r="DL19" i="22"/>
  <c r="DM19" i="22"/>
  <c r="DN19" i="22"/>
  <c r="DO19" i="22"/>
  <c r="DP19" i="22"/>
  <c r="DQ19" i="22"/>
  <c r="DR19" i="22"/>
  <c r="DS19" i="22"/>
  <c r="DT19" i="22"/>
  <c r="DU19" i="22"/>
  <c r="DV19" i="22"/>
  <c r="DW19" i="22"/>
  <c r="DX19" i="22"/>
  <c r="DY19" i="22"/>
  <c r="DZ19" i="22"/>
  <c r="EA19" i="22"/>
  <c r="EB19" i="22"/>
  <c r="EC19" i="22"/>
  <c r="ED19" i="22"/>
  <c r="EE19" i="22"/>
  <c r="EF19" i="22"/>
  <c r="EG19" i="22"/>
  <c r="EH19" i="22"/>
  <c r="EI19" i="22"/>
  <c r="EJ19" i="22"/>
  <c r="EK19" i="22"/>
  <c r="EL19" i="22"/>
  <c r="EM19" i="22"/>
  <c r="EN19" i="22"/>
  <c r="EO19" i="22"/>
  <c r="EP19" i="22"/>
  <c r="EQ19" i="22"/>
  <c r="ER19" i="22"/>
  <c r="ES19" i="22"/>
  <c r="ET19" i="22"/>
  <c r="EU19" i="22"/>
  <c r="EV19" i="22"/>
  <c r="EW19" i="22"/>
  <c r="EX19" i="22"/>
  <c r="EY19" i="22"/>
  <c r="EZ19" i="22"/>
  <c r="FA19" i="22"/>
  <c r="FB19" i="22"/>
  <c r="FC19" i="22"/>
  <c r="FD19" i="22"/>
  <c r="FE19" i="22"/>
  <c r="FF19" i="22"/>
  <c r="FG19" i="22"/>
  <c r="FH19" i="22"/>
  <c r="FI19" i="22"/>
  <c r="FJ19" i="22"/>
  <c r="FK19" i="22"/>
  <c r="FL19" i="22"/>
  <c r="FM19" i="22"/>
  <c r="FN19" i="22"/>
  <c r="FO19" i="22"/>
  <c r="FP19" i="22"/>
  <c r="FQ19" i="22"/>
  <c r="FR19" i="22"/>
  <c r="FS19" i="22"/>
  <c r="FT19" i="22"/>
  <c r="FU19" i="22"/>
  <c r="FV19" i="22"/>
  <c r="FW19" i="22"/>
  <c r="FX19" i="22"/>
  <c r="FY19" i="22"/>
  <c r="FZ19" i="22"/>
  <c r="GA19" i="22"/>
  <c r="GB19" i="22"/>
  <c r="GC19" i="22"/>
  <c r="GD19" i="22"/>
  <c r="GE19" i="22"/>
  <c r="GF19" i="22"/>
  <c r="GG19" i="22"/>
  <c r="GH19" i="22"/>
  <c r="GI19" i="22"/>
  <c r="GJ19" i="22"/>
  <c r="GK19" i="22"/>
  <c r="GL19" i="22"/>
  <c r="GM19" i="22"/>
  <c r="GN19" i="22"/>
  <c r="GO19" i="22"/>
  <c r="GP19" i="22"/>
  <c r="GQ19" i="22"/>
  <c r="GR19" i="22"/>
  <c r="GS19" i="22"/>
  <c r="GT19" i="22"/>
  <c r="GU19" i="22"/>
  <c r="GV19" i="22"/>
  <c r="GW19" i="22"/>
  <c r="GX19" i="22"/>
  <c r="GY19" i="22"/>
  <c r="GZ19" i="22"/>
  <c r="HA19" i="22"/>
  <c r="HB19" i="22"/>
  <c r="HC19" i="22"/>
  <c r="HD19" i="22"/>
  <c r="HE19" i="22"/>
  <c r="HF19" i="22"/>
  <c r="HG19" i="22"/>
  <c r="HH19" i="22"/>
  <c r="HI19" i="22"/>
  <c r="HJ19" i="22"/>
  <c r="HK19" i="22"/>
  <c r="HL19" i="22"/>
  <c r="HM19" i="22"/>
  <c r="HN19" i="22"/>
  <c r="HO19" i="22"/>
  <c r="HP19" i="22"/>
  <c r="HQ19" i="22"/>
  <c r="HR19" i="22"/>
  <c r="HS19" i="22"/>
  <c r="HT19" i="22"/>
  <c r="HU19" i="22"/>
  <c r="HV19" i="22"/>
  <c r="HW19" i="22"/>
  <c r="HX19" i="22"/>
  <c r="HY19" i="22"/>
  <c r="HZ19" i="22"/>
  <c r="IA19" i="22"/>
  <c r="IB19" i="22"/>
  <c r="IC19" i="22"/>
  <c r="ID19" i="22"/>
  <c r="IE19" i="22"/>
  <c r="IF19" i="22"/>
  <c r="IG19" i="22"/>
  <c r="IH19" i="22"/>
  <c r="II19" i="22"/>
  <c r="IJ19" i="22"/>
  <c r="IK19" i="22"/>
  <c r="IL19" i="22"/>
  <c r="IM19" i="22"/>
  <c r="IN19" i="22"/>
  <c r="IO19" i="22"/>
  <c r="IP19" i="22"/>
  <c r="IQ19" i="22"/>
  <c r="IR19" i="22"/>
  <c r="IS19" i="22"/>
  <c r="IT19" i="22"/>
  <c r="IU19" i="22"/>
  <c r="IV19" i="22"/>
  <c r="IW19" i="22"/>
  <c r="IX19" i="22"/>
  <c r="IY19" i="22"/>
  <c r="IZ19" i="22"/>
  <c r="JA19" i="22"/>
  <c r="JB19" i="22"/>
  <c r="JC19" i="22"/>
  <c r="JD19" i="22"/>
  <c r="JE19" i="22"/>
  <c r="JF19" i="22"/>
  <c r="JG19" i="22"/>
  <c r="JH19" i="22"/>
  <c r="JI19" i="22"/>
  <c r="JJ19" i="22"/>
  <c r="JK19" i="22"/>
  <c r="JL19" i="22"/>
  <c r="JM19" i="22"/>
  <c r="JN19" i="22"/>
  <c r="JO19" i="22"/>
  <c r="JP19" i="22"/>
  <c r="JQ19" i="22"/>
  <c r="JR19" i="22"/>
  <c r="JS19" i="22"/>
  <c r="JT19" i="22"/>
  <c r="JU19" i="22"/>
  <c r="JV19" i="22"/>
  <c r="JW19" i="22"/>
  <c r="JX19" i="22"/>
  <c r="JY19" i="22"/>
  <c r="JZ19" i="22"/>
  <c r="KA19" i="22"/>
  <c r="KB19" i="22"/>
  <c r="KC19" i="22"/>
  <c r="KD19" i="22"/>
  <c r="KE19" i="22"/>
  <c r="KF19" i="22"/>
  <c r="KG19" i="22"/>
  <c r="KH19" i="22"/>
  <c r="KI19" i="22"/>
  <c r="KJ19" i="22"/>
  <c r="KK19" i="22"/>
  <c r="KL19" i="22"/>
  <c r="KM19" i="22"/>
  <c r="KN19" i="22"/>
  <c r="KO19" i="22"/>
  <c r="KP19" i="22"/>
  <c r="KQ19" i="22"/>
  <c r="KR19" i="22"/>
  <c r="KS19" i="22"/>
  <c r="KT19" i="22"/>
  <c r="KU19" i="22"/>
  <c r="KV19" i="22"/>
  <c r="KW19" i="22"/>
  <c r="KX19" i="22"/>
  <c r="KY19" i="22"/>
  <c r="KZ19" i="22"/>
  <c r="LA19" i="22"/>
  <c r="LB19" i="22"/>
  <c r="LC19" i="22"/>
  <c r="LD19" i="22"/>
  <c r="LE19" i="22"/>
  <c r="LF19" i="22"/>
  <c r="LG19" i="22"/>
  <c r="LH19" i="22"/>
  <c r="LI19" i="22"/>
  <c r="LJ19" i="22"/>
  <c r="LK19" i="22"/>
  <c r="LL19" i="22"/>
  <c r="LM19" i="22"/>
  <c r="LN19" i="22"/>
  <c r="LO19" i="22"/>
  <c r="LP19" i="22"/>
  <c r="LQ19" i="22"/>
  <c r="LR19" i="22"/>
  <c r="LS19" i="22"/>
  <c r="LT19" i="22"/>
  <c r="LU19" i="22"/>
  <c r="LV19" i="22"/>
  <c r="LW19" i="22"/>
  <c r="LX19" i="22"/>
  <c r="LY19" i="22"/>
  <c r="LZ19" i="22"/>
  <c r="MA19" i="22"/>
  <c r="MB19" i="22"/>
  <c r="MC19" i="22"/>
  <c r="MD19" i="22"/>
  <c r="ME19" i="22"/>
  <c r="MF19" i="22"/>
  <c r="MG19" i="22"/>
  <c r="MH19" i="22"/>
  <c r="MI19" i="22"/>
  <c r="MJ19" i="22"/>
  <c r="MK19" i="22"/>
  <c r="ML19" i="22"/>
  <c r="MM19" i="22"/>
  <c r="MN19" i="22"/>
  <c r="MO19" i="22"/>
  <c r="MP19" i="22"/>
  <c r="MQ19" i="22"/>
  <c r="MR19" i="22"/>
  <c r="MS19" i="22"/>
  <c r="MT19" i="22"/>
  <c r="MU19" i="22"/>
  <c r="MV19" i="22"/>
  <c r="MW19" i="22"/>
  <c r="MX19" i="22"/>
  <c r="MY19" i="22"/>
  <c r="MZ19" i="22"/>
  <c r="NA19" i="22"/>
  <c r="NB19" i="22"/>
  <c r="NS19" i="22"/>
  <c r="B20" i="22"/>
  <c r="C20" i="22"/>
  <c r="D20" i="22"/>
  <c r="E20" i="22"/>
  <c r="F20" i="22"/>
  <c r="G20" i="22"/>
  <c r="H20" i="22"/>
  <c r="I20" i="22"/>
  <c r="J20" i="22"/>
  <c r="K20" i="22"/>
  <c r="L20" i="22"/>
  <c r="M20" i="22"/>
  <c r="N20" i="22"/>
  <c r="O20" i="22"/>
  <c r="P20" i="22"/>
  <c r="Q20" i="22"/>
  <c r="R20" i="22"/>
  <c r="S20" i="22"/>
  <c r="T20" i="22"/>
  <c r="U20" i="22"/>
  <c r="V20" i="22"/>
  <c r="W20" i="22"/>
  <c r="X20" i="22"/>
  <c r="Y20" i="22"/>
  <c r="Z20" i="22"/>
  <c r="AA20" i="22"/>
  <c r="AB20" i="22"/>
  <c r="AC20" i="22"/>
  <c r="AD20" i="22"/>
  <c r="AE20" i="22"/>
  <c r="AF20" i="22"/>
  <c r="AG20" i="22"/>
  <c r="AH20" i="22"/>
  <c r="AI20" i="22"/>
  <c r="AJ20" i="22"/>
  <c r="AK20" i="22"/>
  <c r="AL20" i="22"/>
  <c r="AM20" i="22"/>
  <c r="AN20" i="22"/>
  <c r="AO20" i="22"/>
  <c r="AP20" i="22"/>
  <c r="AQ20" i="22"/>
  <c r="AR20" i="22"/>
  <c r="AS20" i="22"/>
  <c r="AT20" i="22"/>
  <c r="AU20" i="22"/>
  <c r="AV20" i="22"/>
  <c r="AW20" i="22"/>
  <c r="AX20" i="22"/>
  <c r="AY20" i="22"/>
  <c r="AZ20" i="22"/>
  <c r="BA20" i="22"/>
  <c r="BB20" i="22"/>
  <c r="BC20" i="22"/>
  <c r="BD20" i="22"/>
  <c r="BE20" i="22"/>
  <c r="BF20" i="22"/>
  <c r="BG20" i="22"/>
  <c r="BH20" i="22"/>
  <c r="BJ20" i="22"/>
  <c r="BK20" i="22"/>
  <c r="BL20" i="22"/>
  <c r="BM20" i="22"/>
  <c r="BN20" i="22"/>
  <c r="BO20" i="22"/>
  <c r="BP20" i="22"/>
  <c r="BQ20" i="22"/>
  <c r="BR20" i="22"/>
  <c r="BS20" i="22"/>
  <c r="BT20" i="22"/>
  <c r="BU20" i="22"/>
  <c r="BV20" i="22"/>
  <c r="BW20" i="22"/>
  <c r="BX20" i="22"/>
  <c r="BY20" i="22"/>
  <c r="BZ20" i="22"/>
  <c r="CA20" i="22"/>
  <c r="CB20" i="22"/>
  <c r="CC20" i="22"/>
  <c r="CD20" i="22"/>
  <c r="CE20" i="22"/>
  <c r="CF20" i="22"/>
  <c r="CG20" i="22"/>
  <c r="CH20" i="22"/>
  <c r="CI20" i="22"/>
  <c r="CJ20" i="22"/>
  <c r="CK20" i="22"/>
  <c r="CL20" i="22"/>
  <c r="CM20" i="22"/>
  <c r="CN20" i="22"/>
  <c r="CO20" i="22"/>
  <c r="CP20" i="22"/>
  <c r="CQ20" i="22"/>
  <c r="CR20" i="22"/>
  <c r="CS20" i="22"/>
  <c r="CT20" i="22"/>
  <c r="CU20" i="22"/>
  <c r="CV20" i="22"/>
  <c r="CW20" i="22"/>
  <c r="CX20" i="22"/>
  <c r="CY20" i="22"/>
  <c r="CZ20" i="22"/>
  <c r="DA20" i="22"/>
  <c r="DB20" i="22"/>
  <c r="DC20" i="22"/>
  <c r="DD20" i="22"/>
  <c r="DE20" i="22"/>
  <c r="DF20" i="22"/>
  <c r="DG20" i="22"/>
  <c r="DH20" i="22"/>
  <c r="DI20" i="22"/>
  <c r="DJ20" i="22"/>
  <c r="DK20" i="22"/>
  <c r="DL20" i="22"/>
  <c r="DM20" i="22"/>
  <c r="DN20" i="22"/>
  <c r="DO20" i="22"/>
  <c r="DP20" i="22"/>
  <c r="DQ20" i="22"/>
  <c r="DR20" i="22"/>
  <c r="DS20" i="22"/>
  <c r="DT20" i="22"/>
  <c r="DU20" i="22"/>
  <c r="DV20" i="22"/>
  <c r="DW20" i="22"/>
  <c r="DX20" i="22"/>
  <c r="DY20" i="22"/>
  <c r="DZ20" i="22"/>
  <c r="EA20" i="22"/>
  <c r="EB20" i="22"/>
  <c r="EC20" i="22"/>
  <c r="ED20" i="22"/>
  <c r="EE20" i="22"/>
  <c r="EF20" i="22"/>
  <c r="EG20" i="22"/>
  <c r="EH20" i="22"/>
  <c r="EI20" i="22"/>
  <c r="EJ20" i="22"/>
  <c r="EK20" i="22"/>
  <c r="EL20" i="22"/>
  <c r="EM20" i="22"/>
  <c r="EN20" i="22"/>
  <c r="EO20" i="22"/>
  <c r="EP20" i="22"/>
  <c r="EQ20" i="22"/>
  <c r="ER20" i="22"/>
  <c r="ES20" i="22"/>
  <c r="ET20" i="22"/>
  <c r="EU20" i="22"/>
  <c r="EV20" i="22"/>
  <c r="EW20" i="22"/>
  <c r="EX20" i="22"/>
  <c r="EY20" i="22"/>
  <c r="EZ20" i="22"/>
  <c r="FA20" i="22"/>
  <c r="FB20" i="22"/>
  <c r="FC20" i="22"/>
  <c r="FD20" i="22"/>
  <c r="FE20" i="22"/>
  <c r="FF20" i="22"/>
  <c r="FG20" i="22"/>
  <c r="FH20" i="22"/>
  <c r="FI20" i="22"/>
  <c r="FJ20" i="22"/>
  <c r="FK20" i="22"/>
  <c r="FL20" i="22"/>
  <c r="FM20" i="22"/>
  <c r="FN20" i="22"/>
  <c r="FO20" i="22"/>
  <c r="FP20" i="22"/>
  <c r="FQ20" i="22"/>
  <c r="FR20" i="22"/>
  <c r="FS20" i="22"/>
  <c r="FT20" i="22"/>
  <c r="FU20" i="22"/>
  <c r="FV20" i="22"/>
  <c r="FW20" i="22"/>
  <c r="FX20" i="22"/>
  <c r="FY20" i="22"/>
  <c r="FZ20" i="22"/>
  <c r="GA20" i="22"/>
  <c r="GB20" i="22"/>
  <c r="GC20" i="22"/>
  <c r="GD20" i="22"/>
  <c r="GE20" i="22"/>
  <c r="GF20" i="22"/>
  <c r="GG20" i="22"/>
  <c r="GH20" i="22"/>
  <c r="GI20" i="22"/>
  <c r="GJ20" i="22"/>
  <c r="GK20" i="22"/>
  <c r="GL20" i="22"/>
  <c r="GM20" i="22"/>
  <c r="GN20" i="22"/>
  <c r="GO20" i="22"/>
  <c r="GP20" i="22"/>
  <c r="GQ20" i="22"/>
  <c r="GR20" i="22"/>
  <c r="GS20" i="22"/>
  <c r="GT20" i="22"/>
  <c r="GU20" i="22"/>
  <c r="GV20" i="22"/>
  <c r="GW20" i="22"/>
  <c r="GX20" i="22"/>
  <c r="GY20" i="22"/>
  <c r="GZ20" i="22"/>
  <c r="HA20" i="22"/>
  <c r="HB20" i="22"/>
  <c r="HC20" i="22"/>
  <c r="HD20" i="22"/>
  <c r="HE20" i="22"/>
  <c r="HF20" i="22"/>
  <c r="HG20" i="22"/>
  <c r="HH20" i="22"/>
  <c r="HI20" i="22"/>
  <c r="HJ20" i="22"/>
  <c r="HK20" i="22"/>
  <c r="HL20" i="22"/>
  <c r="HM20" i="22"/>
  <c r="HN20" i="22"/>
  <c r="HO20" i="22"/>
  <c r="HP20" i="22"/>
  <c r="HQ20" i="22"/>
  <c r="HR20" i="22"/>
  <c r="HS20" i="22"/>
  <c r="HT20" i="22"/>
  <c r="HU20" i="22"/>
  <c r="HV20" i="22"/>
  <c r="HW20" i="22"/>
  <c r="HX20" i="22"/>
  <c r="HY20" i="22"/>
  <c r="HZ20" i="22"/>
  <c r="IA20" i="22"/>
  <c r="IB20" i="22"/>
  <c r="IC20" i="22"/>
  <c r="ID20" i="22"/>
  <c r="IE20" i="22"/>
  <c r="IF20" i="22"/>
  <c r="IG20" i="22"/>
  <c r="IH20" i="22"/>
  <c r="II20" i="22"/>
  <c r="IJ20" i="22"/>
  <c r="IK20" i="22"/>
  <c r="IL20" i="22"/>
  <c r="IM20" i="22"/>
  <c r="IN20" i="22"/>
  <c r="IO20" i="22"/>
  <c r="IP20" i="22"/>
  <c r="IQ20" i="22"/>
  <c r="IR20" i="22"/>
  <c r="IS20" i="22"/>
  <c r="IT20" i="22"/>
  <c r="IU20" i="22"/>
  <c r="IV20" i="22"/>
  <c r="IW20" i="22"/>
  <c r="IX20" i="22"/>
  <c r="IY20" i="22"/>
  <c r="IZ20" i="22"/>
  <c r="JA20" i="22"/>
  <c r="JB20" i="22"/>
  <c r="JC20" i="22"/>
  <c r="JD20" i="22"/>
  <c r="JE20" i="22"/>
  <c r="JF20" i="22"/>
  <c r="JG20" i="22"/>
  <c r="JH20" i="22"/>
  <c r="JI20" i="22"/>
  <c r="JJ20" i="22"/>
  <c r="JK20" i="22"/>
  <c r="JL20" i="22"/>
  <c r="JM20" i="22"/>
  <c r="JN20" i="22"/>
  <c r="JO20" i="22"/>
  <c r="JP20" i="22"/>
  <c r="JQ20" i="22"/>
  <c r="JR20" i="22"/>
  <c r="JS20" i="22"/>
  <c r="JT20" i="22"/>
  <c r="JU20" i="22"/>
  <c r="JV20" i="22"/>
  <c r="JW20" i="22"/>
  <c r="JX20" i="22"/>
  <c r="JY20" i="22"/>
  <c r="JZ20" i="22"/>
  <c r="KA20" i="22"/>
  <c r="KB20" i="22"/>
  <c r="KC20" i="22"/>
  <c r="KD20" i="22"/>
  <c r="KE20" i="22"/>
  <c r="KF20" i="22"/>
  <c r="KG20" i="22"/>
  <c r="KH20" i="22"/>
  <c r="KI20" i="22"/>
  <c r="KJ20" i="22"/>
  <c r="KK20" i="22"/>
  <c r="KL20" i="22"/>
  <c r="KM20" i="22"/>
  <c r="KN20" i="22"/>
  <c r="KO20" i="22"/>
  <c r="KP20" i="22"/>
  <c r="KQ20" i="22"/>
  <c r="KR20" i="22"/>
  <c r="KS20" i="22"/>
  <c r="KT20" i="22"/>
  <c r="KU20" i="22"/>
  <c r="KV20" i="22"/>
  <c r="KW20" i="22"/>
  <c r="KX20" i="22"/>
  <c r="KY20" i="22"/>
  <c r="KZ20" i="22"/>
  <c r="LA20" i="22"/>
  <c r="LB20" i="22"/>
  <c r="LC20" i="22"/>
  <c r="LD20" i="22"/>
  <c r="LE20" i="22"/>
  <c r="LF20" i="22"/>
  <c r="LG20" i="22"/>
  <c r="LH20" i="22"/>
  <c r="LI20" i="22"/>
  <c r="LJ20" i="22"/>
  <c r="LK20" i="22"/>
  <c r="LL20" i="22"/>
  <c r="LM20" i="22"/>
  <c r="LN20" i="22"/>
  <c r="LO20" i="22"/>
  <c r="LP20" i="22"/>
  <c r="LQ20" i="22"/>
  <c r="LR20" i="22"/>
  <c r="LS20" i="22"/>
  <c r="LT20" i="22"/>
  <c r="LU20" i="22"/>
  <c r="LV20" i="22"/>
  <c r="LW20" i="22"/>
  <c r="LX20" i="22"/>
  <c r="LY20" i="22"/>
  <c r="LZ20" i="22"/>
  <c r="MA20" i="22"/>
  <c r="MB20" i="22"/>
  <c r="MC20" i="22"/>
  <c r="MD20" i="22"/>
  <c r="ME20" i="22"/>
  <c r="MF20" i="22"/>
  <c r="MG20" i="22"/>
  <c r="MH20" i="22"/>
  <c r="MI20" i="22"/>
  <c r="MJ20" i="22"/>
  <c r="MK20" i="22"/>
  <c r="ML20" i="22"/>
  <c r="MM20" i="22"/>
  <c r="MN20" i="22"/>
  <c r="MO20" i="22"/>
  <c r="MP20" i="22"/>
  <c r="MQ20" i="22"/>
  <c r="MR20" i="22"/>
  <c r="MS20" i="22"/>
  <c r="MT20" i="22"/>
  <c r="MU20" i="22"/>
  <c r="MV20" i="22"/>
  <c r="MW20" i="22"/>
  <c r="MX20" i="22"/>
  <c r="MY20" i="22"/>
  <c r="MZ20" i="22"/>
  <c r="NA20" i="22"/>
  <c r="NB20" i="22"/>
  <c r="NS20" i="22"/>
  <c r="B21" i="22"/>
  <c r="C21" i="22"/>
  <c r="D21" i="22"/>
  <c r="E21" i="22"/>
  <c r="F21" i="22"/>
  <c r="G21" i="22"/>
  <c r="H21" i="22"/>
  <c r="I21" i="22"/>
  <c r="J21" i="22"/>
  <c r="K21" i="22"/>
  <c r="L21" i="22"/>
  <c r="M21" i="22"/>
  <c r="N21" i="22"/>
  <c r="O21" i="22"/>
  <c r="P21" i="22"/>
  <c r="Q21" i="22"/>
  <c r="R21" i="22"/>
  <c r="S21" i="22"/>
  <c r="T21" i="22"/>
  <c r="U21" i="22"/>
  <c r="V21" i="22"/>
  <c r="W21" i="22"/>
  <c r="X21" i="22"/>
  <c r="Y21" i="22"/>
  <c r="Z21" i="22"/>
  <c r="AA21" i="22"/>
  <c r="AB21" i="22"/>
  <c r="AC21" i="22"/>
  <c r="AD21" i="22"/>
  <c r="AE21" i="22"/>
  <c r="AF21" i="22"/>
  <c r="AG21" i="22"/>
  <c r="AH21" i="22"/>
  <c r="AI21" i="22"/>
  <c r="AJ21" i="22"/>
  <c r="AK21" i="22"/>
  <c r="AL21" i="22"/>
  <c r="AM21" i="22"/>
  <c r="AN21" i="22"/>
  <c r="AO21" i="22"/>
  <c r="AP21" i="22"/>
  <c r="AQ21" i="22"/>
  <c r="AR21" i="22"/>
  <c r="AS21" i="22"/>
  <c r="AT21" i="22"/>
  <c r="AU21" i="22"/>
  <c r="AV21" i="22"/>
  <c r="AW21" i="22"/>
  <c r="AX21" i="22"/>
  <c r="AY21" i="22"/>
  <c r="AZ21" i="22"/>
  <c r="BA21" i="22"/>
  <c r="BB21" i="22"/>
  <c r="BC21" i="22"/>
  <c r="BD21" i="22"/>
  <c r="BE21" i="22"/>
  <c r="BF21" i="22"/>
  <c r="BG21" i="22"/>
  <c r="BH21" i="22"/>
  <c r="BI21" i="22"/>
  <c r="BJ21" i="22"/>
  <c r="BK21" i="22"/>
  <c r="BL21" i="22"/>
  <c r="BM21" i="22"/>
  <c r="BN21" i="22"/>
  <c r="BO21" i="22"/>
  <c r="BP21" i="22"/>
  <c r="BQ21" i="22"/>
  <c r="BR21" i="22"/>
  <c r="BS21" i="22"/>
  <c r="BT21" i="22"/>
  <c r="BU21" i="22"/>
  <c r="BV21" i="22"/>
  <c r="BW21" i="22"/>
  <c r="BX21" i="22"/>
  <c r="BY21" i="22"/>
  <c r="BZ21" i="22"/>
  <c r="CA21" i="22"/>
  <c r="CB21" i="22"/>
  <c r="CC21" i="22"/>
  <c r="CD21" i="22"/>
  <c r="CE21" i="22"/>
  <c r="CF21" i="22"/>
  <c r="CG21" i="22"/>
  <c r="CH21" i="22"/>
  <c r="CI21" i="22"/>
  <c r="CJ21" i="22"/>
  <c r="CK21" i="22"/>
  <c r="CL21" i="22"/>
  <c r="CM21" i="22"/>
  <c r="CN21" i="22"/>
  <c r="CO21" i="22"/>
  <c r="CP21" i="22"/>
  <c r="CQ21" i="22"/>
  <c r="CR21" i="22"/>
  <c r="CS21" i="22"/>
  <c r="CT21" i="22"/>
  <c r="CU21" i="22"/>
  <c r="CV21" i="22"/>
  <c r="CW21" i="22"/>
  <c r="CX21" i="22"/>
  <c r="CY21" i="22"/>
  <c r="CZ21" i="22"/>
  <c r="DA21" i="22"/>
  <c r="DB21" i="22"/>
  <c r="DC21" i="22"/>
  <c r="DD21" i="22"/>
  <c r="DE21" i="22"/>
  <c r="DF21" i="22"/>
  <c r="DG21" i="22"/>
  <c r="DH21" i="22"/>
  <c r="DI21" i="22"/>
  <c r="DJ21" i="22"/>
  <c r="DK21" i="22"/>
  <c r="DL21" i="22"/>
  <c r="DM21" i="22"/>
  <c r="DN21" i="22"/>
  <c r="DO21" i="22"/>
  <c r="DP21" i="22"/>
  <c r="DQ21" i="22"/>
  <c r="DR21" i="22"/>
  <c r="DS21" i="22"/>
  <c r="DT21" i="22"/>
  <c r="DU21" i="22"/>
  <c r="DV21" i="22"/>
  <c r="DW21" i="22"/>
  <c r="DX21" i="22"/>
  <c r="DY21" i="22"/>
  <c r="DZ21" i="22"/>
  <c r="EA21" i="22"/>
  <c r="EB21" i="22"/>
  <c r="EC21" i="22"/>
  <c r="ED21" i="22"/>
  <c r="EE21" i="22"/>
  <c r="EF21" i="22"/>
  <c r="EG21" i="22"/>
  <c r="EH21" i="22"/>
  <c r="EI21" i="22"/>
  <c r="EJ21" i="22"/>
  <c r="EK21" i="22"/>
  <c r="EL21" i="22"/>
  <c r="EM21" i="22"/>
  <c r="EN21" i="22"/>
  <c r="EO21" i="22"/>
  <c r="EP21" i="22"/>
  <c r="EQ21" i="22"/>
  <c r="ER21" i="22"/>
  <c r="ES21" i="22"/>
  <c r="ET21" i="22"/>
  <c r="EU21" i="22"/>
  <c r="EV21" i="22"/>
  <c r="EW21" i="22"/>
  <c r="EX21" i="22"/>
  <c r="EY21" i="22"/>
  <c r="EZ21" i="22"/>
  <c r="FA21" i="22"/>
  <c r="FB21" i="22"/>
  <c r="FC21" i="22"/>
  <c r="FD21" i="22"/>
  <c r="FE21" i="22"/>
  <c r="FF21" i="22"/>
  <c r="FG21" i="22"/>
  <c r="FH21" i="22"/>
  <c r="FI21" i="22"/>
  <c r="FJ21" i="22"/>
  <c r="FK21" i="22"/>
  <c r="FL21" i="22"/>
  <c r="FM21" i="22"/>
  <c r="FN21" i="22"/>
  <c r="FO21" i="22"/>
  <c r="FP21" i="22"/>
  <c r="FQ21" i="22"/>
  <c r="FR21" i="22"/>
  <c r="FS21" i="22"/>
  <c r="FT21" i="22"/>
  <c r="FU21" i="22"/>
  <c r="FV21" i="22"/>
  <c r="FW21" i="22"/>
  <c r="FX21" i="22"/>
  <c r="FY21" i="22"/>
  <c r="FZ21" i="22"/>
  <c r="GA21" i="22"/>
  <c r="GB21" i="22"/>
  <c r="GC21" i="22"/>
  <c r="GD21" i="22"/>
  <c r="GE21" i="22"/>
  <c r="GF21" i="22"/>
  <c r="GG21" i="22"/>
  <c r="GH21" i="22"/>
  <c r="GI21" i="22"/>
  <c r="GJ21" i="22"/>
  <c r="GK21" i="22"/>
  <c r="GL21" i="22"/>
  <c r="GM21" i="22"/>
  <c r="GN21" i="22"/>
  <c r="GO21" i="22"/>
  <c r="GP21" i="22"/>
  <c r="GQ21" i="22"/>
  <c r="GR21" i="22"/>
  <c r="GS21" i="22"/>
  <c r="GT21" i="22"/>
  <c r="GU21" i="22"/>
  <c r="GV21" i="22"/>
  <c r="GW21" i="22"/>
  <c r="GX21" i="22"/>
  <c r="GY21" i="22"/>
  <c r="GZ21" i="22"/>
  <c r="HA21" i="22"/>
  <c r="HB21" i="22"/>
  <c r="HC21" i="22"/>
  <c r="HD21" i="22"/>
  <c r="HE21" i="22"/>
  <c r="HF21" i="22"/>
  <c r="HG21" i="22"/>
  <c r="HH21" i="22"/>
  <c r="HI21" i="22"/>
  <c r="HJ21" i="22"/>
  <c r="HK21" i="22"/>
  <c r="HL21" i="22"/>
  <c r="HM21" i="22"/>
  <c r="HN21" i="22"/>
  <c r="HO21" i="22"/>
  <c r="HP21" i="22"/>
  <c r="HQ21" i="22"/>
  <c r="HR21" i="22"/>
  <c r="HS21" i="22"/>
  <c r="HT21" i="22"/>
  <c r="HU21" i="22"/>
  <c r="HV21" i="22"/>
  <c r="HW21" i="22"/>
  <c r="HX21" i="22"/>
  <c r="HY21" i="22"/>
  <c r="HZ21" i="22"/>
  <c r="IA21" i="22"/>
  <c r="IB21" i="22"/>
  <c r="IC21" i="22"/>
  <c r="ID21" i="22"/>
  <c r="IE21" i="22"/>
  <c r="IF21" i="22"/>
  <c r="IG21" i="22"/>
  <c r="IH21" i="22"/>
  <c r="II21" i="22"/>
  <c r="IJ21" i="22"/>
  <c r="IK21" i="22"/>
  <c r="IL21" i="22"/>
  <c r="IM21" i="22"/>
  <c r="IN21" i="22"/>
  <c r="IO21" i="22"/>
  <c r="IP21" i="22"/>
  <c r="IQ21" i="22"/>
  <c r="IR21" i="22"/>
  <c r="IS21" i="22"/>
  <c r="IT21" i="22"/>
  <c r="IU21" i="22"/>
  <c r="IV21" i="22"/>
  <c r="IW21" i="22"/>
  <c r="IX21" i="22"/>
  <c r="IY21" i="22"/>
  <c r="IZ21" i="22"/>
  <c r="JA21" i="22"/>
  <c r="JB21" i="22"/>
  <c r="JC21" i="22"/>
  <c r="JD21" i="22"/>
  <c r="JE21" i="22"/>
  <c r="JF21" i="22"/>
  <c r="JG21" i="22"/>
  <c r="JH21" i="22"/>
  <c r="JI21" i="22"/>
  <c r="JJ21" i="22"/>
  <c r="JK21" i="22"/>
  <c r="JL21" i="22"/>
  <c r="JM21" i="22"/>
  <c r="JN21" i="22"/>
  <c r="JO21" i="22"/>
  <c r="JP21" i="22"/>
  <c r="JQ21" i="22"/>
  <c r="JR21" i="22"/>
  <c r="JS21" i="22"/>
  <c r="JT21" i="22"/>
  <c r="JU21" i="22"/>
  <c r="JV21" i="22"/>
  <c r="JW21" i="22"/>
  <c r="JX21" i="22"/>
  <c r="JY21" i="22"/>
  <c r="JZ21" i="22"/>
  <c r="KA21" i="22"/>
  <c r="KB21" i="22"/>
  <c r="KC21" i="22"/>
  <c r="KD21" i="22"/>
  <c r="KE21" i="22"/>
  <c r="KF21" i="22"/>
  <c r="KG21" i="22"/>
  <c r="KH21" i="22"/>
  <c r="KI21" i="22"/>
  <c r="KJ21" i="22"/>
  <c r="KK21" i="22"/>
  <c r="KL21" i="22"/>
  <c r="KM21" i="22"/>
  <c r="KN21" i="22"/>
  <c r="KO21" i="22"/>
  <c r="KP21" i="22"/>
  <c r="KQ21" i="22"/>
  <c r="KR21" i="22"/>
  <c r="KS21" i="22"/>
  <c r="KT21" i="22"/>
  <c r="KU21" i="22"/>
  <c r="KV21" i="22"/>
  <c r="KW21" i="22"/>
  <c r="KX21" i="22"/>
  <c r="KY21" i="22"/>
  <c r="KZ21" i="22"/>
  <c r="LA21" i="22"/>
  <c r="LB21" i="22"/>
  <c r="LC21" i="22"/>
  <c r="LD21" i="22"/>
  <c r="LE21" i="22"/>
  <c r="LF21" i="22"/>
  <c r="LG21" i="22"/>
  <c r="LH21" i="22"/>
  <c r="LI21" i="22"/>
  <c r="LJ21" i="22"/>
  <c r="LK21" i="22"/>
  <c r="LL21" i="22"/>
  <c r="LM21" i="22"/>
  <c r="LN21" i="22"/>
  <c r="LO21" i="22"/>
  <c r="LP21" i="22"/>
  <c r="LQ21" i="22"/>
  <c r="LR21" i="22"/>
  <c r="LS21" i="22"/>
  <c r="LT21" i="22"/>
  <c r="LU21" i="22"/>
  <c r="LV21" i="22"/>
  <c r="LW21" i="22"/>
  <c r="LX21" i="22"/>
  <c r="LY21" i="22"/>
  <c r="LZ21" i="22"/>
  <c r="MA21" i="22"/>
  <c r="MB21" i="22"/>
  <c r="MC21" i="22"/>
  <c r="MD21" i="22"/>
  <c r="ME21" i="22"/>
  <c r="MF21" i="22"/>
  <c r="MG21" i="22"/>
  <c r="MH21" i="22"/>
  <c r="MI21" i="22"/>
  <c r="MJ21" i="22"/>
  <c r="MK21" i="22"/>
  <c r="ML21" i="22"/>
  <c r="MM21" i="22"/>
  <c r="MN21" i="22"/>
  <c r="MO21" i="22"/>
  <c r="MP21" i="22"/>
  <c r="MQ21" i="22"/>
  <c r="MR21" i="22"/>
  <c r="MS21" i="22"/>
  <c r="MT21" i="22"/>
  <c r="MU21" i="22"/>
  <c r="MV21" i="22"/>
  <c r="MW21" i="22"/>
  <c r="MX21" i="22"/>
  <c r="MY21" i="22"/>
  <c r="MZ21" i="22"/>
  <c r="NA21" i="22"/>
  <c r="NB21" i="22"/>
  <c r="NC21" i="22"/>
  <c r="NS21" i="22"/>
  <c r="B22" i="22"/>
  <c r="C22" i="22"/>
  <c r="D22" i="22"/>
  <c r="E22" i="22"/>
  <c r="F22" i="22"/>
  <c r="G22" i="22"/>
  <c r="H22" i="22"/>
  <c r="I22" i="22"/>
  <c r="J22" i="22"/>
  <c r="K22" i="22"/>
  <c r="L22" i="22"/>
  <c r="M22" i="22"/>
  <c r="N22" i="22"/>
  <c r="O22" i="22"/>
  <c r="P22" i="22"/>
  <c r="Q22" i="22"/>
  <c r="R22" i="22"/>
  <c r="S22" i="22"/>
  <c r="T22" i="22"/>
  <c r="U22" i="22"/>
  <c r="V22" i="22"/>
  <c r="W22" i="22"/>
  <c r="X22" i="22"/>
  <c r="Y22" i="22"/>
  <c r="Z22" i="22"/>
  <c r="AA22" i="22"/>
  <c r="AB22" i="22"/>
  <c r="AC22" i="22"/>
  <c r="AD22" i="22"/>
  <c r="AE22" i="22"/>
  <c r="AF22" i="22"/>
  <c r="AG22" i="22"/>
  <c r="AH22" i="22"/>
  <c r="AI22" i="22"/>
  <c r="AJ22" i="22"/>
  <c r="AK22" i="22"/>
  <c r="AL22" i="22"/>
  <c r="AM22" i="22"/>
  <c r="AN22" i="22"/>
  <c r="AO22" i="22"/>
  <c r="AP22" i="22"/>
  <c r="AQ22" i="22"/>
  <c r="AR22" i="22"/>
  <c r="AS22" i="22"/>
  <c r="AT22" i="22"/>
  <c r="AU22" i="22"/>
  <c r="AV22" i="22"/>
  <c r="AW22" i="22"/>
  <c r="AX22" i="22"/>
  <c r="AY22" i="22"/>
  <c r="AZ22" i="22"/>
  <c r="BA22" i="22"/>
  <c r="BB22" i="22"/>
  <c r="BC22" i="22"/>
  <c r="BD22" i="22"/>
  <c r="BE22" i="22"/>
  <c r="BF22" i="22"/>
  <c r="BG22" i="22"/>
  <c r="BH22" i="22"/>
  <c r="BJ22" i="22"/>
  <c r="BK22" i="22"/>
  <c r="BL22" i="22"/>
  <c r="BM22" i="22"/>
  <c r="BN22" i="22"/>
  <c r="BO22" i="22"/>
  <c r="BP22" i="22"/>
  <c r="BQ22" i="22"/>
  <c r="BR22" i="22"/>
  <c r="BS22" i="22"/>
  <c r="BT22" i="22"/>
  <c r="BU22" i="22"/>
  <c r="BV22" i="22"/>
  <c r="BW22" i="22"/>
  <c r="BX22" i="22"/>
  <c r="BY22" i="22"/>
  <c r="BZ22" i="22"/>
  <c r="CA22" i="22"/>
  <c r="CB22" i="22"/>
  <c r="CC22" i="22"/>
  <c r="CD22" i="22"/>
  <c r="CE22" i="22"/>
  <c r="CF22" i="22"/>
  <c r="CG22" i="22"/>
  <c r="CH22" i="22"/>
  <c r="CI22" i="22"/>
  <c r="CJ22" i="22"/>
  <c r="CK22" i="22"/>
  <c r="CL22" i="22"/>
  <c r="CM22" i="22"/>
  <c r="CN22" i="22"/>
  <c r="CO22" i="22"/>
  <c r="CP22" i="22"/>
  <c r="CQ22" i="22"/>
  <c r="CR22" i="22"/>
  <c r="CS22" i="22"/>
  <c r="CT22" i="22"/>
  <c r="CU22" i="22"/>
  <c r="CV22" i="22"/>
  <c r="CW22" i="22"/>
  <c r="CX22" i="22"/>
  <c r="CY22" i="22"/>
  <c r="CZ22" i="22"/>
  <c r="DA22" i="22"/>
  <c r="DB22" i="22"/>
  <c r="DC22" i="22"/>
  <c r="DD22" i="22"/>
  <c r="DE22" i="22"/>
  <c r="DF22" i="22"/>
  <c r="DG22" i="22"/>
  <c r="DH22" i="22"/>
  <c r="DI22" i="22"/>
  <c r="DJ22" i="22"/>
  <c r="DK22" i="22"/>
  <c r="DL22" i="22"/>
  <c r="DM22" i="22"/>
  <c r="DN22" i="22"/>
  <c r="DO22" i="22"/>
  <c r="DP22" i="22"/>
  <c r="DQ22" i="22"/>
  <c r="DR22" i="22"/>
  <c r="DS22" i="22"/>
  <c r="DT22" i="22"/>
  <c r="DU22" i="22"/>
  <c r="DV22" i="22"/>
  <c r="DW22" i="22"/>
  <c r="DX22" i="22"/>
  <c r="DY22" i="22"/>
  <c r="DZ22" i="22"/>
  <c r="EA22" i="22"/>
  <c r="EB22" i="22"/>
  <c r="EC22" i="22"/>
  <c r="ED22" i="22"/>
  <c r="EE22" i="22"/>
  <c r="EF22" i="22"/>
  <c r="EG22" i="22"/>
  <c r="EH22" i="22"/>
  <c r="EI22" i="22"/>
  <c r="EJ22" i="22"/>
  <c r="EK22" i="22"/>
  <c r="EL22" i="22"/>
  <c r="EM22" i="22"/>
  <c r="EN22" i="22"/>
  <c r="EO22" i="22"/>
  <c r="EP22" i="22"/>
  <c r="EQ22" i="22"/>
  <c r="ER22" i="22"/>
  <c r="ES22" i="22"/>
  <c r="ET22" i="22"/>
  <c r="EU22" i="22"/>
  <c r="EV22" i="22"/>
  <c r="EW22" i="22"/>
  <c r="EX22" i="22"/>
  <c r="EY22" i="22"/>
  <c r="EZ22" i="22"/>
  <c r="FA22" i="22"/>
  <c r="FB22" i="22"/>
  <c r="FC22" i="22"/>
  <c r="FD22" i="22"/>
  <c r="FE22" i="22"/>
  <c r="FF22" i="22"/>
  <c r="FG22" i="22"/>
  <c r="FH22" i="22"/>
  <c r="FI22" i="22"/>
  <c r="FJ22" i="22"/>
  <c r="FK22" i="22"/>
  <c r="FL22" i="22"/>
  <c r="FM22" i="22"/>
  <c r="FN22" i="22"/>
  <c r="FO22" i="22"/>
  <c r="FP22" i="22"/>
  <c r="FQ22" i="22"/>
  <c r="FR22" i="22"/>
  <c r="FS22" i="22"/>
  <c r="FT22" i="22"/>
  <c r="FU22" i="22"/>
  <c r="FV22" i="22"/>
  <c r="FW22" i="22"/>
  <c r="FX22" i="22"/>
  <c r="FY22" i="22"/>
  <c r="FZ22" i="22"/>
  <c r="GA22" i="22"/>
  <c r="GB22" i="22"/>
  <c r="GC22" i="22"/>
  <c r="GD22" i="22"/>
  <c r="GE22" i="22"/>
  <c r="GF22" i="22"/>
  <c r="GG22" i="22"/>
  <c r="GH22" i="22"/>
  <c r="GI22" i="22"/>
  <c r="GJ22" i="22"/>
  <c r="GK22" i="22"/>
  <c r="GL22" i="22"/>
  <c r="GM22" i="22"/>
  <c r="GN22" i="22"/>
  <c r="GO22" i="22"/>
  <c r="GP22" i="22"/>
  <c r="GQ22" i="22"/>
  <c r="GR22" i="22"/>
  <c r="GS22" i="22"/>
  <c r="GT22" i="22"/>
  <c r="GU22" i="22"/>
  <c r="GV22" i="22"/>
  <c r="GW22" i="22"/>
  <c r="GX22" i="22"/>
  <c r="GY22" i="22"/>
  <c r="GZ22" i="22"/>
  <c r="HA22" i="22"/>
  <c r="HB22" i="22"/>
  <c r="HC22" i="22"/>
  <c r="HD22" i="22"/>
  <c r="HE22" i="22"/>
  <c r="HF22" i="22"/>
  <c r="HG22" i="22"/>
  <c r="HH22" i="22"/>
  <c r="HI22" i="22"/>
  <c r="HJ22" i="22"/>
  <c r="HK22" i="22"/>
  <c r="HL22" i="22"/>
  <c r="HM22" i="22"/>
  <c r="HN22" i="22"/>
  <c r="HO22" i="22"/>
  <c r="HP22" i="22"/>
  <c r="HQ22" i="22"/>
  <c r="HR22" i="22"/>
  <c r="HS22" i="22"/>
  <c r="HT22" i="22"/>
  <c r="HU22" i="22"/>
  <c r="HV22" i="22"/>
  <c r="HW22" i="22"/>
  <c r="HX22" i="22"/>
  <c r="HY22" i="22"/>
  <c r="HZ22" i="22"/>
  <c r="IA22" i="22"/>
  <c r="IB22" i="22"/>
  <c r="IC22" i="22"/>
  <c r="ID22" i="22"/>
  <c r="IE22" i="22"/>
  <c r="IF22" i="22"/>
  <c r="IG22" i="22"/>
  <c r="IH22" i="22"/>
  <c r="II22" i="22"/>
  <c r="IJ22" i="22"/>
  <c r="IK22" i="22"/>
  <c r="IL22" i="22"/>
  <c r="IM22" i="22"/>
  <c r="IN22" i="22"/>
  <c r="IO22" i="22"/>
  <c r="IP22" i="22"/>
  <c r="IQ22" i="22"/>
  <c r="IR22" i="22"/>
  <c r="IS22" i="22"/>
  <c r="IT22" i="22"/>
  <c r="IU22" i="22"/>
  <c r="IV22" i="22"/>
  <c r="IW22" i="22"/>
  <c r="IX22" i="22"/>
  <c r="IY22" i="22"/>
  <c r="IZ22" i="22"/>
  <c r="JA22" i="22"/>
  <c r="JB22" i="22"/>
  <c r="JC22" i="22"/>
  <c r="JD22" i="22"/>
  <c r="JE22" i="22"/>
  <c r="JF22" i="22"/>
  <c r="JG22" i="22"/>
  <c r="JH22" i="22"/>
  <c r="JI22" i="22"/>
  <c r="JJ22" i="22"/>
  <c r="JK22" i="22"/>
  <c r="JL22" i="22"/>
  <c r="JM22" i="22"/>
  <c r="JN22" i="22"/>
  <c r="JO22" i="22"/>
  <c r="JP22" i="22"/>
  <c r="JQ22" i="22"/>
  <c r="JR22" i="22"/>
  <c r="JS22" i="22"/>
  <c r="JT22" i="22"/>
  <c r="JU22" i="22"/>
  <c r="JV22" i="22"/>
  <c r="JW22" i="22"/>
  <c r="JX22" i="22"/>
  <c r="JY22" i="22"/>
  <c r="JZ22" i="22"/>
  <c r="KA22" i="22"/>
  <c r="KB22" i="22"/>
  <c r="KC22" i="22"/>
  <c r="KD22" i="22"/>
  <c r="KE22" i="22"/>
  <c r="KF22" i="22"/>
  <c r="KG22" i="22"/>
  <c r="KH22" i="22"/>
  <c r="KI22" i="22"/>
  <c r="KJ22" i="22"/>
  <c r="KK22" i="22"/>
  <c r="KL22" i="22"/>
  <c r="KM22" i="22"/>
  <c r="KN22" i="22"/>
  <c r="KO22" i="22"/>
  <c r="KP22" i="22"/>
  <c r="KQ22" i="22"/>
  <c r="KR22" i="22"/>
  <c r="KS22" i="22"/>
  <c r="KT22" i="22"/>
  <c r="KU22" i="22"/>
  <c r="KV22" i="22"/>
  <c r="KW22" i="22"/>
  <c r="KX22" i="22"/>
  <c r="KY22" i="22"/>
  <c r="KZ22" i="22"/>
  <c r="LA22" i="22"/>
  <c r="LB22" i="22"/>
  <c r="LC22" i="22"/>
  <c r="LD22" i="22"/>
  <c r="LE22" i="22"/>
  <c r="LF22" i="22"/>
  <c r="LG22" i="22"/>
  <c r="LH22" i="22"/>
  <c r="LI22" i="22"/>
  <c r="LJ22" i="22"/>
  <c r="LK22" i="22"/>
  <c r="LL22" i="22"/>
  <c r="LM22" i="22"/>
  <c r="LN22" i="22"/>
  <c r="LO22" i="22"/>
  <c r="LP22" i="22"/>
  <c r="LQ22" i="22"/>
  <c r="LR22" i="22"/>
  <c r="LS22" i="22"/>
  <c r="LT22" i="22"/>
  <c r="LU22" i="22"/>
  <c r="LV22" i="22"/>
  <c r="LW22" i="22"/>
  <c r="LX22" i="22"/>
  <c r="LY22" i="22"/>
  <c r="LZ22" i="22"/>
  <c r="MA22" i="22"/>
  <c r="MB22" i="22"/>
  <c r="MC22" i="22"/>
  <c r="MD22" i="22"/>
  <c r="ME22" i="22"/>
  <c r="MF22" i="22"/>
  <c r="MG22" i="22"/>
  <c r="MH22" i="22"/>
  <c r="MI22" i="22"/>
  <c r="MJ22" i="22"/>
  <c r="MK22" i="22"/>
  <c r="ML22" i="22"/>
  <c r="MM22" i="22"/>
  <c r="MN22" i="22"/>
  <c r="MO22" i="22"/>
  <c r="MP22" i="22"/>
  <c r="MQ22" i="22"/>
  <c r="MR22" i="22"/>
  <c r="MS22" i="22"/>
  <c r="MT22" i="22"/>
  <c r="MU22" i="22"/>
  <c r="MV22" i="22"/>
  <c r="MW22" i="22"/>
  <c r="MX22" i="22"/>
  <c r="MY22" i="22"/>
  <c r="MZ22" i="22"/>
  <c r="NA22" i="22"/>
  <c r="NB22" i="22"/>
  <c r="NS22" i="22"/>
  <c r="B23" i="22"/>
  <c r="C23" i="22"/>
  <c r="D23" i="22"/>
  <c r="E23" i="22"/>
  <c r="F23" i="22"/>
  <c r="G23" i="22"/>
  <c r="H23" i="22"/>
  <c r="I23" i="22"/>
  <c r="J23" i="22"/>
  <c r="K23" i="22"/>
  <c r="L23" i="22"/>
  <c r="M23" i="22"/>
  <c r="N23" i="22"/>
  <c r="O23" i="22"/>
  <c r="P23" i="22"/>
  <c r="Q23" i="22"/>
  <c r="R23" i="22"/>
  <c r="S23" i="22"/>
  <c r="T23" i="22"/>
  <c r="U23" i="22"/>
  <c r="V23" i="22"/>
  <c r="W23" i="22"/>
  <c r="X23" i="22"/>
  <c r="Y23" i="22"/>
  <c r="Z23" i="22"/>
  <c r="AA23" i="22"/>
  <c r="AB23" i="22"/>
  <c r="AC23" i="22"/>
  <c r="AD23" i="22"/>
  <c r="AE23" i="22"/>
  <c r="AF23" i="22"/>
  <c r="AG23" i="22"/>
  <c r="AH23" i="22"/>
  <c r="AI23" i="22"/>
  <c r="AJ23" i="22"/>
  <c r="AK23" i="22"/>
  <c r="AL23" i="22"/>
  <c r="AM23" i="22"/>
  <c r="AN23" i="22"/>
  <c r="AO23" i="22"/>
  <c r="AP23" i="22"/>
  <c r="AQ23" i="22"/>
  <c r="AR23" i="22"/>
  <c r="AS23" i="22"/>
  <c r="AT23" i="22"/>
  <c r="AU23" i="22"/>
  <c r="AV23" i="22"/>
  <c r="AW23" i="22"/>
  <c r="AX23" i="22"/>
  <c r="AY23" i="22"/>
  <c r="AZ23" i="22"/>
  <c r="BA23" i="22"/>
  <c r="BB23" i="22"/>
  <c r="BC23" i="22"/>
  <c r="BD23" i="22"/>
  <c r="BE23" i="22"/>
  <c r="BF23" i="22"/>
  <c r="BG23" i="22"/>
  <c r="BH23" i="22"/>
  <c r="BJ23" i="22"/>
  <c r="BK23" i="22"/>
  <c r="BL23" i="22"/>
  <c r="BM23" i="22"/>
  <c r="BN23" i="22"/>
  <c r="BO23" i="22"/>
  <c r="BP23" i="22"/>
  <c r="BQ23" i="22"/>
  <c r="BR23" i="22"/>
  <c r="BS23" i="22"/>
  <c r="BT23" i="22"/>
  <c r="BU23" i="22"/>
  <c r="BV23" i="22"/>
  <c r="BW23" i="22"/>
  <c r="BX23" i="22"/>
  <c r="BY23" i="22"/>
  <c r="BZ23" i="22"/>
  <c r="CA23" i="22"/>
  <c r="CB23" i="22"/>
  <c r="CC23" i="22"/>
  <c r="CD23" i="22"/>
  <c r="CE23" i="22"/>
  <c r="CF23" i="22"/>
  <c r="CG23" i="22"/>
  <c r="CH23" i="22"/>
  <c r="CI23" i="22"/>
  <c r="CJ23" i="22"/>
  <c r="CK23" i="22"/>
  <c r="CL23" i="22"/>
  <c r="CM23" i="22"/>
  <c r="CN23" i="22"/>
  <c r="CO23" i="22"/>
  <c r="CP23" i="22"/>
  <c r="CQ23" i="22"/>
  <c r="CR23" i="22"/>
  <c r="CS23" i="22"/>
  <c r="CT23" i="22"/>
  <c r="CU23" i="22"/>
  <c r="CV23" i="22"/>
  <c r="CW23" i="22"/>
  <c r="CX23" i="22"/>
  <c r="CY23" i="22"/>
  <c r="CZ23" i="22"/>
  <c r="DA23" i="22"/>
  <c r="DB23" i="22"/>
  <c r="DC23" i="22"/>
  <c r="DD23" i="22"/>
  <c r="DE23" i="22"/>
  <c r="DF23" i="22"/>
  <c r="DG23" i="22"/>
  <c r="DH23" i="22"/>
  <c r="DI23" i="22"/>
  <c r="DJ23" i="22"/>
  <c r="DK23" i="22"/>
  <c r="DL23" i="22"/>
  <c r="DM23" i="22"/>
  <c r="DN23" i="22"/>
  <c r="DO23" i="22"/>
  <c r="DP23" i="22"/>
  <c r="DQ23" i="22"/>
  <c r="DR23" i="22"/>
  <c r="DS23" i="22"/>
  <c r="DT23" i="22"/>
  <c r="DU23" i="22"/>
  <c r="DV23" i="22"/>
  <c r="DW23" i="22"/>
  <c r="DX23" i="22"/>
  <c r="DY23" i="22"/>
  <c r="DZ23" i="22"/>
  <c r="EA23" i="22"/>
  <c r="EB23" i="22"/>
  <c r="EC23" i="22"/>
  <c r="ED23" i="22"/>
  <c r="EE23" i="22"/>
  <c r="EF23" i="22"/>
  <c r="EG23" i="22"/>
  <c r="EH23" i="22"/>
  <c r="EI23" i="22"/>
  <c r="EJ23" i="22"/>
  <c r="EK23" i="22"/>
  <c r="EL23" i="22"/>
  <c r="EM23" i="22"/>
  <c r="EN23" i="22"/>
  <c r="EO23" i="22"/>
  <c r="EP23" i="22"/>
  <c r="EQ23" i="22"/>
  <c r="ER23" i="22"/>
  <c r="ES23" i="22"/>
  <c r="ET23" i="22"/>
  <c r="EU23" i="22"/>
  <c r="EV23" i="22"/>
  <c r="EW23" i="22"/>
  <c r="EX23" i="22"/>
  <c r="EY23" i="22"/>
  <c r="EZ23" i="22"/>
  <c r="FA23" i="22"/>
  <c r="FB23" i="22"/>
  <c r="FC23" i="22"/>
  <c r="FD23" i="22"/>
  <c r="FE23" i="22"/>
  <c r="FF23" i="22"/>
  <c r="FG23" i="22"/>
  <c r="FH23" i="22"/>
  <c r="FI23" i="22"/>
  <c r="FJ23" i="22"/>
  <c r="FK23" i="22"/>
  <c r="FL23" i="22"/>
  <c r="FM23" i="22"/>
  <c r="FN23" i="22"/>
  <c r="FO23" i="22"/>
  <c r="FP23" i="22"/>
  <c r="FQ23" i="22"/>
  <c r="FR23" i="22"/>
  <c r="FS23" i="22"/>
  <c r="FT23" i="22"/>
  <c r="FU23" i="22"/>
  <c r="FV23" i="22"/>
  <c r="FW23" i="22"/>
  <c r="FX23" i="22"/>
  <c r="FY23" i="22"/>
  <c r="FZ23" i="22"/>
  <c r="GA23" i="22"/>
  <c r="GB23" i="22"/>
  <c r="GC23" i="22"/>
  <c r="GD23" i="22"/>
  <c r="GE23" i="22"/>
  <c r="GF23" i="22"/>
  <c r="GG23" i="22"/>
  <c r="GH23" i="22"/>
  <c r="GI23" i="22"/>
  <c r="GJ23" i="22"/>
  <c r="GK23" i="22"/>
  <c r="GL23" i="22"/>
  <c r="GM23" i="22"/>
  <c r="GN23" i="22"/>
  <c r="GO23" i="22"/>
  <c r="GP23" i="22"/>
  <c r="GQ23" i="22"/>
  <c r="GR23" i="22"/>
  <c r="GS23" i="22"/>
  <c r="GT23" i="22"/>
  <c r="GU23" i="22"/>
  <c r="GV23" i="22"/>
  <c r="GW23" i="22"/>
  <c r="GX23" i="22"/>
  <c r="GY23" i="22"/>
  <c r="GZ23" i="22"/>
  <c r="HA23" i="22"/>
  <c r="HB23" i="22"/>
  <c r="HC23" i="22"/>
  <c r="HD23" i="22"/>
  <c r="HE23" i="22"/>
  <c r="HF23" i="22"/>
  <c r="HG23" i="22"/>
  <c r="HH23" i="22"/>
  <c r="HI23" i="22"/>
  <c r="HJ23" i="22"/>
  <c r="HK23" i="22"/>
  <c r="HL23" i="22"/>
  <c r="HM23" i="22"/>
  <c r="HN23" i="22"/>
  <c r="HO23" i="22"/>
  <c r="HP23" i="22"/>
  <c r="HQ23" i="22"/>
  <c r="HR23" i="22"/>
  <c r="HS23" i="22"/>
  <c r="HT23" i="22"/>
  <c r="HU23" i="22"/>
  <c r="HV23" i="22"/>
  <c r="HW23" i="22"/>
  <c r="HX23" i="22"/>
  <c r="HY23" i="22"/>
  <c r="HZ23" i="22"/>
  <c r="IA23" i="22"/>
  <c r="IB23" i="22"/>
  <c r="IC23" i="22"/>
  <c r="ID23" i="22"/>
  <c r="IE23" i="22"/>
  <c r="IF23" i="22"/>
  <c r="IG23" i="22"/>
  <c r="IH23" i="22"/>
  <c r="II23" i="22"/>
  <c r="IJ23" i="22"/>
  <c r="IK23" i="22"/>
  <c r="IL23" i="22"/>
  <c r="IM23" i="22"/>
  <c r="IN23" i="22"/>
  <c r="IO23" i="22"/>
  <c r="IP23" i="22"/>
  <c r="IQ23" i="22"/>
  <c r="IR23" i="22"/>
  <c r="IS23" i="22"/>
  <c r="IT23" i="22"/>
  <c r="IU23" i="22"/>
  <c r="IV23" i="22"/>
  <c r="IW23" i="22"/>
  <c r="IX23" i="22"/>
  <c r="IY23" i="22"/>
  <c r="IZ23" i="22"/>
  <c r="JA23" i="22"/>
  <c r="JB23" i="22"/>
  <c r="JC23" i="22"/>
  <c r="JD23" i="22"/>
  <c r="JE23" i="22"/>
  <c r="JF23" i="22"/>
  <c r="JG23" i="22"/>
  <c r="JH23" i="22"/>
  <c r="JI23" i="22"/>
  <c r="JJ23" i="22"/>
  <c r="JK23" i="22"/>
  <c r="JL23" i="22"/>
  <c r="JM23" i="22"/>
  <c r="JN23" i="22"/>
  <c r="JO23" i="22"/>
  <c r="JP23" i="22"/>
  <c r="JQ23" i="22"/>
  <c r="JR23" i="22"/>
  <c r="JS23" i="22"/>
  <c r="JT23" i="22"/>
  <c r="JU23" i="22"/>
  <c r="JV23" i="22"/>
  <c r="JW23" i="22"/>
  <c r="JX23" i="22"/>
  <c r="JY23" i="22"/>
  <c r="JZ23" i="22"/>
  <c r="KA23" i="22"/>
  <c r="KB23" i="22"/>
  <c r="KC23" i="22"/>
  <c r="KD23" i="22"/>
  <c r="KE23" i="22"/>
  <c r="KF23" i="22"/>
  <c r="KG23" i="22"/>
  <c r="KH23" i="22"/>
  <c r="KI23" i="22"/>
  <c r="KJ23" i="22"/>
  <c r="KK23" i="22"/>
  <c r="KL23" i="22"/>
  <c r="KM23" i="22"/>
  <c r="KN23" i="22"/>
  <c r="KO23" i="22"/>
  <c r="KP23" i="22"/>
  <c r="KQ23" i="22"/>
  <c r="KR23" i="22"/>
  <c r="KS23" i="22"/>
  <c r="KT23" i="22"/>
  <c r="KU23" i="22"/>
  <c r="KV23" i="22"/>
  <c r="KW23" i="22"/>
  <c r="KX23" i="22"/>
  <c r="KY23" i="22"/>
  <c r="KZ23" i="22"/>
  <c r="LA23" i="22"/>
  <c r="LB23" i="22"/>
  <c r="LC23" i="22"/>
  <c r="LD23" i="22"/>
  <c r="LE23" i="22"/>
  <c r="LF23" i="22"/>
  <c r="LG23" i="22"/>
  <c r="LH23" i="22"/>
  <c r="LI23" i="22"/>
  <c r="LJ23" i="22"/>
  <c r="LK23" i="22"/>
  <c r="LL23" i="22"/>
  <c r="LM23" i="22"/>
  <c r="LN23" i="22"/>
  <c r="LO23" i="22"/>
  <c r="LP23" i="22"/>
  <c r="LQ23" i="22"/>
  <c r="LR23" i="22"/>
  <c r="LS23" i="22"/>
  <c r="LT23" i="22"/>
  <c r="LU23" i="22"/>
  <c r="LV23" i="22"/>
  <c r="LW23" i="22"/>
  <c r="LX23" i="22"/>
  <c r="LY23" i="22"/>
  <c r="LZ23" i="22"/>
  <c r="MA23" i="22"/>
  <c r="MB23" i="22"/>
  <c r="MC23" i="22"/>
  <c r="MD23" i="22"/>
  <c r="ME23" i="22"/>
  <c r="MF23" i="22"/>
  <c r="MG23" i="22"/>
  <c r="MH23" i="22"/>
  <c r="MI23" i="22"/>
  <c r="MJ23" i="22"/>
  <c r="MK23" i="22"/>
  <c r="ML23" i="22"/>
  <c r="MM23" i="22"/>
  <c r="MN23" i="22"/>
  <c r="MO23" i="22"/>
  <c r="MP23" i="22"/>
  <c r="MQ23" i="22"/>
  <c r="MR23" i="22"/>
  <c r="MS23" i="22"/>
  <c r="MT23" i="22"/>
  <c r="MU23" i="22"/>
  <c r="MV23" i="22"/>
  <c r="MW23" i="22"/>
  <c r="MX23" i="22"/>
  <c r="MY23" i="22"/>
  <c r="MZ23" i="22"/>
  <c r="NA23" i="22"/>
  <c r="NB23" i="22"/>
  <c r="NS23" i="22"/>
  <c r="B24" i="22"/>
  <c r="C24" i="22"/>
  <c r="D24" i="22"/>
  <c r="E24" i="22"/>
  <c r="F24" i="22"/>
  <c r="G24" i="22"/>
  <c r="H24" i="22"/>
  <c r="I24" i="22"/>
  <c r="J24" i="22"/>
  <c r="K24" i="22"/>
  <c r="L24" i="22"/>
  <c r="M24" i="22"/>
  <c r="N24" i="22"/>
  <c r="O24" i="22"/>
  <c r="P24" i="22"/>
  <c r="Q24" i="22"/>
  <c r="R24" i="22"/>
  <c r="S24" i="22"/>
  <c r="T24" i="22"/>
  <c r="U24" i="22"/>
  <c r="V24" i="22"/>
  <c r="W24" i="22"/>
  <c r="X24" i="22"/>
  <c r="Y24" i="22"/>
  <c r="Z24" i="22"/>
  <c r="AA24" i="22"/>
  <c r="AB24" i="22"/>
  <c r="AC24" i="22"/>
  <c r="AD24" i="22"/>
  <c r="AE24" i="22"/>
  <c r="AF24" i="22"/>
  <c r="AG24" i="22"/>
  <c r="AH24" i="22"/>
  <c r="AI24" i="22"/>
  <c r="AJ24" i="22"/>
  <c r="AK24" i="22"/>
  <c r="AL24" i="22"/>
  <c r="AM24" i="22"/>
  <c r="AN24" i="22"/>
  <c r="AO24" i="22"/>
  <c r="AP24" i="22"/>
  <c r="AQ24" i="22"/>
  <c r="AR24" i="22"/>
  <c r="AS24" i="22"/>
  <c r="AT24" i="22"/>
  <c r="AU24" i="22"/>
  <c r="AV24" i="22"/>
  <c r="AW24" i="22"/>
  <c r="AX24" i="22"/>
  <c r="AY24" i="22"/>
  <c r="AZ24" i="22"/>
  <c r="BA24" i="22"/>
  <c r="BB24" i="22"/>
  <c r="BC24" i="22"/>
  <c r="BD24" i="22"/>
  <c r="BE24" i="22"/>
  <c r="BF24" i="22"/>
  <c r="BG24" i="22"/>
  <c r="BH24" i="22"/>
  <c r="BJ24" i="22"/>
  <c r="BK24" i="22"/>
  <c r="BL24" i="22"/>
  <c r="BM24" i="22"/>
  <c r="BN24" i="22"/>
  <c r="BO24" i="22"/>
  <c r="BP24" i="22"/>
  <c r="BQ24" i="22"/>
  <c r="BR24" i="22"/>
  <c r="BS24" i="22"/>
  <c r="BT24" i="22"/>
  <c r="BU24" i="22"/>
  <c r="BV24" i="22"/>
  <c r="BW24" i="22"/>
  <c r="BX24" i="22"/>
  <c r="BY24" i="22"/>
  <c r="BZ24" i="22"/>
  <c r="CA24" i="22"/>
  <c r="CB24" i="22"/>
  <c r="CC24" i="22"/>
  <c r="CD24" i="22"/>
  <c r="CE24" i="22"/>
  <c r="CF24" i="22"/>
  <c r="CG24" i="22"/>
  <c r="CH24" i="22"/>
  <c r="CI24" i="22"/>
  <c r="CJ24" i="22"/>
  <c r="CK24" i="22"/>
  <c r="CL24" i="22"/>
  <c r="CM24" i="22"/>
  <c r="CN24" i="22"/>
  <c r="CO24" i="22"/>
  <c r="CP24" i="22"/>
  <c r="CQ24" i="22"/>
  <c r="CR24" i="22"/>
  <c r="CS24" i="22"/>
  <c r="CT24" i="22"/>
  <c r="CU24" i="22"/>
  <c r="CV24" i="22"/>
  <c r="CW24" i="22"/>
  <c r="CX24" i="22"/>
  <c r="CY24" i="22"/>
  <c r="CZ24" i="22"/>
  <c r="DA24" i="22"/>
  <c r="DB24" i="22"/>
  <c r="DC24" i="22"/>
  <c r="DD24" i="22"/>
  <c r="DE24" i="22"/>
  <c r="DF24" i="22"/>
  <c r="DG24" i="22"/>
  <c r="DH24" i="22"/>
  <c r="DI24" i="22"/>
  <c r="DJ24" i="22"/>
  <c r="DK24" i="22"/>
  <c r="DL24" i="22"/>
  <c r="DM24" i="22"/>
  <c r="DN24" i="22"/>
  <c r="DO24" i="22"/>
  <c r="DP24" i="22"/>
  <c r="DQ24" i="22"/>
  <c r="DR24" i="22"/>
  <c r="DS24" i="22"/>
  <c r="DT24" i="22"/>
  <c r="DU24" i="22"/>
  <c r="DV24" i="22"/>
  <c r="DW24" i="22"/>
  <c r="DX24" i="22"/>
  <c r="DY24" i="22"/>
  <c r="DZ24" i="22"/>
  <c r="EA24" i="22"/>
  <c r="EB24" i="22"/>
  <c r="EC24" i="22"/>
  <c r="ED24" i="22"/>
  <c r="EE24" i="22"/>
  <c r="EF24" i="22"/>
  <c r="EG24" i="22"/>
  <c r="EH24" i="22"/>
  <c r="EI24" i="22"/>
  <c r="EJ24" i="22"/>
  <c r="EK24" i="22"/>
  <c r="EL24" i="22"/>
  <c r="EM24" i="22"/>
  <c r="EN24" i="22"/>
  <c r="EO24" i="22"/>
  <c r="EP24" i="22"/>
  <c r="EQ24" i="22"/>
  <c r="ER24" i="22"/>
  <c r="ES24" i="22"/>
  <c r="ET24" i="22"/>
  <c r="EU24" i="22"/>
  <c r="EV24" i="22"/>
  <c r="EW24" i="22"/>
  <c r="EX24" i="22"/>
  <c r="EY24" i="22"/>
  <c r="EZ24" i="22"/>
  <c r="FA24" i="22"/>
  <c r="FB24" i="22"/>
  <c r="FC24" i="22"/>
  <c r="FD24" i="22"/>
  <c r="FE24" i="22"/>
  <c r="FF24" i="22"/>
  <c r="FG24" i="22"/>
  <c r="FH24" i="22"/>
  <c r="FI24" i="22"/>
  <c r="FJ24" i="22"/>
  <c r="FK24" i="22"/>
  <c r="FL24" i="22"/>
  <c r="FM24" i="22"/>
  <c r="FN24" i="22"/>
  <c r="FO24" i="22"/>
  <c r="FP24" i="22"/>
  <c r="FQ24" i="22"/>
  <c r="FR24" i="22"/>
  <c r="FS24" i="22"/>
  <c r="FT24" i="22"/>
  <c r="FU24" i="22"/>
  <c r="FV24" i="22"/>
  <c r="FW24" i="22"/>
  <c r="FX24" i="22"/>
  <c r="FY24" i="22"/>
  <c r="FZ24" i="22"/>
  <c r="GA24" i="22"/>
  <c r="GB24" i="22"/>
  <c r="GC24" i="22"/>
  <c r="GD24" i="22"/>
  <c r="GE24" i="22"/>
  <c r="GF24" i="22"/>
  <c r="GG24" i="22"/>
  <c r="GH24" i="22"/>
  <c r="GI24" i="22"/>
  <c r="GJ24" i="22"/>
  <c r="GK24" i="22"/>
  <c r="GL24" i="22"/>
  <c r="GM24" i="22"/>
  <c r="GN24" i="22"/>
  <c r="GO24" i="22"/>
  <c r="GP24" i="22"/>
  <c r="GQ24" i="22"/>
  <c r="GR24" i="22"/>
  <c r="GS24" i="22"/>
  <c r="GT24" i="22"/>
  <c r="GU24" i="22"/>
  <c r="GV24" i="22"/>
  <c r="GW24" i="22"/>
  <c r="GX24" i="22"/>
  <c r="GY24" i="22"/>
  <c r="GZ24" i="22"/>
  <c r="HA24" i="22"/>
  <c r="HB24" i="22"/>
  <c r="HC24" i="22"/>
  <c r="HD24" i="22"/>
  <c r="HE24" i="22"/>
  <c r="HF24" i="22"/>
  <c r="HG24" i="22"/>
  <c r="HH24" i="22"/>
  <c r="HI24" i="22"/>
  <c r="HJ24" i="22"/>
  <c r="HK24" i="22"/>
  <c r="HL24" i="22"/>
  <c r="HM24" i="22"/>
  <c r="HN24" i="22"/>
  <c r="HO24" i="22"/>
  <c r="HP24" i="22"/>
  <c r="HQ24" i="22"/>
  <c r="HR24" i="22"/>
  <c r="HS24" i="22"/>
  <c r="HT24" i="22"/>
  <c r="HU24" i="22"/>
  <c r="HV24" i="22"/>
  <c r="HW24" i="22"/>
  <c r="HX24" i="22"/>
  <c r="HY24" i="22"/>
  <c r="HZ24" i="22"/>
  <c r="IA24" i="22"/>
  <c r="IB24" i="22"/>
  <c r="IC24" i="22"/>
  <c r="ID24" i="22"/>
  <c r="IE24" i="22"/>
  <c r="IF24" i="22"/>
  <c r="IG24" i="22"/>
  <c r="IH24" i="22"/>
  <c r="II24" i="22"/>
  <c r="IJ24" i="22"/>
  <c r="IK24" i="22"/>
  <c r="IL24" i="22"/>
  <c r="IM24" i="22"/>
  <c r="IN24" i="22"/>
  <c r="IO24" i="22"/>
  <c r="IP24" i="22"/>
  <c r="IQ24" i="22"/>
  <c r="IR24" i="22"/>
  <c r="IS24" i="22"/>
  <c r="IT24" i="22"/>
  <c r="IU24" i="22"/>
  <c r="IV24" i="22"/>
  <c r="IW24" i="22"/>
  <c r="IX24" i="22"/>
  <c r="IY24" i="22"/>
  <c r="IZ24" i="22"/>
  <c r="JA24" i="22"/>
  <c r="JB24" i="22"/>
  <c r="JC24" i="22"/>
  <c r="JD24" i="22"/>
  <c r="JE24" i="22"/>
  <c r="JF24" i="22"/>
  <c r="JG24" i="22"/>
  <c r="JH24" i="22"/>
  <c r="JI24" i="22"/>
  <c r="JJ24" i="22"/>
  <c r="JK24" i="22"/>
  <c r="JL24" i="22"/>
  <c r="JM24" i="22"/>
  <c r="JN24" i="22"/>
  <c r="JO24" i="22"/>
  <c r="JP24" i="22"/>
  <c r="JQ24" i="22"/>
  <c r="JR24" i="22"/>
  <c r="JS24" i="22"/>
  <c r="JT24" i="22"/>
  <c r="JU24" i="22"/>
  <c r="JV24" i="22"/>
  <c r="JW24" i="22"/>
  <c r="JX24" i="22"/>
  <c r="JY24" i="22"/>
  <c r="JZ24" i="22"/>
  <c r="KA24" i="22"/>
  <c r="KB24" i="22"/>
  <c r="KC24" i="22"/>
  <c r="KD24" i="22"/>
  <c r="KE24" i="22"/>
  <c r="KF24" i="22"/>
  <c r="KG24" i="22"/>
  <c r="KH24" i="22"/>
  <c r="KI24" i="22"/>
  <c r="KJ24" i="22"/>
  <c r="KK24" i="22"/>
  <c r="KL24" i="22"/>
  <c r="KM24" i="22"/>
  <c r="KN24" i="22"/>
  <c r="KO24" i="22"/>
  <c r="KP24" i="22"/>
  <c r="KQ24" i="22"/>
  <c r="KR24" i="22"/>
  <c r="KS24" i="22"/>
  <c r="KT24" i="22"/>
  <c r="KU24" i="22"/>
  <c r="KV24" i="22"/>
  <c r="KW24" i="22"/>
  <c r="KX24" i="22"/>
  <c r="KY24" i="22"/>
  <c r="KZ24" i="22"/>
  <c r="LA24" i="22"/>
  <c r="LB24" i="22"/>
  <c r="LC24" i="22"/>
  <c r="LD24" i="22"/>
  <c r="LE24" i="22"/>
  <c r="LF24" i="22"/>
  <c r="LG24" i="22"/>
  <c r="LH24" i="22"/>
  <c r="LI24" i="22"/>
  <c r="LJ24" i="22"/>
  <c r="LK24" i="22"/>
  <c r="LL24" i="22"/>
  <c r="LM24" i="22"/>
  <c r="LN24" i="22"/>
  <c r="LO24" i="22"/>
  <c r="LP24" i="22"/>
  <c r="LQ24" i="22"/>
  <c r="LR24" i="22"/>
  <c r="LS24" i="22"/>
  <c r="LT24" i="22"/>
  <c r="LU24" i="22"/>
  <c r="LV24" i="22"/>
  <c r="LW24" i="22"/>
  <c r="LX24" i="22"/>
  <c r="LY24" i="22"/>
  <c r="LZ24" i="22"/>
  <c r="MA24" i="22"/>
  <c r="MB24" i="22"/>
  <c r="MC24" i="22"/>
  <c r="MD24" i="22"/>
  <c r="ME24" i="22"/>
  <c r="MF24" i="22"/>
  <c r="MG24" i="22"/>
  <c r="MH24" i="22"/>
  <c r="MI24" i="22"/>
  <c r="MJ24" i="22"/>
  <c r="MK24" i="22"/>
  <c r="ML24" i="22"/>
  <c r="MM24" i="22"/>
  <c r="MN24" i="22"/>
  <c r="MO24" i="22"/>
  <c r="MP24" i="22"/>
  <c r="MQ24" i="22"/>
  <c r="MR24" i="22"/>
  <c r="MS24" i="22"/>
  <c r="MT24" i="22"/>
  <c r="MU24" i="22"/>
  <c r="MV24" i="22"/>
  <c r="MW24" i="22"/>
  <c r="MX24" i="22"/>
  <c r="MY24" i="22"/>
  <c r="MZ24" i="22"/>
  <c r="NA24" i="22"/>
  <c r="NB24" i="22"/>
  <c r="NS24" i="22"/>
  <c r="B25" i="22"/>
  <c r="C25" i="22"/>
  <c r="D25" i="22"/>
  <c r="E25" i="22"/>
  <c r="F25" i="22"/>
  <c r="G25" i="22"/>
  <c r="H25" i="22"/>
  <c r="I25" i="22"/>
  <c r="J25" i="22"/>
  <c r="K25" i="22"/>
  <c r="L25" i="22"/>
  <c r="M25" i="22"/>
  <c r="N25" i="22"/>
  <c r="O25" i="22"/>
  <c r="P25" i="22"/>
  <c r="Q25" i="22"/>
  <c r="R25" i="22"/>
  <c r="S25" i="22"/>
  <c r="T25" i="22"/>
  <c r="U25" i="22"/>
  <c r="V25" i="22"/>
  <c r="W25" i="22"/>
  <c r="X25" i="22"/>
  <c r="Y25" i="22"/>
  <c r="Z25" i="22"/>
  <c r="AA25" i="22"/>
  <c r="AB25" i="22"/>
  <c r="AC25" i="22"/>
  <c r="AD25" i="22"/>
  <c r="AE25" i="22"/>
  <c r="AF25" i="22"/>
  <c r="AG25" i="22"/>
  <c r="AH25" i="22"/>
  <c r="AI25" i="22"/>
  <c r="AJ25" i="22"/>
  <c r="AK25" i="22"/>
  <c r="AL25" i="22"/>
  <c r="AM25" i="22"/>
  <c r="AN25" i="22"/>
  <c r="AO25" i="22"/>
  <c r="AP25" i="22"/>
  <c r="AQ25" i="22"/>
  <c r="AR25" i="22"/>
  <c r="AS25" i="22"/>
  <c r="AT25" i="22"/>
  <c r="AU25" i="22"/>
  <c r="AV25" i="22"/>
  <c r="AW25" i="22"/>
  <c r="AX25" i="22"/>
  <c r="AY25" i="22"/>
  <c r="AZ25" i="22"/>
  <c r="BA25" i="22"/>
  <c r="BB25" i="22"/>
  <c r="BC25" i="22"/>
  <c r="BD25" i="22"/>
  <c r="BE25" i="22"/>
  <c r="BF25" i="22"/>
  <c r="BG25" i="22"/>
  <c r="BH25" i="22"/>
  <c r="BI25" i="22"/>
  <c r="BJ25" i="22"/>
  <c r="BK25" i="22"/>
  <c r="BL25" i="22"/>
  <c r="BM25" i="22"/>
  <c r="BN25" i="22"/>
  <c r="BO25" i="22"/>
  <c r="BP25" i="22"/>
  <c r="BQ25" i="22"/>
  <c r="BR25" i="22"/>
  <c r="BS25" i="22"/>
  <c r="BT25" i="22"/>
  <c r="BU25" i="22"/>
  <c r="BV25" i="22"/>
  <c r="BW25" i="22"/>
  <c r="BX25" i="22"/>
  <c r="BY25" i="22"/>
  <c r="BZ25" i="22"/>
  <c r="CA25" i="22"/>
  <c r="CB25" i="22"/>
  <c r="CC25" i="22"/>
  <c r="CD25" i="22"/>
  <c r="CE25" i="22"/>
  <c r="CF25" i="22"/>
  <c r="CG25" i="22"/>
  <c r="CH25" i="22"/>
  <c r="CI25" i="22"/>
  <c r="CJ25" i="22"/>
  <c r="CK25" i="22"/>
  <c r="CL25" i="22"/>
  <c r="CM25" i="22"/>
  <c r="CN25" i="22"/>
  <c r="CO25" i="22"/>
  <c r="CP25" i="22"/>
  <c r="CQ25" i="22"/>
  <c r="CR25" i="22"/>
  <c r="CS25" i="22"/>
  <c r="CT25" i="22"/>
  <c r="CU25" i="22"/>
  <c r="CV25" i="22"/>
  <c r="CW25" i="22"/>
  <c r="CX25" i="22"/>
  <c r="CY25" i="22"/>
  <c r="CZ25" i="22"/>
  <c r="DA25" i="22"/>
  <c r="DB25" i="22"/>
  <c r="DC25" i="22"/>
  <c r="DD25" i="22"/>
  <c r="DE25" i="22"/>
  <c r="DF25" i="22"/>
  <c r="DG25" i="22"/>
  <c r="DH25" i="22"/>
  <c r="DI25" i="22"/>
  <c r="DJ25" i="22"/>
  <c r="DK25" i="22"/>
  <c r="DL25" i="22"/>
  <c r="DM25" i="22"/>
  <c r="DN25" i="22"/>
  <c r="DO25" i="22"/>
  <c r="DP25" i="22"/>
  <c r="DQ25" i="22"/>
  <c r="DR25" i="22"/>
  <c r="DS25" i="22"/>
  <c r="DT25" i="22"/>
  <c r="DU25" i="22"/>
  <c r="DV25" i="22"/>
  <c r="DW25" i="22"/>
  <c r="DX25" i="22"/>
  <c r="DY25" i="22"/>
  <c r="DZ25" i="22"/>
  <c r="EA25" i="22"/>
  <c r="EB25" i="22"/>
  <c r="EC25" i="22"/>
  <c r="ED25" i="22"/>
  <c r="EE25" i="22"/>
  <c r="EF25" i="22"/>
  <c r="EG25" i="22"/>
  <c r="EH25" i="22"/>
  <c r="EI25" i="22"/>
  <c r="EJ25" i="22"/>
  <c r="EK25" i="22"/>
  <c r="EL25" i="22"/>
  <c r="EM25" i="22"/>
  <c r="EN25" i="22"/>
  <c r="EO25" i="22"/>
  <c r="EP25" i="22"/>
  <c r="EQ25" i="22"/>
  <c r="ER25" i="22"/>
  <c r="ES25" i="22"/>
  <c r="ET25" i="22"/>
  <c r="EU25" i="22"/>
  <c r="EV25" i="22"/>
  <c r="EW25" i="22"/>
  <c r="EX25" i="22"/>
  <c r="EY25" i="22"/>
  <c r="EZ25" i="22"/>
  <c r="FA25" i="22"/>
  <c r="FB25" i="22"/>
  <c r="FC25" i="22"/>
  <c r="FD25" i="22"/>
  <c r="FE25" i="22"/>
  <c r="FF25" i="22"/>
  <c r="FG25" i="22"/>
  <c r="FH25" i="22"/>
  <c r="FI25" i="22"/>
  <c r="FJ25" i="22"/>
  <c r="FK25" i="22"/>
  <c r="FL25" i="22"/>
  <c r="FM25" i="22"/>
  <c r="FN25" i="22"/>
  <c r="FO25" i="22"/>
  <c r="FP25" i="22"/>
  <c r="FQ25" i="22"/>
  <c r="FR25" i="22"/>
  <c r="FS25" i="22"/>
  <c r="FT25" i="22"/>
  <c r="FU25" i="22"/>
  <c r="FV25" i="22"/>
  <c r="FW25" i="22"/>
  <c r="FX25" i="22"/>
  <c r="FY25" i="22"/>
  <c r="FZ25" i="22"/>
  <c r="GA25" i="22"/>
  <c r="GB25" i="22"/>
  <c r="GC25" i="22"/>
  <c r="GD25" i="22"/>
  <c r="GE25" i="22"/>
  <c r="GF25" i="22"/>
  <c r="GG25" i="22"/>
  <c r="GH25" i="22"/>
  <c r="GI25" i="22"/>
  <c r="GJ25" i="22"/>
  <c r="GK25" i="22"/>
  <c r="GL25" i="22"/>
  <c r="GM25" i="22"/>
  <c r="GN25" i="22"/>
  <c r="GO25" i="22"/>
  <c r="GP25" i="22"/>
  <c r="GQ25" i="22"/>
  <c r="GR25" i="22"/>
  <c r="GS25" i="22"/>
  <c r="GT25" i="22"/>
  <c r="GU25" i="22"/>
  <c r="GV25" i="22"/>
  <c r="GW25" i="22"/>
  <c r="GX25" i="22"/>
  <c r="GY25" i="22"/>
  <c r="GZ25" i="22"/>
  <c r="HA25" i="22"/>
  <c r="HB25" i="22"/>
  <c r="HC25" i="22"/>
  <c r="HD25" i="22"/>
  <c r="HE25" i="22"/>
  <c r="HF25" i="22"/>
  <c r="HG25" i="22"/>
  <c r="HH25" i="22"/>
  <c r="HI25" i="22"/>
  <c r="HJ25" i="22"/>
  <c r="HK25" i="22"/>
  <c r="HL25" i="22"/>
  <c r="HM25" i="22"/>
  <c r="HN25" i="22"/>
  <c r="HO25" i="22"/>
  <c r="HP25" i="22"/>
  <c r="HQ25" i="22"/>
  <c r="HR25" i="22"/>
  <c r="HS25" i="22"/>
  <c r="HT25" i="22"/>
  <c r="HU25" i="22"/>
  <c r="HV25" i="22"/>
  <c r="HW25" i="22"/>
  <c r="HX25" i="22"/>
  <c r="HY25" i="22"/>
  <c r="HZ25" i="22"/>
  <c r="IA25" i="22"/>
  <c r="IB25" i="22"/>
  <c r="IC25" i="22"/>
  <c r="ID25" i="22"/>
  <c r="IE25" i="22"/>
  <c r="IF25" i="22"/>
  <c r="IG25" i="22"/>
  <c r="IH25" i="22"/>
  <c r="II25" i="22"/>
  <c r="IJ25" i="22"/>
  <c r="IK25" i="22"/>
  <c r="IL25" i="22"/>
  <c r="IM25" i="22"/>
  <c r="IN25" i="22"/>
  <c r="IO25" i="22"/>
  <c r="IP25" i="22"/>
  <c r="IQ25" i="22"/>
  <c r="IR25" i="22"/>
  <c r="IS25" i="22"/>
  <c r="IT25" i="22"/>
  <c r="IU25" i="22"/>
  <c r="IV25" i="22"/>
  <c r="IW25" i="22"/>
  <c r="IX25" i="22"/>
  <c r="IY25" i="22"/>
  <c r="IZ25" i="22"/>
  <c r="JA25" i="22"/>
  <c r="JB25" i="22"/>
  <c r="JC25" i="22"/>
  <c r="JD25" i="22"/>
  <c r="JE25" i="22"/>
  <c r="JF25" i="22"/>
  <c r="JG25" i="22"/>
  <c r="JH25" i="22"/>
  <c r="JI25" i="22"/>
  <c r="JJ25" i="22"/>
  <c r="JK25" i="22"/>
  <c r="JL25" i="22"/>
  <c r="JM25" i="22"/>
  <c r="JN25" i="22"/>
  <c r="JO25" i="22"/>
  <c r="JP25" i="22"/>
  <c r="JQ25" i="22"/>
  <c r="JR25" i="22"/>
  <c r="JS25" i="22"/>
  <c r="JT25" i="22"/>
  <c r="JU25" i="22"/>
  <c r="JV25" i="22"/>
  <c r="JW25" i="22"/>
  <c r="JX25" i="22"/>
  <c r="JY25" i="22"/>
  <c r="JZ25" i="22"/>
  <c r="KA25" i="22"/>
  <c r="KB25" i="22"/>
  <c r="KC25" i="22"/>
  <c r="KD25" i="22"/>
  <c r="KE25" i="22"/>
  <c r="KF25" i="22"/>
  <c r="KG25" i="22"/>
  <c r="KH25" i="22"/>
  <c r="KI25" i="22"/>
  <c r="KJ25" i="22"/>
  <c r="KK25" i="22"/>
  <c r="KL25" i="22"/>
  <c r="KM25" i="22"/>
  <c r="KN25" i="22"/>
  <c r="KO25" i="22"/>
  <c r="KP25" i="22"/>
  <c r="KQ25" i="22"/>
  <c r="KR25" i="22"/>
  <c r="KS25" i="22"/>
  <c r="KT25" i="22"/>
  <c r="KU25" i="22"/>
  <c r="KV25" i="22"/>
  <c r="KW25" i="22"/>
  <c r="KX25" i="22"/>
  <c r="KY25" i="22"/>
  <c r="KZ25" i="22"/>
  <c r="LA25" i="22"/>
  <c r="LB25" i="22"/>
  <c r="LC25" i="22"/>
  <c r="LD25" i="22"/>
  <c r="LE25" i="22"/>
  <c r="LF25" i="22"/>
  <c r="LG25" i="22"/>
  <c r="LH25" i="22"/>
  <c r="LI25" i="22"/>
  <c r="LJ25" i="22"/>
  <c r="LK25" i="22"/>
  <c r="LL25" i="22"/>
  <c r="LM25" i="22"/>
  <c r="LN25" i="22"/>
  <c r="LO25" i="22"/>
  <c r="LP25" i="22"/>
  <c r="LQ25" i="22"/>
  <c r="LR25" i="22"/>
  <c r="LS25" i="22"/>
  <c r="LT25" i="22"/>
  <c r="LU25" i="22"/>
  <c r="LV25" i="22"/>
  <c r="LW25" i="22"/>
  <c r="LX25" i="22"/>
  <c r="LY25" i="22"/>
  <c r="LZ25" i="22"/>
  <c r="MA25" i="22"/>
  <c r="MB25" i="22"/>
  <c r="MC25" i="22"/>
  <c r="MD25" i="22"/>
  <c r="ME25" i="22"/>
  <c r="MF25" i="22"/>
  <c r="MG25" i="22"/>
  <c r="MH25" i="22"/>
  <c r="MI25" i="22"/>
  <c r="MJ25" i="22"/>
  <c r="MK25" i="22"/>
  <c r="ML25" i="22"/>
  <c r="MM25" i="22"/>
  <c r="MN25" i="22"/>
  <c r="MO25" i="22"/>
  <c r="MP25" i="22"/>
  <c r="MQ25" i="22"/>
  <c r="MR25" i="22"/>
  <c r="MS25" i="22"/>
  <c r="MT25" i="22"/>
  <c r="MU25" i="22"/>
  <c r="MV25" i="22"/>
  <c r="MW25" i="22"/>
  <c r="MX25" i="22"/>
  <c r="MY25" i="22"/>
  <c r="MZ25" i="22"/>
  <c r="NA25" i="22"/>
  <c r="NB25" i="22"/>
  <c r="NC25" i="22"/>
  <c r="NS25" i="22"/>
  <c r="B26" i="22"/>
  <c r="C26" i="22"/>
  <c r="D26" i="22"/>
  <c r="E26" i="22"/>
  <c r="F26" i="22"/>
  <c r="G26" i="22"/>
  <c r="H26" i="22"/>
  <c r="I26" i="22"/>
  <c r="J26" i="22"/>
  <c r="K26" i="22"/>
  <c r="L26" i="22"/>
  <c r="M26" i="22"/>
  <c r="N26" i="22"/>
  <c r="O26" i="22"/>
  <c r="P26" i="22"/>
  <c r="Q26" i="22"/>
  <c r="R26" i="22"/>
  <c r="S26" i="22"/>
  <c r="T26" i="22"/>
  <c r="U26" i="22"/>
  <c r="V26" i="22"/>
  <c r="W26" i="22"/>
  <c r="X26" i="22"/>
  <c r="Y26" i="22"/>
  <c r="Z26" i="22"/>
  <c r="AA26" i="22"/>
  <c r="AB26" i="22"/>
  <c r="AC26" i="22"/>
  <c r="AD26" i="22"/>
  <c r="AE26" i="22"/>
  <c r="AF26" i="22"/>
  <c r="AG26" i="22"/>
  <c r="AH26" i="22"/>
  <c r="AI26" i="22"/>
  <c r="AJ26" i="22"/>
  <c r="AK26" i="22"/>
  <c r="AL26" i="22"/>
  <c r="AM26" i="22"/>
  <c r="AN26" i="22"/>
  <c r="AO26" i="22"/>
  <c r="AP26" i="22"/>
  <c r="AQ26" i="22"/>
  <c r="AR26" i="22"/>
  <c r="AS26" i="22"/>
  <c r="AT26" i="22"/>
  <c r="AU26" i="22"/>
  <c r="AV26" i="22"/>
  <c r="AW26" i="22"/>
  <c r="AX26" i="22"/>
  <c r="AY26" i="22"/>
  <c r="AZ26" i="22"/>
  <c r="BA26" i="22"/>
  <c r="BB26" i="22"/>
  <c r="BC26" i="22"/>
  <c r="BD26" i="22"/>
  <c r="BE26" i="22"/>
  <c r="BF26" i="22"/>
  <c r="BG26" i="22"/>
  <c r="BH26" i="22"/>
  <c r="BJ26" i="22"/>
  <c r="BK26" i="22"/>
  <c r="BL26" i="22"/>
  <c r="BM26" i="22"/>
  <c r="BN26" i="22"/>
  <c r="BO26" i="22"/>
  <c r="BP26" i="22"/>
  <c r="BQ26" i="22"/>
  <c r="BR26" i="22"/>
  <c r="BS26" i="22"/>
  <c r="BT26" i="22"/>
  <c r="BU26" i="22"/>
  <c r="BV26" i="22"/>
  <c r="BW26" i="22"/>
  <c r="BX26" i="22"/>
  <c r="BY26" i="22"/>
  <c r="BZ26" i="22"/>
  <c r="CA26" i="22"/>
  <c r="CB26" i="22"/>
  <c r="CC26" i="22"/>
  <c r="CD26" i="22"/>
  <c r="CE26" i="22"/>
  <c r="CF26" i="22"/>
  <c r="CG26" i="22"/>
  <c r="CH26" i="22"/>
  <c r="CI26" i="22"/>
  <c r="CJ26" i="22"/>
  <c r="CK26" i="22"/>
  <c r="CL26" i="22"/>
  <c r="CM26" i="22"/>
  <c r="CN26" i="22"/>
  <c r="CO26" i="22"/>
  <c r="CP26" i="22"/>
  <c r="CQ26" i="22"/>
  <c r="CR26" i="22"/>
  <c r="CS26" i="22"/>
  <c r="CT26" i="22"/>
  <c r="CU26" i="22"/>
  <c r="CV26" i="22"/>
  <c r="CW26" i="22"/>
  <c r="CX26" i="22"/>
  <c r="CY26" i="22"/>
  <c r="CZ26" i="22"/>
  <c r="DA26" i="22"/>
  <c r="DB26" i="22"/>
  <c r="DC26" i="22"/>
  <c r="DD26" i="22"/>
  <c r="DE26" i="22"/>
  <c r="DF26" i="22"/>
  <c r="DG26" i="22"/>
  <c r="DH26" i="22"/>
  <c r="DI26" i="22"/>
  <c r="DJ26" i="22"/>
  <c r="DK26" i="22"/>
  <c r="DL26" i="22"/>
  <c r="DM26" i="22"/>
  <c r="DN26" i="22"/>
  <c r="DO26" i="22"/>
  <c r="DP26" i="22"/>
  <c r="DQ26" i="22"/>
  <c r="DR26" i="22"/>
  <c r="DS26" i="22"/>
  <c r="DT26" i="22"/>
  <c r="DU26" i="22"/>
  <c r="DV26" i="22"/>
  <c r="DW26" i="22"/>
  <c r="DX26" i="22"/>
  <c r="DY26" i="22"/>
  <c r="DZ26" i="22"/>
  <c r="EA26" i="22"/>
  <c r="EB26" i="22"/>
  <c r="EC26" i="22"/>
  <c r="ED26" i="22"/>
  <c r="EE26" i="22"/>
  <c r="EF26" i="22"/>
  <c r="EG26" i="22"/>
  <c r="EH26" i="22"/>
  <c r="EI26" i="22"/>
  <c r="EJ26" i="22"/>
  <c r="EK26" i="22"/>
  <c r="EL26" i="22"/>
  <c r="EM26" i="22"/>
  <c r="EN26" i="22"/>
  <c r="EO26" i="22"/>
  <c r="EP26" i="22"/>
  <c r="EQ26" i="22"/>
  <c r="ER26" i="22"/>
  <c r="ES26" i="22"/>
  <c r="ET26" i="22"/>
  <c r="EU26" i="22"/>
  <c r="EV26" i="22"/>
  <c r="EW26" i="22"/>
  <c r="EX26" i="22"/>
  <c r="EY26" i="22"/>
  <c r="EZ26" i="22"/>
  <c r="FA26" i="22"/>
  <c r="FB26" i="22"/>
  <c r="FC26" i="22"/>
  <c r="FD26" i="22"/>
  <c r="FE26" i="22"/>
  <c r="FF26" i="22"/>
  <c r="FG26" i="22"/>
  <c r="FH26" i="22"/>
  <c r="FI26" i="22"/>
  <c r="FJ26" i="22"/>
  <c r="FK26" i="22"/>
  <c r="FL26" i="22"/>
  <c r="FM26" i="22"/>
  <c r="FN26" i="22"/>
  <c r="FO26" i="22"/>
  <c r="FP26" i="22"/>
  <c r="FQ26" i="22"/>
  <c r="FR26" i="22"/>
  <c r="FS26" i="22"/>
  <c r="FT26" i="22"/>
  <c r="FU26" i="22"/>
  <c r="FV26" i="22"/>
  <c r="FW26" i="22"/>
  <c r="FX26" i="22"/>
  <c r="FY26" i="22"/>
  <c r="FZ26" i="22"/>
  <c r="GA26" i="22"/>
  <c r="GB26" i="22"/>
  <c r="GC26" i="22"/>
  <c r="GD26" i="22"/>
  <c r="GE26" i="22"/>
  <c r="GF26" i="22"/>
  <c r="GG26" i="22"/>
  <c r="GH26" i="22"/>
  <c r="GI26" i="22"/>
  <c r="GJ26" i="22"/>
  <c r="GK26" i="22"/>
  <c r="GL26" i="22"/>
  <c r="GM26" i="22"/>
  <c r="GN26" i="22"/>
  <c r="GO26" i="22"/>
  <c r="GP26" i="22"/>
  <c r="GQ26" i="22"/>
  <c r="GR26" i="22"/>
  <c r="GS26" i="22"/>
  <c r="GT26" i="22"/>
  <c r="GU26" i="22"/>
  <c r="GV26" i="22"/>
  <c r="GW26" i="22"/>
  <c r="GX26" i="22"/>
  <c r="GY26" i="22"/>
  <c r="GZ26" i="22"/>
  <c r="HA26" i="22"/>
  <c r="HB26" i="22"/>
  <c r="HC26" i="22"/>
  <c r="HD26" i="22"/>
  <c r="HE26" i="22"/>
  <c r="HF26" i="22"/>
  <c r="HG26" i="22"/>
  <c r="HH26" i="22"/>
  <c r="HI26" i="22"/>
  <c r="HJ26" i="22"/>
  <c r="HK26" i="22"/>
  <c r="HL26" i="22"/>
  <c r="HM26" i="22"/>
  <c r="HN26" i="22"/>
  <c r="HO26" i="22"/>
  <c r="HP26" i="22"/>
  <c r="HQ26" i="22"/>
  <c r="HR26" i="22"/>
  <c r="HS26" i="22"/>
  <c r="HT26" i="22"/>
  <c r="HU26" i="22"/>
  <c r="HV26" i="22"/>
  <c r="HW26" i="22"/>
  <c r="HX26" i="22"/>
  <c r="HY26" i="22"/>
  <c r="HZ26" i="22"/>
  <c r="IA26" i="22"/>
  <c r="IB26" i="22"/>
  <c r="IC26" i="22"/>
  <c r="ID26" i="22"/>
  <c r="IE26" i="22"/>
  <c r="IF26" i="22"/>
  <c r="IG26" i="22"/>
  <c r="IH26" i="22"/>
  <c r="II26" i="22"/>
  <c r="IJ26" i="22"/>
  <c r="IK26" i="22"/>
  <c r="IL26" i="22"/>
  <c r="IM26" i="22"/>
  <c r="IN26" i="22"/>
  <c r="IO26" i="22"/>
  <c r="IP26" i="22"/>
  <c r="IQ26" i="22"/>
  <c r="IR26" i="22"/>
  <c r="IS26" i="22"/>
  <c r="IT26" i="22"/>
  <c r="IU26" i="22"/>
  <c r="IV26" i="22"/>
  <c r="IW26" i="22"/>
  <c r="IX26" i="22"/>
  <c r="IY26" i="22"/>
  <c r="IZ26" i="22"/>
  <c r="JA26" i="22"/>
  <c r="JB26" i="22"/>
  <c r="JC26" i="22"/>
  <c r="JD26" i="22"/>
  <c r="JE26" i="22"/>
  <c r="JF26" i="22"/>
  <c r="JG26" i="22"/>
  <c r="JH26" i="22"/>
  <c r="JI26" i="22"/>
  <c r="JJ26" i="22"/>
  <c r="JK26" i="22"/>
  <c r="JL26" i="22"/>
  <c r="JM26" i="22"/>
  <c r="JN26" i="22"/>
  <c r="JO26" i="22"/>
  <c r="JP26" i="22"/>
  <c r="JQ26" i="22"/>
  <c r="JR26" i="22"/>
  <c r="JS26" i="22"/>
  <c r="JT26" i="22"/>
  <c r="JU26" i="22"/>
  <c r="JV26" i="22"/>
  <c r="JW26" i="22"/>
  <c r="JX26" i="22"/>
  <c r="JY26" i="22"/>
  <c r="JZ26" i="22"/>
  <c r="KA26" i="22"/>
  <c r="KB26" i="22"/>
  <c r="KC26" i="22"/>
  <c r="KD26" i="22"/>
  <c r="KE26" i="22"/>
  <c r="KF26" i="22"/>
  <c r="KG26" i="22"/>
  <c r="KH26" i="22"/>
  <c r="KI26" i="22"/>
  <c r="KJ26" i="22"/>
  <c r="KK26" i="22"/>
  <c r="KL26" i="22"/>
  <c r="KM26" i="22"/>
  <c r="KN26" i="22"/>
  <c r="KO26" i="22"/>
  <c r="KP26" i="22"/>
  <c r="KQ26" i="22"/>
  <c r="KR26" i="22"/>
  <c r="KS26" i="22"/>
  <c r="KT26" i="22"/>
  <c r="KU26" i="22"/>
  <c r="KV26" i="22"/>
  <c r="KW26" i="22"/>
  <c r="KX26" i="22"/>
  <c r="KY26" i="22"/>
  <c r="KZ26" i="22"/>
  <c r="LA26" i="22"/>
  <c r="LB26" i="22"/>
  <c r="LC26" i="22"/>
  <c r="LD26" i="22"/>
  <c r="LE26" i="22"/>
  <c r="LF26" i="22"/>
  <c r="LG26" i="22"/>
  <c r="LH26" i="22"/>
  <c r="LI26" i="22"/>
  <c r="LJ26" i="22"/>
  <c r="LK26" i="22"/>
  <c r="LL26" i="22"/>
  <c r="LM26" i="22"/>
  <c r="LN26" i="22"/>
  <c r="LO26" i="22"/>
  <c r="LP26" i="22"/>
  <c r="LQ26" i="22"/>
  <c r="LR26" i="22"/>
  <c r="LS26" i="22"/>
  <c r="LT26" i="22"/>
  <c r="LU26" i="22"/>
  <c r="LV26" i="22"/>
  <c r="LW26" i="22"/>
  <c r="LX26" i="22"/>
  <c r="LY26" i="22"/>
  <c r="LZ26" i="22"/>
  <c r="MA26" i="22"/>
  <c r="MB26" i="22"/>
  <c r="MC26" i="22"/>
  <c r="MD26" i="22"/>
  <c r="ME26" i="22"/>
  <c r="MF26" i="22"/>
  <c r="MG26" i="22"/>
  <c r="MH26" i="22"/>
  <c r="MI26" i="22"/>
  <c r="MJ26" i="22"/>
  <c r="MK26" i="22"/>
  <c r="ML26" i="22"/>
  <c r="MM26" i="22"/>
  <c r="MN26" i="22"/>
  <c r="MO26" i="22"/>
  <c r="MP26" i="22"/>
  <c r="MQ26" i="22"/>
  <c r="MR26" i="22"/>
  <c r="MS26" i="22"/>
  <c r="MT26" i="22"/>
  <c r="MU26" i="22"/>
  <c r="MV26" i="22"/>
  <c r="MW26" i="22"/>
  <c r="MX26" i="22"/>
  <c r="MY26" i="22"/>
  <c r="MZ26" i="22"/>
  <c r="NA26" i="22"/>
  <c r="NB26" i="22"/>
  <c r="NS26" i="22"/>
  <c r="B27" i="22"/>
  <c r="C27" i="22"/>
  <c r="D27" i="22"/>
  <c r="E27" i="22"/>
  <c r="F27" i="22"/>
  <c r="G27" i="22"/>
  <c r="H27" i="22"/>
  <c r="I27" i="22"/>
  <c r="J27" i="22"/>
  <c r="K27" i="22"/>
  <c r="L27" i="22"/>
  <c r="M27" i="22"/>
  <c r="N27" i="22"/>
  <c r="O27" i="22"/>
  <c r="P27" i="22"/>
  <c r="Q27" i="22"/>
  <c r="R27" i="22"/>
  <c r="S27" i="22"/>
  <c r="T27" i="22"/>
  <c r="U27" i="22"/>
  <c r="V27" i="22"/>
  <c r="W27" i="22"/>
  <c r="X27" i="22"/>
  <c r="Y27" i="22"/>
  <c r="Z27" i="22"/>
  <c r="AA27" i="22"/>
  <c r="AB27" i="22"/>
  <c r="AC27" i="22"/>
  <c r="AD27" i="22"/>
  <c r="AE27" i="22"/>
  <c r="AF27" i="22"/>
  <c r="AG27" i="22"/>
  <c r="AH27" i="22"/>
  <c r="AI27" i="22"/>
  <c r="AJ27" i="22"/>
  <c r="AK27" i="22"/>
  <c r="AL27" i="22"/>
  <c r="AM27" i="22"/>
  <c r="AN27" i="22"/>
  <c r="AO27" i="22"/>
  <c r="AP27" i="22"/>
  <c r="AQ27" i="22"/>
  <c r="AR27" i="22"/>
  <c r="AS27" i="22"/>
  <c r="AT27" i="22"/>
  <c r="AU27" i="22"/>
  <c r="AV27" i="22"/>
  <c r="AW27" i="22"/>
  <c r="AX27" i="22"/>
  <c r="AY27" i="22"/>
  <c r="AZ27" i="22"/>
  <c r="BA27" i="22"/>
  <c r="BB27" i="22"/>
  <c r="BC27" i="22"/>
  <c r="BD27" i="22"/>
  <c r="BE27" i="22"/>
  <c r="BF27" i="22"/>
  <c r="BG27" i="22"/>
  <c r="BH27" i="22"/>
  <c r="BJ27" i="22"/>
  <c r="BK27" i="22"/>
  <c r="BL27" i="22"/>
  <c r="BM27" i="22"/>
  <c r="BN27" i="22"/>
  <c r="BO27" i="22"/>
  <c r="BP27" i="22"/>
  <c r="BQ27" i="22"/>
  <c r="BR27" i="22"/>
  <c r="BS27" i="22"/>
  <c r="BT27" i="22"/>
  <c r="BU27" i="22"/>
  <c r="BV27" i="22"/>
  <c r="BW27" i="22"/>
  <c r="BX27" i="22"/>
  <c r="BY27" i="22"/>
  <c r="BZ27" i="22"/>
  <c r="CA27" i="22"/>
  <c r="CB27" i="22"/>
  <c r="CC27" i="22"/>
  <c r="CD27" i="22"/>
  <c r="CE27" i="22"/>
  <c r="CF27" i="22"/>
  <c r="CG27" i="22"/>
  <c r="CH27" i="22"/>
  <c r="CI27" i="22"/>
  <c r="CJ27" i="22"/>
  <c r="CK27" i="22"/>
  <c r="CL27" i="22"/>
  <c r="CM27" i="22"/>
  <c r="CN27" i="22"/>
  <c r="CO27" i="22"/>
  <c r="CP27" i="22"/>
  <c r="CQ27" i="22"/>
  <c r="CR27" i="22"/>
  <c r="CS27" i="22"/>
  <c r="CT27" i="22"/>
  <c r="CU27" i="22"/>
  <c r="CV27" i="22"/>
  <c r="CW27" i="22"/>
  <c r="CX27" i="22"/>
  <c r="CY27" i="22"/>
  <c r="CZ27" i="22"/>
  <c r="DA27" i="22"/>
  <c r="DB27" i="22"/>
  <c r="DC27" i="22"/>
  <c r="DD27" i="22"/>
  <c r="DE27" i="22"/>
  <c r="DF27" i="22"/>
  <c r="DG27" i="22"/>
  <c r="DH27" i="22"/>
  <c r="DI27" i="22"/>
  <c r="DJ27" i="22"/>
  <c r="DK27" i="22"/>
  <c r="DL27" i="22"/>
  <c r="DM27" i="22"/>
  <c r="DN27" i="22"/>
  <c r="DO27" i="22"/>
  <c r="DP27" i="22"/>
  <c r="DQ27" i="22"/>
  <c r="DR27" i="22"/>
  <c r="DS27" i="22"/>
  <c r="DT27" i="22"/>
  <c r="DU27" i="22"/>
  <c r="DV27" i="22"/>
  <c r="DW27" i="22"/>
  <c r="DX27" i="22"/>
  <c r="DY27" i="22"/>
  <c r="DZ27" i="22"/>
  <c r="EA27" i="22"/>
  <c r="EB27" i="22"/>
  <c r="EC27" i="22"/>
  <c r="ED27" i="22"/>
  <c r="EE27" i="22"/>
  <c r="EF27" i="22"/>
  <c r="EG27" i="22"/>
  <c r="EH27" i="22"/>
  <c r="EI27" i="22"/>
  <c r="EJ27" i="22"/>
  <c r="EK27" i="22"/>
  <c r="EL27" i="22"/>
  <c r="EM27" i="22"/>
  <c r="EN27" i="22"/>
  <c r="EO27" i="22"/>
  <c r="EP27" i="22"/>
  <c r="EQ27" i="22"/>
  <c r="ER27" i="22"/>
  <c r="ES27" i="22"/>
  <c r="ET27" i="22"/>
  <c r="EU27" i="22"/>
  <c r="EV27" i="22"/>
  <c r="EW27" i="22"/>
  <c r="EX27" i="22"/>
  <c r="EY27" i="22"/>
  <c r="EZ27" i="22"/>
  <c r="FA27" i="22"/>
  <c r="FB27" i="22"/>
  <c r="FC27" i="22"/>
  <c r="FD27" i="22"/>
  <c r="FE27" i="22"/>
  <c r="FF27" i="22"/>
  <c r="FG27" i="22"/>
  <c r="FH27" i="22"/>
  <c r="FI27" i="22"/>
  <c r="FJ27" i="22"/>
  <c r="FK27" i="22"/>
  <c r="FL27" i="22"/>
  <c r="FM27" i="22"/>
  <c r="FN27" i="22"/>
  <c r="FO27" i="22"/>
  <c r="FP27" i="22"/>
  <c r="FQ27" i="22"/>
  <c r="FR27" i="22"/>
  <c r="FS27" i="22"/>
  <c r="FT27" i="22"/>
  <c r="FU27" i="22"/>
  <c r="FV27" i="22"/>
  <c r="FW27" i="22"/>
  <c r="FX27" i="22"/>
  <c r="FY27" i="22"/>
  <c r="FZ27" i="22"/>
  <c r="GA27" i="22"/>
  <c r="GB27" i="22"/>
  <c r="GC27" i="22"/>
  <c r="GD27" i="22"/>
  <c r="GE27" i="22"/>
  <c r="GF27" i="22"/>
  <c r="GG27" i="22"/>
  <c r="GH27" i="22"/>
  <c r="GI27" i="22"/>
  <c r="GJ27" i="22"/>
  <c r="GK27" i="22"/>
  <c r="GL27" i="22"/>
  <c r="GM27" i="22"/>
  <c r="GN27" i="22"/>
  <c r="GO27" i="22"/>
  <c r="GP27" i="22"/>
  <c r="GQ27" i="22"/>
  <c r="GR27" i="22"/>
  <c r="GS27" i="22"/>
  <c r="GT27" i="22"/>
  <c r="GU27" i="22"/>
  <c r="GV27" i="22"/>
  <c r="GW27" i="22"/>
  <c r="GX27" i="22"/>
  <c r="GY27" i="22"/>
  <c r="GZ27" i="22"/>
  <c r="HA27" i="22"/>
  <c r="HB27" i="22"/>
  <c r="HC27" i="22"/>
  <c r="HD27" i="22"/>
  <c r="HE27" i="22"/>
  <c r="HF27" i="22"/>
  <c r="HG27" i="22"/>
  <c r="HH27" i="22"/>
  <c r="HI27" i="22"/>
  <c r="HJ27" i="22"/>
  <c r="HK27" i="22"/>
  <c r="HL27" i="22"/>
  <c r="HM27" i="22"/>
  <c r="HN27" i="22"/>
  <c r="HO27" i="22"/>
  <c r="HP27" i="22"/>
  <c r="HQ27" i="22"/>
  <c r="HR27" i="22"/>
  <c r="HS27" i="22"/>
  <c r="HT27" i="22"/>
  <c r="HU27" i="22"/>
  <c r="HV27" i="22"/>
  <c r="HW27" i="22"/>
  <c r="HX27" i="22"/>
  <c r="HY27" i="22"/>
  <c r="HZ27" i="22"/>
  <c r="IA27" i="22"/>
  <c r="IB27" i="22"/>
  <c r="IC27" i="22"/>
  <c r="ID27" i="22"/>
  <c r="IE27" i="22"/>
  <c r="IF27" i="22"/>
  <c r="IG27" i="22"/>
  <c r="IH27" i="22"/>
  <c r="II27" i="22"/>
  <c r="IJ27" i="22"/>
  <c r="IK27" i="22"/>
  <c r="IL27" i="22"/>
  <c r="IM27" i="22"/>
  <c r="IN27" i="22"/>
  <c r="IO27" i="22"/>
  <c r="IP27" i="22"/>
  <c r="IQ27" i="22"/>
  <c r="IR27" i="22"/>
  <c r="IS27" i="22"/>
  <c r="IT27" i="22"/>
  <c r="IU27" i="22"/>
  <c r="IV27" i="22"/>
  <c r="IW27" i="22"/>
  <c r="IX27" i="22"/>
  <c r="IY27" i="22"/>
  <c r="IZ27" i="22"/>
  <c r="JA27" i="22"/>
  <c r="JB27" i="22"/>
  <c r="JC27" i="22"/>
  <c r="JD27" i="22"/>
  <c r="JE27" i="22"/>
  <c r="JF27" i="22"/>
  <c r="JG27" i="22"/>
  <c r="JH27" i="22"/>
  <c r="JI27" i="22"/>
  <c r="JJ27" i="22"/>
  <c r="JK27" i="22"/>
  <c r="JL27" i="22"/>
  <c r="JM27" i="22"/>
  <c r="JN27" i="22"/>
  <c r="JO27" i="22"/>
  <c r="JP27" i="22"/>
  <c r="JQ27" i="22"/>
  <c r="JR27" i="22"/>
  <c r="JS27" i="22"/>
  <c r="JT27" i="22"/>
  <c r="JU27" i="22"/>
  <c r="JV27" i="22"/>
  <c r="JW27" i="22"/>
  <c r="JX27" i="22"/>
  <c r="JY27" i="22"/>
  <c r="JZ27" i="22"/>
  <c r="KA27" i="22"/>
  <c r="KB27" i="22"/>
  <c r="KC27" i="22"/>
  <c r="KD27" i="22"/>
  <c r="KE27" i="22"/>
  <c r="KF27" i="22"/>
  <c r="KG27" i="22"/>
  <c r="KH27" i="22"/>
  <c r="KI27" i="22"/>
  <c r="KJ27" i="22"/>
  <c r="KK27" i="22"/>
  <c r="KL27" i="22"/>
  <c r="KM27" i="22"/>
  <c r="KN27" i="22"/>
  <c r="KO27" i="22"/>
  <c r="KP27" i="22"/>
  <c r="KQ27" i="22"/>
  <c r="KR27" i="22"/>
  <c r="KS27" i="22"/>
  <c r="KT27" i="22"/>
  <c r="KU27" i="22"/>
  <c r="KV27" i="22"/>
  <c r="KW27" i="22"/>
  <c r="KX27" i="22"/>
  <c r="KY27" i="22"/>
  <c r="KZ27" i="22"/>
  <c r="LA27" i="22"/>
  <c r="LB27" i="22"/>
  <c r="LC27" i="22"/>
  <c r="LD27" i="22"/>
  <c r="LE27" i="22"/>
  <c r="LF27" i="22"/>
  <c r="LG27" i="22"/>
  <c r="LH27" i="22"/>
  <c r="LI27" i="22"/>
  <c r="LJ27" i="22"/>
  <c r="LK27" i="22"/>
  <c r="LL27" i="22"/>
  <c r="LM27" i="22"/>
  <c r="LN27" i="22"/>
  <c r="LO27" i="22"/>
  <c r="LP27" i="22"/>
  <c r="LQ27" i="22"/>
  <c r="LR27" i="22"/>
  <c r="LS27" i="22"/>
  <c r="LT27" i="22"/>
  <c r="LU27" i="22"/>
  <c r="LV27" i="22"/>
  <c r="LW27" i="22"/>
  <c r="LX27" i="22"/>
  <c r="LY27" i="22"/>
  <c r="LZ27" i="22"/>
  <c r="MA27" i="22"/>
  <c r="MB27" i="22"/>
  <c r="MC27" i="22"/>
  <c r="MD27" i="22"/>
  <c r="ME27" i="22"/>
  <c r="MF27" i="22"/>
  <c r="MG27" i="22"/>
  <c r="MH27" i="22"/>
  <c r="MI27" i="22"/>
  <c r="MJ27" i="22"/>
  <c r="MK27" i="22"/>
  <c r="ML27" i="22"/>
  <c r="MM27" i="22"/>
  <c r="MN27" i="22"/>
  <c r="MO27" i="22"/>
  <c r="MP27" i="22"/>
  <c r="MQ27" i="22"/>
  <c r="MR27" i="22"/>
  <c r="MS27" i="22"/>
  <c r="MT27" i="22"/>
  <c r="MU27" i="22"/>
  <c r="MV27" i="22"/>
  <c r="MW27" i="22"/>
  <c r="MX27" i="22"/>
  <c r="MY27" i="22"/>
  <c r="MZ27" i="22"/>
  <c r="NA27" i="22"/>
  <c r="NB27" i="22"/>
  <c r="NS27" i="22"/>
  <c r="B28" i="22"/>
  <c r="C28" i="22"/>
  <c r="D28" i="22"/>
  <c r="E28" i="22"/>
  <c r="F28" i="22"/>
  <c r="G28" i="22"/>
  <c r="H28" i="22"/>
  <c r="I28" i="22"/>
  <c r="J28" i="22"/>
  <c r="K28" i="22"/>
  <c r="L28" i="22"/>
  <c r="M28" i="22"/>
  <c r="N28" i="22"/>
  <c r="O28" i="22"/>
  <c r="P28" i="22"/>
  <c r="Q28" i="22"/>
  <c r="R28" i="22"/>
  <c r="S28" i="22"/>
  <c r="T28" i="22"/>
  <c r="U28" i="22"/>
  <c r="V28" i="22"/>
  <c r="W28" i="22"/>
  <c r="X28" i="22"/>
  <c r="Y28" i="22"/>
  <c r="Z28" i="22"/>
  <c r="AA28" i="22"/>
  <c r="AB28" i="22"/>
  <c r="AC28" i="22"/>
  <c r="AD28" i="22"/>
  <c r="AE28" i="22"/>
  <c r="AF28" i="22"/>
  <c r="AG28" i="22"/>
  <c r="AH28" i="22"/>
  <c r="AI28" i="22"/>
  <c r="AJ28" i="22"/>
  <c r="AK28" i="22"/>
  <c r="AL28" i="22"/>
  <c r="AM28" i="22"/>
  <c r="AN28" i="22"/>
  <c r="AO28" i="22"/>
  <c r="AP28" i="22"/>
  <c r="AQ28" i="22"/>
  <c r="AR28" i="22"/>
  <c r="AS28" i="22"/>
  <c r="AT28" i="22"/>
  <c r="AU28" i="22"/>
  <c r="AV28" i="22"/>
  <c r="AW28" i="22"/>
  <c r="AX28" i="22"/>
  <c r="AY28" i="22"/>
  <c r="AZ28" i="22"/>
  <c r="BA28" i="22"/>
  <c r="BB28" i="22"/>
  <c r="BC28" i="22"/>
  <c r="BD28" i="22"/>
  <c r="BE28" i="22"/>
  <c r="BF28" i="22"/>
  <c r="BG28" i="22"/>
  <c r="BH28" i="22"/>
  <c r="BJ28" i="22"/>
  <c r="BK28" i="22"/>
  <c r="BL28" i="22"/>
  <c r="BM28" i="22"/>
  <c r="BN28" i="22"/>
  <c r="BO28" i="22"/>
  <c r="BP28" i="22"/>
  <c r="BQ28" i="22"/>
  <c r="BR28" i="22"/>
  <c r="BS28" i="22"/>
  <c r="BT28" i="22"/>
  <c r="BU28" i="22"/>
  <c r="BV28" i="22"/>
  <c r="BW28" i="22"/>
  <c r="BX28" i="22"/>
  <c r="BY28" i="22"/>
  <c r="BZ28" i="22"/>
  <c r="CA28" i="22"/>
  <c r="CB28" i="22"/>
  <c r="CC28" i="22"/>
  <c r="CD28" i="22"/>
  <c r="CE28" i="22"/>
  <c r="CF28" i="22"/>
  <c r="CG28" i="22"/>
  <c r="CH28" i="22"/>
  <c r="CI28" i="22"/>
  <c r="CJ28" i="22"/>
  <c r="CK28" i="22"/>
  <c r="CL28" i="22"/>
  <c r="CM28" i="22"/>
  <c r="CN28" i="22"/>
  <c r="CO28" i="22"/>
  <c r="CP28" i="22"/>
  <c r="CQ28" i="22"/>
  <c r="CR28" i="22"/>
  <c r="CS28" i="22"/>
  <c r="CT28" i="22"/>
  <c r="CU28" i="22"/>
  <c r="CV28" i="22"/>
  <c r="CW28" i="22"/>
  <c r="CX28" i="22"/>
  <c r="CY28" i="22"/>
  <c r="CZ28" i="22"/>
  <c r="DA28" i="22"/>
  <c r="DB28" i="22"/>
  <c r="DC28" i="22"/>
  <c r="DD28" i="22"/>
  <c r="DE28" i="22"/>
  <c r="DF28" i="22"/>
  <c r="DG28" i="22"/>
  <c r="DH28" i="22"/>
  <c r="DI28" i="22"/>
  <c r="DJ28" i="22"/>
  <c r="DK28" i="22"/>
  <c r="DL28" i="22"/>
  <c r="DM28" i="22"/>
  <c r="DN28" i="22"/>
  <c r="DO28" i="22"/>
  <c r="DP28" i="22"/>
  <c r="DQ28" i="22"/>
  <c r="DR28" i="22"/>
  <c r="DS28" i="22"/>
  <c r="DT28" i="22"/>
  <c r="DU28" i="22"/>
  <c r="DV28" i="22"/>
  <c r="DW28" i="22"/>
  <c r="DX28" i="22"/>
  <c r="DY28" i="22"/>
  <c r="DZ28" i="22"/>
  <c r="EA28" i="22"/>
  <c r="EB28" i="22"/>
  <c r="EC28" i="22"/>
  <c r="ED28" i="22"/>
  <c r="EE28" i="22"/>
  <c r="EF28" i="22"/>
  <c r="EG28" i="22"/>
  <c r="EH28" i="22"/>
  <c r="EI28" i="22"/>
  <c r="EJ28" i="22"/>
  <c r="EK28" i="22"/>
  <c r="EL28" i="22"/>
  <c r="EM28" i="22"/>
  <c r="EN28" i="22"/>
  <c r="EO28" i="22"/>
  <c r="EP28" i="22"/>
  <c r="EQ28" i="22"/>
  <c r="ER28" i="22"/>
  <c r="ES28" i="22"/>
  <c r="ET28" i="22"/>
  <c r="EU28" i="22"/>
  <c r="EV28" i="22"/>
  <c r="EW28" i="22"/>
  <c r="EX28" i="22"/>
  <c r="EY28" i="22"/>
  <c r="EZ28" i="22"/>
  <c r="FA28" i="22"/>
  <c r="FB28" i="22"/>
  <c r="FC28" i="22"/>
  <c r="FD28" i="22"/>
  <c r="FE28" i="22"/>
  <c r="FF28" i="22"/>
  <c r="FG28" i="22"/>
  <c r="FH28" i="22"/>
  <c r="FI28" i="22"/>
  <c r="FJ28" i="22"/>
  <c r="FK28" i="22"/>
  <c r="FL28" i="22"/>
  <c r="FM28" i="22"/>
  <c r="FN28" i="22"/>
  <c r="FO28" i="22"/>
  <c r="FP28" i="22"/>
  <c r="FQ28" i="22"/>
  <c r="FR28" i="22"/>
  <c r="FS28" i="22"/>
  <c r="FT28" i="22"/>
  <c r="FU28" i="22"/>
  <c r="FV28" i="22"/>
  <c r="FW28" i="22"/>
  <c r="FX28" i="22"/>
  <c r="FY28" i="22"/>
  <c r="FZ28" i="22"/>
  <c r="GA28" i="22"/>
  <c r="GB28" i="22"/>
  <c r="GC28" i="22"/>
  <c r="GD28" i="22"/>
  <c r="GE28" i="22"/>
  <c r="GF28" i="22"/>
  <c r="GG28" i="22"/>
  <c r="GH28" i="22"/>
  <c r="GI28" i="22"/>
  <c r="GJ28" i="22"/>
  <c r="GK28" i="22"/>
  <c r="GL28" i="22"/>
  <c r="GM28" i="22"/>
  <c r="GN28" i="22"/>
  <c r="GO28" i="22"/>
  <c r="GP28" i="22"/>
  <c r="GQ28" i="22"/>
  <c r="GR28" i="22"/>
  <c r="GS28" i="22"/>
  <c r="GT28" i="22"/>
  <c r="GU28" i="22"/>
  <c r="GV28" i="22"/>
  <c r="GW28" i="22"/>
  <c r="GX28" i="22"/>
  <c r="GY28" i="22"/>
  <c r="GZ28" i="22"/>
  <c r="HA28" i="22"/>
  <c r="HB28" i="22"/>
  <c r="HC28" i="22"/>
  <c r="HD28" i="22"/>
  <c r="HE28" i="22"/>
  <c r="HF28" i="22"/>
  <c r="HG28" i="22"/>
  <c r="HH28" i="22"/>
  <c r="HI28" i="22"/>
  <c r="HJ28" i="22"/>
  <c r="HK28" i="22"/>
  <c r="HL28" i="22"/>
  <c r="HM28" i="22"/>
  <c r="HN28" i="22"/>
  <c r="HO28" i="22"/>
  <c r="HP28" i="22"/>
  <c r="HQ28" i="22"/>
  <c r="HR28" i="22"/>
  <c r="HS28" i="22"/>
  <c r="HT28" i="22"/>
  <c r="HU28" i="22"/>
  <c r="HV28" i="22"/>
  <c r="HW28" i="22"/>
  <c r="HX28" i="22"/>
  <c r="HY28" i="22"/>
  <c r="HZ28" i="22"/>
  <c r="IA28" i="22"/>
  <c r="IB28" i="22"/>
  <c r="IC28" i="22"/>
  <c r="ID28" i="22"/>
  <c r="IE28" i="22"/>
  <c r="IF28" i="22"/>
  <c r="IG28" i="22"/>
  <c r="IH28" i="22"/>
  <c r="II28" i="22"/>
  <c r="IJ28" i="22"/>
  <c r="IK28" i="22"/>
  <c r="IL28" i="22"/>
  <c r="IM28" i="22"/>
  <c r="IN28" i="22"/>
  <c r="IO28" i="22"/>
  <c r="IP28" i="22"/>
  <c r="IQ28" i="22"/>
  <c r="IR28" i="22"/>
  <c r="IS28" i="22"/>
  <c r="IT28" i="22"/>
  <c r="IU28" i="22"/>
  <c r="IV28" i="22"/>
  <c r="IW28" i="22"/>
  <c r="IX28" i="22"/>
  <c r="IY28" i="22"/>
  <c r="IZ28" i="22"/>
  <c r="JA28" i="22"/>
  <c r="JB28" i="22"/>
  <c r="JC28" i="22"/>
  <c r="JD28" i="22"/>
  <c r="JE28" i="22"/>
  <c r="JF28" i="22"/>
  <c r="JG28" i="22"/>
  <c r="JH28" i="22"/>
  <c r="JI28" i="22"/>
  <c r="JJ28" i="22"/>
  <c r="JK28" i="22"/>
  <c r="JL28" i="22"/>
  <c r="JM28" i="22"/>
  <c r="JN28" i="22"/>
  <c r="JO28" i="22"/>
  <c r="JP28" i="22"/>
  <c r="JQ28" i="22"/>
  <c r="JR28" i="22"/>
  <c r="JS28" i="22"/>
  <c r="JT28" i="22"/>
  <c r="JU28" i="22"/>
  <c r="JV28" i="22"/>
  <c r="JW28" i="22"/>
  <c r="JX28" i="22"/>
  <c r="JY28" i="22"/>
  <c r="JZ28" i="22"/>
  <c r="KA28" i="22"/>
  <c r="KB28" i="22"/>
  <c r="KC28" i="22"/>
  <c r="KD28" i="22"/>
  <c r="KE28" i="22"/>
  <c r="KF28" i="22"/>
  <c r="KG28" i="22"/>
  <c r="KH28" i="22"/>
  <c r="KI28" i="22"/>
  <c r="KJ28" i="22"/>
  <c r="KK28" i="22"/>
  <c r="KL28" i="22"/>
  <c r="KM28" i="22"/>
  <c r="KN28" i="22"/>
  <c r="KO28" i="22"/>
  <c r="KP28" i="22"/>
  <c r="KQ28" i="22"/>
  <c r="KR28" i="22"/>
  <c r="KS28" i="22"/>
  <c r="KT28" i="22"/>
  <c r="KU28" i="22"/>
  <c r="KV28" i="22"/>
  <c r="KW28" i="22"/>
  <c r="KX28" i="22"/>
  <c r="KY28" i="22"/>
  <c r="KZ28" i="22"/>
  <c r="LA28" i="22"/>
  <c r="LB28" i="22"/>
  <c r="LC28" i="22"/>
  <c r="LD28" i="22"/>
  <c r="LE28" i="22"/>
  <c r="LF28" i="22"/>
  <c r="LG28" i="22"/>
  <c r="LH28" i="22"/>
  <c r="LI28" i="22"/>
  <c r="LJ28" i="22"/>
  <c r="LK28" i="22"/>
  <c r="LL28" i="22"/>
  <c r="LM28" i="22"/>
  <c r="LN28" i="22"/>
  <c r="LO28" i="22"/>
  <c r="LP28" i="22"/>
  <c r="LQ28" i="22"/>
  <c r="LR28" i="22"/>
  <c r="LS28" i="22"/>
  <c r="LT28" i="22"/>
  <c r="LU28" i="22"/>
  <c r="LV28" i="22"/>
  <c r="LW28" i="22"/>
  <c r="LX28" i="22"/>
  <c r="LY28" i="22"/>
  <c r="LZ28" i="22"/>
  <c r="MA28" i="22"/>
  <c r="MB28" i="22"/>
  <c r="MC28" i="22"/>
  <c r="MD28" i="22"/>
  <c r="ME28" i="22"/>
  <c r="MF28" i="22"/>
  <c r="MG28" i="22"/>
  <c r="MH28" i="22"/>
  <c r="MI28" i="22"/>
  <c r="MJ28" i="22"/>
  <c r="MK28" i="22"/>
  <c r="ML28" i="22"/>
  <c r="MM28" i="22"/>
  <c r="MN28" i="22"/>
  <c r="MO28" i="22"/>
  <c r="MP28" i="22"/>
  <c r="MQ28" i="22"/>
  <c r="MR28" i="22"/>
  <c r="MS28" i="22"/>
  <c r="MT28" i="22"/>
  <c r="MU28" i="22"/>
  <c r="MV28" i="22"/>
  <c r="MW28" i="22"/>
  <c r="MX28" i="22"/>
  <c r="MY28" i="22"/>
  <c r="MZ28" i="22"/>
  <c r="NA28" i="22"/>
  <c r="NB28" i="22"/>
  <c r="NS28" i="22"/>
  <c r="B29" i="22"/>
  <c r="C29" i="22"/>
  <c r="D29" i="22"/>
  <c r="E29" i="22"/>
  <c r="F29" i="22"/>
  <c r="G29" i="22"/>
  <c r="H29" i="22"/>
  <c r="I29" i="22"/>
  <c r="J29" i="22"/>
  <c r="K29" i="22"/>
  <c r="L29" i="22"/>
  <c r="M29" i="22"/>
  <c r="N29" i="22"/>
  <c r="O29" i="22"/>
  <c r="P29" i="22"/>
  <c r="Q29" i="22"/>
  <c r="R29" i="22"/>
  <c r="S29" i="22"/>
  <c r="T29" i="22"/>
  <c r="U29" i="22"/>
  <c r="V29" i="22"/>
  <c r="W29" i="22"/>
  <c r="X29" i="22"/>
  <c r="Y29" i="22"/>
  <c r="Z29" i="22"/>
  <c r="AA29" i="22"/>
  <c r="AB29" i="22"/>
  <c r="AC29" i="22"/>
  <c r="AD29" i="22"/>
  <c r="AE29" i="22"/>
  <c r="AF29" i="22"/>
  <c r="AG29" i="22"/>
  <c r="AH29" i="22"/>
  <c r="AI29" i="22"/>
  <c r="AJ29" i="22"/>
  <c r="AK29" i="22"/>
  <c r="AL29" i="22"/>
  <c r="AM29" i="22"/>
  <c r="AN29" i="22"/>
  <c r="AO29" i="22"/>
  <c r="AP29" i="22"/>
  <c r="AQ29" i="22"/>
  <c r="AR29" i="22"/>
  <c r="AS29" i="22"/>
  <c r="AT29" i="22"/>
  <c r="AU29" i="22"/>
  <c r="AV29" i="22"/>
  <c r="AW29" i="22"/>
  <c r="AX29" i="22"/>
  <c r="AY29" i="22"/>
  <c r="AZ29" i="22"/>
  <c r="BA29" i="22"/>
  <c r="BB29" i="22"/>
  <c r="BC29" i="22"/>
  <c r="BD29" i="22"/>
  <c r="BE29" i="22"/>
  <c r="BF29" i="22"/>
  <c r="BG29" i="22"/>
  <c r="BH29" i="22"/>
  <c r="BI29" i="22"/>
  <c r="BJ29" i="22"/>
  <c r="BK29" i="22"/>
  <c r="BL29" i="22"/>
  <c r="BM29" i="22"/>
  <c r="BN29" i="22"/>
  <c r="BO29" i="22"/>
  <c r="BP29" i="22"/>
  <c r="BQ29" i="22"/>
  <c r="BR29" i="22"/>
  <c r="BS29" i="22"/>
  <c r="BT29" i="22"/>
  <c r="BU29" i="22"/>
  <c r="BV29" i="22"/>
  <c r="BW29" i="22"/>
  <c r="BX29" i="22"/>
  <c r="BY29" i="22"/>
  <c r="BZ29" i="22"/>
  <c r="CA29" i="22"/>
  <c r="CB29" i="22"/>
  <c r="CC29" i="22"/>
  <c r="CD29" i="22"/>
  <c r="CE29" i="22"/>
  <c r="CF29" i="22"/>
  <c r="CG29" i="22"/>
  <c r="CH29" i="22"/>
  <c r="CI29" i="22"/>
  <c r="CJ29" i="22"/>
  <c r="CK29" i="22"/>
  <c r="CL29" i="22"/>
  <c r="CM29" i="22"/>
  <c r="CN29" i="22"/>
  <c r="CO29" i="22"/>
  <c r="CP29" i="22"/>
  <c r="CQ29" i="22"/>
  <c r="CR29" i="22"/>
  <c r="CS29" i="22"/>
  <c r="CT29" i="22"/>
  <c r="CU29" i="22"/>
  <c r="CV29" i="22"/>
  <c r="CW29" i="22"/>
  <c r="CX29" i="22"/>
  <c r="CY29" i="22"/>
  <c r="CZ29" i="22"/>
  <c r="DA29" i="22"/>
  <c r="DB29" i="22"/>
  <c r="DC29" i="22"/>
  <c r="DD29" i="22"/>
  <c r="DE29" i="22"/>
  <c r="DF29" i="22"/>
  <c r="DG29" i="22"/>
  <c r="DH29" i="22"/>
  <c r="DI29" i="22"/>
  <c r="DJ29" i="22"/>
  <c r="DK29" i="22"/>
  <c r="DL29" i="22"/>
  <c r="DM29" i="22"/>
  <c r="DN29" i="22"/>
  <c r="DO29" i="22"/>
  <c r="DP29" i="22"/>
  <c r="DQ29" i="22"/>
  <c r="DR29" i="22"/>
  <c r="DS29" i="22"/>
  <c r="DT29" i="22"/>
  <c r="DU29" i="22"/>
  <c r="DV29" i="22"/>
  <c r="DW29" i="22"/>
  <c r="DX29" i="22"/>
  <c r="DY29" i="22"/>
  <c r="DZ29" i="22"/>
  <c r="EA29" i="22"/>
  <c r="EB29" i="22"/>
  <c r="EC29" i="22"/>
  <c r="ED29" i="22"/>
  <c r="EE29" i="22"/>
  <c r="EF29" i="22"/>
  <c r="EG29" i="22"/>
  <c r="EH29" i="22"/>
  <c r="EI29" i="22"/>
  <c r="EJ29" i="22"/>
  <c r="EK29" i="22"/>
  <c r="EL29" i="22"/>
  <c r="EM29" i="22"/>
  <c r="EN29" i="22"/>
  <c r="EO29" i="22"/>
  <c r="EP29" i="22"/>
  <c r="EQ29" i="22"/>
  <c r="ER29" i="22"/>
  <c r="ES29" i="22"/>
  <c r="ET29" i="22"/>
  <c r="EU29" i="22"/>
  <c r="EV29" i="22"/>
  <c r="EW29" i="22"/>
  <c r="EX29" i="22"/>
  <c r="EY29" i="22"/>
  <c r="EZ29" i="22"/>
  <c r="FA29" i="22"/>
  <c r="FB29" i="22"/>
  <c r="FC29" i="22"/>
  <c r="FD29" i="22"/>
  <c r="FE29" i="22"/>
  <c r="FF29" i="22"/>
  <c r="FG29" i="22"/>
  <c r="FH29" i="22"/>
  <c r="FI29" i="22"/>
  <c r="FJ29" i="22"/>
  <c r="FK29" i="22"/>
  <c r="FL29" i="22"/>
  <c r="FM29" i="22"/>
  <c r="FN29" i="22"/>
  <c r="FO29" i="22"/>
  <c r="FP29" i="22"/>
  <c r="FQ29" i="22"/>
  <c r="FR29" i="22"/>
  <c r="FS29" i="22"/>
  <c r="FT29" i="22"/>
  <c r="FU29" i="22"/>
  <c r="FV29" i="22"/>
  <c r="FW29" i="22"/>
  <c r="FX29" i="22"/>
  <c r="FY29" i="22"/>
  <c r="FZ29" i="22"/>
  <c r="GA29" i="22"/>
  <c r="GB29" i="22"/>
  <c r="GC29" i="22"/>
  <c r="GD29" i="22"/>
  <c r="GE29" i="22"/>
  <c r="GF29" i="22"/>
  <c r="GG29" i="22"/>
  <c r="GH29" i="22"/>
  <c r="GI29" i="22"/>
  <c r="GJ29" i="22"/>
  <c r="GK29" i="22"/>
  <c r="GL29" i="22"/>
  <c r="GM29" i="22"/>
  <c r="GN29" i="22"/>
  <c r="GO29" i="22"/>
  <c r="GP29" i="22"/>
  <c r="GQ29" i="22"/>
  <c r="GR29" i="22"/>
  <c r="GS29" i="22"/>
  <c r="GT29" i="22"/>
  <c r="GU29" i="22"/>
  <c r="GV29" i="22"/>
  <c r="GW29" i="22"/>
  <c r="GX29" i="22"/>
  <c r="GY29" i="22"/>
  <c r="GZ29" i="22"/>
  <c r="HA29" i="22"/>
  <c r="HB29" i="22"/>
  <c r="HC29" i="22"/>
  <c r="HD29" i="22"/>
  <c r="HE29" i="22"/>
  <c r="HF29" i="22"/>
  <c r="HG29" i="22"/>
  <c r="HH29" i="22"/>
  <c r="HI29" i="22"/>
  <c r="HJ29" i="22"/>
  <c r="HK29" i="22"/>
  <c r="HL29" i="22"/>
  <c r="HM29" i="22"/>
  <c r="HN29" i="22"/>
  <c r="HO29" i="22"/>
  <c r="HP29" i="22"/>
  <c r="HQ29" i="22"/>
  <c r="HR29" i="22"/>
  <c r="HS29" i="22"/>
  <c r="HT29" i="22"/>
  <c r="HU29" i="22"/>
  <c r="HV29" i="22"/>
  <c r="HW29" i="22"/>
  <c r="HX29" i="22"/>
  <c r="HY29" i="22"/>
  <c r="HZ29" i="22"/>
  <c r="IA29" i="22"/>
  <c r="IB29" i="22"/>
  <c r="IC29" i="22"/>
  <c r="ID29" i="22"/>
  <c r="IE29" i="22"/>
  <c r="IF29" i="22"/>
  <c r="IG29" i="22"/>
  <c r="IH29" i="22"/>
  <c r="II29" i="22"/>
  <c r="IJ29" i="22"/>
  <c r="IK29" i="22"/>
  <c r="IL29" i="22"/>
  <c r="IM29" i="22"/>
  <c r="IN29" i="22"/>
  <c r="IO29" i="22"/>
  <c r="IP29" i="22"/>
  <c r="IQ29" i="22"/>
  <c r="IR29" i="22"/>
  <c r="IS29" i="22"/>
  <c r="IT29" i="22"/>
  <c r="IU29" i="22"/>
  <c r="IV29" i="22"/>
  <c r="IW29" i="22"/>
  <c r="IX29" i="22"/>
  <c r="IY29" i="22"/>
  <c r="IZ29" i="22"/>
  <c r="JA29" i="22"/>
  <c r="JB29" i="22"/>
  <c r="JC29" i="22"/>
  <c r="JD29" i="22"/>
  <c r="JE29" i="22"/>
  <c r="JF29" i="22"/>
  <c r="JG29" i="22"/>
  <c r="JH29" i="22"/>
  <c r="JI29" i="22"/>
  <c r="JJ29" i="22"/>
  <c r="JK29" i="22"/>
  <c r="JL29" i="22"/>
  <c r="JM29" i="22"/>
  <c r="JN29" i="22"/>
  <c r="JO29" i="22"/>
  <c r="JP29" i="22"/>
  <c r="JQ29" i="22"/>
  <c r="JR29" i="22"/>
  <c r="JS29" i="22"/>
  <c r="JT29" i="22"/>
  <c r="JU29" i="22"/>
  <c r="JV29" i="22"/>
  <c r="JW29" i="22"/>
  <c r="JX29" i="22"/>
  <c r="JY29" i="22"/>
  <c r="JZ29" i="22"/>
  <c r="KA29" i="22"/>
  <c r="KB29" i="22"/>
  <c r="KC29" i="22"/>
  <c r="KD29" i="22"/>
  <c r="KE29" i="22"/>
  <c r="KF29" i="22"/>
  <c r="KG29" i="22"/>
  <c r="KH29" i="22"/>
  <c r="KI29" i="22"/>
  <c r="KJ29" i="22"/>
  <c r="KK29" i="22"/>
  <c r="KL29" i="22"/>
  <c r="KM29" i="22"/>
  <c r="KN29" i="22"/>
  <c r="KO29" i="22"/>
  <c r="KP29" i="22"/>
  <c r="KQ29" i="22"/>
  <c r="KR29" i="22"/>
  <c r="KS29" i="22"/>
  <c r="KT29" i="22"/>
  <c r="KU29" i="22"/>
  <c r="KV29" i="22"/>
  <c r="KW29" i="22"/>
  <c r="KX29" i="22"/>
  <c r="KY29" i="22"/>
  <c r="KZ29" i="22"/>
  <c r="LA29" i="22"/>
  <c r="LB29" i="22"/>
  <c r="LC29" i="22"/>
  <c r="LD29" i="22"/>
  <c r="LE29" i="22"/>
  <c r="LF29" i="22"/>
  <c r="LG29" i="22"/>
  <c r="LH29" i="22"/>
  <c r="LI29" i="22"/>
  <c r="LJ29" i="22"/>
  <c r="LK29" i="22"/>
  <c r="LL29" i="22"/>
  <c r="LM29" i="22"/>
  <c r="LN29" i="22"/>
  <c r="LO29" i="22"/>
  <c r="LP29" i="22"/>
  <c r="LQ29" i="22"/>
  <c r="LR29" i="22"/>
  <c r="LS29" i="22"/>
  <c r="LT29" i="22"/>
  <c r="LU29" i="22"/>
  <c r="LV29" i="22"/>
  <c r="LW29" i="22"/>
  <c r="LX29" i="22"/>
  <c r="LY29" i="22"/>
  <c r="LZ29" i="22"/>
  <c r="MA29" i="22"/>
  <c r="MB29" i="22"/>
  <c r="MC29" i="22"/>
  <c r="MD29" i="22"/>
  <c r="ME29" i="22"/>
  <c r="MF29" i="22"/>
  <c r="MG29" i="22"/>
  <c r="MH29" i="22"/>
  <c r="MI29" i="22"/>
  <c r="MJ29" i="22"/>
  <c r="MK29" i="22"/>
  <c r="ML29" i="22"/>
  <c r="MM29" i="22"/>
  <c r="MN29" i="22"/>
  <c r="MO29" i="22"/>
  <c r="MP29" i="22"/>
  <c r="MQ29" i="22"/>
  <c r="MR29" i="22"/>
  <c r="MS29" i="22"/>
  <c r="MT29" i="22"/>
  <c r="MU29" i="22"/>
  <c r="MV29" i="22"/>
  <c r="MW29" i="22"/>
  <c r="MX29" i="22"/>
  <c r="MY29" i="22"/>
  <c r="MZ29" i="22"/>
  <c r="NA29" i="22"/>
  <c r="NB29" i="22"/>
  <c r="NC29" i="22"/>
  <c r="NS29" i="22"/>
  <c r="B30" i="22"/>
  <c r="C30" i="22"/>
  <c r="D30" i="22"/>
  <c r="E30" i="22"/>
  <c r="F30" i="22"/>
  <c r="G30" i="22"/>
  <c r="H30" i="22"/>
  <c r="I30" i="22"/>
  <c r="J30" i="22"/>
  <c r="K30" i="22"/>
  <c r="L30" i="22"/>
  <c r="M30" i="22"/>
  <c r="N30" i="22"/>
  <c r="O30" i="22"/>
  <c r="P30" i="22"/>
  <c r="Q30" i="22"/>
  <c r="R30" i="22"/>
  <c r="S30" i="22"/>
  <c r="T30" i="22"/>
  <c r="U30" i="22"/>
  <c r="V30" i="22"/>
  <c r="W30" i="22"/>
  <c r="X30" i="22"/>
  <c r="Y30" i="22"/>
  <c r="Z30" i="22"/>
  <c r="AA30" i="22"/>
  <c r="AB30" i="22"/>
  <c r="AC30" i="22"/>
  <c r="AD30" i="22"/>
  <c r="AE30" i="22"/>
  <c r="AF30" i="22"/>
  <c r="AG30" i="22"/>
  <c r="AH30" i="22"/>
  <c r="AI30" i="22"/>
  <c r="AJ30" i="22"/>
  <c r="AK30" i="22"/>
  <c r="AL30" i="22"/>
  <c r="AM30" i="22"/>
  <c r="AN30" i="22"/>
  <c r="AO30" i="22"/>
  <c r="AP30" i="22"/>
  <c r="AQ30" i="22"/>
  <c r="AR30" i="22"/>
  <c r="AS30" i="22"/>
  <c r="AT30" i="22"/>
  <c r="AU30" i="22"/>
  <c r="AV30" i="22"/>
  <c r="AW30" i="22"/>
  <c r="AX30" i="22"/>
  <c r="AY30" i="22"/>
  <c r="AZ30" i="22"/>
  <c r="BA30" i="22"/>
  <c r="BB30" i="22"/>
  <c r="BC30" i="22"/>
  <c r="BD30" i="22"/>
  <c r="BE30" i="22"/>
  <c r="BF30" i="22"/>
  <c r="BG30" i="22"/>
  <c r="BH30" i="22"/>
  <c r="BJ30" i="22"/>
  <c r="BK30" i="22"/>
  <c r="BL30" i="22"/>
  <c r="BM30" i="22"/>
  <c r="BN30" i="22"/>
  <c r="BO30" i="22"/>
  <c r="BP30" i="22"/>
  <c r="BQ30" i="22"/>
  <c r="BR30" i="22"/>
  <c r="BS30" i="22"/>
  <c r="BT30" i="22"/>
  <c r="BU30" i="22"/>
  <c r="BV30" i="22"/>
  <c r="BW30" i="22"/>
  <c r="BX30" i="22"/>
  <c r="BY30" i="22"/>
  <c r="BZ30" i="22"/>
  <c r="CA30" i="22"/>
  <c r="CB30" i="22"/>
  <c r="CC30" i="22"/>
  <c r="CD30" i="22"/>
  <c r="CE30" i="22"/>
  <c r="CF30" i="22"/>
  <c r="CG30" i="22"/>
  <c r="CH30" i="22"/>
  <c r="CI30" i="22"/>
  <c r="CJ30" i="22"/>
  <c r="CK30" i="22"/>
  <c r="CL30" i="22"/>
  <c r="CM30" i="22"/>
  <c r="CN30" i="22"/>
  <c r="CO30" i="22"/>
  <c r="CP30" i="22"/>
  <c r="CQ30" i="22"/>
  <c r="CR30" i="22"/>
  <c r="CS30" i="22"/>
  <c r="CT30" i="22"/>
  <c r="CU30" i="22"/>
  <c r="CV30" i="22"/>
  <c r="CW30" i="22"/>
  <c r="CX30" i="22"/>
  <c r="CY30" i="22"/>
  <c r="CZ30" i="22"/>
  <c r="DA30" i="22"/>
  <c r="DB30" i="22"/>
  <c r="DC30" i="22"/>
  <c r="DD30" i="22"/>
  <c r="DE30" i="22"/>
  <c r="DF30" i="22"/>
  <c r="DG30" i="22"/>
  <c r="DH30" i="22"/>
  <c r="DI30" i="22"/>
  <c r="DJ30" i="22"/>
  <c r="DK30" i="22"/>
  <c r="DL30" i="22"/>
  <c r="DM30" i="22"/>
  <c r="DN30" i="22"/>
  <c r="DO30" i="22"/>
  <c r="DP30" i="22"/>
  <c r="DQ30" i="22"/>
  <c r="DR30" i="22"/>
  <c r="DS30" i="22"/>
  <c r="DT30" i="22"/>
  <c r="DU30" i="22"/>
  <c r="DV30" i="22"/>
  <c r="DW30" i="22"/>
  <c r="DX30" i="22"/>
  <c r="DY30" i="22"/>
  <c r="DZ30" i="22"/>
  <c r="EA30" i="22"/>
  <c r="EB30" i="22"/>
  <c r="EC30" i="22"/>
  <c r="ED30" i="22"/>
  <c r="EE30" i="22"/>
  <c r="EF30" i="22"/>
  <c r="EG30" i="22"/>
  <c r="EH30" i="22"/>
  <c r="EI30" i="22"/>
  <c r="EJ30" i="22"/>
  <c r="EK30" i="22"/>
  <c r="EL30" i="22"/>
  <c r="EM30" i="22"/>
  <c r="EN30" i="22"/>
  <c r="EO30" i="22"/>
  <c r="EP30" i="22"/>
  <c r="EQ30" i="22"/>
  <c r="ER30" i="22"/>
  <c r="ES30" i="22"/>
  <c r="ET30" i="22"/>
  <c r="EU30" i="22"/>
  <c r="EV30" i="22"/>
  <c r="EW30" i="22"/>
  <c r="EX30" i="22"/>
  <c r="EY30" i="22"/>
  <c r="EZ30" i="22"/>
  <c r="FA30" i="22"/>
  <c r="FB30" i="22"/>
  <c r="FC30" i="22"/>
  <c r="FD30" i="22"/>
  <c r="FE30" i="22"/>
  <c r="FF30" i="22"/>
  <c r="FG30" i="22"/>
  <c r="FH30" i="22"/>
  <c r="FI30" i="22"/>
  <c r="FJ30" i="22"/>
  <c r="FK30" i="22"/>
  <c r="FL30" i="22"/>
  <c r="FM30" i="22"/>
  <c r="FN30" i="22"/>
  <c r="FO30" i="22"/>
  <c r="FP30" i="22"/>
  <c r="FQ30" i="22"/>
  <c r="FR30" i="22"/>
  <c r="FS30" i="22"/>
  <c r="FT30" i="22"/>
  <c r="FU30" i="22"/>
  <c r="FV30" i="22"/>
  <c r="FW30" i="22"/>
  <c r="FX30" i="22"/>
  <c r="FY30" i="22"/>
  <c r="FZ30" i="22"/>
  <c r="GA30" i="22"/>
  <c r="GB30" i="22"/>
  <c r="GC30" i="22"/>
  <c r="GD30" i="22"/>
  <c r="GE30" i="22"/>
  <c r="GF30" i="22"/>
  <c r="GG30" i="22"/>
  <c r="GH30" i="22"/>
  <c r="GI30" i="22"/>
  <c r="GJ30" i="22"/>
  <c r="GK30" i="22"/>
  <c r="GL30" i="22"/>
  <c r="GM30" i="22"/>
  <c r="GN30" i="22"/>
  <c r="GO30" i="22"/>
  <c r="GP30" i="22"/>
  <c r="GQ30" i="22"/>
  <c r="GR30" i="22"/>
  <c r="GS30" i="22"/>
  <c r="GT30" i="22"/>
  <c r="GU30" i="22"/>
  <c r="GV30" i="22"/>
  <c r="GW30" i="22"/>
  <c r="GX30" i="22"/>
  <c r="GY30" i="22"/>
  <c r="GZ30" i="22"/>
  <c r="HA30" i="22"/>
  <c r="HB30" i="22"/>
  <c r="HC30" i="22"/>
  <c r="HD30" i="22"/>
  <c r="HE30" i="22"/>
  <c r="HF30" i="22"/>
  <c r="HG30" i="22"/>
  <c r="HH30" i="22"/>
  <c r="HI30" i="22"/>
  <c r="HJ30" i="22"/>
  <c r="HK30" i="22"/>
  <c r="HL30" i="22"/>
  <c r="HM30" i="22"/>
  <c r="HN30" i="22"/>
  <c r="HO30" i="22"/>
  <c r="HP30" i="22"/>
  <c r="HQ30" i="22"/>
  <c r="HR30" i="22"/>
  <c r="HS30" i="22"/>
  <c r="HT30" i="22"/>
  <c r="HU30" i="22"/>
  <c r="HV30" i="22"/>
  <c r="HW30" i="22"/>
  <c r="HX30" i="22"/>
  <c r="HY30" i="22"/>
  <c r="HZ30" i="22"/>
  <c r="IA30" i="22"/>
  <c r="IB30" i="22"/>
  <c r="IC30" i="22"/>
  <c r="ID30" i="22"/>
  <c r="IE30" i="22"/>
  <c r="IF30" i="22"/>
  <c r="IG30" i="22"/>
  <c r="IH30" i="22"/>
  <c r="II30" i="22"/>
  <c r="IJ30" i="22"/>
  <c r="IK30" i="22"/>
  <c r="IL30" i="22"/>
  <c r="IM30" i="22"/>
  <c r="IN30" i="22"/>
  <c r="IO30" i="22"/>
  <c r="IP30" i="22"/>
  <c r="IQ30" i="22"/>
  <c r="IR30" i="22"/>
  <c r="IS30" i="22"/>
  <c r="IT30" i="22"/>
  <c r="IU30" i="22"/>
  <c r="IV30" i="22"/>
  <c r="IW30" i="22"/>
  <c r="IX30" i="22"/>
  <c r="IY30" i="22"/>
  <c r="IZ30" i="22"/>
  <c r="JA30" i="22"/>
  <c r="JB30" i="22"/>
  <c r="JC30" i="22"/>
  <c r="JD30" i="22"/>
  <c r="JE30" i="22"/>
  <c r="JF30" i="22"/>
  <c r="JG30" i="22"/>
  <c r="JH30" i="22"/>
  <c r="JI30" i="22"/>
  <c r="JJ30" i="22"/>
  <c r="JK30" i="22"/>
  <c r="JL30" i="22"/>
  <c r="JM30" i="22"/>
  <c r="JN30" i="22"/>
  <c r="JO30" i="22"/>
  <c r="JP30" i="22"/>
  <c r="JQ30" i="22"/>
  <c r="JR30" i="22"/>
  <c r="JS30" i="22"/>
  <c r="JT30" i="22"/>
  <c r="JU30" i="22"/>
  <c r="JV30" i="22"/>
  <c r="JW30" i="22"/>
  <c r="JX30" i="22"/>
  <c r="JY30" i="22"/>
  <c r="JZ30" i="22"/>
  <c r="KA30" i="22"/>
  <c r="KB30" i="22"/>
  <c r="KC30" i="22"/>
  <c r="KD30" i="22"/>
  <c r="KE30" i="22"/>
  <c r="KF30" i="22"/>
  <c r="KG30" i="22"/>
  <c r="KH30" i="22"/>
  <c r="KI30" i="22"/>
  <c r="KJ30" i="22"/>
  <c r="KK30" i="22"/>
  <c r="KL30" i="22"/>
  <c r="KM30" i="22"/>
  <c r="KN30" i="22"/>
  <c r="KO30" i="22"/>
  <c r="KP30" i="22"/>
  <c r="KQ30" i="22"/>
  <c r="KR30" i="22"/>
  <c r="KS30" i="22"/>
  <c r="KT30" i="22"/>
  <c r="KU30" i="22"/>
  <c r="KV30" i="22"/>
  <c r="KW30" i="22"/>
  <c r="KX30" i="22"/>
  <c r="KY30" i="22"/>
  <c r="KZ30" i="22"/>
  <c r="LA30" i="22"/>
  <c r="LB30" i="22"/>
  <c r="LC30" i="22"/>
  <c r="LD30" i="22"/>
  <c r="LE30" i="22"/>
  <c r="LF30" i="22"/>
  <c r="LG30" i="22"/>
  <c r="LH30" i="22"/>
  <c r="LI30" i="22"/>
  <c r="LJ30" i="22"/>
  <c r="LK30" i="22"/>
  <c r="LL30" i="22"/>
  <c r="LM30" i="22"/>
  <c r="LN30" i="22"/>
  <c r="LO30" i="22"/>
  <c r="LP30" i="22"/>
  <c r="LQ30" i="22"/>
  <c r="LR30" i="22"/>
  <c r="LS30" i="22"/>
  <c r="LT30" i="22"/>
  <c r="LU30" i="22"/>
  <c r="LV30" i="22"/>
  <c r="LW30" i="22"/>
  <c r="LX30" i="22"/>
  <c r="LY30" i="22"/>
  <c r="LZ30" i="22"/>
  <c r="MA30" i="22"/>
  <c r="MB30" i="22"/>
  <c r="MC30" i="22"/>
  <c r="MD30" i="22"/>
  <c r="ME30" i="22"/>
  <c r="MF30" i="22"/>
  <c r="MG30" i="22"/>
  <c r="MH30" i="22"/>
  <c r="MI30" i="22"/>
  <c r="MJ30" i="22"/>
  <c r="MK30" i="22"/>
  <c r="ML30" i="22"/>
  <c r="MM30" i="22"/>
  <c r="MN30" i="22"/>
  <c r="MO30" i="22"/>
  <c r="MP30" i="22"/>
  <c r="MQ30" i="22"/>
  <c r="MR30" i="22"/>
  <c r="MS30" i="22"/>
  <c r="MT30" i="22"/>
  <c r="MU30" i="22"/>
  <c r="MV30" i="22"/>
  <c r="MW30" i="22"/>
  <c r="MX30" i="22"/>
  <c r="MY30" i="22"/>
  <c r="MZ30" i="22"/>
  <c r="NA30" i="22"/>
  <c r="NB30" i="22"/>
  <c r="NS30" i="22"/>
  <c r="B31" i="22"/>
  <c r="C31" i="22"/>
  <c r="D31" i="22"/>
  <c r="E31" i="22"/>
  <c r="F31" i="22"/>
  <c r="G31" i="22"/>
  <c r="H31" i="22"/>
  <c r="I31" i="22"/>
  <c r="J31" i="22"/>
  <c r="K31" i="22"/>
  <c r="L31" i="22"/>
  <c r="M31" i="22"/>
  <c r="N31" i="22"/>
  <c r="O31" i="22"/>
  <c r="P31" i="22"/>
  <c r="Q31" i="22"/>
  <c r="R31" i="22"/>
  <c r="S31" i="22"/>
  <c r="T31" i="22"/>
  <c r="U31" i="22"/>
  <c r="V31" i="22"/>
  <c r="W31" i="22"/>
  <c r="X31" i="22"/>
  <c r="Y31" i="22"/>
  <c r="Z31" i="22"/>
  <c r="AA31" i="22"/>
  <c r="AB31" i="22"/>
  <c r="AC31" i="22"/>
  <c r="AD31" i="22"/>
  <c r="AE31" i="22"/>
  <c r="AF31" i="22"/>
  <c r="AG31" i="22"/>
  <c r="AH31" i="22"/>
  <c r="AI31" i="22"/>
  <c r="AJ31" i="22"/>
  <c r="AK31" i="22"/>
  <c r="AL31" i="22"/>
  <c r="AM31" i="22"/>
  <c r="AN31" i="22"/>
  <c r="AO31" i="22"/>
  <c r="AP31" i="22"/>
  <c r="AQ31" i="22"/>
  <c r="AR31" i="22"/>
  <c r="AS31" i="22"/>
  <c r="AT31" i="22"/>
  <c r="AU31" i="22"/>
  <c r="AV31" i="22"/>
  <c r="AW31" i="22"/>
  <c r="AX31" i="22"/>
  <c r="AY31" i="22"/>
  <c r="AZ31" i="22"/>
  <c r="BA31" i="22"/>
  <c r="BB31" i="22"/>
  <c r="BC31" i="22"/>
  <c r="BD31" i="22"/>
  <c r="BE31" i="22"/>
  <c r="BF31" i="22"/>
  <c r="BG31" i="22"/>
  <c r="BH31" i="22"/>
  <c r="BJ31" i="22"/>
  <c r="BK31" i="22"/>
  <c r="BL31" i="22"/>
  <c r="BM31" i="22"/>
  <c r="BN31" i="22"/>
  <c r="BO31" i="22"/>
  <c r="BP31" i="22"/>
  <c r="BQ31" i="22"/>
  <c r="BR31" i="22"/>
  <c r="BS31" i="22"/>
  <c r="BT31" i="22"/>
  <c r="BU31" i="22"/>
  <c r="BV31" i="22"/>
  <c r="BW31" i="22"/>
  <c r="BX31" i="22"/>
  <c r="BY31" i="22"/>
  <c r="BZ31" i="22"/>
  <c r="CA31" i="22"/>
  <c r="CB31" i="22"/>
  <c r="CC31" i="22"/>
  <c r="CD31" i="22"/>
  <c r="CE31" i="22"/>
  <c r="CF31" i="22"/>
  <c r="CG31" i="22"/>
  <c r="CH31" i="22"/>
  <c r="CI31" i="22"/>
  <c r="CJ31" i="22"/>
  <c r="CK31" i="22"/>
  <c r="CL31" i="22"/>
  <c r="CM31" i="22"/>
  <c r="CN31" i="22"/>
  <c r="CO31" i="22"/>
  <c r="CP31" i="22"/>
  <c r="CQ31" i="22"/>
  <c r="CR31" i="22"/>
  <c r="CS31" i="22"/>
  <c r="CT31" i="22"/>
  <c r="CU31" i="22"/>
  <c r="CV31" i="22"/>
  <c r="CW31" i="22"/>
  <c r="CX31" i="22"/>
  <c r="CY31" i="22"/>
  <c r="CZ31" i="22"/>
  <c r="DA31" i="22"/>
  <c r="DB31" i="22"/>
  <c r="DC31" i="22"/>
  <c r="DD31" i="22"/>
  <c r="DE31" i="22"/>
  <c r="DF31" i="22"/>
  <c r="DG31" i="22"/>
  <c r="DH31" i="22"/>
  <c r="DI31" i="22"/>
  <c r="DJ31" i="22"/>
  <c r="DK31" i="22"/>
  <c r="DL31" i="22"/>
  <c r="DM31" i="22"/>
  <c r="DN31" i="22"/>
  <c r="DO31" i="22"/>
  <c r="DP31" i="22"/>
  <c r="DQ31" i="22"/>
  <c r="DR31" i="22"/>
  <c r="DS31" i="22"/>
  <c r="DT31" i="22"/>
  <c r="DU31" i="22"/>
  <c r="DV31" i="22"/>
  <c r="DW31" i="22"/>
  <c r="DX31" i="22"/>
  <c r="DY31" i="22"/>
  <c r="DZ31" i="22"/>
  <c r="EA31" i="22"/>
  <c r="EB31" i="22"/>
  <c r="EC31" i="22"/>
  <c r="ED31" i="22"/>
  <c r="EE31" i="22"/>
  <c r="EF31" i="22"/>
  <c r="EG31" i="22"/>
  <c r="EH31" i="22"/>
  <c r="EI31" i="22"/>
  <c r="EJ31" i="22"/>
  <c r="EK31" i="22"/>
  <c r="EL31" i="22"/>
  <c r="EM31" i="22"/>
  <c r="EN31" i="22"/>
  <c r="EO31" i="22"/>
  <c r="EP31" i="22"/>
  <c r="EQ31" i="22"/>
  <c r="ER31" i="22"/>
  <c r="ES31" i="22"/>
  <c r="ET31" i="22"/>
  <c r="EU31" i="22"/>
  <c r="EV31" i="22"/>
  <c r="EW31" i="22"/>
  <c r="EX31" i="22"/>
  <c r="EY31" i="22"/>
  <c r="EZ31" i="22"/>
  <c r="FA31" i="22"/>
  <c r="FB31" i="22"/>
  <c r="FC31" i="22"/>
  <c r="FD31" i="22"/>
  <c r="FE31" i="22"/>
  <c r="FF31" i="22"/>
  <c r="FG31" i="22"/>
  <c r="FH31" i="22"/>
  <c r="FI31" i="22"/>
  <c r="FJ31" i="22"/>
  <c r="FK31" i="22"/>
  <c r="FL31" i="22"/>
  <c r="FM31" i="22"/>
  <c r="FN31" i="22"/>
  <c r="FO31" i="22"/>
  <c r="FP31" i="22"/>
  <c r="FQ31" i="22"/>
  <c r="FR31" i="22"/>
  <c r="FS31" i="22"/>
  <c r="FT31" i="22"/>
  <c r="FU31" i="22"/>
  <c r="FV31" i="22"/>
  <c r="FW31" i="22"/>
  <c r="FX31" i="22"/>
  <c r="FY31" i="22"/>
  <c r="FZ31" i="22"/>
  <c r="GA31" i="22"/>
  <c r="GB31" i="22"/>
  <c r="GC31" i="22"/>
  <c r="GD31" i="22"/>
  <c r="GE31" i="22"/>
  <c r="GF31" i="22"/>
  <c r="GG31" i="22"/>
  <c r="GH31" i="22"/>
  <c r="GI31" i="22"/>
  <c r="GJ31" i="22"/>
  <c r="GK31" i="22"/>
  <c r="GL31" i="22"/>
  <c r="GM31" i="22"/>
  <c r="GN31" i="22"/>
  <c r="GO31" i="22"/>
  <c r="GP31" i="22"/>
  <c r="GQ31" i="22"/>
  <c r="GR31" i="22"/>
  <c r="GS31" i="22"/>
  <c r="GT31" i="22"/>
  <c r="GU31" i="22"/>
  <c r="GV31" i="22"/>
  <c r="GW31" i="22"/>
  <c r="GX31" i="22"/>
  <c r="GY31" i="22"/>
  <c r="GZ31" i="22"/>
  <c r="HA31" i="22"/>
  <c r="HB31" i="22"/>
  <c r="HC31" i="22"/>
  <c r="HD31" i="22"/>
  <c r="HE31" i="22"/>
  <c r="HF31" i="22"/>
  <c r="HG31" i="22"/>
  <c r="HH31" i="22"/>
  <c r="HI31" i="22"/>
  <c r="HJ31" i="22"/>
  <c r="HK31" i="22"/>
  <c r="HL31" i="22"/>
  <c r="HM31" i="22"/>
  <c r="HN31" i="22"/>
  <c r="HO31" i="22"/>
  <c r="HP31" i="22"/>
  <c r="HQ31" i="22"/>
  <c r="HR31" i="22"/>
  <c r="HS31" i="22"/>
  <c r="HT31" i="22"/>
  <c r="HU31" i="22"/>
  <c r="HV31" i="22"/>
  <c r="HW31" i="22"/>
  <c r="HX31" i="22"/>
  <c r="HY31" i="22"/>
  <c r="HZ31" i="22"/>
  <c r="IA31" i="22"/>
  <c r="IB31" i="22"/>
  <c r="IC31" i="22"/>
  <c r="ID31" i="22"/>
  <c r="IE31" i="22"/>
  <c r="IF31" i="22"/>
  <c r="IG31" i="22"/>
  <c r="IH31" i="22"/>
  <c r="II31" i="22"/>
  <c r="IJ31" i="22"/>
  <c r="IK31" i="22"/>
  <c r="IL31" i="22"/>
  <c r="IM31" i="22"/>
  <c r="IN31" i="22"/>
  <c r="IO31" i="22"/>
  <c r="IP31" i="22"/>
  <c r="IQ31" i="22"/>
  <c r="IR31" i="22"/>
  <c r="IS31" i="22"/>
  <c r="IT31" i="22"/>
  <c r="IU31" i="22"/>
  <c r="IV31" i="22"/>
  <c r="IW31" i="22"/>
  <c r="IX31" i="22"/>
  <c r="IY31" i="22"/>
  <c r="IZ31" i="22"/>
  <c r="JA31" i="22"/>
  <c r="JB31" i="22"/>
  <c r="JC31" i="22"/>
  <c r="JD31" i="22"/>
  <c r="JE31" i="22"/>
  <c r="JF31" i="22"/>
  <c r="JG31" i="22"/>
  <c r="JH31" i="22"/>
  <c r="JI31" i="22"/>
  <c r="JJ31" i="22"/>
  <c r="JK31" i="22"/>
  <c r="JL31" i="22"/>
  <c r="JM31" i="22"/>
  <c r="JN31" i="22"/>
  <c r="JO31" i="22"/>
  <c r="JP31" i="22"/>
  <c r="JQ31" i="22"/>
  <c r="JR31" i="22"/>
  <c r="JS31" i="22"/>
  <c r="JT31" i="22"/>
  <c r="JU31" i="22"/>
  <c r="JV31" i="22"/>
  <c r="JW31" i="22"/>
  <c r="JX31" i="22"/>
  <c r="JY31" i="22"/>
  <c r="JZ31" i="22"/>
  <c r="KA31" i="22"/>
  <c r="KB31" i="22"/>
  <c r="KC31" i="22"/>
  <c r="KD31" i="22"/>
  <c r="KE31" i="22"/>
  <c r="KF31" i="22"/>
  <c r="KG31" i="22"/>
  <c r="KH31" i="22"/>
  <c r="KI31" i="22"/>
  <c r="KJ31" i="22"/>
  <c r="KK31" i="22"/>
  <c r="KL31" i="22"/>
  <c r="KM31" i="22"/>
  <c r="KN31" i="22"/>
  <c r="KO31" i="22"/>
  <c r="KP31" i="22"/>
  <c r="KQ31" i="22"/>
  <c r="KR31" i="22"/>
  <c r="KS31" i="22"/>
  <c r="KT31" i="22"/>
  <c r="KU31" i="22"/>
  <c r="KV31" i="22"/>
  <c r="KW31" i="22"/>
  <c r="KX31" i="22"/>
  <c r="KY31" i="22"/>
  <c r="KZ31" i="22"/>
  <c r="LA31" i="22"/>
  <c r="LB31" i="22"/>
  <c r="LC31" i="22"/>
  <c r="LD31" i="22"/>
  <c r="LE31" i="22"/>
  <c r="LF31" i="22"/>
  <c r="LG31" i="22"/>
  <c r="LH31" i="22"/>
  <c r="LI31" i="22"/>
  <c r="LJ31" i="22"/>
  <c r="LK31" i="22"/>
  <c r="LL31" i="22"/>
  <c r="LM31" i="22"/>
  <c r="LN31" i="22"/>
  <c r="LO31" i="22"/>
  <c r="LP31" i="22"/>
  <c r="LQ31" i="22"/>
  <c r="LR31" i="22"/>
  <c r="LS31" i="22"/>
  <c r="LT31" i="22"/>
  <c r="LU31" i="22"/>
  <c r="LV31" i="22"/>
  <c r="LW31" i="22"/>
  <c r="LX31" i="22"/>
  <c r="LY31" i="22"/>
  <c r="LZ31" i="22"/>
  <c r="MA31" i="22"/>
  <c r="MB31" i="22"/>
  <c r="MC31" i="22"/>
  <c r="MD31" i="22"/>
  <c r="ME31" i="22"/>
  <c r="MF31" i="22"/>
  <c r="MG31" i="22"/>
  <c r="MH31" i="22"/>
  <c r="MI31" i="22"/>
  <c r="MJ31" i="22"/>
  <c r="MK31" i="22"/>
  <c r="ML31" i="22"/>
  <c r="MM31" i="22"/>
  <c r="MN31" i="22"/>
  <c r="MO31" i="22"/>
  <c r="MP31" i="22"/>
  <c r="MQ31" i="22"/>
  <c r="MR31" i="22"/>
  <c r="MS31" i="22"/>
  <c r="MT31" i="22"/>
  <c r="MU31" i="22"/>
  <c r="MV31" i="22"/>
  <c r="MW31" i="22"/>
  <c r="MX31" i="22"/>
  <c r="MY31" i="22"/>
  <c r="MZ31" i="22"/>
  <c r="NA31" i="22"/>
  <c r="NB31" i="22"/>
  <c r="NS31" i="22"/>
  <c r="B32" i="22"/>
  <c r="C32" i="22"/>
  <c r="D32" i="22"/>
  <c r="E32" i="22"/>
  <c r="F32" i="22"/>
  <c r="G32" i="22"/>
  <c r="H32" i="22"/>
  <c r="I32" i="22"/>
  <c r="J32" i="22"/>
  <c r="K32" i="22"/>
  <c r="L32" i="22"/>
  <c r="M32" i="22"/>
  <c r="N32" i="22"/>
  <c r="O32" i="22"/>
  <c r="P32" i="22"/>
  <c r="Q32" i="22"/>
  <c r="R32" i="22"/>
  <c r="S32" i="22"/>
  <c r="T32" i="22"/>
  <c r="U32" i="22"/>
  <c r="V32" i="22"/>
  <c r="W32" i="22"/>
  <c r="X32" i="22"/>
  <c r="Y32" i="22"/>
  <c r="Z32" i="22"/>
  <c r="AA32" i="22"/>
  <c r="AB32" i="22"/>
  <c r="AC32" i="22"/>
  <c r="AD32" i="22"/>
  <c r="AE32" i="22"/>
  <c r="AF32" i="22"/>
  <c r="AG32" i="22"/>
  <c r="AH32" i="22"/>
  <c r="AI32" i="22"/>
  <c r="AJ32" i="22"/>
  <c r="AK32" i="22"/>
  <c r="AL32" i="22"/>
  <c r="AM32" i="22"/>
  <c r="AN32" i="22"/>
  <c r="AO32" i="22"/>
  <c r="AP32" i="22"/>
  <c r="AQ32" i="22"/>
  <c r="AR32" i="22"/>
  <c r="AS32" i="22"/>
  <c r="AT32" i="22"/>
  <c r="AU32" i="22"/>
  <c r="AV32" i="22"/>
  <c r="AW32" i="22"/>
  <c r="AX32" i="22"/>
  <c r="AY32" i="22"/>
  <c r="AZ32" i="22"/>
  <c r="BA32" i="22"/>
  <c r="BB32" i="22"/>
  <c r="BC32" i="22"/>
  <c r="BD32" i="22"/>
  <c r="BE32" i="22"/>
  <c r="BF32" i="22"/>
  <c r="BG32" i="22"/>
  <c r="BH32" i="22"/>
  <c r="BJ32" i="22"/>
  <c r="BK32" i="22"/>
  <c r="BL32" i="22"/>
  <c r="BM32" i="22"/>
  <c r="BN32" i="22"/>
  <c r="BO32" i="22"/>
  <c r="BP32" i="22"/>
  <c r="BQ32" i="22"/>
  <c r="BR32" i="22"/>
  <c r="BS32" i="22"/>
  <c r="BT32" i="22"/>
  <c r="BU32" i="22"/>
  <c r="BV32" i="22"/>
  <c r="BW32" i="22"/>
  <c r="BX32" i="22"/>
  <c r="BY32" i="22"/>
  <c r="BZ32" i="22"/>
  <c r="CA32" i="22"/>
  <c r="CB32" i="22"/>
  <c r="CC32" i="22"/>
  <c r="CD32" i="22"/>
  <c r="CE32" i="22"/>
  <c r="CF32" i="22"/>
  <c r="CG32" i="22"/>
  <c r="CH32" i="22"/>
  <c r="CI32" i="22"/>
  <c r="CJ32" i="22"/>
  <c r="CK32" i="22"/>
  <c r="CL32" i="22"/>
  <c r="CM32" i="22"/>
  <c r="CN32" i="22"/>
  <c r="CO32" i="22"/>
  <c r="CP32" i="22"/>
  <c r="CQ32" i="22"/>
  <c r="CR32" i="22"/>
  <c r="CS32" i="22"/>
  <c r="CT32" i="22"/>
  <c r="CU32" i="22"/>
  <c r="CV32" i="22"/>
  <c r="CW32" i="22"/>
  <c r="CX32" i="22"/>
  <c r="CY32" i="22"/>
  <c r="CZ32" i="22"/>
  <c r="DA32" i="22"/>
  <c r="DB32" i="22"/>
  <c r="DC32" i="22"/>
  <c r="DD32" i="22"/>
  <c r="DE32" i="22"/>
  <c r="DF32" i="22"/>
  <c r="DG32" i="22"/>
  <c r="DH32" i="22"/>
  <c r="DI32" i="22"/>
  <c r="DJ32" i="22"/>
  <c r="DK32" i="22"/>
  <c r="DL32" i="22"/>
  <c r="DM32" i="22"/>
  <c r="DN32" i="22"/>
  <c r="DO32" i="22"/>
  <c r="DP32" i="22"/>
  <c r="DQ32" i="22"/>
  <c r="DR32" i="22"/>
  <c r="DS32" i="22"/>
  <c r="DT32" i="22"/>
  <c r="DU32" i="22"/>
  <c r="DV32" i="22"/>
  <c r="DW32" i="22"/>
  <c r="DX32" i="22"/>
  <c r="DY32" i="22"/>
  <c r="DZ32" i="22"/>
  <c r="EA32" i="22"/>
  <c r="EB32" i="22"/>
  <c r="EC32" i="22"/>
  <c r="ED32" i="22"/>
  <c r="EE32" i="22"/>
  <c r="EF32" i="22"/>
  <c r="EG32" i="22"/>
  <c r="EH32" i="22"/>
  <c r="EI32" i="22"/>
  <c r="EJ32" i="22"/>
  <c r="EK32" i="22"/>
  <c r="EL32" i="22"/>
  <c r="EM32" i="22"/>
  <c r="EN32" i="22"/>
  <c r="EO32" i="22"/>
  <c r="EP32" i="22"/>
  <c r="EQ32" i="22"/>
  <c r="ER32" i="22"/>
  <c r="ES32" i="22"/>
  <c r="ET32" i="22"/>
  <c r="EU32" i="22"/>
  <c r="EV32" i="22"/>
  <c r="EW32" i="22"/>
  <c r="EX32" i="22"/>
  <c r="EY32" i="22"/>
  <c r="EZ32" i="22"/>
  <c r="FA32" i="22"/>
  <c r="FB32" i="22"/>
  <c r="FC32" i="22"/>
  <c r="FD32" i="22"/>
  <c r="FE32" i="22"/>
  <c r="FF32" i="22"/>
  <c r="FG32" i="22"/>
  <c r="FH32" i="22"/>
  <c r="FI32" i="22"/>
  <c r="FJ32" i="22"/>
  <c r="FK32" i="22"/>
  <c r="FL32" i="22"/>
  <c r="FM32" i="22"/>
  <c r="FN32" i="22"/>
  <c r="FO32" i="22"/>
  <c r="FP32" i="22"/>
  <c r="FQ32" i="22"/>
  <c r="FR32" i="22"/>
  <c r="FS32" i="22"/>
  <c r="FT32" i="22"/>
  <c r="FU32" i="22"/>
  <c r="FV32" i="22"/>
  <c r="FW32" i="22"/>
  <c r="FX32" i="22"/>
  <c r="FY32" i="22"/>
  <c r="FZ32" i="22"/>
  <c r="GA32" i="22"/>
  <c r="GB32" i="22"/>
  <c r="GC32" i="22"/>
  <c r="GD32" i="22"/>
  <c r="GE32" i="22"/>
  <c r="GF32" i="22"/>
  <c r="GG32" i="22"/>
  <c r="GH32" i="22"/>
  <c r="GI32" i="22"/>
  <c r="GJ32" i="22"/>
  <c r="GK32" i="22"/>
  <c r="GL32" i="22"/>
  <c r="GM32" i="22"/>
  <c r="GN32" i="22"/>
  <c r="GO32" i="22"/>
  <c r="GP32" i="22"/>
  <c r="GQ32" i="22"/>
  <c r="GR32" i="22"/>
  <c r="GS32" i="22"/>
  <c r="GT32" i="22"/>
  <c r="GU32" i="22"/>
  <c r="GV32" i="22"/>
  <c r="GW32" i="22"/>
  <c r="GX32" i="22"/>
  <c r="GY32" i="22"/>
  <c r="GZ32" i="22"/>
  <c r="HA32" i="22"/>
  <c r="HB32" i="22"/>
  <c r="HC32" i="22"/>
  <c r="HD32" i="22"/>
  <c r="HE32" i="22"/>
  <c r="HF32" i="22"/>
  <c r="HG32" i="22"/>
  <c r="HH32" i="22"/>
  <c r="HI32" i="22"/>
  <c r="HJ32" i="22"/>
  <c r="HK32" i="22"/>
  <c r="HL32" i="22"/>
  <c r="HM32" i="22"/>
  <c r="HN32" i="22"/>
  <c r="HO32" i="22"/>
  <c r="HP32" i="22"/>
  <c r="HQ32" i="22"/>
  <c r="HR32" i="22"/>
  <c r="HS32" i="22"/>
  <c r="HT32" i="22"/>
  <c r="HU32" i="22"/>
  <c r="HV32" i="22"/>
  <c r="HW32" i="22"/>
  <c r="HX32" i="22"/>
  <c r="HY32" i="22"/>
  <c r="HZ32" i="22"/>
  <c r="IA32" i="22"/>
  <c r="IB32" i="22"/>
  <c r="IC32" i="22"/>
  <c r="ID32" i="22"/>
  <c r="IE32" i="22"/>
  <c r="IF32" i="22"/>
  <c r="IG32" i="22"/>
  <c r="IH32" i="22"/>
  <c r="II32" i="22"/>
  <c r="IJ32" i="22"/>
  <c r="IK32" i="22"/>
  <c r="IL32" i="22"/>
  <c r="IM32" i="22"/>
  <c r="IN32" i="22"/>
  <c r="IO32" i="22"/>
  <c r="IP32" i="22"/>
  <c r="IQ32" i="22"/>
  <c r="IR32" i="22"/>
  <c r="IS32" i="22"/>
  <c r="IT32" i="22"/>
  <c r="IU32" i="22"/>
  <c r="IV32" i="22"/>
  <c r="IW32" i="22"/>
  <c r="IX32" i="22"/>
  <c r="IY32" i="22"/>
  <c r="IZ32" i="22"/>
  <c r="JA32" i="22"/>
  <c r="JB32" i="22"/>
  <c r="JC32" i="22"/>
  <c r="JD32" i="22"/>
  <c r="JE32" i="22"/>
  <c r="JF32" i="22"/>
  <c r="JG32" i="22"/>
  <c r="JH32" i="22"/>
  <c r="JI32" i="22"/>
  <c r="JJ32" i="22"/>
  <c r="JK32" i="22"/>
  <c r="JL32" i="22"/>
  <c r="JM32" i="22"/>
  <c r="JN32" i="22"/>
  <c r="JO32" i="22"/>
  <c r="JP32" i="22"/>
  <c r="JQ32" i="22"/>
  <c r="JR32" i="22"/>
  <c r="JS32" i="22"/>
  <c r="JT32" i="22"/>
  <c r="JU32" i="22"/>
  <c r="JV32" i="22"/>
  <c r="JW32" i="22"/>
  <c r="JX32" i="22"/>
  <c r="JY32" i="22"/>
  <c r="JZ32" i="22"/>
  <c r="KA32" i="22"/>
  <c r="KB32" i="22"/>
  <c r="KC32" i="22"/>
  <c r="KD32" i="22"/>
  <c r="KE32" i="22"/>
  <c r="KF32" i="22"/>
  <c r="KG32" i="22"/>
  <c r="KH32" i="22"/>
  <c r="KI32" i="22"/>
  <c r="KJ32" i="22"/>
  <c r="KK32" i="22"/>
  <c r="KL32" i="22"/>
  <c r="KM32" i="22"/>
  <c r="KN32" i="22"/>
  <c r="KO32" i="22"/>
  <c r="KP32" i="22"/>
  <c r="KQ32" i="22"/>
  <c r="KR32" i="22"/>
  <c r="KS32" i="22"/>
  <c r="KT32" i="22"/>
  <c r="KU32" i="22"/>
  <c r="KV32" i="22"/>
  <c r="KW32" i="22"/>
  <c r="KX32" i="22"/>
  <c r="KY32" i="22"/>
  <c r="KZ32" i="22"/>
  <c r="LA32" i="22"/>
  <c r="LB32" i="22"/>
  <c r="LC32" i="22"/>
  <c r="LD32" i="22"/>
  <c r="LE32" i="22"/>
  <c r="LF32" i="22"/>
  <c r="LG32" i="22"/>
  <c r="LH32" i="22"/>
  <c r="LI32" i="22"/>
  <c r="LJ32" i="22"/>
  <c r="LK32" i="22"/>
  <c r="LL32" i="22"/>
  <c r="LM32" i="22"/>
  <c r="LN32" i="22"/>
  <c r="LO32" i="22"/>
  <c r="LP32" i="22"/>
  <c r="LQ32" i="22"/>
  <c r="LR32" i="22"/>
  <c r="LS32" i="22"/>
  <c r="LT32" i="22"/>
  <c r="LU32" i="22"/>
  <c r="LV32" i="22"/>
  <c r="LW32" i="22"/>
  <c r="LX32" i="22"/>
  <c r="LY32" i="22"/>
  <c r="LZ32" i="22"/>
  <c r="MA32" i="22"/>
  <c r="MB32" i="22"/>
  <c r="MC32" i="22"/>
  <c r="MD32" i="22"/>
  <c r="ME32" i="22"/>
  <c r="MF32" i="22"/>
  <c r="MG32" i="22"/>
  <c r="MH32" i="22"/>
  <c r="MI32" i="22"/>
  <c r="MJ32" i="22"/>
  <c r="MK32" i="22"/>
  <c r="ML32" i="22"/>
  <c r="MM32" i="22"/>
  <c r="MN32" i="22"/>
  <c r="MO32" i="22"/>
  <c r="MP32" i="22"/>
  <c r="MQ32" i="22"/>
  <c r="MR32" i="22"/>
  <c r="MS32" i="22"/>
  <c r="MT32" i="22"/>
  <c r="MU32" i="22"/>
  <c r="MV32" i="22"/>
  <c r="MW32" i="22"/>
  <c r="MX32" i="22"/>
  <c r="MY32" i="22"/>
  <c r="MZ32" i="22"/>
  <c r="NA32" i="22"/>
  <c r="NB32" i="22"/>
  <c r="NS32" i="22"/>
  <c r="B33" i="22"/>
  <c r="C33" i="22"/>
  <c r="D33" i="22"/>
  <c r="E33" i="22"/>
  <c r="F33" i="22"/>
  <c r="G33" i="22"/>
  <c r="H33" i="22"/>
  <c r="I33" i="22"/>
  <c r="J33" i="22"/>
  <c r="K33" i="22"/>
  <c r="L33" i="22"/>
  <c r="M33" i="22"/>
  <c r="N33" i="22"/>
  <c r="O33" i="22"/>
  <c r="P33" i="22"/>
  <c r="Q33" i="22"/>
  <c r="R33" i="22"/>
  <c r="S33" i="22"/>
  <c r="T33" i="22"/>
  <c r="U33" i="22"/>
  <c r="V33" i="22"/>
  <c r="W33" i="22"/>
  <c r="X33" i="22"/>
  <c r="Y33" i="22"/>
  <c r="Z33" i="22"/>
  <c r="AA33" i="22"/>
  <c r="AB33" i="22"/>
  <c r="AC33" i="22"/>
  <c r="AD33" i="22"/>
  <c r="AE33" i="22"/>
  <c r="AF33" i="22"/>
  <c r="AG33" i="22"/>
  <c r="AH33" i="22"/>
  <c r="AI33" i="22"/>
  <c r="AJ33" i="22"/>
  <c r="AK33" i="22"/>
  <c r="AL33" i="22"/>
  <c r="AM33" i="22"/>
  <c r="AN33" i="22"/>
  <c r="AO33" i="22"/>
  <c r="AP33" i="22"/>
  <c r="AQ33" i="22"/>
  <c r="AR33" i="22"/>
  <c r="AS33" i="22"/>
  <c r="AT33" i="22"/>
  <c r="AU33" i="22"/>
  <c r="AV33" i="22"/>
  <c r="AW33" i="22"/>
  <c r="AX33" i="22"/>
  <c r="AY33" i="22"/>
  <c r="AZ33" i="22"/>
  <c r="BA33" i="22"/>
  <c r="BB33" i="22"/>
  <c r="BC33" i="22"/>
  <c r="BD33" i="22"/>
  <c r="BE33" i="22"/>
  <c r="BF33" i="22"/>
  <c r="BG33" i="22"/>
  <c r="BH33" i="22"/>
  <c r="BI33" i="22"/>
  <c r="BJ33" i="22"/>
  <c r="BK33" i="22"/>
  <c r="BL33" i="22"/>
  <c r="BM33" i="22"/>
  <c r="BN33" i="22"/>
  <c r="BO33" i="22"/>
  <c r="BP33" i="22"/>
  <c r="BQ33" i="22"/>
  <c r="BR33" i="22"/>
  <c r="BS33" i="22"/>
  <c r="BT33" i="22"/>
  <c r="BU33" i="22"/>
  <c r="BV33" i="22"/>
  <c r="BW33" i="22"/>
  <c r="BX33" i="22"/>
  <c r="BY33" i="22"/>
  <c r="BZ33" i="22"/>
  <c r="CA33" i="22"/>
  <c r="CB33" i="22"/>
  <c r="CC33" i="22"/>
  <c r="CD33" i="22"/>
  <c r="CE33" i="22"/>
  <c r="CF33" i="22"/>
  <c r="CG33" i="22"/>
  <c r="CH33" i="22"/>
  <c r="CI33" i="22"/>
  <c r="CJ33" i="22"/>
  <c r="CK33" i="22"/>
  <c r="CL33" i="22"/>
  <c r="CM33" i="22"/>
  <c r="CN33" i="22"/>
  <c r="CO33" i="22"/>
  <c r="CP33" i="22"/>
  <c r="CQ33" i="22"/>
  <c r="CR33" i="22"/>
  <c r="CS33" i="22"/>
  <c r="CT33" i="22"/>
  <c r="CU33" i="22"/>
  <c r="CV33" i="22"/>
  <c r="CW33" i="22"/>
  <c r="CX33" i="22"/>
  <c r="CY33" i="22"/>
  <c r="CZ33" i="22"/>
  <c r="DA33" i="22"/>
  <c r="DB33" i="22"/>
  <c r="DC33" i="22"/>
  <c r="DD33" i="22"/>
  <c r="DE33" i="22"/>
  <c r="DF33" i="22"/>
  <c r="DG33" i="22"/>
  <c r="DH33" i="22"/>
  <c r="DI33" i="22"/>
  <c r="DJ33" i="22"/>
  <c r="DK33" i="22"/>
  <c r="DL33" i="22"/>
  <c r="DM33" i="22"/>
  <c r="DN33" i="22"/>
  <c r="DO33" i="22"/>
  <c r="DP33" i="22"/>
  <c r="DQ33" i="22"/>
  <c r="DR33" i="22"/>
  <c r="DS33" i="22"/>
  <c r="DT33" i="22"/>
  <c r="DU33" i="22"/>
  <c r="DV33" i="22"/>
  <c r="DW33" i="22"/>
  <c r="DX33" i="22"/>
  <c r="DY33" i="22"/>
  <c r="DZ33" i="22"/>
  <c r="EA33" i="22"/>
  <c r="EB33" i="22"/>
  <c r="EC33" i="22"/>
  <c r="ED33" i="22"/>
  <c r="EE33" i="22"/>
  <c r="EF33" i="22"/>
  <c r="EG33" i="22"/>
  <c r="EH33" i="22"/>
  <c r="EI33" i="22"/>
  <c r="EJ33" i="22"/>
  <c r="EK33" i="22"/>
  <c r="EL33" i="22"/>
  <c r="EM33" i="22"/>
  <c r="EN33" i="22"/>
  <c r="EO33" i="22"/>
  <c r="EP33" i="22"/>
  <c r="EQ33" i="22"/>
  <c r="ER33" i="22"/>
  <c r="ES33" i="22"/>
  <c r="ET33" i="22"/>
  <c r="EU33" i="22"/>
  <c r="EV33" i="22"/>
  <c r="EW33" i="22"/>
  <c r="EX33" i="22"/>
  <c r="EY33" i="22"/>
  <c r="EZ33" i="22"/>
  <c r="FA33" i="22"/>
  <c r="FB33" i="22"/>
  <c r="FC33" i="22"/>
  <c r="FD33" i="22"/>
  <c r="FE33" i="22"/>
  <c r="FF33" i="22"/>
  <c r="FG33" i="22"/>
  <c r="FH33" i="22"/>
  <c r="FI33" i="22"/>
  <c r="FJ33" i="22"/>
  <c r="FK33" i="22"/>
  <c r="FL33" i="22"/>
  <c r="FM33" i="22"/>
  <c r="FN33" i="22"/>
  <c r="FO33" i="22"/>
  <c r="FP33" i="22"/>
  <c r="FQ33" i="22"/>
  <c r="FR33" i="22"/>
  <c r="FS33" i="22"/>
  <c r="FT33" i="22"/>
  <c r="FU33" i="22"/>
  <c r="FV33" i="22"/>
  <c r="FW33" i="22"/>
  <c r="FX33" i="22"/>
  <c r="FY33" i="22"/>
  <c r="FZ33" i="22"/>
  <c r="GA33" i="22"/>
  <c r="GB33" i="22"/>
  <c r="GC33" i="22"/>
  <c r="GD33" i="22"/>
  <c r="GE33" i="22"/>
  <c r="GF33" i="22"/>
  <c r="GG33" i="22"/>
  <c r="GH33" i="22"/>
  <c r="GI33" i="22"/>
  <c r="GJ33" i="22"/>
  <c r="GK33" i="22"/>
  <c r="GL33" i="22"/>
  <c r="GM33" i="22"/>
  <c r="GN33" i="22"/>
  <c r="GO33" i="22"/>
  <c r="GP33" i="22"/>
  <c r="GQ33" i="22"/>
  <c r="GR33" i="22"/>
  <c r="GS33" i="22"/>
  <c r="GT33" i="22"/>
  <c r="GU33" i="22"/>
  <c r="GV33" i="22"/>
  <c r="GW33" i="22"/>
  <c r="GX33" i="22"/>
  <c r="GY33" i="22"/>
  <c r="GZ33" i="22"/>
  <c r="HA33" i="22"/>
  <c r="HB33" i="22"/>
  <c r="HC33" i="22"/>
  <c r="HD33" i="22"/>
  <c r="HE33" i="22"/>
  <c r="HF33" i="22"/>
  <c r="HG33" i="22"/>
  <c r="HH33" i="22"/>
  <c r="HI33" i="22"/>
  <c r="HJ33" i="22"/>
  <c r="HK33" i="22"/>
  <c r="HL33" i="22"/>
  <c r="HM33" i="22"/>
  <c r="HN33" i="22"/>
  <c r="HO33" i="22"/>
  <c r="HP33" i="22"/>
  <c r="HQ33" i="22"/>
  <c r="HR33" i="22"/>
  <c r="HS33" i="22"/>
  <c r="HT33" i="22"/>
  <c r="HU33" i="22"/>
  <c r="HV33" i="22"/>
  <c r="HW33" i="22"/>
  <c r="HX33" i="22"/>
  <c r="HY33" i="22"/>
  <c r="HZ33" i="22"/>
  <c r="IA33" i="22"/>
  <c r="IB33" i="22"/>
  <c r="IC33" i="22"/>
  <c r="ID33" i="22"/>
  <c r="IE33" i="22"/>
  <c r="IF33" i="22"/>
  <c r="IG33" i="22"/>
  <c r="IH33" i="22"/>
  <c r="II33" i="22"/>
  <c r="IJ33" i="22"/>
  <c r="IK33" i="22"/>
  <c r="IL33" i="22"/>
  <c r="IM33" i="22"/>
  <c r="IN33" i="22"/>
  <c r="IO33" i="22"/>
  <c r="IP33" i="22"/>
  <c r="IQ33" i="22"/>
  <c r="IR33" i="22"/>
  <c r="IS33" i="22"/>
  <c r="IT33" i="22"/>
  <c r="IU33" i="22"/>
  <c r="IV33" i="22"/>
  <c r="IW33" i="22"/>
  <c r="IX33" i="22"/>
  <c r="IY33" i="22"/>
  <c r="IZ33" i="22"/>
  <c r="JA33" i="22"/>
  <c r="JB33" i="22"/>
  <c r="JC33" i="22"/>
  <c r="JD33" i="22"/>
  <c r="JE33" i="22"/>
  <c r="JF33" i="22"/>
  <c r="JG33" i="22"/>
  <c r="JH33" i="22"/>
  <c r="JI33" i="22"/>
  <c r="JJ33" i="22"/>
  <c r="JK33" i="22"/>
  <c r="JL33" i="22"/>
  <c r="JM33" i="22"/>
  <c r="JN33" i="22"/>
  <c r="JO33" i="22"/>
  <c r="JP33" i="22"/>
  <c r="JQ33" i="22"/>
  <c r="JR33" i="22"/>
  <c r="JS33" i="22"/>
  <c r="JT33" i="22"/>
  <c r="JU33" i="22"/>
  <c r="JV33" i="22"/>
  <c r="JW33" i="22"/>
  <c r="JX33" i="22"/>
  <c r="JY33" i="22"/>
  <c r="JZ33" i="22"/>
  <c r="KA33" i="22"/>
  <c r="KB33" i="22"/>
  <c r="KC33" i="22"/>
  <c r="KD33" i="22"/>
  <c r="KE33" i="22"/>
  <c r="KF33" i="22"/>
  <c r="KG33" i="22"/>
  <c r="KH33" i="22"/>
  <c r="KI33" i="22"/>
  <c r="KJ33" i="22"/>
  <c r="KK33" i="22"/>
  <c r="KL33" i="22"/>
  <c r="KM33" i="22"/>
  <c r="KN33" i="22"/>
  <c r="KO33" i="22"/>
  <c r="KP33" i="22"/>
  <c r="KQ33" i="22"/>
  <c r="KR33" i="22"/>
  <c r="KS33" i="22"/>
  <c r="KT33" i="22"/>
  <c r="KU33" i="22"/>
  <c r="KV33" i="22"/>
  <c r="KW33" i="22"/>
  <c r="KX33" i="22"/>
  <c r="KY33" i="22"/>
  <c r="KZ33" i="22"/>
  <c r="LA33" i="22"/>
  <c r="LB33" i="22"/>
  <c r="LC33" i="22"/>
  <c r="LD33" i="22"/>
  <c r="LE33" i="22"/>
  <c r="LF33" i="22"/>
  <c r="LG33" i="22"/>
  <c r="LH33" i="22"/>
  <c r="LI33" i="22"/>
  <c r="LJ33" i="22"/>
  <c r="LK33" i="22"/>
  <c r="LL33" i="22"/>
  <c r="LM33" i="22"/>
  <c r="LN33" i="22"/>
  <c r="LO33" i="22"/>
  <c r="LP33" i="22"/>
  <c r="LQ33" i="22"/>
  <c r="LR33" i="22"/>
  <c r="LS33" i="22"/>
  <c r="LT33" i="22"/>
  <c r="LU33" i="22"/>
  <c r="LV33" i="22"/>
  <c r="LW33" i="22"/>
  <c r="LX33" i="22"/>
  <c r="LY33" i="22"/>
  <c r="LZ33" i="22"/>
  <c r="MA33" i="22"/>
  <c r="MB33" i="22"/>
  <c r="MC33" i="22"/>
  <c r="MD33" i="22"/>
  <c r="ME33" i="22"/>
  <c r="MF33" i="22"/>
  <c r="MG33" i="22"/>
  <c r="MH33" i="22"/>
  <c r="MI33" i="22"/>
  <c r="MJ33" i="22"/>
  <c r="MK33" i="22"/>
  <c r="ML33" i="22"/>
  <c r="MM33" i="22"/>
  <c r="MN33" i="22"/>
  <c r="MO33" i="22"/>
  <c r="MP33" i="22"/>
  <c r="MQ33" i="22"/>
  <c r="MR33" i="22"/>
  <c r="MS33" i="22"/>
  <c r="MT33" i="22"/>
  <c r="MU33" i="22"/>
  <c r="MV33" i="22"/>
  <c r="MW33" i="22"/>
  <c r="MX33" i="22"/>
  <c r="MY33" i="22"/>
  <c r="MZ33" i="22"/>
  <c r="NA33" i="22"/>
  <c r="NB33" i="22"/>
  <c r="NC33" i="22"/>
  <c r="NS33" i="22"/>
  <c r="B34" i="22"/>
  <c r="C34" i="22"/>
  <c r="D34" i="22"/>
  <c r="E34" i="22"/>
  <c r="F34" i="22"/>
  <c r="G34" i="22"/>
  <c r="H34" i="22"/>
  <c r="I34" i="22"/>
  <c r="J34" i="22"/>
  <c r="K34" i="22"/>
  <c r="L34" i="22"/>
  <c r="M34" i="22"/>
  <c r="N34" i="22"/>
  <c r="O34" i="22"/>
  <c r="P34" i="22"/>
  <c r="Q34" i="22"/>
  <c r="R34" i="22"/>
  <c r="S34" i="22"/>
  <c r="T34" i="22"/>
  <c r="U34" i="22"/>
  <c r="V34" i="22"/>
  <c r="W34" i="22"/>
  <c r="X34" i="22"/>
  <c r="Y34" i="22"/>
  <c r="Z34" i="22"/>
  <c r="AA34" i="22"/>
  <c r="AB34" i="22"/>
  <c r="AC34" i="22"/>
  <c r="AD34" i="22"/>
  <c r="AE34" i="22"/>
  <c r="AF34" i="22"/>
  <c r="AG34" i="22"/>
  <c r="AH34" i="22"/>
  <c r="AI34" i="22"/>
  <c r="AJ34" i="22"/>
  <c r="AK34" i="22"/>
  <c r="AL34" i="22"/>
  <c r="AM34" i="22"/>
  <c r="AN34" i="22"/>
  <c r="AO34" i="22"/>
  <c r="AP34" i="22"/>
  <c r="AQ34" i="22"/>
  <c r="AR34" i="22"/>
  <c r="AS34" i="22"/>
  <c r="AT34" i="22"/>
  <c r="AU34" i="22"/>
  <c r="AV34" i="22"/>
  <c r="AW34" i="22"/>
  <c r="AX34" i="22"/>
  <c r="AY34" i="22"/>
  <c r="AZ34" i="22"/>
  <c r="BA34" i="22"/>
  <c r="BB34" i="22"/>
  <c r="BC34" i="22"/>
  <c r="BD34" i="22"/>
  <c r="BE34" i="22"/>
  <c r="BF34" i="22"/>
  <c r="BG34" i="22"/>
  <c r="BH34" i="22"/>
  <c r="BJ34" i="22"/>
  <c r="BK34" i="22"/>
  <c r="BL34" i="22"/>
  <c r="BM34" i="22"/>
  <c r="BN34" i="22"/>
  <c r="BO34" i="22"/>
  <c r="BP34" i="22"/>
  <c r="BQ34" i="22"/>
  <c r="BR34" i="22"/>
  <c r="BS34" i="22"/>
  <c r="BT34" i="22"/>
  <c r="BU34" i="22"/>
  <c r="BV34" i="22"/>
  <c r="BW34" i="22"/>
  <c r="BX34" i="22"/>
  <c r="BY34" i="22"/>
  <c r="BZ34" i="22"/>
  <c r="CA34" i="22"/>
  <c r="CB34" i="22"/>
  <c r="CC34" i="22"/>
  <c r="CD34" i="22"/>
  <c r="CE34" i="22"/>
  <c r="CF34" i="22"/>
  <c r="CG34" i="22"/>
  <c r="CH34" i="22"/>
  <c r="CI34" i="22"/>
  <c r="CJ34" i="22"/>
  <c r="CK34" i="22"/>
  <c r="CL34" i="22"/>
  <c r="CM34" i="22"/>
  <c r="CN34" i="22"/>
  <c r="CO34" i="22"/>
  <c r="CP34" i="22"/>
  <c r="CQ34" i="22"/>
  <c r="CR34" i="22"/>
  <c r="CS34" i="22"/>
  <c r="CT34" i="22"/>
  <c r="CU34" i="22"/>
  <c r="CV34" i="22"/>
  <c r="CW34" i="22"/>
  <c r="CX34" i="22"/>
  <c r="CY34" i="22"/>
  <c r="CZ34" i="22"/>
  <c r="DA34" i="22"/>
  <c r="DB34" i="22"/>
  <c r="DC34" i="22"/>
  <c r="DD34" i="22"/>
  <c r="DE34" i="22"/>
  <c r="DF34" i="22"/>
  <c r="DG34" i="22"/>
  <c r="DH34" i="22"/>
  <c r="DI34" i="22"/>
  <c r="DJ34" i="22"/>
  <c r="DK34" i="22"/>
  <c r="DL34" i="22"/>
  <c r="DM34" i="22"/>
  <c r="DN34" i="22"/>
  <c r="DO34" i="22"/>
  <c r="DP34" i="22"/>
  <c r="DQ34" i="22"/>
  <c r="DR34" i="22"/>
  <c r="DS34" i="22"/>
  <c r="DT34" i="22"/>
  <c r="DU34" i="22"/>
  <c r="DV34" i="22"/>
  <c r="DW34" i="22"/>
  <c r="DX34" i="22"/>
  <c r="DY34" i="22"/>
  <c r="DZ34" i="22"/>
  <c r="EA34" i="22"/>
  <c r="EB34" i="22"/>
  <c r="EC34" i="22"/>
  <c r="ED34" i="22"/>
  <c r="EE34" i="22"/>
  <c r="EF34" i="22"/>
  <c r="EG34" i="22"/>
  <c r="EH34" i="22"/>
  <c r="EI34" i="22"/>
  <c r="EJ34" i="22"/>
  <c r="EK34" i="22"/>
  <c r="EL34" i="22"/>
  <c r="EM34" i="22"/>
  <c r="EN34" i="22"/>
  <c r="EO34" i="22"/>
  <c r="EP34" i="22"/>
  <c r="EQ34" i="22"/>
  <c r="ER34" i="22"/>
  <c r="ES34" i="22"/>
  <c r="ET34" i="22"/>
  <c r="EU34" i="22"/>
  <c r="EV34" i="22"/>
  <c r="EW34" i="22"/>
  <c r="EX34" i="22"/>
  <c r="EY34" i="22"/>
  <c r="EZ34" i="22"/>
  <c r="FA34" i="22"/>
  <c r="FB34" i="22"/>
  <c r="FC34" i="22"/>
  <c r="FD34" i="22"/>
  <c r="FE34" i="22"/>
  <c r="FF34" i="22"/>
  <c r="FG34" i="22"/>
  <c r="FH34" i="22"/>
  <c r="FI34" i="22"/>
  <c r="FJ34" i="22"/>
  <c r="FK34" i="22"/>
  <c r="FL34" i="22"/>
  <c r="FM34" i="22"/>
  <c r="FN34" i="22"/>
  <c r="FO34" i="22"/>
  <c r="FP34" i="22"/>
  <c r="FQ34" i="22"/>
  <c r="FR34" i="22"/>
  <c r="FS34" i="22"/>
  <c r="FT34" i="22"/>
  <c r="FU34" i="22"/>
  <c r="FV34" i="22"/>
  <c r="FW34" i="22"/>
  <c r="FX34" i="22"/>
  <c r="FY34" i="22"/>
  <c r="FZ34" i="22"/>
  <c r="GA34" i="22"/>
  <c r="GB34" i="22"/>
  <c r="GC34" i="22"/>
  <c r="GD34" i="22"/>
  <c r="GE34" i="22"/>
  <c r="GF34" i="22"/>
  <c r="GG34" i="22"/>
  <c r="GH34" i="22"/>
  <c r="GI34" i="22"/>
  <c r="GJ34" i="22"/>
  <c r="GK34" i="22"/>
  <c r="GL34" i="22"/>
  <c r="GM34" i="22"/>
  <c r="GN34" i="22"/>
  <c r="GO34" i="22"/>
  <c r="GP34" i="22"/>
  <c r="GQ34" i="22"/>
  <c r="GR34" i="22"/>
  <c r="GS34" i="22"/>
  <c r="GT34" i="22"/>
  <c r="GU34" i="22"/>
  <c r="GV34" i="22"/>
  <c r="GW34" i="22"/>
  <c r="GX34" i="22"/>
  <c r="GY34" i="22"/>
  <c r="GZ34" i="22"/>
  <c r="HA34" i="22"/>
  <c r="HB34" i="22"/>
  <c r="HC34" i="22"/>
  <c r="HD34" i="22"/>
  <c r="HE34" i="22"/>
  <c r="HF34" i="22"/>
  <c r="HG34" i="22"/>
  <c r="HH34" i="22"/>
  <c r="HI34" i="22"/>
  <c r="HJ34" i="22"/>
  <c r="HK34" i="22"/>
  <c r="HL34" i="22"/>
  <c r="HM34" i="22"/>
  <c r="HN34" i="22"/>
  <c r="HO34" i="22"/>
  <c r="HP34" i="22"/>
  <c r="HQ34" i="22"/>
  <c r="HR34" i="22"/>
  <c r="HS34" i="22"/>
  <c r="HT34" i="22"/>
  <c r="HU34" i="22"/>
  <c r="HV34" i="22"/>
  <c r="HW34" i="22"/>
  <c r="HX34" i="22"/>
  <c r="HY34" i="22"/>
  <c r="HZ34" i="22"/>
  <c r="IA34" i="22"/>
  <c r="IB34" i="22"/>
  <c r="IC34" i="22"/>
  <c r="ID34" i="22"/>
  <c r="IE34" i="22"/>
  <c r="IF34" i="22"/>
  <c r="IG34" i="22"/>
  <c r="IH34" i="22"/>
  <c r="II34" i="22"/>
  <c r="IJ34" i="22"/>
  <c r="IK34" i="22"/>
  <c r="IL34" i="22"/>
  <c r="IM34" i="22"/>
  <c r="IN34" i="22"/>
  <c r="IO34" i="22"/>
  <c r="IP34" i="22"/>
  <c r="IQ34" i="22"/>
  <c r="IR34" i="22"/>
  <c r="IS34" i="22"/>
  <c r="IT34" i="22"/>
  <c r="IU34" i="22"/>
  <c r="IV34" i="22"/>
  <c r="IW34" i="22"/>
  <c r="IX34" i="22"/>
  <c r="IY34" i="22"/>
  <c r="IZ34" i="22"/>
  <c r="JA34" i="22"/>
  <c r="JB34" i="22"/>
  <c r="JC34" i="22"/>
  <c r="JD34" i="22"/>
  <c r="JE34" i="22"/>
  <c r="JF34" i="22"/>
  <c r="JG34" i="22"/>
  <c r="JH34" i="22"/>
  <c r="JI34" i="22"/>
  <c r="JJ34" i="22"/>
  <c r="JK34" i="22"/>
  <c r="JL34" i="22"/>
  <c r="JM34" i="22"/>
  <c r="JN34" i="22"/>
  <c r="JO34" i="22"/>
  <c r="JP34" i="22"/>
  <c r="JQ34" i="22"/>
  <c r="JR34" i="22"/>
  <c r="JS34" i="22"/>
  <c r="JT34" i="22"/>
  <c r="JU34" i="22"/>
  <c r="JV34" i="22"/>
  <c r="JW34" i="22"/>
  <c r="JX34" i="22"/>
  <c r="JY34" i="22"/>
  <c r="JZ34" i="22"/>
  <c r="KA34" i="22"/>
  <c r="KB34" i="22"/>
  <c r="KC34" i="22"/>
  <c r="KD34" i="22"/>
  <c r="KE34" i="22"/>
  <c r="KF34" i="22"/>
  <c r="KG34" i="22"/>
  <c r="KH34" i="22"/>
  <c r="KI34" i="22"/>
  <c r="KJ34" i="22"/>
  <c r="KK34" i="22"/>
  <c r="KL34" i="22"/>
  <c r="KM34" i="22"/>
  <c r="KN34" i="22"/>
  <c r="KO34" i="22"/>
  <c r="KP34" i="22"/>
  <c r="KQ34" i="22"/>
  <c r="KR34" i="22"/>
  <c r="KS34" i="22"/>
  <c r="KT34" i="22"/>
  <c r="KU34" i="22"/>
  <c r="KV34" i="22"/>
  <c r="KW34" i="22"/>
  <c r="KX34" i="22"/>
  <c r="KY34" i="22"/>
  <c r="KZ34" i="22"/>
  <c r="LA34" i="22"/>
  <c r="LB34" i="22"/>
  <c r="LC34" i="22"/>
  <c r="LD34" i="22"/>
  <c r="LE34" i="22"/>
  <c r="LF34" i="22"/>
  <c r="LG34" i="22"/>
  <c r="LH34" i="22"/>
  <c r="LI34" i="22"/>
  <c r="LJ34" i="22"/>
  <c r="LK34" i="22"/>
  <c r="LL34" i="22"/>
  <c r="LM34" i="22"/>
  <c r="LN34" i="22"/>
  <c r="LO34" i="22"/>
  <c r="LP34" i="22"/>
  <c r="LQ34" i="22"/>
  <c r="LR34" i="22"/>
  <c r="LS34" i="22"/>
  <c r="LT34" i="22"/>
  <c r="LU34" i="22"/>
  <c r="LV34" i="22"/>
  <c r="LW34" i="22"/>
  <c r="LX34" i="22"/>
  <c r="LY34" i="22"/>
  <c r="LZ34" i="22"/>
  <c r="MA34" i="22"/>
  <c r="MB34" i="22"/>
  <c r="MC34" i="22"/>
  <c r="MD34" i="22"/>
  <c r="ME34" i="22"/>
  <c r="MF34" i="22"/>
  <c r="MG34" i="22"/>
  <c r="MH34" i="22"/>
  <c r="MI34" i="22"/>
  <c r="MJ34" i="22"/>
  <c r="MK34" i="22"/>
  <c r="ML34" i="22"/>
  <c r="MM34" i="22"/>
  <c r="MN34" i="22"/>
  <c r="MO34" i="22"/>
  <c r="MP34" i="22"/>
  <c r="MQ34" i="22"/>
  <c r="MR34" i="22"/>
  <c r="MS34" i="22"/>
  <c r="MT34" i="22"/>
  <c r="MU34" i="22"/>
  <c r="MV34" i="22"/>
  <c r="MW34" i="22"/>
  <c r="MX34" i="22"/>
  <c r="MY34" i="22"/>
  <c r="MZ34" i="22"/>
  <c r="NA34" i="22"/>
  <c r="NB34" i="22"/>
  <c r="NS34" i="22"/>
  <c r="B35" i="22"/>
  <c r="C35" i="22"/>
  <c r="D35" i="22"/>
  <c r="E35" i="22"/>
  <c r="F35" i="22"/>
  <c r="G35" i="22"/>
  <c r="H35" i="22"/>
  <c r="I35" i="22"/>
  <c r="J35" i="22"/>
  <c r="K35" i="22"/>
  <c r="L35" i="22"/>
  <c r="M35" i="22"/>
  <c r="N35" i="22"/>
  <c r="O35" i="22"/>
  <c r="P35" i="22"/>
  <c r="Q35" i="22"/>
  <c r="R35" i="22"/>
  <c r="S35" i="22"/>
  <c r="T35" i="22"/>
  <c r="U35" i="22"/>
  <c r="V35" i="22"/>
  <c r="W35" i="22"/>
  <c r="X35" i="22"/>
  <c r="Y35" i="22"/>
  <c r="Z35" i="22"/>
  <c r="AA35" i="22"/>
  <c r="AB35" i="22"/>
  <c r="AC35" i="22"/>
  <c r="AD35" i="22"/>
  <c r="AE35" i="22"/>
  <c r="AF35" i="22"/>
  <c r="AG35" i="22"/>
  <c r="AH35" i="22"/>
  <c r="AI35" i="22"/>
  <c r="AJ35" i="22"/>
  <c r="AK35" i="22"/>
  <c r="AL35" i="22"/>
  <c r="AM35" i="22"/>
  <c r="AN35" i="22"/>
  <c r="AO35" i="22"/>
  <c r="AP35" i="22"/>
  <c r="AQ35" i="22"/>
  <c r="AR35" i="22"/>
  <c r="AS35" i="22"/>
  <c r="AT35" i="22"/>
  <c r="AU35" i="22"/>
  <c r="AV35" i="22"/>
  <c r="AW35" i="22"/>
  <c r="AX35" i="22"/>
  <c r="AY35" i="22"/>
  <c r="AZ35" i="22"/>
  <c r="BA35" i="22"/>
  <c r="BB35" i="22"/>
  <c r="BC35" i="22"/>
  <c r="BD35" i="22"/>
  <c r="BE35" i="22"/>
  <c r="BF35" i="22"/>
  <c r="BG35" i="22"/>
  <c r="BH35" i="22"/>
  <c r="BJ35" i="22"/>
  <c r="BK35" i="22"/>
  <c r="BL35" i="22"/>
  <c r="BM35" i="22"/>
  <c r="BN35" i="22"/>
  <c r="BO35" i="22"/>
  <c r="BP35" i="22"/>
  <c r="BQ35" i="22"/>
  <c r="BR35" i="22"/>
  <c r="BS35" i="22"/>
  <c r="BT35" i="22"/>
  <c r="BU35" i="22"/>
  <c r="BV35" i="22"/>
  <c r="BW35" i="22"/>
  <c r="BX35" i="22"/>
  <c r="BY35" i="22"/>
  <c r="BZ35" i="22"/>
  <c r="CA35" i="22"/>
  <c r="CB35" i="22"/>
  <c r="CC35" i="22"/>
  <c r="CD35" i="22"/>
  <c r="CE35" i="22"/>
  <c r="CF35" i="22"/>
  <c r="CG35" i="22"/>
  <c r="CH35" i="22"/>
  <c r="CI35" i="22"/>
  <c r="CJ35" i="22"/>
  <c r="CK35" i="22"/>
  <c r="CL35" i="22"/>
  <c r="CM35" i="22"/>
  <c r="CN35" i="22"/>
  <c r="CO35" i="22"/>
  <c r="CP35" i="22"/>
  <c r="CQ35" i="22"/>
  <c r="CR35" i="22"/>
  <c r="CS35" i="22"/>
  <c r="CT35" i="22"/>
  <c r="CU35" i="22"/>
  <c r="CV35" i="22"/>
  <c r="CW35" i="22"/>
  <c r="CX35" i="22"/>
  <c r="CY35" i="22"/>
  <c r="CZ35" i="22"/>
  <c r="DA35" i="22"/>
  <c r="DB35" i="22"/>
  <c r="DC35" i="22"/>
  <c r="DD35" i="22"/>
  <c r="DE35" i="22"/>
  <c r="DF35" i="22"/>
  <c r="DG35" i="22"/>
  <c r="DH35" i="22"/>
  <c r="DI35" i="22"/>
  <c r="DJ35" i="22"/>
  <c r="DK35" i="22"/>
  <c r="DL35" i="22"/>
  <c r="DM35" i="22"/>
  <c r="DN35" i="22"/>
  <c r="DO35" i="22"/>
  <c r="DP35" i="22"/>
  <c r="DQ35" i="22"/>
  <c r="DR35" i="22"/>
  <c r="DS35" i="22"/>
  <c r="DT35" i="22"/>
  <c r="DU35" i="22"/>
  <c r="DV35" i="22"/>
  <c r="DW35" i="22"/>
  <c r="DX35" i="22"/>
  <c r="DY35" i="22"/>
  <c r="DZ35" i="22"/>
  <c r="EA35" i="22"/>
  <c r="EB35" i="22"/>
  <c r="EC35" i="22"/>
  <c r="ED35" i="22"/>
  <c r="EE35" i="22"/>
  <c r="EF35" i="22"/>
  <c r="EG35" i="22"/>
  <c r="EH35" i="22"/>
  <c r="EI35" i="22"/>
  <c r="EJ35" i="22"/>
  <c r="EK35" i="22"/>
  <c r="EL35" i="22"/>
  <c r="EM35" i="22"/>
  <c r="EN35" i="22"/>
  <c r="EO35" i="22"/>
  <c r="EP35" i="22"/>
  <c r="EQ35" i="22"/>
  <c r="ER35" i="22"/>
  <c r="ES35" i="22"/>
  <c r="ET35" i="22"/>
  <c r="EU35" i="22"/>
  <c r="EV35" i="22"/>
  <c r="EW35" i="22"/>
  <c r="EX35" i="22"/>
  <c r="EY35" i="22"/>
  <c r="EZ35" i="22"/>
  <c r="FA35" i="22"/>
  <c r="FB35" i="22"/>
  <c r="FC35" i="22"/>
  <c r="FD35" i="22"/>
  <c r="FE35" i="22"/>
  <c r="FF35" i="22"/>
  <c r="FG35" i="22"/>
  <c r="FH35" i="22"/>
  <c r="FI35" i="22"/>
  <c r="FJ35" i="22"/>
  <c r="FK35" i="22"/>
  <c r="FL35" i="22"/>
  <c r="FM35" i="22"/>
  <c r="FN35" i="22"/>
  <c r="FO35" i="22"/>
  <c r="FP35" i="22"/>
  <c r="FQ35" i="22"/>
  <c r="FR35" i="22"/>
  <c r="FS35" i="22"/>
  <c r="FT35" i="22"/>
  <c r="FU35" i="22"/>
  <c r="FV35" i="22"/>
  <c r="FW35" i="22"/>
  <c r="FX35" i="22"/>
  <c r="FY35" i="22"/>
  <c r="FZ35" i="22"/>
  <c r="GA35" i="22"/>
  <c r="GB35" i="22"/>
  <c r="GC35" i="22"/>
  <c r="GD35" i="22"/>
  <c r="GE35" i="22"/>
  <c r="GF35" i="22"/>
  <c r="GG35" i="22"/>
  <c r="GH35" i="22"/>
  <c r="GI35" i="22"/>
  <c r="GJ35" i="22"/>
  <c r="GK35" i="22"/>
  <c r="GL35" i="22"/>
  <c r="GM35" i="22"/>
  <c r="GN35" i="22"/>
  <c r="GO35" i="22"/>
  <c r="GP35" i="22"/>
  <c r="GQ35" i="22"/>
  <c r="GR35" i="22"/>
  <c r="GS35" i="22"/>
  <c r="GT35" i="22"/>
  <c r="GU35" i="22"/>
  <c r="GV35" i="22"/>
  <c r="GW35" i="22"/>
  <c r="GX35" i="22"/>
  <c r="GY35" i="22"/>
  <c r="GZ35" i="22"/>
  <c r="HA35" i="22"/>
  <c r="HB35" i="22"/>
  <c r="HC35" i="22"/>
  <c r="HD35" i="22"/>
  <c r="HE35" i="22"/>
  <c r="HF35" i="22"/>
  <c r="HG35" i="22"/>
  <c r="HH35" i="22"/>
  <c r="HI35" i="22"/>
  <c r="HJ35" i="22"/>
  <c r="HK35" i="22"/>
  <c r="HL35" i="22"/>
  <c r="HM35" i="22"/>
  <c r="HN35" i="22"/>
  <c r="HO35" i="22"/>
  <c r="HP35" i="22"/>
  <c r="HQ35" i="22"/>
  <c r="HR35" i="22"/>
  <c r="HS35" i="22"/>
  <c r="HT35" i="22"/>
  <c r="HU35" i="22"/>
  <c r="HV35" i="22"/>
  <c r="HW35" i="22"/>
  <c r="HX35" i="22"/>
  <c r="HY35" i="22"/>
  <c r="HZ35" i="22"/>
  <c r="IA35" i="22"/>
  <c r="IB35" i="22"/>
  <c r="IC35" i="22"/>
  <c r="ID35" i="22"/>
  <c r="IE35" i="22"/>
  <c r="IF35" i="22"/>
  <c r="IG35" i="22"/>
  <c r="IH35" i="22"/>
  <c r="II35" i="22"/>
  <c r="IJ35" i="22"/>
  <c r="IK35" i="22"/>
  <c r="IL35" i="22"/>
  <c r="IM35" i="22"/>
  <c r="IN35" i="22"/>
  <c r="IO35" i="22"/>
  <c r="IP35" i="22"/>
  <c r="IQ35" i="22"/>
  <c r="IR35" i="22"/>
  <c r="IS35" i="22"/>
  <c r="IT35" i="22"/>
  <c r="IU35" i="22"/>
  <c r="IV35" i="22"/>
  <c r="IW35" i="22"/>
  <c r="IX35" i="22"/>
  <c r="IY35" i="22"/>
  <c r="IZ35" i="22"/>
  <c r="JA35" i="22"/>
  <c r="JB35" i="22"/>
  <c r="JC35" i="22"/>
  <c r="JD35" i="22"/>
  <c r="JE35" i="22"/>
  <c r="JF35" i="22"/>
  <c r="JG35" i="22"/>
  <c r="JH35" i="22"/>
  <c r="JI35" i="22"/>
  <c r="JJ35" i="22"/>
  <c r="JK35" i="22"/>
  <c r="JL35" i="22"/>
  <c r="JM35" i="22"/>
  <c r="JN35" i="22"/>
  <c r="JO35" i="22"/>
  <c r="JP35" i="22"/>
  <c r="JQ35" i="22"/>
  <c r="JR35" i="22"/>
  <c r="JS35" i="22"/>
  <c r="JT35" i="22"/>
  <c r="JU35" i="22"/>
  <c r="JV35" i="22"/>
  <c r="JW35" i="22"/>
  <c r="JX35" i="22"/>
  <c r="JY35" i="22"/>
  <c r="JZ35" i="22"/>
  <c r="KA35" i="22"/>
  <c r="KB35" i="22"/>
  <c r="KC35" i="22"/>
  <c r="KD35" i="22"/>
  <c r="KE35" i="22"/>
  <c r="KF35" i="22"/>
  <c r="KG35" i="22"/>
  <c r="KH35" i="22"/>
  <c r="KI35" i="22"/>
  <c r="KJ35" i="22"/>
  <c r="KK35" i="22"/>
  <c r="KL35" i="22"/>
  <c r="KM35" i="22"/>
  <c r="KN35" i="22"/>
  <c r="KO35" i="22"/>
  <c r="KP35" i="22"/>
  <c r="KQ35" i="22"/>
  <c r="KR35" i="22"/>
  <c r="KS35" i="22"/>
  <c r="KT35" i="22"/>
  <c r="KU35" i="22"/>
  <c r="KV35" i="22"/>
  <c r="KW35" i="22"/>
  <c r="KX35" i="22"/>
  <c r="KY35" i="22"/>
  <c r="KZ35" i="22"/>
  <c r="LA35" i="22"/>
  <c r="LB35" i="22"/>
  <c r="LC35" i="22"/>
  <c r="LD35" i="22"/>
  <c r="LE35" i="22"/>
  <c r="LF35" i="22"/>
  <c r="LG35" i="22"/>
  <c r="LH35" i="22"/>
  <c r="LI35" i="22"/>
  <c r="LJ35" i="22"/>
  <c r="LK35" i="22"/>
  <c r="LL35" i="22"/>
  <c r="LM35" i="22"/>
  <c r="LN35" i="22"/>
  <c r="LO35" i="22"/>
  <c r="LP35" i="22"/>
  <c r="LQ35" i="22"/>
  <c r="LR35" i="22"/>
  <c r="LS35" i="22"/>
  <c r="LT35" i="22"/>
  <c r="LU35" i="22"/>
  <c r="LV35" i="22"/>
  <c r="LW35" i="22"/>
  <c r="LX35" i="22"/>
  <c r="LY35" i="22"/>
  <c r="LZ35" i="22"/>
  <c r="MA35" i="22"/>
  <c r="MB35" i="22"/>
  <c r="MC35" i="22"/>
  <c r="MD35" i="22"/>
  <c r="ME35" i="22"/>
  <c r="MF35" i="22"/>
  <c r="MG35" i="22"/>
  <c r="MH35" i="22"/>
  <c r="MI35" i="22"/>
  <c r="MJ35" i="22"/>
  <c r="MK35" i="22"/>
  <c r="ML35" i="22"/>
  <c r="MM35" i="22"/>
  <c r="MN35" i="22"/>
  <c r="MO35" i="22"/>
  <c r="MP35" i="22"/>
  <c r="MQ35" i="22"/>
  <c r="MR35" i="22"/>
  <c r="MS35" i="22"/>
  <c r="MT35" i="22"/>
  <c r="MU35" i="22"/>
  <c r="MV35" i="22"/>
  <c r="MW35" i="22"/>
  <c r="MX35" i="22"/>
  <c r="MY35" i="22"/>
  <c r="MZ35" i="22"/>
  <c r="NA35" i="22"/>
  <c r="NB35" i="22"/>
  <c r="NS35" i="22"/>
  <c r="B36" i="22"/>
  <c r="C36" i="22"/>
  <c r="D36" i="22"/>
  <c r="E36" i="22"/>
  <c r="F36" i="22"/>
  <c r="G36" i="22"/>
  <c r="H36" i="22"/>
  <c r="I36" i="22"/>
  <c r="J36" i="22"/>
  <c r="K36" i="22"/>
  <c r="L36" i="22"/>
  <c r="M36" i="22"/>
  <c r="N36" i="22"/>
  <c r="O36" i="22"/>
  <c r="P36" i="22"/>
  <c r="Q36" i="22"/>
  <c r="R36" i="22"/>
  <c r="S36" i="22"/>
  <c r="T36" i="22"/>
  <c r="U36" i="22"/>
  <c r="V36" i="22"/>
  <c r="W36" i="22"/>
  <c r="X36" i="22"/>
  <c r="Y36" i="22"/>
  <c r="Z36" i="22"/>
  <c r="AA36" i="22"/>
  <c r="AB36" i="22"/>
  <c r="AC36" i="22"/>
  <c r="AD36" i="22"/>
  <c r="AE36" i="22"/>
  <c r="AF36" i="22"/>
  <c r="AG36" i="22"/>
  <c r="AH36" i="22"/>
  <c r="AI36" i="22"/>
  <c r="AJ36" i="22"/>
  <c r="AK36" i="22"/>
  <c r="AL36" i="22"/>
  <c r="AM36" i="22"/>
  <c r="AN36" i="22"/>
  <c r="AO36" i="22"/>
  <c r="AP36" i="22"/>
  <c r="AQ36" i="22"/>
  <c r="AR36" i="22"/>
  <c r="AS36" i="22"/>
  <c r="AT36" i="22"/>
  <c r="AU36" i="22"/>
  <c r="AV36" i="22"/>
  <c r="AW36" i="22"/>
  <c r="AX36" i="22"/>
  <c r="AY36" i="22"/>
  <c r="AZ36" i="22"/>
  <c r="BA36" i="22"/>
  <c r="BB36" i="22"/>
  <c r="BC36" i="22"/>
  <c r="BD36" i="22"/>
  <c r="BE36" i="22"/>
  <c r="BF36" i="22"/>
  <c r="BG36" i="22"/>
  <c r="BH36" i="22"/>
  <c r="BJ36" i="22"/>
  <c r="BK36" i="22"/>
  <c r="BL36" i="22"/>
  <c r="BM36" i="22"/>
  <c r="BN36" i="22"/>
  <c r="BO36" i="22"/>
  <c r="BP36" i="22"/>
  <c r="BQ36" i="22"/>
  <c r="BR36" i="22"/>
  <c r="BS36" i="22"/>
  <c r="BT36" i="22"/>
  <c r="BU36" i="22"/>
  <c r="BV36" i="22"/>
  <c r="BW36" i="22"/>
  <c r="BX36" i="22"/>
  <c r="BY36" i="22"/>
  <c r="BZ36" i="22"/>
  <c r="CA36" i="22"/>
  <c r="CB36" i="22"/>
  <c r="CC36" i="22"/>
  <c r="CD36" i="22"/>
  <c r="CE36" i="22"/>
  <c r="CF36" i="22"/>
  <c r="CG36" i="22"/>
  <c r="CH36" i="22"/>
  <c r="CI36" i="22"/>
  <c r="CJ36" i="22"/>
  <c r="CK36" i="22"/>
  <c r="CL36" i="22"/>
  <c r="CM36" i="22"/>
  <c r="CN36" i="22"/>
  <c r="CO36" i="22"/>
  <c r="CP36" i="22"/>
  <c r="CQ36" i="22"/>
  <c r="CR36" i="22"/>
  <c r="CS36" i="22"/>
  <c r="CT36" i="22"/>
  <c r="CU36" i="22"/>
  <c r="CV36" i="22"/>
  <c r="CW36" i="22"/>
  <c r="CX36" i="22"/>
  <c r="CY36" i="22"/>
  <c r="CZ36" i="22"/>
  <c r="DA36" i="22"/>
  <c r="DB36" i="22"/>
  <c r="DC36" i="22"/>
  <c r="DD36" i="22"/>
  <c r="DE36" i="22"/>
  <c r="DF36" i="22"/>
  <c r="DG36" i="22"/>
  <c r="DH36" i="22"/>
  <c r="DI36" i="22"/>
  <c r="DJ36" i="22"/>
  <c r="DK36" i="22"/>
  <c r="DL36" i="22"/>
  <c r="DM36" i="22"/>
  <c r="DN36" i="22"/>
  <c r="DO36" i="22"/>
  <c r="DP36" i="22"/>
  <c r="DQ36" i="22"/>
  <c r="DR36" i="22"/>
  <c r="DS36" i="22"/>
  <c r="DT36" i="22"/>
  <c r="DU36" i="22"/>
  <c r="DV36" i="22"/>
  <c r="DW36" i="22"/>
  <c r="DX36" i="22"/>
  <c r="DY36" i="22"/>
  <c r="DZ36" i="22"/>
  <c r="EA36" i="22"/>
  <c r="EB36" i="22"/>
  <c r="EC36" i="22"/>
  <c r="ED36" i="22"/>
  <c r="EE36" i="22"/>
  <c r="EF36" i="22"/>
  <c r="EG36" i="22"/>
  <c r="EH36" i="22"/>
  <c r="EI36" i="22"/>
  <c r="EJ36" i="22"/>
  <c r="EK36" i="22"/>
  <c r="EL36" i="22"/>
  <c r="EM36" i="22"/>
  <c r="EN36" i="22"/>
  <c r="EO36" i="22"/>
  <c r="EP36" i="22"/>
  <c r="EQ36" i="22"/>
  <c r="ER36" i="22"/>
  <c r="ES36" i="22"/>
  <c r="ET36" i="22"/>
  <c r="EU36" i="22"/>
  <c r="EV36" i="22"/>
  <c r="EW36" i="22"/>
  <c r="EX36" i="22"/>
  <c r="EY36" i="22"/>
  <c r="EZ36" i="22"/>
  <c r="FA36" i="22"/>
  <c r="FB36" i="22"/>
  <c r="FC36" i="22"/>
  <c r="FD36" i="22"/>
  <c r="FE36" i="22"/>
  <c r="FF36" i="22"/>
  <c r="FG36" i="22"/>
  <c r="FH36" i="22"/>
  <c r="FI36" i="22"/>
  <c r="FJ36" i="22"/>
  <c r="FK36" i="22"/>
  <c r="FL36" i="22"/>
  <c r="FM36" i="22"/>
  <c r="FN36" i="22"/>
  <c r="FO36" i="22"/>
  <c r="FP36" i="22"/>
  <c r="FQ36" i="22"/>
  <c r="FR36" i="22"/>
  <c r="FS36" i="22"/>
  <c r="FT36" i="22"/>
  <c r="FU36" i="22"/>
  <c r="FV36" i="22"/>
  <c r="FW36" i="22"/>
  <c r="FX36" i="22"/>
  <c r="FY36" i="22"/>
  <c r="FZ36" i="22"/>
  <c r="GA36" i="22"/>
  <c r="GB36" i="22"/>
  <c r="GC36" i="22"/>
  <c r="GD36" i="22"/>
  <c r="GE36" i="22"/>
  <c r="GF36" i="22"/>
  <c r="GG36" i="22"/>
  <c r="GH36" i="22"/>
  <c r="GI36" i="22"/>
  <c r="GJ36" i="22"/>
  <c r="GK36" i="22"/>
  <c r="GL36" i="22"/>
  <c r="GM36" i="22"/>
  <c r="GN36" i="22"/>
  <c r="GO36" i="22"/>
  <c r="GP36" i="22"/>
  <c r="GQ36" i="22"/>
  <c r="GR36" i="22"/>
  <c r="GS36" i="22"/>
  <c r="GT36" i="22"/>
  <c r="GU36" i="22"/>
  <c r="GV36" i="22"/>
  <c r="GW36" i="22"/>
  <c r="GX36" i="22"/>
  <c r="GY36" i="22"/>
  <c r="GZ36" i="22"/>
  <c r="HA36" i="22"/>
  <c r="HB36" i="22"/>
  <c r="HC36" i="22"/>
  <c r="HD36" i="22"/>
  <c r="HE36" i="22"/>
  <c r="HF36" i="22"/>
  <c r="HG36" i="22"/>
  <c r="HH36" i="22"/>
  <c r="HI36" i="22"/>
  <c r="HJ36" i="22"/>
  <c r="HK36" i="22"/>
  <c r="HL36" i="22"/>
  <c r="HM36" i="22"/>
  <c r="HN36" i="22"/>
  <c r="HO36" i="22"/>
  <c r="HP36" i="22"/>
  <c r="HQ36" i="22"/>
  <c r="HR36" i="22"/>
  <c r="HS36" i="22"/>
  <c r="HT36" i="22"/>
  <c r="HU36" i="22"/>
  <c r="HV36" i="22"/>
  <c r="HW36" i="22"/>
  <c r="HX36" i="22"/>
  <c r="HY36" i="22"/>
  <c r="HZ36" i="22"/>
  <c r="IA36" i="22"/>
  <c r="IB36" i="22"/>
  <c r="IC36" i="22"/>
  <c r="ID36" i="22"/>
  <c r="IE36" i="22"/>
  <c r="IF36" i="22"/>
  <c r="IG36" i="22"/>
  <c r="IH36" i="22"/>
  <c r="II36" i="22"/>
  <c r="IJ36" i="22"/>
  <c r="IK36" i="22"/>
  <c r="IL36" i="22"/>
  <c r="IM36" i="22"/>
  <c r="IN36" i="22"/>
  <c r="IO36" i="22"/>
  <c r="IP36" i="22"/>
  <c r="IQ36" i="22"/>
  <c r="IR36" i="22"/>
  <c r="IS36" i="22"/>
  <c r="IT36" i="22"/>
  <c r="IU36" i="22"/>
  <c r="IV36" i="22"/>
  <c r="IW36" i="22"/>
  <c r="IX36" i="22"/>
  <c r="IY36" i="22"/>
  <c r="IZ36" i="22"/>
  <c r="JA36" i="22"/>
  <c r="JB36" i="22"/>
  <c r="JC36" i="22"/>
  <c r="JD36" i="22"/>
  <c r="JE36" i="22"/>
  <c r="JF36" i="22"/>
  <c r="JG36" i="22"/>
  <c r="JH36" i="22"/>
  <c r="JI36" i="22"/>
  <c r="JJ36" i="22"/>
  <c r="JK36" i="22"/>
  <c r="JL36" i="22"/>
  <c r="JM36" i="22"/>
  <c r="JN36" i="22"/>
  <c r="JO36" i="22"/>
  <c r="JP36" i="22"/>
  <c r="JQ36" i="22"/>
  <c r="JR36" i="22"/>
  <c r="JS36" i="22"/>
  <c r="JT36" i="22"/>
  <c r="JU36" i="22"/>
  <c r="JV36" i="22"/>
  <c r="JW36" i="22"/>
  <c r="JX36" i="22"/>
  <c r="JY36" i="22"/>
  <c r="JZ36" i="22"/>
  <c r="KA36" i="22"/>
  <c r="KB36" i="22"/>
  <c r="KC36" i="22"/>
  <c r="KD36" i="22"/>
  <c r="KE36" i="22"/>
  <c r="KF36" i="22"/>
  <c r="KG36" i="22"/>
  <c r="KH36" i="22"/>
  <c r="KI36" i="22"/>
  <c r="KJ36" i="22"/>
  <c r="KK36" i="22"/>
  <c r="KL36" i="22"/>
  <c r="KM36" i="22"/>
  <c r="KN36" i="22"/>
  <c r="KO36" i="22"/>
  <c r="KP36" i="22"/>
  <c r="KQ36" i="22"/>
  <c r="KR36" i="22"/>
  <c r="KS36" i="22"/>
  <c r="KT36" i="22"/>
  <c r="KU36" i="22"/>
  <c r="KV36" i="22"/>
  <c r="KW36" i="22"/>
  <c r="KX36" i="22"/>
  <c r="KY36" i="22"/>
  <c r="KZ36" i="22"/>
  <c r="LA36" i="22"/>
  <c r="LB36" i="22"/>
  <c r="LC36" i="22"/>
  <c r="LD36" i="22"/>
  <c r="LE36" i="22"/>
  <c r="LF36" i="22"/>
  <c r="LG36" i="22"/>
  <c r="LH36" i="22"/>
  <c r="LI36" i="22"/>
  <c r="LJ36" i="22"/>
  <c r="LK36" i="22"/>
  <c r="LL36" i="22"/>
  <c r="LM36" i="22"/>
  <c r="LN36" i="22"/>
  <c r="LO36" i="22"/>
  <c r="LP36" i="22"/>
  <c r="LQ36" i="22"/>
  <c r="LR36" i="22"/>
  <c r="LS36" i="22"/>
  <c r="LT36" i="22"/>
  <c r="LU36" i="22"/>
  <c r="LV36" i="22"/>
  <c r="LW36" i="22"/>
  <c r="LX36" i="22"/>
  <c r="LY36" i="22"/>
  <c r="LZ36" i="22"/>
  <c r="MA36" i="22"/>
  <c r="MB36" i="22"/>
  <c r="MC36" i="22"/>
  <c r="MD36" i="22"/>
  <c r="ME36" i="22"/>
  <c r="MF36" i="22"/>
  <c r="MG36" i="22"/>
  <c r="MH36" i="22"/>
  <c r="MI36" i="22"/>
  <c r="MJ36" i="22"/>
  <c r="MK36" i="22"/>
  <c r="ML36" i="22"/>
  <c r="MM36" i="22"/>
  <c r="MN36" i="22"/>
  <c r="MO36" i="22"/>
  <c r="MP36" i="22"/>
  <c r="MQ36" i="22"/>
  <c r="MR36" i="22"/>
  <c r="MS36" i="22"/>
  <c r="MT36" i="22"/>
  <c r="MU36" i="22"/>
  <c r="MV36" i="22"/>
  <c r="MW36" i="22"/>
  <c r="MX36" i="22"/>
  <c r="MY36" i="22"/>
  <c r="MZ36" i="22"/>
  <c r="NA36" i="22"/>
  <c r="NB36" i="22"/>
  <c r="NS36" i="22"/>
  <c r="B37" i="22"/>
  <c r="C37" i="22"/>
  <c r="D37" i="22"/>
  <c r="E37" i="22"/>
  <c r="F37" i="22"/>
  <c r="G37" i="22"/>
  <c r="H37" i="22"/>
  <c r="I37" i="22"/>
  <c r="J37" i="22"/>
  <c r="K37" i="22"/>
  <c r="L37" i="22"/>
  <c r="M37" i="22"/>
  <c r="N37" i="22"/>
  <c r="O37" i="22"/>
  <c r="P37" i="22"/>
  <c r="Q37" i="22"/>
  <c r="R37" i="22"/>
  <c r="S37" i="22"/>
  <c r="T37" i="22"/>
  <c r="U37" i="22"/>
  <c r="V37" i="22"/>
  <c r="W37" i="22"/>
  <c r="X37" i="22"/>
  <c r="Y37" i="22"/>
  <c r="Z37" i="22"/>
  <c r="AA37" i="22"/>
  <c r="AB37" i="22"/>
  <c r="AC37" i="22"/>
  <c r="AD37" i="22"/>
  <c r="AE37" i="22"/>
  <c r="AF37" i="22"/>
  <c r="AG37" i="22"/>
  <c r="AH37" i="22"/>
  <c r="AI37" i="22"/>
  <c r="AJ37" i="22"/>
  <c r="AK37" i="22"/>
  <c r="AL37" i="22"/>
  <c r="AM37" i="22"/>
  <c r="AN37" i="22"/>
  <c r="AO37" i="22"/>
  <c r="AP37" i="22"/>
  <c r="AQ37" i="22"/>
  <c r="AR37" i="22"/>
  <c r="AS37" i="22"/>
  <c r="AT37" i="22"/>
  <c r="AU37" i="22"/>
  <c r="AV37" i="22"/>
  <c r="AW37" i="22"/>
  <c r="AX37" i="22"/>
  <c r="AY37" i="22"/>
  <c r="AZ37" i="22"/>
  <c r="BA37" i="22"/>
  <c r="BB37" i="22"/>
  <c r="BC37" i="22"/>
  <c r="BD37" i="22"/>
  <c r="BE37" i="22"/>
  <c r="BF37" i="22"/>
  <c r="BG37" i="22"/>
  <c r="BH37" i="22"/>
  <c r="BI37" i="22"/>
  <c r="BJ37" i="22"/>
  <c r="BK37" i="22"/>
  <c r="BL37" i="22"/>
  <c r="BM37" i="22"/>
  <c r="BN37" i="22"/>
  <c r="BO37" i="22"/>
  <c r="BP37" i="22"/>
  <c r="BQ37" i="22"/>
  <c r="BR37" i="22"/>
  <c r="BS37" i="22"/>
  <c r="BT37" i="22"/>
  <c r="BU37" i="22"/>
  <c r="BV37" i="22"/>
  <c r="BW37" i="22"/>
  <c r="BX37" i="22"/>
  <c r="BY37" i="22"/>
  <c r="BZ37" i="22"/>
  <c r="CA37" i="22"/>
  <c r="CB37" i="22"/>
  <c r="CC37" i="22"/>
  <c r="CD37" i="22"/>
  <c r="CE37" i="22"/>
  <c r="CF37" i="22"/>
  <c r="CG37" i="22"/>
  <c r="CH37" i="22"/>
  <c r="CI37" i="22"/>
  <c r="CJ37" i="22"/>
  <c r="CK37" i="22"/>
  <c r="CL37" i="22"/>
  <c r="CM37" i="22"/>
  <c r="CN37" i="22"/>
  <c r="CO37" i="22"/>
  <c r="CP37" i="22"/>
  <c r="CQ37" i="22"/>
  <c r="CR37" i="22"/>
  <c r="CS37" i="22"/>
  <c r="CT37" i="22"/>
  <c r="CU37" i="22"/>
  <c r="CV37" i="22"/>
  <c r="CW37" i="22"/>
  <c r="CX37" i="22"/>
  <c r="CY37" i="22"/>
  <c r="CZ37" i="22"/>
  <c r="DA37" i="22"/>
  <c r="DB37" i="22"/>
  <c r="DC37" i="22"/>
  <c r="DD37" i="22"/>
  <c r="DE37" i="22"/>
  <c r="DF37" i="22"/>
  <c r="DG37" i="22"/>
  <c r="DH37" i="22"/>
  <c r="DI37" i="22"/>
  <c r="DJ37" i="22"/>
  <c r="DK37" i="22"/>
  <c r="DL37" i="22"/>
  <c r="DM37" i="22"/>
  <c r="DN37" i="22"/>
  <c r="DO37" i="22"/>
  <c r="DP37" i="22"/>
  <c r="DQ37" i="22"/>
  <c r="DR37" i="22"/>
  <c r="DS37" i="22"/>
  <c r="DT37" i="22"/>
  <c r="DU37" i="22"/>
  <c r="DV37" i="22"/>
  <c r="DW37" i="22"/>
  <c r="DX37" i="22"/>
  <c r="DY37" i="22"/>
  <c r="DZ37" i="22"/>
  <c r="EA37" i="22"/>
  <c r="EB37" i="22"/>
  <c r="EC37" i="22"/>
  <c r="ED37" i="22"/>
  <c r="EE37" i="22"/>
  <c r="EF37" i="22"/>
  <c r="EG37" i="22"/>
  <c r="EH37" i="22"/>
  <c r="EI37" i="22"/>
  <c r="EJ37" i="22"/>
  <c r="EK37" i="22"/>
  <c r="EL37" i="22"/>
  <c r="EM37" i="22"/>
  <c r="EN37" i="22"/>
  <c r="EO37" i="22"/>
  <c r="EP37" i="22"/>
  <c r="EQ37" i="22"/>
  <c r="ER37" i="22"/>
  <c r="ES37" i="22"/>
  <c r="ET37" i="22"/>
  <c r="EU37" i="22"/>
  <c r="EV37" i="22"/>
  <c r="EW37" i="22"/>
  <c r="EX37" i="22"/>
  <c r="EY37" i="22"/>
  <c r="EZ37" i="22"/>
  <c r="FA37" i="22"/>
  <c r="FB37" i="22"/>
  <c r="FC37" i="22"/>
  <c r="FD37" i="22"/>
  <c r="FE37" i="22"/>
  <c r="FF37" i="22"/>
  <c r="FG37" i="22"/>
  <c r="FH37" i="22"/>
  <c r="FI37" i="22"/>
  <c r="FJ37" i="22"/>
  <c r="FK37" i="22"/>
  <c r="FL37" i="22"/>
  <c r="FM37" i="22"/>
  <c r="FN37" i="22"/>
  <c r="FO37" i="22"/>
  <c r="FP37" i="22"/>
  <c r="FQ37" i="22"/>
  <c r="FR37" i="22"/>
  <c r="FS37" i="22"/>
  <c r="FT37" i="22"/>
  <c r="FU37" i="22"/>
  <c r="FV37" i="22"/>
  <c r="FW37" i="22"/>
  <c r="FX37" i="22"/>
  <c r="FY37" i="22"/>
  <c r="FZ37" i="22"/>
  <c r="GA37" i="22"/>
  <c r="GB37" i="22"/>
  <c r="GC37" i="22"/>
  <c r="GD37" i="22"/>
  <c r="GE37" i="22"/>
  <c r="GF37" i="22"/>
  <c r="GG37" i="22"/>
  <c r="GH37" i="22"/>
  <c r="GI37" i="22"/>
  <c r="GJ37" i="22"/>
  <c r="GK37" i="22"/>
  <c r="GL37" i="22"/>
  <c r="GM37" i="22"/>
  <c r="GN37" i="22"/>
  <c r="GO37" i="22"/>
  <c r="GP37" i="22"/>
  <c r="GQ37" i="22"/>
  <c r="GR37" i="22"/>
  <c r="GS37" i="22"/>
  <c r="GT37" i="22"/>
  <c r="GU37" i="22"/>
  <c r="GV37" i="22"/>
  <c r="GW37" i="22"/>
  <c r="GX37" i="22"/>
  <c r="GY37" i="22"/>
  <c r="GZ37" i="22"/>
  <c r="HA37" i="22"/>
  <c r="HB37" i="22"/>
  <c r="HC37" i="22"/>
  <c r="HD37" i="22"/>
  <c r="HE37" i="22"/>
  <c r="HF37" i="22"/>
  <c r="HG37" i="22"/>
  <c r="HH37" i="22"/>
  <c r="HI37" i="22"/>
  <c r="HJ37" i="22"/>
  <c r="HK37" i="22"/>
  <c r="HL37" i="22"/>
  <c r="HM37" i="22"/>
  <c r="HN37" i="22"/>
  <c r="HO37" i="22"/>
  <c r="HP37" i="22"/>
  <c r="HQ37" i="22"/>
  <c r="HR37" i="22"/>
  <c r="HS37" i="22"/>
  <c r="HT37" i="22"/>
  <c r="HU37" i="22"/>
  <c r="HV37" i="22"/>
  <c r="HW37" i="22"/>
  <c r="HX37" i="22"/>
  <c r="HY37" i="22"/>
  <c r="HZ37" i="22"/>
  <c r="IA37" i="22"/>
  <c r="IB37" i="22"/>
  <c r="IC37" i="22"/>
  <c r="ID37" i="22"/>
  <c r="IE37" i="22"/>
  <c r="IF37" i="22"/>
  <c r="IG37" i="22"/>
  <c r="IH37" i="22"/>
  <c r="II37" i="22"/>
  <c r="IJ37" i="22"/>
  <c r="IK37" i="22"/>
  <c r="IL37" i="22"/>
  <c r="IM37" i="22"/>
  <c r="IN37" i="22"/>
  <c r="IO37" i="22"/>
  <c r="IP37" i="22"/>
  <c r="IQ37" i="22"/>
  <c r="IR37" i="22"/>
  <c r="IS37" i="22"/>
  <c r="IT37" i="22"/>
  <c r="IU37" i="22"/>
  <c r="IV37" i="22"/>
  <c r="IW37" i="22"/>
  <c r="IX37" i="22"/>
  <c r="IY37" i="22"/>
  <c r="IZ37" i="22"/>
  <c r="JA37" i="22"/>
  <c r="JB37" i="22"/>
  <c r="JC37" i="22"/>
  <c r="JD37" i="22"/>
  <c r="JE37" i="22"/>
  <c r="JF37" i="22"/>
  <c r="JG37" i="22"/>
  <c r="JH37" i="22"/>
  <c r="JI37" i="22"/>
  <c r="JJ37" i="22"/>
  <c r="JK37" i="22"/>
  <c r="JL37" i="22"/>
  <c r="JM37" i="22"/>
  <c r="JN37" i="22"/>
  <c r="JO37" i="22"/>
  <c r="JP37" i="22"/>
  <c r="JQ37" i="22"/>
  <c r="JR37" i="22"/>
  <c r="JS37" i="22"/>
  <c r="JT37" i="22"/>
  <c r="JU37" i="22"/>
  <c r="JV37" i="22"/>
  <c r="JW37" i="22"/>
  <c r="JX37" i="22"/>
  <c r="JY37" i="22"/>
  <c r="JZ37" i="22"/>
  <c r="KA37" i="22"/>
  <c r="KB37" i="22"/>
  <c r="KC37" i="22"/>
  <c r="KD37" i="22"/>
  <c r="KE37" i="22"/>
  <c r="KF37" i="22"/>
  <c r="KG37" i="22"/>
  <c r="KH37" i="22"/>
  <c r="KI37" i="22"/>
  <c r="KJ37" i="22"/>
  <c r="KK37" i="22"/>
  <c r="KL37" i="22"/>
  <c r="KM37" i="22"/>
  <c r="KN37" i="22"/>
  <c r="KO37" i="22"/>
  <c r="KP37" i="22"/>
  <c r="KQ37" i="22"/>
  <c r="KR37" i="22"/>
  <c r="KS37" i="22"/>
  <c r="KT37" i="22"/>
  <c r="KU37" i="22"/>
  <c r="KV37" i="22"/>
  <c r="KW37" i="22"/>
  <c r="KX37" i="22"/>
  <c r="KY37" i="22"/>
  <c r="KZ37" i="22"/>
  <c r="LA37" i="22"/>
  <c r="LB37" i="22"/>
  <c r="LC37" i="22"/>
  <c r="LD37" i="22"/>
  <c r="LE37" i="22"/>
  <c r="LF37" i="22"/>
  <c r="LG37" i="22"/>
  <c r="LH37" i="22"/>
  <c r="LI37" i="22"/>
  <c r="LJ37" i="22"/>
  <c r="LK37" i="22"/>
  <c r="LL37" i="22"/>
  <c r="LM37" i="22"/>
  <c r="LN37" i="22"/>
  <c r="LO37" i="22"/>
  <c r="LP37" i="22"/>
  <c r="LQ37" i="22"/>
  <c r="LR37" i="22"/>
  <c r="LS37" i="22"/>
  <c r="LT37" i="22"/>
  <c r="LU37" i="22"/>
  <c r="LV37" i="22"/>
  <c r="LW37" i="22"/>
  <c r="LX37" i="22"/>
  <c r="LY37" i="22"/>
  <c r="LZ37" i="22"/>
  <c r="MA37" i="22"/>
  <c r="MB37" i="22"/>
  <c r="MC37" i="22"/>
  <c r="MD37" i="22"/>
  <c r="ME37" i="22"/>
  <c r="MF37" i="22"/>
  <c r="MG37" i="22"/>
  <c r="MH37" i="22"/>
  <c r="MI37" i="22"/>
  <c r="MJ37" i="22"/>
  <c r="MK37" i="22"/>
  <c r="ML37" i="22"/>
  <c r="MM37" i="22"/>
  <c r="MN37" i="22"/>
  <c r="MO37" i="22"/>
  <c r="MP37" i="22"/>
  <c r="MQ37" i="22"/>
  <c r="MR37" i="22"/>
  <c r="MS37" i="22"/>
  <c r="MT37" i="22"/>
  <c r="MU37" i="22"/>
  <c r="MV37" i="22"/>
  <c r="MW37" i="22"/>
  <c r="MX37" i="22"/>
  <c r="MY37" i="22"/>
  <c r="MZ37" i="22"/>
  <c r="NA37" i="22"/>
  <c r="NB37" i="22"/>
  <c r="NC37" i="22"/>
  <c r="NS37" i="22"/>
  <c r="B38" i="22"/>
  <c r="C38" i="22"/>
  <c r="D38" i="22"/>
  <c r="E38" i="22"/>
  <c r="F38" i="22"/>
  <c r="G38" i="22"/>
  <c r="H38" i="22"/>
  <c r="I38" i="22"/>
  <c r="J38" i="22"/>
  <c r="K38" i="22"/>
  <c r="L38" i="22"/>
  <c r="M38" i="22"/>
  <c r="N38" i="22"/>
  <c r="O38" i="22"/>
  <c r="P38" i="22"/>
  <c r="Q38" i="22"/>
  <c r="R38" i="22"/>
  <c r="S38" i="22"/>
  <c r="T38" i="22"/>
  <c r="U38" i="22"/>
  <c r="V38" i="22"/>
  <c r="W38" i="22"/>
  <c r="X38" i="22"/>
  <c r="Y38" i="22"/>
  <c r="Z38" i="22"/>
  <c r="AA38" i="22"/>
  <c r="AB38" i="22"/>
  <c r="AC38" i="22"/>
  <c r="AD38" i="22"/>
  <c r="AE38" i="22"/>
  <c r="AF38" i="22"/>
  <c r="AG38" i="22"/>
  <c r="AH38" i="22"/>
  <c r="AI38" i="22"/>
  <c r="AJ38" i="22"/>
  <c r="AK38" i="22"/>
  <c r="AL38" i="22"/>
  <c r="AM38" i="22"/>
  <c r="AN38" i="22"/>
  <c r="AO38" i="22"/>
  <c r="AP38" i="22"/>
  <c r="AQ38" i="22"/>
  <c r="AR38" i="22"/>
  <c r="AS38" i="22"/>
  <c r="AT38" i="22"/>
  <c r="AU38" i="22"/>
  <c r="AV38" i="22"/>
  <c r="AW38" i="22"/>
  <c r="AX38" i="22"/>
  <c r="AY38" i="22"/>
  <c r="AZ38" i="22"/>
  <c r="BA38" i="22"/>
  <c r="BB38" i="22"/>
  <c r="BC38" i="22"/>
  <c r="BD38" i="22"/>
  <c r="BE38" i="22"/>
  <c r="BF38" i="22"/>
  <c r="BG38" i="22"/>
  <c r="BH38" i="22"/>
  <c r="BJ38" i="22"/>
  <c r="BK38" i="22"/>
  <c r="BL38" i="22"/>
  <c r="BM38" i="22"/>
  <c r="BN38" i="22"/>
  <c r="BO38" i="22"/>
  <c r="BP38" i="22"/>
  <c r="BQ38" i="22"/>
  <c r="BR38" i="22"/>
  <c r="BS38" i="22"/>
  <c r="BT38" i="22"/>
  <c r="BU38" i="22"/>
  <c r="BV38" i="22"/>
  <c r="BW38" i="22"/>
  <c r="BX38" i="22"/>
  <c r="BY38" i="22"/>
  <c r="BZ38" i="22"/>
  <c r="CA38" i="22"/>
  <c r="CB38" i="22"/>
  <c r="CC38" i="22"/>
  <c r="CD38" i="22"/>
  <c r="CE38" i="22"/>
  <c r="CF38" i="22"/>
  <c r="CG38" i="22"/>
  <c r="CH38" i="22"/>
  <c r="CI38" i="22"/>
  <c r="CJ38" i="22"/>
  <c r="CK38" i="22"/>
  <c r="CL38" i="22"/>
  <c r="CM38" i="22"/>
  <c r="CN38" i="22"/>
  <c r="CO38" i="22"/>
  <c r="CP38" i="22"/>
  <c r="CQ38" i="22"/>
  <c r="CR38" i="22"/>
  <c r="CS38" i="22"/>
  <c r="CT38" i="22"/>
  <c r="CU38" i="22"/>
  <c r="CV38" i="22"/>
  <c r="CW38" i="22"/>
  <c r="CX38" i="22"/>
  <c r="CY38" i="22"/>
  <c r="CZ38" i="22"/>
  <c r="DA38" i="22"/>
  <c r="DB38" i="22"/>
  <c r="DC38" i="22"/>
  <c r="DD38" i="22"/>
  <c r="DE38" i="22"/>
  <c r="DF38" i="22"/>
  <c r="DG38" i="22"/>
  <c r="DH38" i="22"/>
  <c r="DI38" i="22"/>
  <c r="DJ38" i="22"/>
  <c r="DK38" i="22"/>
  <c r="DL38" i="22"/>
  <c r="DM38" i="22"/>
  <c r="DN38" i="22"/>
  <c r="DO38" i="22"/>
  <c r="DP38" i="22"/>
  <c r="DQ38" i="22"/>
  <c r="DR38" i="22"/>
  <c r="DS38" i="22"/>
  <c r="DT38" i="22"/>
  <c r="DU38" i="22"/>
  <c r="DV38" i="22"/>
  <c r="DW38" i="22"/>
  <c r="DX38" i="22"/>
  <c r="DY38" i="22"/>
  <c r="DZ38" i="22"/>
  <c r="EA38" i="22"/>
  <c r="EB38" i="22"/>
  <c r="EC38" i="22"/>
  <c r="ED38" i="22"/>
  <c r="EE38" i="22"/>
  <c r="EF38" i="22"/>
  <c r="EG38" i="22"/>
  <c r="EH38" i="22"/>
  <c r="EI38" i="22"/>
  <c r="EJ38" i="22"/>
  <c r="EK38" i="22"/>
  <c r="EL38" i="22"/>
  <c r="EM38" i="22"/>
  <c r="EN38" i="22"/>
  <c r="EO38" i="22"/>
  <c r="EP38" i="22"/>
  <c r="EQ38" i="22"/>
  <c r="ER38" i="22"/>
  <c r="ES38" i="22"/>
  <c r="ET38" i="22"/>
  <c r="EU38" i="22"/>
  <c r="EV38" i="22"/>
  <c r="EW38" i="22"/>
  <c r="EX38" i="22"/>
  <c r="EY38" i="22"/>
  <c r="EZ38" i="22"/>
  <c r="FA38" i="22"/>
  <c r="FB38" i="22"/>
  <c r="FC38" i="22"/>
  <c r="FD38" i="22"/>
  <c r="FE38" i="22"/>
  <c r="FF38" i="22"/>
  <c r="FG38" i="22"/>
  <c r="FH38" i="22"/>
  <c r="FI38" i="22"/>
  <c r="FJ38" i="22"/>
  <c r="FK38" i="22"/>
  <c r="FL38" i="22"/>
  <c r="FM38" i="22"/>
  <c r="FN38" i="22"/>
  <c r="FO38" i="22"/>
  <c r="FP38" i="22"/>
  <c r="FQ38" i="22"/>
  <c r="FR38" i="22"/>
  <c r="FS38" i="22"/>
  <c r="FT38" i="22"/>
  <c r="FU38" i="22"/>
  <c r="FV38" i="22"/>
  <c r="FW38" i="22"/>
  <c r="FX38" i="22"/>
  <c r="FY38" i="22"/>
  <c r="FZ38" i="22"/>
  <c r="GA38" i="22"/>
  <c r="GB38" i="22"/>
  <c r="GC38" i="22"/>
  <c r="GD38" i="22"/>
  <c r="GE38" i="22"/>
  <c r="GF38" i="22"/>
  <c r="GG38" i="22"/>
  <c r="GH38" i="22"/>
  <c r="GI38" i="22"/>
  <c r="GJ38" i="22"/>
  <c r="GK38" i="22"/>
  <c r="GL38" i="22"/>
  <c r="GM38" i="22"/>
  <c r="GN38" i="22"/>
  <c r="GO38" i="22"/>
  <c r="GP38" i="22"/>
  <c r="GQ38" i="22"/>
  <c r="GR38" i="22"/>
  <c r="GS38" i="22"/>
  <c r="GT38" i="22"/>
  <c r="GU38" i="22"/>
  <c r="GV38" i="22"/>
  <c r="GW38" i="22"/>
  <c r="GX38" i="22"/>
  <c r="GY38" i="22"/>
  <c r="GZ38" i="22"/>
  <c r="HA38" i="22"/>
  <c r="HB38" i="22"/>
  <c r="HC38" i="22"/>
  <c r="HD38" i="22"/>
  <c r="HE38" i="22"/>
  <c r="HF38" i="22"/>
  <c r="HG38" i="22"/>
  <c r="HH38" i="22"/>
  <c r="HI38" i="22"/>
  <c r="HJ38" i="22"/>
  <c r="HK38" i="22"/>
  <c r="HL38" i="22"/>
  <c r="HM38" i="22"/>
  <c r="HN38" i="22"/>
  <c r="HO38" i="22"/>
  <c r="HP38" i="22"/>
  <c r="HQ38" i="22"/>
  <c r="HR38" i="22"/>
  <c r="HS38" i="22"/>
  <c r="HT38" i="22"/>
  <c r="HU38" i="22"/>
  <c r="HV38" i="22"/>
  <c r="HW38" i="22"/>
  <c r="HX38" i="22"/>
  <c r="HY38" i="22"/>
  <c r="HZ38" i="22"/>
  <c r="IA38" i="22"/>
  <c r="IB38" i="22"/>
  <c r="IC38" i="22"/>
  <c r="ID38" i="22"/>
  <c r="IE38" i="22"/>
  <c r="IF38" i="22"/>
  <c r="IG38" i="22"/>
  <c r="IH38" i="22"/>
  <c r="II38" i="22"/>
  <c r="IJ38" i="22"/>
  <c r="IK38" i="22"/>
  <c r="IL38" i="22"/>
  <c r="IM38" i="22"/>
  <c r="IN38" i="22"/>
  <c r="IO38" i="22"/>
  <c r="IP38" i="22"/>
  <c r="IQ38" i="22"/>
  <c r="IR38" i="22"/>
  <c r="IS38" i="22"/>
  <c r="IT38" i="22"/>
  <c r="IU38" i="22"/>
  <c r="IV38" i="22"/>
  <c r="IW38" i="22"/>
  <c r="IX38" i="22"/>
  <c r="IY38" i="22"/>
  <c r="IZ38" i="22"/>
  <c r="JA38" i="22"/>
  <c r="JB38" i="22"/>
  <c r="JC38" i="22"/>
  <c r="JD38" i="22"/>
  <c r="JE38" i="22"/>
  <c r="JF38" i="22"/>
  <c r="JG38" i="22"/>
  <c r="JH38" i="22"/>
  <c r="JI38" i="22"/>
  <c r="JJ38" i="22"/>
  <c r="JK38" i="22"/>
  <c r="JL38" i="22"/>
  <c r="JM38" i="22"/>
  <c r="JN38" i="22"/>
  <c r="JO38" i="22"/>
  <c r="JP38" i="22"/>
  <c r="JQ38" i="22"/>
  <c r="JR38" i="22"/>
  <c r="JS38" i="22"/>
  <c r="JT38" i="22"/>
  <c r="JU38" i="22"/>
  <c r="JV38" i="22"/>
  <c r="JW38" i="22"/>
  <c r="JX38" i="22"/>
  <c r="JY38" i="22"/>
  <c r="JZ38" i="22"/>
  <c r="KA38" i="22"/>
  <c r="KB38" i="22"/>
  <c r="KC38" i="22"/>
  <c r="KD38" i="22"/>
  <c r="KE38" i="22"/>
  <c r="KF38" i="22"/>
  <c r="KG38" i="22"/>
  <c r="KH38" i="22"/>
  <c r="KI38" i="22"/>
  <c r="KJ38" i="22"/>
  <c r="KK38" i="22"/>
  <c r="KL38" i="22"/>
  <c r="KM38" i="22"/>
  <c r="KN38" i="22"/>
  <c r="KO38" i="22"/>
  <c r="KP38" i="22"/>
  <c r="KQ38" i="22"/>
  <c r="KR38" i="22"/>
  <c r="KS38" i="22"/>
  <c r="KT38" i="22"/>
  <c r="KU38" i="22"/>
  <c r="KV38" i="22"/>
  <c r="KW38" i="22"/>
  <c r="KX38" i="22"/>
  <c r="KY38" i="22"/>
  <c r="KZ38" i="22"/>
  <c r="LA38" i="22"/>
  <c r="LB38" i="22"/>
  <c r="LC38" i="22"/>
  <c r="LD38" i="22"/>
  <c r="LE38" i="22"/>
  <c r="LF38" i="22"/>
  <c r="LG38" i="22"/>
  <c r="LH38" i="22"/>
  <c r="LI38" i="22"/>
  <c r="LJ38" i="22"/>
  <c r="LK38" i="22"/>
  <c r="LL38" i="22"/>
  <c r="LM38" i="22"/>
  <c r="LN38" i="22"/>
  <c r="LO38" i="22"/>
  <c r="LP38" i="22"/>
  <c r="LQ38" i="22"/>
  <c r="LR38" i="22"/>
  <c r="LS38" i="22"/>
  <c r="LT38" i="22"/>
  <c r="LU38" i="22"/>
  <c r="LV38" i="22"/>
  <c r="LW38" i="22"/>
  <c r="LX38" i="22"/>
  <c r="LY38" i="22"/>
  <c r="LZ38" i="22"/>
  <c r="MA38" i="22"/>
  <c r="MB38" i="22"/>
  <c r="MC38" i="22"/>
  <c r="MD38" i="22"/>
  <c r="ME38" i="22"/>
  <c r="MF38" i="22"/>
  <c r="MG38" i="22"/>
  <c r="MH38" i="22"/>
  <c r="MI38" i="22"/>
  <c r="MJ38" i="22"/>
  <c r="MK38" i="22"/>
  <c r="ML38" i="22"/>
  <c r="MM38" i="22"/>
  <c r="MN38" i="22"/>
  <c r="MO38" i="22"/>
  <c r="MP38" i="22"/>
  <c r="MQ38" i="22"/>
  <c r="MR38" i="22"/>
  <c r="MS38" i="22"/>
  <c r="MT38" i="22"/>
  <c r="MU38" i="22"/>
  <c r="MV38" i="22"/>
  <c r="MW38" i="22"/>
  <c r="MX38" i="22"/>
  <c r="MY38" i="22"/>
  <c r="MZ38" i="22"/>
  <c r="NA38" i="22"/>
  <c r="NB38" i="22"/>
  <c r="NS38" i="22"/>
  <c r="B39" i="22"/>
  <c r="C39" i="22"/>
  <c r="D39" i="22"/>
  <c r="E39" i="22"/>
  <c r="F39" i="22"/>
  <c r="G39" i="22"/>
  <c r="H39" i="22"/>
  <c r="I39" i="22"/>
  <c r="J39" i="22"/>
  <c r="K39" i="22"/>
  <c r="L39" i="22"/>
  <c r="M39" i="22"/>
  <c r="N39" i="22"/>
  <c r="O39" i="22"/>
  <c r="P39" i="22"/>
  <c r="Q39" i="22"/>
  <c r="R39" i="22"/>
  <c r="S39" i="22"/>
  <c r="T39" i="22"/>
  <c r="U39" i="22"/>
  <c r="V39" i="22"/>
  <c r="W39" i="22"/>
  <c r="X39" i="22"/>
  <c r="Y39" i="22"/>
  <c r="Z39" i="22"/>
  <c r="AA39" i="22"/>
  <c r="AB39" i="22"/>
  <c r="AC39" i="22"/>
  <c r="AD39" i="22"/>
  <c r="AE39" i="22"/>
  <c r="AF39" i="22"/>
  <c r="AG39" i="22"/>
  <c r="AH39" i="22"/>
  <c r="AI39" i="22"/>
  <c r="AJ39" i="22"/>
  <c r="AK39" i="22"/>
  <c r="AL39" i="22"/>
  <c r="AM39" i="22"/>
  <c r="AN39" i="22"/>
  <c r="AO39" i="22"/>
  <c r="AP39" i="22"/>
  <c r="AQ39" i="22"/>
  <c r="AR39" i="22"/>
  <c r="AS39" i="22"/>
  <c r="AT39" i="22"/>
  <c r="AU39" i="22"/>
  <c r="AV39" i="22"/>
  <c r="AW39" i="22"/>
  <c r="AX39" i="22"/>
  <c r="AY39" i="22"/>
  <c r="AZ39" i="22"/>
  <c r="BA39" i="22"/>
  <c r="BB39" i="22"/>
  <c r="BC39" i="22"/>
  <c r="BD39" i="22"/>
  <c r="BE39" i="22"/>
  <c r="BF39" i="22"/>
  <c r="BG39" i="22"/>
  <c r="BH39" i="22"/>
  <c r="BJ39" i="22"/>
  <c r="BK39" i="22"/>
  <c r="BL39" i="22"/>
  <c r="BM39" i="22"/>
  <c r="BN39" i="22"/>
  <c r="BO39" i="22"/>
  <c r="BP39" i="22"/>
  <c r="BQ39" i="22"/>
  <c r="BR39" i="22"/>
  <c r="BS39" i="22"/>
  <c r="BT39" i="22"/>
  <c r="BU39" i="22"/>
  <c r="BV39" i="22"/>
  <c r="BW39" i="22"/>
  <c r="BX39" i="22"/>
  <c r="BY39" i="22"/>
  <c r="BZ39" i="22"/>
  <c r="CA39" i="22"/>
  <c r="CB39" i="22"/>
  <c r="CC39" i="22"/>
  <c r="CD39" i="22"/>
  <c r="CE39" i="22"/>
  <c r="CF39" i="22"/>
  <c r="CG39" i="22"/>
  <c r="CH39" i="22"/>
  <c r="CI39" i="22"/>
  <c r="CJ39" i="22"/>
  <c r="CK39" i="22"/>
  <c r="CL39" i="22"/>
  <c r="CM39" i="22"/>
  <c r="CN39" i="22"/>
  <c r="CO39" i="22"/>
  <c r="CP39" i="22"/>
  <c r="CQ39" i="22"/>
  <c r="CR39" i="22"/>
  <c r="CS39" i="22"/>
  <c r="CT39" i="22"/>
  <c r="CU39" i="22"/>
  <c r="CV39" i="22"/>
  <c r="CW39" i="22"/>
  <c r="CX39" i="22"/>
  <c r="CY39" i="22"/>
  <c r="CZ39" i="22"/>
  <c r="DA39" i="22"/>
  <c r="DB39" i="22"/>
  <c r="DC39" i="22"/>
  <c r="DD39" i="22"/>
  <c r="DE39" i="22"/>
  <c r="DF39" i="22"/>
  <c r="DG39" i="22"/>
  <c r="DH39" i="22"/>
  <c r="DI39" i="22"/>
  <c r="DJ39" i="22"/>
  <c r="DK39" i="22"/>
  <c r="DL39" i="22"/>
  <c r="DM39" i="22"/>
  <c r="DN39" i="22"/>
  <c r="DO39" i="22"/>
  <c r="DP39" i="22"/>
  <c r="DQ39" i="22"/>
  <c r="DR39" i="22"/>
  <c r="DS39" i="22"/>
  <c r="DT39" i="22"/>
  <c r="DU39" i="22"/>
  <c r="DV39" i="22"/>
  <c r="DW39" i="22"/>
  <c r="DX39" i="22"/>
  <c r="DY39" i="22"/>
  <c r="DZ39" i="22"/>
  <c r="EA39" i="22"/>
  <c r="EB39" i="22"/>
  <c r="EC39" i="22"/>
  <c r="ED39" i="22"/>
  <c r="EE39" i="22"/>
  <c r="EF39" i="22"/>
  <c r="EG39" i="22"/>
  <c r="EH39" i="22"/>
  <c r="EI39" i="22"/>
  <c r="EJ39" i="22"/>
  <c r="EK39" i="22"/>
  <c r="EL39" i="22"/>
  <c r="EM39" i="22"/>
  <c r="EN39" i="22"/>
  <c r="EO39" i="22"/>
  <c r="EP39" i="22"/>
  <c r="EQ39" i="22"/>
  <c r="ER39" i="22"/>
  <c r="ES39" i="22"/>
  <c r="ET39" i="22"/>
  <c r="EU39" i="22"/>
  <c r="EV39" i="22"/>
  <c r="EW39" i="22"/>
  <c r="EX39" i="22"/>
  <c r="EY39" i="22"/>
  <c r="EZ39" i="22"/>
  <c r="FA39" i="22"/>
  <c r="FB39" i="22"/>
  <c r="FC39" i="22"/>
  <c r="FD39" i="22"/>
  <c r="FE39" i="22"/>
  <c r="FF39" i="22"/>
  <c r="FG39" i="22"/>
  <c r="FH39" i="22"/>
  <c r="FI39" i="22"/>
  <c r="FJ39" i="22"/>
  <c r="FK39" i="22"/>
  <c r="FL39" i="22"/>
  <c r="FM39" i="22"/>
  <c r="FN39" i="22"/>
  <c r="FO39" i="22"/>
  <c r="FP39" i="22"/>
  <c r="FQ39" i="22"/>
  <c r="FR39" i="22"/>
  <c r="FS39" i="22"/>
  <c r="FT39" i="22"/>
  <c r="FU39" i="22"/>
  <c r="FV39" i="22"/>
  <c r="FW39" i="22"/>
  <c r="FX39" i="22"/>
  <c r="FY39" i="22"/>
  <c r="FZ39" i="22"/>
  <c r="GA39" i="22"/>
  <c r="GB39" i="22"/>
  <c r="GC39" i="22"/>
  <c r="GD39" i="22"/>
  <c r="GE39" i="22"/>
  <c r="GF39" i="22"/>
  <c r="GG39" i="22"/>
  <c r="GH39" i="22"/>
  <c r="GI39" i="22"/>
  <c r="GJ39" i="22"/>
  <c r="GK39" i="22"/>
  <c r="GL39" i="22"/>
  <c r="GM39" i="22"/>
  <c r="GN39" i="22"/>
  <c r="GO39" i="22"/>
  <c r="GP39" i="22"/>
  <c r="GQ39" i="22"/>
  <c r="GR39" i="22"/>
  <c r="GS39" i="22"/>
  <c r="GT39" i="22"/>
  <c r="GU39" i="22"/>
  <c r="GV39" i="22"/>
  <c r="GW39" i="22"/>
  <c r="GX39" i="22"/>
  <c r="GY39" i="22"/>
  <c r="GZ39" i="22"/>
  <c r="HA39" i="22"/>
  <c r="HB39" i="22"/>
  <c r="HC39" i="22"/>
  <c r="HD39" i="22"/>
  <c r="HE39" i="22"/>
  <c r="HF39" i="22"/>
  <c r="HG39" i="22"/>
  <c r="HH39" i="22"/>
  <c r="HI39" i="22"/>
  <c r="HJ39" i="22"/>
  <c r="HK39" i="22"/>
  <c r="HL39" i="22"/>
  <c r="HM39" i="22"/>
  <c r="HN39" i="22"/>
  <c r="HO39" i="22"/>
  <c r="HP39" i="22"/>
  <c r="HQ39" i="22"/>
  <c r="HR39" i="22"/>
  <c r="HS39" i="22"/>
  <c r="HT39" i="22"/>
  <c r="HU39" i="22"/>
  <c r="HV39" i="22"/>
  <c r="HW39" i="22"/>
  <c r="HX39" i="22"/>
  <c r="HY39" i="22"/>
  <c r="HZ39" i="22"/>
  <c r="IA39" i="22"/>
  <c r="IB39" i="22"/>
  <c r="IC39" i="22"/>
  <c r="ID39" i="22"/>
  <c r="IE39" i="22"/>
  <c r="IF39" i="22"/>
  <c r="IG39" i="22"/>
  <c r="IH39" i="22"/>
  <c r="II39" i="22"/>
  <c r="IJ39" i="22"/>
  <c r="IK39" i="22"/>
  <c r="IL39" i="22"/>
  <c r="IM39" i="22"/>
  <c r="IN39" i="22"/>
  <c r="IO39" i="22"/>
  <c r="IP39" i="22"/>
  <c r="IQ39" i="22"/>
  <c r="IR39" i="22"/>
  <c r="IS39" i="22"/>
  <c r="IT39" i="22"/>
  <c r="IU39" i="22"/>
  <c r="IV39" i="22"/>
  <c r="IW39" i="22"/>
  <c r="IX39" i="22"/>
  <c r="IY39" i="22"/>
  <c r="IZ39" i="22"/>
  <c r="JA39" i="22"/>
  <c r="JB39" i="22"/>
  <c r="JC39" i="22"/>
  <c r="JD39" i="22"/>
  <c r="JE39" i="22"/>
  <c r="JF39" i="22"/>
  <c r="JG39" i="22"/>
  <c r="JH39" i="22"/>
  <c r="JI39" i="22"/>
  <c r="JJ39" i="22"/>
  <c r="JK39" i="22"/>
  <c r="JL39" i="22"/>
  <c r="JM39" i="22"/>
  <c r="JN39" i="22"/>
  <c r="JO39" i="22"/>
  <c r="JP39" i="22"/>
  <c r="JQ39" i="22"/>
  <c r="JR39" i="22"/>
  <c r="JS39" i="22"/>
  <c r="JT39" i="22"/>
  <c r="JU39" i="22"/>
  <c r="JV39" i="22"/>
  <c r="JW39" i="22"/>
  <c r="JX39" i="22"/>
  <c r="JY39" i="22"/>
  <c r="JZ39" i="22"/>
  <c r="KA39" i="22"/>
  <c r="KB39" i="22"/>
  <c r="KC39" i="22"/>
  <c r="KD39" i="22"/>
  <c r="KE39" i="22"/>
  <c r="KF39" i="22"/>
  <c r="KG39" i="22"/>
  <c r="KH39" i="22"/>
  <c r="KI39" i="22"/>
  <c r="KJ39" i="22"/>
  <c r="KK39" i="22"/>
  <c r="KL39" i="22"/>
  <c r="KM39" i="22"/>
  <c r="KN39" i="22"/>
  <c r="KO39" i="22"/>
  <c r="KP39" i="22"/>
  <c r="KQ39" i="22"/>
  <c r="KR39" i="22"/>
  <c r="KS39" i="22"/>
  <c r="KT39" i="22"/>
  <c r="KU39" i="22"/>
  <c r="KV39" i="22"/>
  <c r="KW39" i="22"/>
  <c r="KX39" i="22"/>
  <c r="KY39" i="22"/>
  <c r="KZ39" i="22"/>
  <c r="LA39" i="22"/>
  <c r="LB39" i="22"/>
  <c r="LC39" i="22"/>
  <c r="LD39" i="22"/>
  <c r="LE39" i="22"/>
  <c r="LF39" i="22"/>
  <c r="LG39" i="22"/>
  <c r="LH39" i="22"/>
  <c r="LI39" i="22"/>
  <c r="LJ39" i="22"/>
  <c r="LK39" i="22"/>
  <c r="LL39" i="22"/>
  <c r="LM39" i="22"/>
  <c r="LN39" i="22"/>
  <c r="LO39" i="22"/>
  <c r="LP39" i="22"/>
  <c r="LQ39" i="22"/>
  <c r="LR39" i="22"/>
  <c r="LS39" i="22"/>
  <c r="LT39" i="22"/>
  <c r="LU39" i="22"/>
  <c r="LV39" i="22"/>
  <c r="LW39" i="22"/>
  <c r="LX39" i="22"/>
  <c r="LY39" i="22"/>
  <c r="LZ39" i="22"/>
  <c r="MA39" i="22"/>
  <c r="MB39" i="22"/>
  <c r="MC39" i="22"/>
  <c r="MD39" i="22"/>
  <c r="ME39" i="22"/>
  <c r="MF39" i="22"/>
  <c r="MG39" i="22"/>
  <c r="MH39" i="22"/>
  <c r="MI39" i="22"/>
  <c r="MJ39" i="22"/>
  <c r="MK39" i="22"/>
  <c r="ML39" i="22"/>
  <c r="MM39" i="22"/>
  <c r="MN39" i="22"/>
  <c r="MO39" i="22"/>
  <c r="MP39" i="22"/>
  <c r="MQ39" i="22"/>
  <c r="MR39" i="22"/>
  <c r="MS39" i="22"/>
  <c r="MT39" i="22"/>
  <c r="MU39" i="22"/>
  <c r="MV39" i="22"/>
  <c r="MW39" i="22"/>
  <c r="MX39" i="22"/>
  <c r="MY39" i="22"/>
  <c r="MZ39" i="22"/>
  <c r="NA39" i="22"/>
  <c r="NB39" i="22"/>
  <c r="NS39" i="22"/>
  <c r="B40" i="22"/>
  <c r="C40" i="22"/>
  <c r="D40" i="22"/>
  <c r="E40" i="22"/>
  <c r="F40" i="22"/>
  <c r="G40" i="22"/>
  <c r="H40" i="22"/>
  <c r="I40" i="22"/>
  <c r="J40" i="22"/>
  <c r="K40" i="22"/>
  <c r="L40" i="22"/>
  <c r="M40" i="22"/>
  <c r="N40" i="22"/>
  <c r="O40" i="22"/>
  <c r="P40" i="22"/>
  <c r="Q40" i="22"/>
  <c r="R40" i="22"/>
  <c r="S40" i="22"/>
  <c r="T40" i="22"/>
  <c r="U40" i="22"/>
  <c r="V40" i="22"/>
  <c r="W40" i="22"/>
  <c r="X40" i="22"/>
  <c r="Y40" i="22"/>
  <c r="Z40" i="22"/>
  <c r="AA40" i="22"/>
  <c r="AB40" i="22"/>
  <c r="AC40" i="22"/>
  <c r="AD40" i="22"/>
  <c r="AE40" i="22"/>
  <c r="AF40" i="22"/>
  <c r="AG40" i="22"/>
  <c r="AH40" i="22"/>
  <c r="AI40" i="22"/>
  <c r="AJ40" i="22"/>
  <c r="AK40" i="22"/>
  <c r="AL40" i="22"/>
  <c r="AM40" i="22"/>
  <c r="AN40" i="22"/>
  <c r="AO40" i="22"/>
  <c r="AP40" i="22"/>
  <c r="AQ40" i="22"/>
  <c r="AR40" i="22"/>
  <c r="AS40" i="22"/>
  <c r="AT40" i="22"/>
  <c r="AU40" i="22"/>
  <c r="AV40" i="22"/>
  <c r="AW40" i="22"/>
  <c r="AX40" i="22"/>
  <c r="AY40" i="22"/>
  <c r="AZ40" i="22"/>
  <c r="BA40" i="22"/>
  <c r="BB40" i="22"/>
  <c r="BC40" i="22"/>
  <c r="BD40" i="22"/>
  <c r="BE40" i="22"/>
  <c r="BF40" i="22"/>
  <c r="BG40" i="22"/>
  <c r="BH40" i="22"/>
  <c r="BJ40" i="22"/>
  <c r="BK40" i="22"/>
  <c r="BL40" i="22"/>
  <c r="BM40" i="22"/>
  <c r="BN40" i="22"/>
  <c r="BO40" i="22"/>
  <c r="BP40" i="22"/>
  <c r="BQ40" i="22"/>
  <c r="BR40" i="22"/>
  <c r="BS40" i="22"/>
  <c r="BT40" i="22"/>
  <c r="BU40" i="22"/>
  <c r="BV40" i="22"/>
  <c r="BW40" i="22"/>
  <c r="BX40" i="22"/>
  <c r="BY40" i="22"/>
  <c r="BZ40" i="22"/>
  <c r="CA40" i="22"/>
  <c r="CB40" i="22"/>
  <c r="CC40" i="22"/>
  <c r="CD40" i="22"/>
  <c r="CE40" i="22"/>
  <c r="CF40" i="22"/>
  <c r="CG40" i="22"/>
  <c r="CH40" i="22"/>
  <c r="CI40" i="22"/>
  <c r="CJ40" i="22"/>
  <c r="CK40" i="22"/>
  <c r="CL40" i="22"/>
  <c r="CM40" i="22"/>
  <c r="CN40" i="22"/>
  <c r="CO40" i="22"/>
  <c r="CP40" i="22"/>
  <c r="CQ40" i="22"/>
  <c r="CR40" i="22"/>
  <c r="CS40" i="22"/>
  <c r="CT40" i="22"/>
  <c r="CU40" i="22"/>
  <c r="CV40" i="22"/>
  <c r="CW40" i="22"/>
  <c r="CX40" i="22"/>
  <c r="CY40" i="22"/>
  <c r="CZ40" i="22"/>
  <c r="DA40" i="22"/>
  <c r="DB40" i="22"/>
  <c r="DC40" i="22"/>
  <c r="DD40" i="22"/>
  <c r="DE40" i="22"/>
  <c r="DF40" i="22"/>
  <c r="DG40" i="22"/>
  <c r="DH40" i="22"/>
  <c r="DI40" i="22"/>
  <c r="DJ40" i="22"/>
  <c r="DK40" i="22"/>
  <c r="DL40" i="22"/>
  <c r="DM40" i="22"/>
  <c r="DN40" i="22"/>
  <c r="DO40" i="22"/>
  <c r="DP40" i="22"/>
  <c r="DQ40" i="22"/>
  <c r="DR40" i="22"/>
  <c r="DS40" i="22"/>
  <c r="DT40" i="22"/>
  <c r="DU40" i="22"/>
  <c r="DV40" i="22"/>
  <c r="DW40" i="22"/>
  <c r="DX40" i="22"/>
  <c r="DY40" i="22"/>
  <c r="DZ40" i="22"/>
  <c r="EA40" i="22"/>
  <c r="EB40" i="22"/>
  <c r="EC40" i="22"/>
  <c r="ED40" i="22"/>
  <c r="EE40" i="22"/>
  <c r="EF40" i="22"/>
  <c r="EG40" i="22"/>
  <c r="EH40" i="22"/>
  <c r="EI40" i="22"/>
  <c r="EJ40" i="22"/>
  <c r="EK40" i="22"/>
  <c r="EL40" i="22"/>
  <c r="EM40" i="22"/>
  <c r="EN40" i="22"/>
  <c r="EO40" i="22"/>
  <c r="EP40" i="22"/>
  <c r="EQ40" i="22"/>
  <c r="ER40" i="22"/>
  <c r="ES40" i="22"/>
  <c r="ET40" i="22"/>
  <c r="EU40" i="22"/>
  <c r="EV40" i="22"/>
  <c r="EW40" i="22"/>
  <c r="EX40" i="22"/>
  <c r="EY40" i="22"/>
  <c r="EZ40" i="22"/>
  <c r="FA40" i="22"/>
  <c r="FB40" i="22"/>
  <c r="FC40" i="22"/>
  <c r="FD40" i="22"/>
  <c r="FE40" i="22"/>
  <c r="FF40" i="22"/>
  <c r="FG40" i="22"/>
  <c r="FH40" i="22"/>
  <c r="FI40" i="22"/>
  <c r="FJ40" i="22"/>
  <c r="FK40" i="22"/>
  <c r="FL40" i="22"/>
  <c r="FM40" i="22"/>
  <c r="FN40" i="22"/>
  <c r="FO40" i="22"/>
  <c r="FP40" i="22"/>
  <c r="FQ40" i="22"/>
  <c r="FR40" i="22"/>
  <c r="FS40" i="22"/>
  <c r="FT40" i="22"/>
  <c r="FU40" i="22"/>
  <c r="FV40" i="22"/>
  <c r="FW40" i="22"/>
  <c r="FX40" i="22"/>
  <c r="FY40" i="22"/>
  <c r="FZ40" i="22"/>
  <c r="GA40" i="22"/>
  <c r="GB40" i="22"/>
  <c r="GC40" i="22"/>
  <c r="GD40" i="22"/>
  <c r="GE40" i="22"/>
  <c r="GF40" i="22"/>
  <c r="GG40" i="22"/>
  <c r="GH40" i="22"/>
  <c r="GI40" i="22"/>
  <c r="GJ40" i="22"/>
  <c r="GK40" i="22"/>
  <c r="GL40" i="22"/>
  <c r="GM40" i="22"/>
  <c r="GN40" i="22"/>
  <c r="GO40" i="22"/>
  <c r="GP40" i="22"/>
  <c r="GQ40" i="22"/>
  <c r="GR40" i="22"/>
  <c r="GS40" i="22"/>
  <c r="GT40" i="22"/>
  <c r="GU40" i="22"/>
  <c r="GV40" i="22"/>
  <c r="GW40" i="22"/>
  <c r="GX40" i="22"/>
  <c r="GY40" i="22"/>
  <c r="GZ40" i="22"/>
  <c r="HA40" i="22"/>
  <c r="HB40" i="22"/>
  <c r="HC40" i="22"/>
  <c r="HD40" i="22"/>
  <c r="HE40" i="22"/>
  <c r="HF40" i="22"/>
  <c r="HG40" i="22"/>
  <c r="HH40" i="22"/>
  <c r="HI40" i="22"/>
  <c r="HJ40" i="22"/>
  <c r="HK40" i="22"/>
  <c r="HL40" i="22"/>
  <c r="HM40" i="22"/>
  <c r="HN40" i="22"/>
  <c r="HO40" i="22"/>
  <c r="HP40" i="22"/>
  <c r="HQ40" i="22"/>
  <c r="HR40" i="22"/>
  <c r="HS40" i="22"/>
  <c r="HT40" i="22"/>
  <c r="HU40" i="22"/>
  <c r="HV40" i="22"/>
  <c r="HW40" i="22"/>
  <c r="HX40" i="22"/>
  <c r="HY40" i="22"/>
  <c r="HZ40" i="22"/>
  <c r="IA40" i="22"/>
  <c r="IB40" i="22"/>
  <c r="IC40" i="22"/>
  <c r="ID40" i="22"/>
  <c r="IE40" i="22"/>
  <c r="IF40" i="22"/>
  <c r="IG40" i="22"/>
  <c r="IH40" i="22"/>
  <c r="II40" i="22"/>
  <c r="IJ40" i="22"/>
  <c r="IK40" i="22"/>
  <c r="IL40" i="22"/>
  <c r="IM40" i="22"/>
  <c r="IN40" i="22"/>
  <c r="IO40" i="22"/>
  <c r="IP40" i="22"/>
  <c r="IQ40" i="22"/>
  <c r="IR40" i="22"/>
  <c r="IS40" i="22"/>
  <c r="IT40" i="22"/>
  <c r="IU40" i="22"/>
  <c r="IV40" i="22"/>
  <c r="IW40" i="22"/>
  <c r="IX40" i="22"/>
  <c r="IY40" i="22"/>
  <c r="IZ40" i="22"/>
  <c r="JA40" i="22"/>
  <c r="JB40" i="22"/>
  <c r="JC40" i="22"/>
  <c r="JD40" i="22"/>
  <c r="JE40" i="22"/>
  <c r="JF40" i="22"/>
  <c r="JG40" i="22"/>
  <c r="JH40" i="22"/>
  <c r="JI40" i="22"/>
  <c r="JJ40" i="22"/>
  <c r="JK40" i="22"/>
  <c r="JL40" i="22"/>
  <c r="JM40" i="22"/>
  <c r="JN40" i="22"/>
  <c r="JO40" i="22"/>
  <c r="JP40" i="22"/>
  <c r="JQ40" i="22"/>
  <c r="JR40" i="22"/>
  <c r="JS40" i="22"/>
  <c r="JT40" i="22"/>
  <c r="JU40" i="22"/>
  <c r="JV40" i="22"/>
  <c r="JW40" i="22"/>
  <c r="JX40" i="22"/>
  <c r="JY40" i="22"/>
  <c r="JZ40" i="22"/>
  <c r="KA40" i="22"/>
  <c r="KB40" i="22"/>
  <c r="KC40" i="22"/>
  <c r="KD40" i="22"/>
  <c r="KE40" i="22"/>
  <c r="KF40" i="22"/>
  <c r="KG40" i="22"/>
  <c r="KH40" i="22"/>
  <c r="KI40" i="22"/>
  <c r="KJ40" i="22"/>
  <c r="KK40" i="22"/>
  <c r="KL40" i="22"/>
  <c r="KM40" i="22"/>
  <c r="KN40" i="22"/>
  <c r="KO40" i="22"/>
  <c r="KP40" i="22"/>
  <c r="KQ40" i="22"/>
  <c r="KR40" i="22"/>
  <c r="KS40" i="22"/>
  <c r="KT40" i="22"/>
  <c r="KU40" i="22"/>
  <c r="KV40" i="22"/>
  <c r="KW40" i="22"/>
  <c r="KX40" i="22"/>
  <c r="KY40" i="22"/>
  <c r="KZ40" i="22"/>
  <c r="LA40" i="22"/>
  <c r="LB40" i="22"/>
  <c r="LC40" i="22"/>
  <c r="LD40" i="22"/>
  <c r="LE40" i="22"/>
  <c r="LF40" i="22"/>
  <c r="LG40" i="22"/>
  <c r="LH40" i="22"/>
  <c r="LI40" i="22"/>
  <c r="LJ40" i="22"/>
  <c r="LK40" i="22"/>
  <c r="LL40" i="22"/>
  <c r="LM40" i="22"/>
  <c r="LN40" i="22"/>
  <c r="LO40" i="22"/>
  <c r="LP40" i="22"/>
  <c r="LQ40" i="22"/>
  <c r="LR40" i="22"/>
  <c r="LS40" i="22"/>
  <c r="LT40" i="22"/>
  <c r="LU40" i="22"/>
  <c r="LV40" i="22"/>
  <c r="LW40" i="22"/>
  <c r="LX40" i="22"/>
  <c r="LY40" i="22"/>
  <c r="LZ40" i="22"/>
  <c r="MA40" i="22"/>
  <c r="MB40" i="22"/>
  <c r="MC40" i="22"/>
  <c r="MD40" i="22"/>
  <c r="ME40" i="22"/>
  <c r="MF40" i="22"/>
  <c r="MG40" i="22"/>
  <c r="MH40" i="22"/>
  <c r="MI40" i="22"/>
  <c r="MJ40" i="22"/>
  <c r="MK40" i="22"/>
  <c r="ML40" i="22"/>
  <c r="MM40" i="22"/>
  <c r="MN40" i="22"/>
  <c r="MO40" i="22"/>
  <c r="MP40" i="22"/>
  <c r="MQ40" i="22"/>
  <c r="MR40" i="22"/>
  <c r="MS40" i="22"/>
  <c r="MT40" i="22"/>
  <c r="MU40" i="22"/>
  <c r="MV40" i="22"/>
  <c r="MW40" i="22"/>
  <c r="MX40" i="22"/>
  <c r="MY40" i="22"/>
  <c r="MZ40" i="22"/>
  <c r="NA40" i="22"/>
  <c r="NB40" i="22"/>
  <c r="NS40" i="22"/>
  <c r="B41" i="22"/>
  <c r="C41" i="22"/>
  <c r="D41" i="22"/>
  <c r="E41" i="22"/>
  <c r="F41" i="22"/>
  <c r="G41" i="22"/>
  <c r="H41" i="22"/>
  <c r="I41" i="22"/>
  <c r="J41" i="22"/>
  <c r="K41" i="22"/>
  <c r="L41" i="22"/>
  <c r="M41" i="22"/>
  <c r="N41" i="22"/>
  <c r="O41" i="22"/>
  <c r="P41" i="22"/>
  <c r="Q41" i="22"/>
  <c r="R41" i="22"/>
  <c r="S41" i="22"/>
  <c r="T41" i="22"/>
  <c r="U41" i="22"/>
  <c r="V41" i="22"/>
  <c r="W41" i="22"/>
  <c r="X41" i="22"/>
  <c r="Y41" i="22"/>
  <c r="Z41" i="22"/>
  <c r="AA41" i="22"/>
  <c r="AB41" i="22"/>
  <c r="AC41" i="22"/>
  <c r="AD41" i="22"/>
  <c r="AE41" i="22"/>
  <c r="AF41" i="22"/>
  <c r="AG41" i="22"/>
  <c r="AH41" i="22"/>
  <c r="AI41" i="22"/>
  <c r="AJ41" i="22"/>
  <c r="AK41" i="22"/>
  <c r="AL41" i="22"/>
  <c r="AM41" i="22"/>
  <c r="AN41" i="22"/>
  <c r="AO41" i="22"/>
  <c r="AP41" i="22"/>
  <c r="AQ41" i="22"/>
  <c r="AR41" i="22"/>
  <c r="AS41" i="22"/>
  <c r="AT41" i="22"/>
  <c r="AU41" i="22"/>
  <c r="AV41" i="22"/>
  <c r="AW41" i="22"/>
  <c r="AX41" i="22"/>
  <c r="AY41" i="22"/>
  <c r="AZ41" i="22"/>
  <c r="BA41" i="22"/>
  <c r="BB41" i="22"/>
  <c r="BC41" i="22"/>
  <c r="BD41" i="22"/>
  <c r="BE41" i="22"/>
  <c r="BF41" i="22"/>
  <c r="BG41" i="22"/>
  <c r="BH41" i="22"/>
  <c r="BI41" i="22"/>
  <c r="BJ41" i="22"/>
  <c r="BK41" i="22"/>
  <c r="BL41" i="22"/>
  <c r="BM41" i="22"/>
  <c r="BN41" i="22"/>
  <c r="BO41" i="22"/>
  <c r="BP41" i="22"/>
  <c r="BQ41" i="22"/>
  <c r="BR41" i="22"/>
  <c r="BS41" i="22"/>
  <c r="BT41" i="22"/>
  <c r="BU41" i="22"/>
  <c r="BV41" i="22"/>
  <c r="BW41" i="22"/>
  <c r="BX41" i="22"/>
  <c r="BY41" i="22"/>
  <c r="BZ41" i="22"/>
  <c r="CA41" i="22"/>
  <c r="CB41" i="22"/>
  <c r="CC41" i="22"/>
  <c r="CD41" i="22"/>
  <c r="CE41" i="22"/>
  <c r="CF41" i="22"/>
  <c r="CG41" i="22"/>
  <c r="CH41" i="22"/>
  <c r="CI41" i="22"/>
  <c r="CJ41" i="22"/>
  <c r="CK41" i="22"/>
  <c r="CL41" i="22"/>
  <c r="CM41" i="22"/>
  <c r="CN41" i="22"/>
  <c r="CO41" i="22"/>
  <c r="CP41" i="22"/>
  <c r="CQ41" i="22"/>
  <c r="CR41" i="22"/>
  <c r="CS41" i="22"/>
  <c r="CT41" i="22"/>
  <c r="CU41" i="22"/>
  <c r="CV41" i="22"/>
  <c r="CW41" i="22"/>
  <c r="CX41" i="22"/>
  <c r="CY41" i="22"/>
  <c r="CZ41" i="22"/>
  <c r="DA41" i="22"/>
  <c r="DB41" i="22"/>
  <c r="DC41" i="22"/>
  <c r="DD41" i="22"/>
  <c r="DE41" i="22"/>
  <c r="DF41" i="22"/>
  <c r="DG41" i="22"/>
  <c r="DH41" i="22"/>
  <c r="DI41" i="22"/>
  <c r="DJ41" i="22"/>
  <c r="DK41" i="22"/>
  <c r="DL41" i="22"/>
  <c r="DM41" i="22"/>
  <c r="DN41" i="22"/>
  <c r="DO41" i="22"/>
  <c r="DP41" i="22"/>
  <c r="DQ41" i="22"/>
  <c r="DR41" i="22"/>
  <c r="DS41" i="22"/>
  <c r="DT41" i="22"/>
  <c r="DU41" i="22"/>
  <c r="DV41" i="22"/>
  <c r="DW41" i="22"/>
  <c r="DX41" i="22"/>
  <c r="DY41" i="22"/>
  <c r="DZ41" i="22"/>
  <c r="EA41" i="22"/>
  <c r="EB41" i="22"/>
  <c r="EC41" i="22"/>
  <c r="ED41" i="22"/>
  <c r="EE41" i="22"/>
  <c r="EF41" i="22"/>
  <c r="EG41" i="22"/>
  <c r="EH41" i="22"/>
  <c r="EI41" i="22"/>
  <c r="EJ41" i="22"/>
  <c r="EK41" i="22"/>
  <c r="EL41" i="22"/>
  <c r="EM41" i="22"/>
  <c r="EN41" i="22"/>
  <c r="EO41" i="22"/>
  <c r="EP41" i="22"/>
  <c r="EQ41" i="22"/>
  <c r="ER41" i="22"/>
  <c r="ES41" i="22"/>
  <c r="ET41" i="22"/>
  <c r="EU41" i="22"/>
  <c r="EV41" i="22"/>
  <c r="EW41" i="22"/>
  <c r="EX41" i="22"/>
  <c r="EY41" i="22"/>
  <c r="EZ41" i="22"/>
  <c r="FA41" i="22"/>
  <c r="FB41" i="22"/>
  <c r="FC41" i="22"/>
  <c r="FD41" i="22"/>
  <c r="FE41" i="22"/>
  <c r="FF41" i="22"/>
  <c r="FG41" i="22"/>
  <c r="FH41" i="22"/>
  <c r="FI41" i="22"/>
  <c r="FJ41" i="22"/>
  <c r="FK41" i="22"/>
  <c r="FL41" i="22"/>
  <c r="FM41" i="22"/>
  <c r="FN41" i="22"/>
  <c r="FO41" i="22"/>
  <c r="FP41" i="22"/>
  <c r="FQ41" i="22"/>
  <c r="FR41" i="22"/>
  <c r="FS41" i="22"/>
  <c r="FT41" i="22"/>
  <c r="FU41" i="22"/>
  <c r="FV41" i="22"/>
  <c r="FW41" i="22"/>
  <c r="FX41" i="22"/>
  <c r="FY41" i="22"/>
  <c r="FZ41" i="22"/>
  <c r="GA41" i="22"/>
  <c r="GB41" i="22"/>
  <c r="GC41" i="22"/>
  <c r="GD41" i="22"/>
  <c r="GE41" i="22"/>
  <c r="GF41" i="22"/>
  <c r="GG41" i="22"/>
  <c r="GH41" i="22"/>
  <c r="GI41" i="22"/>
  <c r="GJ41" i="22"/>
  <c r="GK41" i="22"/>
  <c r="GL41" i="22"/>
  <c r="GM41" i="22"/>
  <c r="GN41" i="22"/>
  <c r="GO41" i="22"/>
  <c r="GP41" i="22"/>
  <c r="GQ41" i="22"/>
  <c r="GR41" i="22"/>
  <c r="GS41" i="22"/>
  <c r="GT41" i="22"/>
  <c r="GU41" i="22"/>
  <c r="GV41" i="22"/>
  <c r="GW41" i="22"/>
  <c r="GX41" i="22"/>
  <c r="GY41" i="22"/>
  <c r="GZ41" i="22"/>
  <c r="HA41" i="22"/>
  <c r="HB41" i="22"/>
  <c r="HC41" i="22"/>
  <c r="HD41" i="22"/>
  <c r="HE41" i="22"/>
  <c r="HF41" i="22"/>
  <c r="HG41" i="22"/>
  <c r="HH41" i="22"/>
  <c r="HI41" i="22"/>
  <c r="HJ41" i="22"/>
  <c r="HK41" i="22"/>
  <c r="HL41" i="22"/>
  <c r="HM41" i="22"/>
  <c r="HN41" i="22"/>
  <c r="HO41" i="22"/>
  <c r="HP41" i="22"/>
  <c r="HQ41" i="22"/>
  <c r="HR41" i="22"/>
  <c r="HS41" i="22"/>
  <c r="HT41" i="22"/>
  <c r="HU41" i="22"/>
  <c r="HV41" i="22"/>
  <c r="HW41" i="22"/>
  <c r="HX41" i="22"/>
  <c r="HY41" i="22"/>
  <c r="HZ41" i="22"/>
  <c r="IA41" i="22"/>
  <c r="IB41" i="22"/>
  <c r="IC41" i="22"/>
  <c r="ID41" i="22"/>
  <c r="IE41" i="22"/>
  <c r="IF41" i="22"/>
  <c r="IG41" i="22"/>
  <c r="IH41" i="22"/>
  <c r="II41" i="22"/>
  <c r="IJ41" i="22"/>
  <c r="IK41" i="22"/>
  <c r="IL41" i="22"/>
  <c r="IM41" i="22"/>
  <c r="IN41" i="22"/>
  <c r="IO41" i="22"/>
  <c r="IP41" i="22"/>
  <c r="IQ41" i="22"/>
  <c r="IR41" i="22"/>
  <c r="IS41" i="22"/>
  <c r="IT41" i="22"/>
  <c r="IU41" i="22"/>
  <c r="IV41" i="22"/>
  <c r="IW41" i="22"/>
  <c r="IX41" i="22"/>
  <c r="IY41" i="22"/>
  <c r="IZ41" i="22"/>
  <c r="JA41" i="22"/>
  <c r="JB41" i="22"/>
  <c r="JC41" i="22"/>
  <c r="JD41" i="22"/>
  <c r="JE41" i="22"/>
  <c r="JF41" i="22"/>
  <c r="JG41" i="22"/>
  <c r="JH41" i="22"/>
  <c r="JI41" i="22"/>
  <c r="JJ41" i="22"/>
  <c r="JK41" i="22"/>
  <c r="JL41" i="22"/>
  <c r="JM41" i="22"/>
  <c r="JN41" i="22"/>
  <c r="JO41" i="22"/>
  <c r="JP41" i="22"/>
  <c r="JQ41" i="22"/>
  <c r="JR41" i="22"/>
  <c r="JS41" i="22"/>
  <c r="JT41" i="22"/>
  <c r="JU41" i="22"/>
  <c r="JV41" i="22"/>
  <c r="JW41" i="22"/>
  <c r="JX41" i="22"/>
  <c r="JY41" i="22"/>
  <c r="JZ41" i="22"/>
  <c r="KA41" i="22"/>
  <c r="KB41" i="22"/>
  <c r="KC41" i="22"/>
  <c r="KD41" i="22"/>
  <c r="KE41" i="22"/>
  <c r="KF41" i="22"/>
  <c r="KG41" i="22"/>
  <c r="KH41" i="22"/>
  <c r="KI41" i="22"/>
  <c r="KJ41" i="22"/>
  <c r="KK41" i="22"/>
  <c r="KL41" i="22"/>
  <c r="KM41" i="22"/>
  <c r="KN41" i="22"/>
  <c r="KO41" i="22"/>
  <c r="KP41" i="22"/>
  <c r="KQ41" i="22"/>
  <c r="KR41" i="22"/>
  <c r="KS41" i="22"/>
  <c r="KT41" i="22"/>
  <c r="KU41" i="22"/>
  <c r="KV41" i="22"/>
  <c r="KW41" i="22"/>
  <c r="KX41" i="22"/>
  <c r="KY41" i="22"/>
  <c r="KZ41" i="22"/>
  <c r="LA41" i="22"/>
  <c r="LB41" i="22"/>
  <c r="LC41" i="22"/>
  <c r="LD41" i="22"/>
  <c r="LE41" i="22"/>
  <c r="LF41" i="22"/>
  <c r="LG41" i="22"/>
  <c r="LH41" i="22"/>
  <c r="LI41" i="22"/>
  <c r="LJ41" i="22"/>
  <c r="LK41" i="22"/>
  <c r="LL41" i="22"/>
  <c r="LM41" i="22"/>
  <c r="LN41" i="22"/>
  <c r="LO41" i="22"/>
  <c r="LP41" i="22"/>
  <c r="LQ41" i="22"/>
  <c r="LR41" i="22"/>
  <c r="LS41" i="22"/>
  <c r="LT41" i="22"/>
  <c r="LU41" i="22"/>
  <c r="LV41" i="22"/>
  <c r="LW41" i="22"/>
  <c r="LX41" i="22"/>
  <c r="LY41" i="22"/>
  <c r="LZ41" i="22"/>
  <c r="MA41" i="22"/>
  <c r="MB41" i="22"/>
  <c r="MC41" i="22"/>
  <c r="MD41" i="22"/>
  <c r="ME41" i="22"/>
  <c r="MF41" i="22"/>
  <c r="MG41" i="22"/>
  <c r="MH41" i="22"/>
  <c r="MI41" i="22"/>
  <c r="MJ41" i="22"/>
  <c r="MK41" i="22"/>
  <c r="ML41" i="22"/>
  <c r="MM41" i="22"/>
  <c r="MN41" i="22"/>
  <c r="MO41" i="22"/>
  <c r="MP41" i="22"/>
  <c r="MQ41" i="22"/>
  <c r="MR41" i="22"/>
  <c r="MS41" i="22"/>
  <c r="MT41" i="22"/>
  <c r="MU41" i="22"/>
  <c r="MV41" i="22"/>
  <c r="MW41" i="22"/>
  <c r="MX41" i="22"/>
  <c r="MY41" i="22"/>
  <c r="MZ41" i="22"/>
  <c r="NA41" i="22"/>
  <c r="NB41" i="22"/>
  <c r="NC41" i="22"/>
  <c r="NS41" i="22"/>
  <c r="B42" i="22"/>
  <c r="C42" i="22"/>
  <c r="D42" i="22"/>
  <c r="E42" i="22"/>
  <c r="F42" i="22"/>
  <c r="G42" i="22"/>
  <c r="H42" i="22"/>
  <c r="I42" i="22"/>
  <c r="J42" i="22"/>
  <c r="K42" i="22"/>
  <c r="L42" i="22"/>
  <c r="M42" i="22"/>
  <c r="N42" i="22"/>
  <c r="O42" i="22"/>
  <c r="P42" i="22"/>
  <c r="Q42" i="22"/>
  <c r="R42" i="22"/>
  <c r="S42" i="22"/>
  <c r="T42" i="22"/>
  <c r="U42" i="22"/>
  <c r="V42" i="22"/>
  <c r="W42" i="22"/>
  <c r="X42" i="22"/>
  <c r="Y42" i="22"/>
  <c r="Z42" i="22"/>
  <c r="AA42" i="22"/>
  <c r="AB42" i="22"/>
  <c r="AC42" i="22"/>
  <c r="AD42" i="22"/>
  <c r="AE42" i="22"/>
  <c r="AF42" i="22"/>
  <c r="AG42" i="22"/>
  <c r="AH42" i="22"/>
  <c r="AI42" i="22"/>
  <c r="AJ42" i="22"/>
  <c r="AK42" i="22"/>
  <c r="AL42" i="22"/>
  <c r="AM42" i="22"/>
  <c r="AN42" i="22"/>
  <c r="AO42" i="22"/>
  <c r="AP42" i="22"/>
  <c r="AQ42" i="22"/>
  <c r="AR42" i="22"/>
  <c r="AS42" i="22"/>
  <c r="AT42" i="22"/>
  <c r="AU42" i="22"/>
  <c r="AV42" i="22"/>
  <c r="AW42" i="22"/>
  <c r="AX42" i="22"/>
  <c r="AY42" i="22"/>
  <c r="AZ42" i="22"/>
  <c r="BA42" i="22"/>
  <c r="BB42" i="22"/>
  <c r="BC42" i="22"/>
  <c r="BD42" i="22"/>
  <c r="BE42" i="22"/>
  <c r="BF42" i="22"/>
  <c r="BG42" i="22"/>
  <c r="BH42" i="22"/>
  <c r="BJ42" i="22"/>
  <c r="BK42" i="22"/>
  <c r="BL42" i="22"/>
  <c r="BM42" i="22"/>
  <c r="BN42" i="22"/>
  <c r="BO42" i="22"/>
  <c r="BP42" i="22"/>
  <c r="BQ42" i="22"/>
  <c r="BR42" i="22"/>
  <c r="BS42" i="22"/>
  <c r="BT42" i="22"/>
  <c r="BU42" i="22"/>
  <c r="BV42" i="22"/>
  <c r="BW42" i="22"/>
  <c r="BX42" i="22"/>
  <c r="BY42" i="22"/>
  <c r="BZ42" i="22"/>
  <c r="CA42" i="22"/>
  <c r="CB42" i="22"/>
  <c r="CC42" i="22"/>
  <c r="CD42" i="22"/>
  <c r="CE42" i="22"/>
  <c r="CF42" i="22"/>
  <c r="CG42" i="22"/>
  <c r="CH42" i="22"/>
  <c r="CI42" i="22"/>
  <c r="CJ42" i="22"/>
  <c r="CK42" i="22"/>
  <c r="CL42" i="22"/>
  <c r="CM42" i="22"/>
  <c r="CN42" i="22"/>
  <c r="CO42" i="22"/>
  <c r="CP42" i="22"/>
  <c r="CQ42" i="22"/>
  <c r="CR42" i="22"/>
  <c r="CS42" i="22"/>
  <c r="CT42" i="22"/>
  <c r="CU42" i="22"/>
  <c r="CV42" i="22"/>
  <c r="CW42" i="22"/>
  <c r="CX42" i="22"/>
  <c r="CY42" i="22"/>
  <c r="CZ42" i="22"/>
  <c r="DA42" i="22"/>
  <c r="DB42" i="22"/>
  <c r="DC42" i="22"/>
  <c r="DD42" i="22"/>
  <c r="DE42" i="22"/>
  <c r="DF42" i="22"/>
  <c r="DG42" i="22"/>
  <c r="DH42" i="22"/>
  <c r="DI42" i="22"/>
  <c r="DJ42" i="22"/>
  <c r="DK42" i="22"/>
  <c r="DL42" i="22"/>
  <c r="DM42" i="22"/>
  <c r="DN42" i="22"/>
  <c r="DO42" i="22"/>
  <c r="DP42" i="22"/>
  <c r="DQ42" i="22"/>
  <c r="DR42" i="22"/>
  <c r="DS42" i="22"/>
  <c r="DT42" i="22"/>
  <c r="DU42" i="22"/>
  <c r="DV42" i="22"/>
  <c r="DW42" i="22"/>
  <c r="DX42" i="22"/>
  <c r="DY42" i="22"/>
  <c r="DZ42" i="22"/>
  <c r="EA42" i="22"/>
  <c r="EB42" i="22"/>
  <c r="EC42" i="22"/>
  <c r="ED42" i="22"/>
  <c r="EE42" i="22"/>
  <c r="EF42" i="22"/>
  <c r="EG42" i="22"/>
  <c r="EH42" i="22"/>
  <c r="EI42" i="22"/>
  <c r="EJ42" i="22"/>
  <c r="EK42" i="22"/>
  <c r="EL42" i="22"/>
  <c r="EM42" i="22"/>
  <c r="EN42" i="22"/>
  <c r="EO42" i="22"/>
  <c r="EP42" i="22"/>
  <c r="EQ42" i="22"/>
  <c r="ER42" i="22"/>
  <c r="ES42" i="22"/>
  <c r="ET42" i="22"/>
  <c r="EU42" i="22"/>
  <c r="EV42" i="22"/>
  <c r="EW42" i="22"/>
  <c r="EX42" i="22"/>
  <c r="EY42" i="22"/>
  <c r="EZ42" i="22"/>
  <c r="FA42" i="22"/>
  <c r="FB42" i="22"/>
  <c r="FC42" i="22"/>
  <c r="FD42" i="22"/>
  <c r="FE42" i="22"/>
  <c r="FF42" i="22"/>
  <c r="FG42" i="22"/>
  <c r="FH42" i="22"/>
  <c r="FI42" i="22"/>
  <c r="FJ42" i="22"/>
  <c r="FK42" i="22"/>
  <c r="FL42" i="22"/>
  <c r="FM42" i="22"/>
  <c r="FN42" i="22"/>
  <c r="FO42" i="22"/>
  <c r="FP42" i="22"/>
  <c r="FQ42" i="22"/>
  <c r="FR42" i="22"/>
  <c r="FS42" i="22"/>
  <c r="FT42" i="22"/>
  <c r="FU42" i="22"/>
  <c r="FV42" i="22"/>
  <c r="FW42" i="22"/>
  <c r="FX42" i="22"/>
  <c r="FY42" i="22"/>
  <c r="FZ42" i="22"/>
  <c r="GA42" i="22"/>
  <c r="GB42" i="22"/>
  <c r="GC42" i="22"/>
  <c r="GD42" i="22"/>
  <c r="GE42" i="22"/>
  <c r="GF42" i="22"/>
  <c r="GG42" i="22"/>
  <c r="GH42" i="22"/>
  <c r="GI42" i="22"/>
  <c r="GJ42" i="22"/>
  <c r="GK42" i="22"/>
  <c r="GL42" i="22"/>
  <c r="GM42" i="22"/>
  <c r="GN42" i="22"/>
  <c r="GO42" i="22"/>
  <c r="GP42" i="22"/>
  <c r="GQ42" i="22"/>
  <c r="GR42" i="22"/>
  <c r="GS42" i="22"/>
  <c r="GT42" i="22"/>
  <c r="GU42" i="22"/>
  <c r="GV42" i="22"/>
  <c r="GW42" i="22"/>
  <c r="GX42" i="22"/>
  <c r="GY42" i="22"/>
  <c r="GZ42" i="22"/>
  <c r="HA42" i="22"/>
  <c r="HB42" i="22"/>
  <c r="HC42" i="22"/>
  <c r="HD42" i="22"/>
  <c r="HE42" i="22"/>
  <c r="HF42" i="22"/>
  <c r="HG42" i="22"/>
  <c r="HH42" i="22"/>
  <c r="HI42" i="22"/>
  <c r="HJ42" i="22"/>
  <c r="HK42" i="22"/>
  <c r="HL42" i="22"/>
  <c r="HM42" i="22"/>
  <c r="HN42" i="22"/>
  <c r="HO42" i="22"/>
  <c r="HP42" i="22"/>
  <c r="HQ42" i="22"/>
  <c r="HR42" i="22"/>
  <c r="HS42" i="22"/>
  <c r="HT42" i="22"/>
  <c r="HU42" i="22"/>
  <c r="HV42" i="22"/>
  <c r="HW42" i="22"/>
  <c r="HX42" i="22"/>
  <c r="HY42" i="22"/>
  <c r="HZ42" i="22"/>
  <c r="IA42" i="22"/>
  <c r="IB42" i="22"/>
  <c r="IC42" i="22"/>
  <c r="ID42" i="22"/>
  <c r="IE42" i="22"/>
  <c r="IF42" i="22"/>
  <c r="IG42" i="22"/>
  <c r="IH42" i="22"/>
  <c r="II42" i="22"/>
  <c r="IJ42" i="22"/>
  <c r="IK42" i="22"/>
  <c r="IL42" i="22"/>
  <c r="IM42" i="22"/>
  <c r="IN42" i="22"/>
  <c r="IO42" i="22"/>
  <c r="IP42" i="22"/>
  <c r="IQ42" i="22"/>
  <c r="IR42" i="22"/>
  <c r="IS42" i="22"/>
  <c r="IT42" i="22"/>
  <c r="IU42" i="22"/>
  <c r="IV42" i="22"/>
  <c r="IW42" i="22"/>
  <c r="IX42" i="22"/>
  <c r="IY42" i="22"/>
  <c r="IZ42" i="22"/>
  <c r="JA42" i="22"/>
  <c r="JB42" i="22"/>
  <c r="JC42" i="22"/>
  <c r="JD42" i="22"/>
  <c r="JE42" i="22"/>
  <c r="JF42" i="22"/>
  <c r="JG42" i="22"/>
  <c r="JH42" i="22"/>
  <c r="JI42" i="22"/>
  <c r="JJ42" i="22"/>
  <c r="JK42" i="22"/>
  <c r="JL42" i="22"/>
  <c r="JM42" i="22"/>
  <c r="JN42" i="22"/>
  <c r="JO42" i="22"/>
  <c r="JP42" i="22"/>
  <c r="JQ42" i="22"/>
  <c r="JR42" i="22"/>
  <c r="JS42" i="22"/>
  <c r="JT42" i="22"/>
  <c r="JU42" i="22"/>
  <c r="JV42" i="22"/>
  <c r="JW42" i="22"/>
  <c r="JX42" i="22"/>
  <c r="JY42" i="22"/>
  <c r="JZ42" i="22"/>
  <c r="KA42" i="22"/>
  <c r="KB42" i="22"/>
  <c r="KC42" i="22"/>
  <c r="KD42" i="22"/>
  <c r="KE42" i="22"/>
  <c r="KF42" i="22"/>
  <c r="KG42" i="22"/>
  <c r="KH42" i="22"/>
  <c r="KI42" i="22"/>
  <c r="KJ42" i="22"/>
  <c r="KK42" i="22"/>
  <c r="KL42" i="22"/>
  <c r="KM42" i="22"/>
  <c r="KN42" i="22"/>
  <c r="KO42" i="22"/>
  <c r="KP42" i="22"/>
  <c r="KQ42" i="22"/>
  <c r="KR42" i="22"/>
  <c r="KS42" i="22"/>
  <c r="KT42" i="22"/>
  <c r="KU42" i="22"/>
  <c r="KV42" i="22"/>
  <c r="KW42" i="22"/>
  <c r="KX42" i="22"/>
  <c r="KY42" i="22"/>
  <c r="KZ42" i="22"/>
  <c r="LA42" i="22"/>
  <c r="LB42" i="22"/>
  <c r="LC42" i="22"/>
  <c r="LD42" i="22"/>
  <c r="LE42" i="22"/>
  <c r="LF42" i="22"/>
  <c r="LG42" i="22"/>
  <c r="LH42" i="22"/>
  <c r="LI42" i="22"/>
  <c r="LJ42" i="22"/>
  <c r="LK42" i="22"/>
  <c r="LL42" i="22"/>
  <c r="LM42" i="22"/>
  <c r="LN42" i="22"/>
  <c r="LO42" i="22"/>
  <c r="LP42" i="22"/>
  <c r="LQ42" i="22"/>
  <c r="LR42" i="22"/>
  <c r="LS42" i="22"/>
  <c r="LT42" i="22"/>
  <c r="LU42" i="22"/>
  <c r="LV42" i="22"/>
  <c r="LW42" i="22"/>
  <c r="LX42" i="22"/>
  <c r="LY42" i="22"/>
  <c r="LZ42" i="22"/>
  <c r="MA42" i="22"/>
  <c r="MB42" i="22"/>
  <c r="MC42" i="22"/>
  <c r="MD42" i="22"/>
  <c r="ME42" i="22"/>
  <c r="MF42" i="22"/>
  <c r="MG42" i="22"/>
  <c r="MH42" i="22"/>
  <c r="MI42" i="22"/>
  <c r="MJ42" i="22"/>
  <c r="MK42" i="22"/>
  <c r="ML42" i="22"/>
  <c r="MM42" i="22"/>
  <c r="MN42" i="22"/>
  <c r="MO42" i="22"/>
  <c r="MP42" i="22"/>
  <c r="MQ42" i="22"/>
  <c r="MR42" i="22"/>
  <c r="MS42" i="22"/>
  <c r="MT42" i="22"/>
  <c r="MU42" i="22"/>
  <c r="MV42" i="22"/>
  <c r="MW42" i="22"/>
  <c r="MX42" i="22"/>
  <c r="MY42" i="22"/>
  <c r="MZ42" i="22"/>
  <c r="NA42" i="22"/>
  <c r="NB42" i="22"/>
  <c r="NS42" i="22"/>
  <c r="B43" i="22"/>
  <c r="C43" i="22"/>
  <c r="D43" i="22"/>
  <c r="E43" i="22"/>
  <c r="F43" i="22"/>
  <c r="G43" i="22"/>
  <c r="H43" i="22"/>
  <c r="I43" i="22"/>
  <c r="J43" i="22"/>
  <c r="K43" i="22"/>
  <c r="L43" i="22"/>
  <c r="M43" i="22"/>
  <c r="N43" i="22"/>
  <c r="O43" i="22"/>
  <c r="P43" i="22"/>
  <c r="Q43" i="22"/>
  <c r="R43" i="22"/>
  <c r="S43" i="22"/>
  <c r="T43" i="22"/>
  <c r="U43" i="22"/>
  <c r="V43" i="22"/>
  <c r="W43" i="22"/>
  <c r="X43" i="22"/>
  <c r="Y43" i="22"/>
  <c r="Z43" i="22"/>
  <c r="AA43" i="22"/>
  <c r="AB43" i="22"/>
  <c r="AC43" i="22"/>
  <c r="AD43" i="22"/>
  <c r="AE43" i="22"/>
  <c r="AF43" i="22"/>
  <c r="AG43" i="22"/>
  <c r="AH43" i="22"/>
  <c r="AI43" i="22"/>
  <c r="AJ43" i="22"/>
  <c r="AK43" i="22"/>
  <c r="AL43" i="22"/>
  <c r="AM43" i="22"/>
  <c r="AN43" i="22"/>
  <c r="AO43" i="22"/>
  <c r="AP43" i="22"/>
  <c r="AQ43" i="22"/>
  <c r="AR43" i="22"/>
  <c r="AS43" i="22"/>
  <c r="AT43" i="22"/>
  <c r="AU43" i="22"/>
  <c r="AV43" i="22"/>
  <c r="AW43" i="22"/>
  <c r="AX43" i="22"/>
  <c r="AY43" i="22"/>
  <c r="AZ43" i="22"/>
  <c r="BA43" i="22"/>
  <c r="BB43" i="22"/>
  <c r="BC43" i="22"/>
  <c r="BD43" i="22"/>
  <c r="BE43" i="22"/>
  <c r="BF43" i="22"/>
  <c r="BG43" i="22"/>
  <c r="BH43" i="22"/>
  <c r="BJ43" i="22"/>
  <c r="BK43" i="22"/>
  <c r="BL43" i="22"/>
  <c r="BM43" i="22"/>
  <c r="BN43" i="22"/>
  <c r="BO43" i="22"/>
  <c r="BP43" i="22"/>
  <c r="BQ43" i="22"/>
  <c r="BR43" i="22"/>
  <c r="BS43" i="22"/>
  <c r="BT43" i="22"/>
  <c r="BU43" i="22"/>
  <c r="BV43" i="22"/>
  <c r="BW43" i="22"/>
  <c r="BX43" i="22"/>
  <c r="BY43" i="22"/>
  <c r="BZ43" i="22"/>
  <c r="CA43" i="22"/>
  <c r="CB43" i="22"/>
  <c r="CC43" i="22"/>
  <c r="CD43" i="22"/>
  <c r="CE43" i="22"/>
  <c r="CF43" i="22"/>
  <c r="CG43" i="22"/>
  <c r="CH43" i="22"/>
  <c r="CI43" i="22"/>
  <c r="CJ43" i="22"/>
  <c r="CK43" i="22"/>
  <c r="CL43" i="22"/>
  <c r="CM43" i="22"/>
  <c r="CN43" i="22"/>
  <c r="CO43" i="22"/>
  <c r="CP43" i="22"/>
  <c r="CQ43" i="22"/>
  <c r="CR43" i="22"/>
  <c r="CS43" i="22"/>
  <c r="CT43" i="22"/>
  <c r="CU43" i="22"/>
  <c r="CV43" i="22"/>
  <c r="CW43" i="22"/>
  <c r="CX43" i="22"/>
  <c r="CY43" i="22"/>
  <c r="CZ43" i="22"/>
  <c r="DA43" i="22"/>
  <c r="DB43" i="22"/>
  <c r="DC43" i="22"/>
  <c r="DD43" i="22"/>
  <c r="DE43" i="22"/>
  <c r="DF43" i="22"/>
  <c r="DG43" i="22"/>
  <c r="DH43" i="22"/>
  <c r="DI43" i="22"/>
  <c r="DJ43" i="22"/>
  <c r="DK43" i="22"/>
  <c r="DL43" i="22"/>
  <c r="DM43" i="22"/>
  <c r="DN43" i="22"/>
  <c r="DO43" i="22"/>
  <c r="DP43" i="22"/>
  <c r="DQ43" i="22"/>
  <c r="DR43" i="22"/>
  <c r="DS43" i="22"/>
  <c r="DT43" i="22"/>
  <c r="DU43" i="22"/>
  <c r="DV43" i="22"/>
  <c r="DW43" i="22"/>
  <c r="DX43" i="22"/>
  <c r="DY43" i="22"/>
  <c r="DZ43" i="22"/>
  <c r="EA43" i="22"/>
  <c r="EB43" i="22"/>
  <c r="EC43" i="22"/>
  <c r="ED43" i="22"/>
  <c r="EE43" i="22"/>
  <c r="EF43" i="22"/>
  <c r="EG43" i="22"/>
  <c r="EH43" i="22"/>
  <c r="EI43" i="22"/>
  <c r="EJ43" i="22"/>
  <c r="EK43" i="22"/>
  <c r="EL43" i="22"/>
  <c r="EM43" i="22"/>
  <c r="EN43" i="22"/>
  <c r="EO43" i="22"/>
  <c r="EP43" i="22"/>
  <c r="EQ43" i="22"/>
  <c r="ER43" i="22"/>
  <c r="ES43" i="22"/>
  <c r="ET43" i="22"/>
  <c r="EU43" i="22"/>
  <c r="EV43" i="22"/>
  <c r="EW43" i="22"/>
  <c r="EX43" i="22"/>
  <c r="EY43" i="22"/>
  <c r="EZ43" i="22"/>
  <c r="FA43" i="22"/>
  <c r="FB43" i="22"/>
  <c r="FC43" i="22"/>
  <c r="FD43" i="22"/>
  <c r="FE43" i="22"/>
  <c r="FF43" i="22"/>
  <c r="FG43" i="22"/>
  <c r="FH43" i="22"/>
  <c r="FI43" i="22"/>
  <c r="FJ43" i="22"/>
  <c r="FK43" i="22"/>
  <c r="FL43" i="22"/>
  <c r="FM43" i="22"/>
  <c r="FN43" i="22"/>
  <c r="FO43" i="22"/>
  <c r="FP43" i="22"/>
  <c r="FQ43" i="22"/>
  <c r="FR43" i="22"/>
  <c r="FS43" i="22"/>
  <c r="FT43" i="22"/>
  <c r="FU43" i="22"/>
  <c r="FV43" i="22"/>
  <c r="FW43" i="22"/>
  <c r="FX43" i="22"/>
  <c r="FY43" i="22"/>
  <c r="FZ43" i="22"/>
  <c r="GA43" i="22"/>
  <c r="GB43" i="22"/>
  <c r="GC43" i="22"/>
  <c r="GD43" i="22"/>
  <c r="GE43" i="22"/>
  <c r="GF43" i="22"/>
  <c r="GG43" i="22"/>
  <c r="GH43" i="22"/>
  <c r="GI43" i="22"/>
  <c r="GJ43" i="22"/>
  <c r="GK43" i="22"/>
  <c r="GL43" i="22"/>
  <c r="GM43" i="22"/>
  <c r="GN43" i="22"/>
  <c r="GO43" i="22"/>
  <c r="GP43" i="22"/>
  <c r="GQ43" i="22"/>
  <c r="GR43" i="22"/>
  <c r="GS43" i="22"/>
  <c r="GT43" i="22"/>
  <c r="GU43" i="22"/>
  <c r="GV43" i="22"/>
  <c r="GW43" i="22"/>
  <c r="GX43" i="22"/>
  <c r="GY43" i="22"/>
  <c r="GZ43" i="22"/>
  <c r="HA43" i="22"/>
  <c r="HB43" i="22"/>
  <c r="HC43" i="22"/>
  <c r="HD43" i="22"/>
  <c r="HE43" i="22"/>
  <c r="HF43" i="22"/>
  <c r="HG43" i="22"/>
  <c r="HH43" i="22"/>
  <c r="HI43" i="22"/>
  <c r="HJ43" i="22"/>
  <c r="HK43" i="22"/>
  <c r="HL43" i="22"/>
  <c r="HM43" i="22"/>
  <c r="HN43" i="22"/>
  <c r="HO43" i="22"/>
  <c r="HP43" i="22"/>
  <c r="HQ43" i="22"/>
  <c r="HR43" i="22"/>
  <c r="HS43" i="22"/>
  <c r="HT43" i="22"/>
  <c r="HU43" i="22"/>
  <c r="HV43" i="22"/>
  <c r="HW43" i="22"/>
  <c r="HX43" i="22"/>
  <c r="HY43" i="22"/>
  <c r="HZ43" i="22"/>
  <c r="IA43" i="22"/>
  <c r="IB43" i="22"/>
  <c r="IC43" i="22"/>
  <c r="ID43" i="22"/>
  <c r="IE43" i="22"/>
  <c r="IF43" i="22"/>
  <c r="IG43" i="22"/>
  <c r="IH43" i="22"/>
  <c r="II43" i="22"/>
  <c r="IJ43" i="22"/>
  <c r="IK43" i="22"/>
  <c r="IL43" i="22"/>
  <c r="IM43" i="22"/>
  <c r="IN43" i="22"/>
  <c r="IO43" i="22"/>
  <c r="IP43" i="22"/>
  <c r="IQ43" i="22"/>
  <c r="IR43" i="22"/>
  <c r="IS43" i="22"/>
  <c r="IT43" i="22"/>
  <c r="IU43" i="22"/>
  <c r="IV43" i="22"/>
  <c r="IW43" i="22"/>
  <c r="IX43" i="22"/>
  <c r="IY43" i="22"/>
  <c r="IZ43" i="22"/>
  <c r="JA43" i="22"/>
  <c r="JB43" i="22"/>
  <c r="JC43" i="22"/>
  <c r="JD43" i="22"/>
  <c r="JE43" i="22"/>
  <c r="JF43" i="22"/>
  <c r="JG43" i="22"/>
  <c r="JH43" i="22"/>
  <c r="JI43" i="22"/>
  <c r="JJ43" i="22"/>
  <c r="JK43" i="22"/>
  <c r="JL43" i="22"/>
  <c r="JM43" i="22"/>
  <c r="JN43" i="22"/>
  <c r="JO43" i="22"/>
  <c r="JP43" i="22"/>
  <c r="JQ43" i="22"/>
  <c r="JR43" i="22"/>
  <c r="JS43" i="22"/>
  <c r="JT43" i="22"/>
  <c r="JU43" i="22"/>
  <c r="JV43" i="22"/>
  <c r="JW43" i="22"/>
  <c r="JX43" i="22"/>
  <c r="JY43" i="22"/>
  <c r="JZ43" i="22"/>
  <c r="KA43" i="22"/>
  <c r="KB43" i="22"/>
  <c r="KC43" i="22"/>
  <c r="KD43" i="22"/>
  <c r="KE43" i="22"/>
  <c r="KF43" i="22"/>
  <c r="KG43" i="22"/>
  <c r="KH43" i="22"/>
  <c r="KI43" i="22"/>
  <c r="KJ43" i="22"/>
  <c r="KK43" i="22"/>
  <c r="KL43" i="22"/>
  <c r="KM43" i="22"/>
  <c r="KN43" i="22"/>
  <c r="KO43" i="22"/>
  <c r="KP43" i="22"/>
  <c r="KQ43" i="22"/>
  <c r="KR43" i="22"/>
  <c r="KS43" i="22"/>
  <c r="KT43" i="22"/>
  <c r="KU43" i="22"/>
  <c r="KV43" i="22"/>
  <c r="KW43" i="22"/>
  <c r="KX43" i="22"/>
  <c r="KY43" i="22"/>
  <c r="KZ43" i="22"/>
  <c r="LA43" i="22"/>
  <c r="LB43" i="22"/>
  <c r="LC43" i="22"/>
  <c r="LD43" i="22"/>
  <c r="LE43" i="22"/>
  <c r="LF43" i="22"/>
  <c r="LG43" i="22"/>
  <c r="LH43" i="22"/>
  <c r="LI43" i="22"/>
  <c r="LJ43" i="22"/>
  <c r="LK43" i="22"/>
  <c r="LL43" i="22"/>
  <c r="LM43" i="22"/>
  <c r="LN43" i="22"/>
  <c r="LO43" i="22"/>
  <c r="LP43" i="22"/>
  <c r="LQ43" i="22"/>
  <c r="LR43" i="22"/>
  <c r="LS43" i="22"/>
  <c r="LT43" i="22"/>
  <c r="LU43" i="22"/>
  <c r="LV43" i="22"/>
  <c r="LW43" i="22"/>
  <c r="LX43" i="22"/>
  <c r="LY43" i="22"/>
  <c r="LZ43" i="22"/>
  <c r="MA43" i="22"/>
  <c r="MB43" i="22"/>
  <c r="MC43" i="22"/>
  <c r="MD43" i="22"/>
  <c r="ME43" i="22"/>
  <c r="MF43" i="22"/>
  <c r="MG43" i="22"/>
  <c r="MH43" i="22"/>
  <c r="MI43" i="22"/>
  <c r="MJ43" i="22"/>
  <c r="MK43" i="22"/>
  <c r="ML43" i="22"/>
  <c r="MM43" i="22"/>
  <c r="MN43" i="22"/>
  <c r="MO43" i="22"/>
  <c r="MP43" i="22"/>
  <c r="MQ43" i="22"/>
  <c r="MR43" i="22"/>
  <c r="MS43" i="22"/>
  <c r="MT43" i="22"/>
  <c r="MU43" i="22"/>
  <c r="MV43" i="22"/>
  <c r="MW43" i="22"/>
  <c r="MX43" i="22"/>
  <c r="MY43" i="22"/>
  <c r="MZ43" i="22"/>
  <c r="NA43" i="22"/>
  <c r="NB43" i="22"/>
  <c r="NS43" i="22"/>
  <c r="B44" i="22"/>
  <c r="C44" i="22"/>
  <c r="D44" i="22"/>
  <c r="E44" i="22"/>
  <c r="F44" i="22"/>
  <c r="G44" i="22"/>
  <c r="H44" i="22"/>
  <c r="I44" i="22"/>
  <c r="J44" i="22"/>
  <c r="K44" i="22"/>
  <c r="L44" i="22"/>
  <c r="M44" i="22"/>
  <c r="N44" i="22"/>
  <c r="O44" i="22"/>
  <c r="P44" i="22"/>
  <c r="Q44" i="22"/>
  <c r="R44" i="22"/>
  <c r="S44" i="22"/>
  <c r="T44" i="22"/>
  <c r="U44" i="22"/>
  <c r="V44" i="22"/>
  <c r="W44" i="22"/>
  <c r="X44" i="22"/>
  <c r="Y44" i="22"/>
  <c r="Z44" i="22"/>
  <c r="AA44" i="22"/>
  <c r="AB44" i="22"/>
  <c r="AC44" i="22"/>
  <c r="AD44" i="22"/>
  <c r="AE44" i="22"/>
  <c r="AF44" i="22"/>
  <c r="AG44" i="22"/>
  <c r="AH44" i="22"/>
  <c r="AI44" i="22"/>
  <c r="AJ44" i="22"/>
  <c r="AK44" i="22"/>
  <c r="AL44" i="22"/>
  <c r="AM44" i="22"/>
  <c r="AN44" i="22"/>
  <c r="AO44" i="22"/>
  <c r="AP44" i="22"/>
  <c r="AQ44" i="22"/>
  <c r="AR44" i="22"/>
  <c r="AS44" i="22"/>
  <c r="AT44" i="22"/>
  <c r="AU44" i="22"/>
  <c r="AV44" i="22"/>
  <c r="AW44" i="22"/>
  <c r="AX44" i="22"/>
  <c r="AY44" i="22"/>
  <c r="AZ44" i="22"/>
  <c r="BA44" i="22"/>
  <c r="BB44" i="22"/>
  <c r="BC44" i="22"/>
  <c r="BD44" i="22"/>
  <c r="BE44" i="22"/>
  <c r="BF44" i="22"/>
  <c r="BG44" i="22"/>
  <c r="BH44" i="22"/>
  <c r="BJ44" i="22"/>
  <c r="BK44" i="22"/>
  <c r="BL44" i="22"/>
  <c r="BM44" i="22"/>
  <c r="BN44" i="22"/>
  <c r="BO44" i="22"/>
  <c r="BP44" i="22"/>
  <c r="BQ44" i="22"/>
  <c r="BR44" i="22"/>
  <c r="BS44" i="22"/>
  <c r="BT44" i="22"/>
  <c r="BU44" i="22"/>
  <c r="BV44" i="22"/>
  <c r="BW44" i="22"/>
  <c r="BX44" i="22"/>
  <c r="BY44" i="22"/>
  <c r="BZ44" i="22"/>
  <c r="CA44" i="22"/>
  <c r="CB44" i="22"/>
  <c r="CC44" i="22"/>
  <c r="CD44" i="22"/>
  <c r="CE44" i="22"/>
  <c r="CF44" i="22"/>
  <c r="CG44" i="22"/>
  <c r="CH44" i="22"/>
  <c r="CI44" i="22"/>
  <c r="CJ44" i="22"/>
  <c r="CK44" i="22"/>
  <c r="CL44" i="22"/>
  <c r="CM44" i="22"/>
  <c r="CN44" i="22"/>
  <c r="CO44" i="22"/>
  <c r="CP44" i="22"/>
  <c r="CQ44" i="22"/>
  <c r="CR44" i="22"/>
  <c r="CS44" i="22"/>
  <c r="CT44" i="22"/>
  <c r="CU44" i="22"/>
  <c r="CV44" i="22"/>
  <c r="CW44" i="22"/>
  <c r="CX44" i="22"/>
  <c r="CY44" i="22"/>
  <c r="CZ44" i="22"/>
  <c r="DA44" i="22"/>
  <c r="DB44" i="22"/>
  <c r="DC44" i="22"/>
  <c r="DD44" i="22"/>
  <c r="DE44" i="22"/>
  <c r="DF44" i="22"/>
  <c r="DG44" i="22"/>
  <c r="DH44" i="22"/>
  <c r="DI44" i="22"/>
  <c r="DJ44" i="22"/>
  <c r="DK44" i="22"/>
  <c r="DL44" i="22"/>
  <c r="DM44" i="22"/>
  <c r="DN44" i="22"/>
  <c r="DO44" i="22"/>
  <c r="DP44" i="22"/>
  <c r="DQ44" i="22"/>
  <c r="DR44" i="22"/>
  <c r="DS44" i="22"/>
  <c r="DT44" i="22"/>
  <c r="DU44" i="22"/>
  <c r="DV44" i="22"/>
  <c r="DW44" i="22"/>
  <c r="DX44" i="22"/>
  <c r="DY44" i="22"/>
  <c r="DZ44" i="22"/>
  <c r="EA44" i="22"/>
  <c r="EB44" i="22"/>
  <c r="EC44" i="22"/>
  <c r="ED44" i="22"/>
  <c r="EE44" i="22"/>
  <c r="EF44" i="22"/>
  <c r="EG44" i="22"/>
  <c r="EH44" i="22"/>
  <c r="EI44" i="22"/>
  <c r="EJ44" i="22"/>
  <c r="EK44" i="22"/>
  <c r="EL44" i="22"/>
  <c r="EM44" i="22"/>
  <c r="EN44" i="22"/>
  <c r="EO44" i="22"/>
  <c r="EP44" i="22"/>
  <c r="EQ44" i="22"/>
  <c r="ER44" i="22"/>
  <c r="ES44" i="22"/>
  <c r="ET44" i="22"/>
  <c r="EU44" i="22"/>
  <c r="EV44" i="22"/>
  <c r="EW44" i="22"/>
  <c r="EX44" i="22"/>
  <c r="EY44" i="22"/>
  <c r="EZ44" i="22"/>
  <c r="FA44" i="22"/>
  <c r="FB44" i="22"/>
  <c r="FC44" i="22"/>
  <c r="FD44" i="22"/>
  <c r="FE44" i="22"/>
  <c r="FF44" i="22"/>
  <c r="FG44" i="22"/>
  <c r="FH44" i="22"/>
  <c r="FI44" i="22"/>
  <c r="FJ44" i="22"/>
  <c r="FK44" i="22"/>
  <c r="FL44" i="22"/>
  <c r="FM44" i="22"/>
  <c r="FN44" i="22"/>
  <c r="FO44" i="22"/>
  <c r="FP44" i="22"/>
  <c r="FQ44" i="22"/>
  <c r="FR44" i="22"/>
  <c r="FS44" i="22"/>
  <c r="FT44" i="22"/>
  <c r="FU44" i="22"/>
  <c r="FV44" i="22"/>
  <c r="FW44" i="22"/>
  <c r="FX44" i="22"/>
  <c r="FY44" i="22"/>
  <c r="FZ44" i="22"/>
  <c r="GA44" i="22"/>
  <c r="GB44" i="22"/>
  <c r="GC44" i="22"/>
  <c r="GD44" i="22"/>
  <c r="GE44" i="22"/>
  <c r="GF44" i="22"/>
  <c r="GG44" i="22"/>
  <c r="GH44" i="22"/>
  <c r="GI44" i="22"/>
  <c r="GJ44" i="22"/>
  <c r="GK44" i="22"/>
  <c r="GL44" i="22"/>
  <c r="GM44" i="22"/>
  <c r="GN44" i="22"/>
  <c r="GO44" i="22"/>
  <c r="GP44" i="22"/>
  <c r="GQ44" i="22"/>
  <c r="GR44" i="22"/>
  <c r="GS44" i="22"/>
  <c r="GT44" i="22"/>
  <c r="GU44" i="22"/>
  <c r="GV44" i="22"/>
  <c r="GW44" i="22"/>
  <c r="GX44" i="22"/>
  <c r="GY44" i="22"/>
  <c r="GZ44" i="22"/>
  <c r="HA44" i="22"/>
  <c r="HB44" i="22"/>
  <c r="HC44" i="22"/>
  <c r="HD44" i="22"/>
  <c r="HE44" i="22"/>
  <c r="HF44" i="22"/>
  <c r="HG44" i="22"/>
  <c r="HH44" i="22"/>
  <c r="HI44" i="22"/>
  <c r="HJ44" i="22"/>
  <c r="HK44" i="22"/>
  <c r="HL44" i="22"/>
  <c r="HM44" i="22"/>
  <c r="HN44" i="22"/>
  <c r="HO44" i="22"/>
  <c r="HP44" i="22"/>
  <c r="HQ44" i="22"/>
  <c r="HR44" i="22"/>
  <c r="HS44" i="22"/>
  <c r="HT44" i="22"/>
  <c r="HU44" i="22"/>
  <c r="HV44" i="22"/>
  <c r="HW44" i="22"/>
  <c r="HX44" i="22"/>
  <c r="HY44" i="22"/>
  <c r="HZ44" i="22"/>
  <c r="IA44" i="22"/>
  <c r="IB44" i="22"/>
  <c r="IC44" i="22"/>
  <c r="ID44" i="22"/>
  <c r="IE44" i="22"/>
  <c r="IF44" i="22"/>
  <c r="IG44" i="22"/>
  <c r="IH44" i="22"/>
  <c r="II44" i="22"/>
  <c r="IJ44" i="22"/>
  <c r="IK44" i="22"/>
  <c r="IL44" i="22"/>
  <c r="IM44" i="22"/>
  <c r="IN44" i="22"/>
  <c r="IO44" i="22"/>
  <c r="IP44" i="22"/>
  <c r="IQ44" i="22"/>
  <c r="IR44" i="22"/>
  <c r="IS44" i="22"/>
  <c r="IT44" i="22"/>
  <c r="IU44" i="22"/>
  <c r="IV44" i="22"/>
  <c r="IW44" i="22"/>
  <c r="IX44" i="22"/>
  <c r="IY44" i="22"/>
  <c r="IZ44" i="22"/>
  <c r="JA44" i="22"/>
  <c r="JB44" i="22"/>
  <c r="JC44" i="22"/>
  <c r="JD44" i="22"/>
  <c r="JE44" i="22"/>
  <c r="JF44" i="22"/>
  <c r="JG44" i="22"/>
  <c r="JH44" i="22"/>
  <c r="JI44" i="22"/>
  <c r="JJ44" i="22"/>
  <c r="JK44" i="22"/>
  <c r="JL44" i="22"/>
  <c r="JM44" i="22"/>
  <c r="JN44" i="22"/>
  <c r="JO44" i="22"/>
  <c r="JP44" i="22"/>
  <c r="JQ44" i="22"/>
  <c r="JR44" i="22"/>
  <c r="JS44" i="22"/>
  <c r="JT44" i="22"/>
  <c r="JU44" i="22"/>
  <c r="JV44" i="22"/>
  <c r="JW44" i="22"/>
  <c r="JX44" i="22"/>
  <c r="JY44" i="22"/>
  <c r="JZ44" i="22"/>
  <c r="KA44" i="22"/>
  <c r="KB44" i="22"/>
  <c r="KC44" i="22"/>
  <c r="KD44" i="22"/>
  <c r="KE44" i="22"/>
  <c r="KF44" i="22"/>
  <c r="KG44" i="22"/>
  <c r="KH44" i="22"/>
  <c r="KI44" i="22"/>
  <c r="KJ44" i="22"/>
  <c r="KK44" i="22"/>
  <c r="KL44" i="22"/>
  <c r="KM44" i="22"/>
  <c r="KN44" i="22"/>
  <c r="KO44" i="22"/>
  <c r="KP44" i="22"/>
  <c r="KQ44" i="22"/>
  <c r="KR44" i="22"/>
  <c r="KS44" i="22"/>
  <c r="KT44" i="22"/>
  <c r="KU44" i="22"/>
  <c r="KV44" i="22"/>
  <c r="KW44" i="22"/>
  <c r="KX44" i="22"/>
  <c r="KY44" i="22"/>
  <c r="KZ44" i="22"/>
  <c r="LA44" i="22"/>
  <c r="LB44" i="22"/>
  <c r="LC44" i="22"/>
  <c r="LD44" i="22"/>
  <c r="LE44" i="22"/>
  <c r="LF44" i="22"/>
  <c r="LG44" i="22"/>
  <c r="LH44" i="22"/>
  <c r="LI44" i="22"/>
  <c r="LJ44" i="22"/>
  <c r="LK44" i="22"/>
  <c r="LL44" i="22"/>
  <c r="LM44" i="22"/>
  <c r="LN44" i="22"/>
  <c r="LO44" i="22"/>
  <c r="LP44" i="22"/>
  <c r="LQ44" i="22"/>
  <c r="LR44" i="22"/>
  <c r="LS44" i="22"/>
  <c r="LT44" i="22"/>
  <c r="LU44" i="22"/>
  <c r="LV44" i="22"/>
  <c r="LW44" i="22"/>
  <c r="LX44" i="22"/>
  <c r="LY44" i="22"/>
  <c r="LZ44" i="22"/>
  <c r="MA44" i="22"/>
  <c r="MB44" i="22"/>
  <c r="MC44" i="22"/>
  <c r="MD44" i="22"/>
  <c r="ME44" i="22"/>
  <c r="MF44" i="22"/>
  <c r="MG44" i="22"/>
  <c r="MH44" i="22"/>
  <c r="MI44" i="22"/>
  <c r="MJ44" i="22"/>
  <c r="MK44" i="22"/>
  <c r="ML44" i="22"/>
  <c r="MM44" i="22"/>
  <c r="MN44" i="22"/>
  <c r="MO44" i="22"/>
  <c r="MP44" i="22"/>
  <c r="MQ44" i="22"/>
  <c r="MR44" i="22"/>
  <c r="MS44" i="22"/>
  <c r="MT44" i="22"/>
  <c r="MU44" i="22"/>
  <c r="MV44" i="22"/>
  <c r="MW44" i="22"/>
  <c r="MX44" i="22"/>
  <c r="MY44" i="22"/>
  <c r="MZ44" i="22"/>
  <c r="NA44" i="22"/>
  <c r="NB44" i="22"/>
  <c r="NS44" i="22"/>
  <c r="B45" i="22"/>
  <c r="C45" i="22"/>
  <c r="D45" i="22"/>
  <c r="E45" i="22"/>
  <c r="F45" i="22"/>
  <c r="G45" i="22"/>
  <c r="H45" i="22"/>
  <c r="I45" i="22"/>
  <c r="J45" i="22"/>
  <c r="K45" i="22"/>
  <c r="L45" i="22"/>
  <c r="M45" i="22"/>
  <c r="N45" i="22"/>
  <c r="O45" i="22"/>
  <c r="P45" i="22"/>
  <c r="Q45" i="22"/>
  <c r="R45" i="22"/>
  <c r="S45" i="22"/>
  <c r="T45" i="22"/>
  <c r="U45" i="22"/>
  <c r="V45" i="22"/>
  <c r="W45" i="22"/>
  <c r="X45" i="22"/>
  <c r="Y45" i="22"/>
  <c r="Z45" i="22"/>
  <c r="AA45" i="22"/>
  <c r="AB45" i="22"/>
  <c r="AC45" i="22"/>
  <c r="AD45" i="22"/>
  <c r="AE45" i="22"/>
  <c r="AF45" i="22"/>
  <c r="AG45" i="22"/>
  <c r="AH45" i="22"/>
  <c r="AI45" i="22"/>
  <c r="AJ45" i="22"/>
  <c r="AK45" i="22"/>
  <c r="AL45" i="22"/>
  <c r="AM45" i="22"/>
  <c r="AN45" i="22"/>
  <c r="AO45" i="22"/>
  <c r="AP45" i="22"/>
  <c r="AQ45" i="22"/>
  <c r="AR45" i="22"/>
  <c r="AS45" i="22"/>
  <c r="AT45" i="22"/>
  <c r="AU45" i="22"/>
  <c r="AV45" i="22"/>
  <c r="AW45" i="22"/>
  <c r="AX45" i="22"/>
  <c r="AY45" i="22"/>
  <c r="AZ45" i="22"/>
  <c r="BA45" i="22"/>
  <c r="BB45" i="22"/>
  <c r="BC45" i="22"/>
  <c r="BD45" i="22"/>
  <c r="BE45" i="22"/>
  <c r="BF45" i="22"/>
  <c r="BG45" i="22"/>
  <c r="BH45" i="22"/>
  <c r="BI45" i="22"/>
  <c r="BJ45" i="22"/>
  <c r="BK45" i="22"/>
  <c r="BL45" i="22"/>
  <c r="BM45" i="22"/>
  <c r="BN45" i="22"/>
  <c r="BO45" i="22"/>
  <c r="BP45" i="22"/>
  <c r="BQ45" i="22"/>
  <c r="BR45" i="22"/>
  <c r="BS45" i="22"/>
  <c r="BT45" i="22"/>
  <c r="BU45" i="22"/>
  <c r="BV45" i="22"/>
  <c r="BW45" i="22"/>
  <c r="BX45" i="22"/>
  <c r="BY45" i="22"/>
  <c r="BZ45" i="22"/>
  <c r="CA45" i="22"/>
  <c r="CB45" i="22"/>
  <c r="CC45" i="22"/>
  <c r="CD45" i="22"/>
  <c r="CE45" i="22"/>
  <c r="CF45" i="22"/>
  <c r="CG45" i="22"/>
  <c r="CH45" i="22"/>
  <c r="CI45" i="22"/>
  <c r="CJ45" i="22"/>
  <c r="CK45" i="22"/>
  <c r="CL45" i="22"/>
  <c r="CM45" i="22"/>
  <c r="CN45" i="22"/>
  <c r="CO45" i="22"/>
  <c r="CP45" i="22"/>
  <c r="CQ45" i="22"/>
  <c r="CR45" i="22"/>
  <c r="CS45" i="22"/>
  <c r="CT45" i="22"/>
  <c r="CU45" i="22"/>
  <c r="CV45" i="22"/>
  <c r="CW45" i="22"/>
  <c r="CX45" i="22"/>
  <c r="CY45" i="22"/>
  <c r="CZ45" i="22"/>
  <c r="DA45" i="22"/>
  <c r="DB45" i="22"/>
  <c r="DC45" i="22"/>
  <c r="DD45" i="22"/>
  <c r="DE45" i="22"/>
  <c r="DF45" i="22"/>
  <c r="DG45" i="22"/>
  <c r="DH45" i="22"/>
  <c r="DI45" i="22"/>
  <c r="DJ45" i="22"/>
  <c r="DK45" i="22"/>
  <c r="DL45" i="22"/>
  <c r="DM45" i="22"/>
  <c r="DN45" i="22"/>
  <c r="DO45" i="22"/>
  <c r="DP45" i="22"/>
  <c r="DQ45" i="22"/>
  <c r="DR45" i="22"/>
  <c r="DS45" i="22"/>
  <c r="DT45" i="22"/>
  <c r="DU45" i="22"/>
  <c r="DV45" i="22"/>
  <c r="DW45" i="22"/>
  <c r="DX45" i="22"/>
  <c r="DY45" i="22"/>
  <c r="DZ45" i="22"/>
  <c r="EA45" i="22"/>
  <c r="EB45" i="22"/>
  <c r="EC45" i="22"/>
  <c r="ED45" i="22"/>
  <c r="EE45" i="22"/>
  <c r="EF45" i="22"/>
  <c r="EG45" i="22"/>
  <c r="EH45" i="22"/>
  <c r="EI45" i="22"/>
  <c r="EJ45" i="22"/>
  <c r="EK45" i="22"/>
  <c r="EL45" i="22"/>
  <c r="EM45" i="22"/>
  <c r="EN45" i="22"/>
  <c r="EO45" i="22"/>
  <c r="EP45" i="22"/>
  <c r="EQ45" i="22"/>
  <c r="ER45" i="22"/>
  <c r="ES45" i="22"/>
  <c r="ET45" i="22"/>
  <c r="EU45" i="22"/>
  <c r="EV45" i="22"/>
  <c r="EW45" i="22"/>
  <c r="EX45" i="22"/>
  <c r="EY45" i="22"/>
  <c r="EZ45" i="22"/>
  <c r="FA45" i="22"/>
  <c r="FB45" i="22"/>
  <c r="FC45" i="22"/>
  <c r="FD45" i="22"/>
  <c r="FE45" i="22"/>
  <c r="FF45" i="22"/>
  <c r="FG45" i="22"/>
  <c r="FH45" i="22"/>
  <c r="FI45" i="22"/>
  <c r="FJ45" i="22"/>
  <c r="FK45" i="22"/>
  <c r="FL45" i="22"/>
  <c r="FM45" i="22"/>
  <c r="FN45" i="22"/>
  <c r="FO45" i="22"/>
  <c r="FP45" i="22"/>
  <c r="FQ45" i="22"/>
  <c r="FR45" i="22"/>
  <c r="FS45" i="22"/>
  <c r="FT45" i="22"/>
  <c r="FU45" i="22"/>
  <c r="FV45" i="22"/>
  <c r="FW45" i="22"/>
  <c r="FX45" i="22"/>
  <c r="FY45" i="22"/>
  <c r="FZ45" i="22"/>
  <c r="GA45" i="22"/>
  <c r="GB45" i="22"/>
  <c r="GC45" i="22"/>
  <c r="GD45" i="22"/>
  <c r="GE45" i="22"/>
  <c r="GF45" i="22"/>
  <c r="GG45" i="22"/>
  <c r="GH45" i="22"/>
  <c r="GI45" i="22"/>
  <c r="GJ45" i="22"/>
  <c r="GK45" i="22"/>
  <c r="GL45" i="22"/>
  <c r="GM45" i="22"/>
  <c r="GN45" i="22"/>
  <c r="GO45" i="22"/>
  <c r="GP45" i="22"/>
  <c r="GQ45" i="22"/>
  <c r="GR45" i="22"/>
  <c r="GS45" i="22"/>
  <c r="GT45" i="22"/>
  <c r="GU45" i="22"/>
  <c r="GV45" i="22"/>
  <c r="GW45" i="22"/>
  <c r="GX45" i="22"/>
  <c r="GY45" i="22"/>
  <c r="GZ45" i="22"/>
  <c r="HA45" i="22"/>
  <c r="HB45" i="22"/>
  <c r="HC45" i="22"/>
  <c r="HD45" i="22"/>
  <c r="HE45" i="22"/>
  <c r="HF45" i="22"/>
  <c r="HG45" i="22"/>
  <c r="HH45" i="22"/>
  <c r="HI45" i="22"/>
  <c r="HJ45" i="22"/>
  <c r="HK45" i="22"/>
  <c r="HL45" i="22"/>
  <c r="HM45" i="22"/>
  <c r="HN45" i="22"/>
  <c r="HO45" i="22"/>
  <c r="HP45" i="22"/>
  <c r="HQ45" i="22"/>
  <c r="HR45" i="22"/>
  <c r="HS45" i="22"/>
  <c r="HT45" i="22"/>
  <c r="HU45" i="22"/>
  <c r="HV45" i="22"/>
  <c r="HW45" i="22"/>
  <c r="HX45" i="22"/>
  <c r="HY45" i="22"/>
  <c r="HZ45" i="22"/>
  <c r="IA45" i="22"/>
  <c r="IB45" i="22"/>
  <c r="IC45" i="22"/>
  <c r="ID45" i="22"/>
  <c r="IE45" i="22"/>
  <c r="IF45" i="22"/>
  <c r="IG45" i="22"/>
  <c r="IH45" i="22"/>
  <c r="II45" i="22"/>
  <c r="IJ45" i="22"/>
  <c r="IK45" i="22"/>
  <c r="IL45" i="22"/>
  <c r="IM45" i="22"/>
  <c r="IN45" i="22"/>
  <c r="IO45" i="22"/>
  <c r="IP45" i="22"/>
  <c r="IQ45" i="22"/>
  <c r="IR45" i="22"/>
  <c r="IS45" i="22"/>
  <c r="IT45" i="22"/>
  <c r="IU45" i="22"/>
  <c r="IV45" i="22"/>
  <c r="IW45" i="22"/>
  <c r="IX45" i="22"/>
  <c r="IY45" i="22"/>
  <c r="IZ45" i="22"/>
  <c r="JA45" i="22"/>
  <c r="JB45" i="22"/>
  <c r="JC45" i="22"/>
  <c r="JD45" i="22"/>
  <c r="JE45" i="22"/>
  <c r="JF45" i="22"/>
  <c r="JG45" i="22"/>
  <c r="JH45" i="22"/>
  <c r="JI45" i="22"/>
  <c r="JJ45" i="22"/>
  <c r="JK45" i="22"/>
  <c r="JL45" i="22"/>
  <c r="JM45" i="22"/>
  <c r="JN45" i="22"/>
  <c r="JO45" i="22"/>
  <c r="JP45" i="22"/>
  <c r="JQ45" i="22"/>
  <c r="JR45" i="22"/>
  <c r="JS45" i="22"/>
  <c r="JT45" i="22"/>
  <c r="JU45" i="22"/>
  <c r="JV45" i="22"/>
  <c r="JW45" i="22"/>
  <c r="JX45" i="22"/>
  <c r="JY45" i="22"/>
  <c r="JZ45" i="22"/>
  <c r="KA45" i="22"/>
  <c r="KB45" i="22"/>
  <c r="KC45" i="22"/>
  <c r="KD45" i="22"/>
  <c r="KE45" i="22"/>
  <c r="KF45" i="22"/>
  <c r="KG45" i="22"/>
  <c r="KH45" i="22"/>
  <c r="KI45" i="22"/>
  <c r="KJ45" i="22"/>
  <c r="KK45" i="22"/>
  <c r="KL45" i="22"/>
  <c r="KM45" i="22"/>
  <c r="KN45" i="22"/>
  <c r="KO45" i="22"/>
  <c r="KP45" i="22"/>
  <c r="KQ45" i="22"/>
  <c r="KR45" i="22"/>
  <c r="KS45" i="22"/>
  <c r="KT45" i="22"/>
  <c r="KU45" i="22"/>
  <c r="KV45" i="22"/>
  <c r="KW45" i="22"/>
  <c r="KX45" i="22"/>
  <c r="KY45" i="22"/>
  <c r="KZ45" i="22"/>
  <c r="LA45" i="22"/>
  <c r="LB45" i="22"/>
  <c r="LC45" i="22"/>
  <c r="LD45" i="22"/>
  <c r="LE45" i="22"/>
  <c r="LF45" i="22"/>
  <c r="LG45" i="22"/>
  <c r="LH45" i="22"/>
  <c r="LI45" i="22"/>
  <c r="LJ45" i="22"/>
  <c r="LK45" i="22"/>
  <c r="LL45" i="22"/>
  <c r="LM45" i="22"/>
  <c r="LN45" i="22"/>
  <c r="LO45" i="22"/>
  <c r="LP45" i="22"/>
  <c r="LQ45" i="22"/>
  <c r="LR45" i="22"/>
  <c r="LS45" i="22"/>
  <c r="LT45" i="22"/>
  <c r="LU45" i="22"/>
  <c r="LV45" i="22"/>
  <c r="LW45" i="22"/>
  <c r="LX45" i="22"/>
  <c r="LY45" i="22"/>
  <c r="LZ45" i="22"/>
  <c r="MA45" i="22"/>
  <c r="MB45" i="22"/>
  <c r="MC45" i="22"/>
  <c r="MD45" i="22"/>
  <c r="ME45" i="22"/>
  <c r="MF45" i="22"/>
  <c r="MG45" i="22"/>
  <c r="MH45" i="22"/>
  <c r="MI45" i="22"/>
  <c r="MJ45" i="22"/>
  <c r="MK45" i="22"/>
  <c r="ML45" i="22"/>
  <c r="MM45" i="22"/>
  <c r="MN45" i="22"/>
  <c r="MO45" i="22"/>
  <c r="MP45" i="22"/>
  <c r="MQ45" i="22"/>
  <c r="MR45" i="22"/>
  <c r="MS45" i="22"/>
  <c r="MT45" i="22"/>
  <c r="MU45" i="22"/>
  <c r="MV45" i="22"/>
  <c r="MW45" i="22"/>
  <c r="MX45" i="22"/>
  <c r="MY45" i="22"/>
  <c r="MZ45" i="22"/>
  <c r="NA45" i="22"/>
  <c r="NB45" i="22"/>
  <c r="NC45" i="22"/>
  <c r="NS45" i="22"/>
  <c r="B46" i="22"/>
  <c r="C46" i="22"/>
  <c r="D46" i="22"/>
  <c r="E46" i="22"/>
  <c r="F46" i="22"/>
  <c r="G46" i="22"/>
  <c r="H46" i="22"/>
  <c r="I46" i="22"/>
  <c r="J46" i="22"/>
  <c r="K46" i="22"/>
  <c r="L46" i="22"/>
  <c r="M46" i="22"/>
  <c r="N46" i="22"/>
  <c r="O46" i="22"/>
  <c r="P46" i="22"/>
  <c r="Q46" i="22"/>
  <c r="R46" i="22"/>
  <c r="S46" i="22"/>
  <c r="T46" i="22"/>
  <c r="U46" i="22"/>
  <c r="V46" i="22"/>
  <c r="W46" i="22"/>
  <c r="X46" i="22"/>
  <c r="Y46" i="22"/>
  <c r="Z46" i="22"/>
  <c r="AA46" i="22"/>
  <c r="AB46" i="22"/>
  <c r="AC46" i="22"/>
  <c r="AD46" i="22"/>
  <c r="AE46" i="22"/>
  <c r="AF46" i="22"/>
  <c r="AG46" i="22"/>
  <c r="AH46" i="22"/>
  <c r="AI46" i="22"/>
  <c r="AJ46" i="22"/>
  <c r="AK46" i="22"/>
  <c r="AL46" i="22"/>
  <c r="AM46" i="22"/>
  <c r="AN46" i="22"/>
  <c r="AO46" i="22"/>
  <c r="AP46" i="22"/>
  <c r="AQ46" i="22"/>
  <c r="AR46" i="22"/>
  <c r="AS46" i="22"/>
  <c r="AT46" i="22"/>
  <c r="AU46" i="22"/>
  <c r="AV46" i="22"/>
  <c r="AW46" i="22"/>
  <c r="AX46" i="22"/>
  <c r="AY46" i="22"/>
  <c r="AZ46" i="22"/>
  <c r="BA46" i="22"/>
  <c r="BB46" i="22"/>
  <c r="BC46" i="22"/>
  <c r="BD46" i="22"/>
  <c r="BE46" i="22"/>
  <c r="BF46" i="22"/>
  <c r="BG46" i="22"/>
  <c r="BH46" i="22"/>
  <c r="BJ46" i="22"/>
  <c r="BK46" i="22"/>
  <c r="BL46" i="22"/>
  <c r="BM46" i="22"/>
  <c r="BN46" i="22"/>
  <c r="BO46" i="22"/>
  <c r="BP46" i="22"/>
  <c r="BQ46" i="22"/>
  <c r="BR46" i="22"/>
  <c r="BS46" i="22"/>
  <c r="BT46" i="22"/>
  <c r="BU46" i="22"/>
  <c r="BV46" i="22"/>
  <c r="BW46" i="22"/>
  <c r="BX46" i="22"/>
  <c r="BY46" i="22"/>
  <c r="BZ46" i="22"/>
  <c r="CA46" i="22"/>
  <c r="CB46" i="22"/>
  <c r="CC46" i="22"/>
  <c r="CD46" i="22"/>
  <c r="CE46" i="22"/>
  <c r="CF46" i="22"/>
  <c r="CG46" i="22"/>
  <c r="CH46" i="22"/>
  <c r="CI46" i="22"/>
  <c r="CJ46" i="22"/>
  <c r="CK46" i="22"/>
  <c r="CL46" i="22"/>
  <c r="CM46" i="22"/>
  <c r="CN46" i="22"/>
  <c r="CO46" i="22"/>
  <c r="CP46" i="22"/>
  <c r="CQ46" i="22"/>
  <c r="CR46" i="22"/>
  <c r="CS46" i="22"/>
  <c r="CT46" i="22"/>
  <c r="CU46" i="22"/>
  <c r="CV46" i="22"/>
  <c r="CW46" i="22"/>
  <c r="CX46" i="22"/>
  <c r="CY46" i="22"/>
  <c r="CZ46" i="22"/>
  <c r="DA46" i="22"/>
  <c r="DB46" i="22"/>
  <c r="DC46" i="22"/>
  <c r="DD46" i="22"/>
  <c r="DE46" i="22"/>
  <c r="DF46" i="22"/>
  <c r="DG46" i="22"/>
  <c r="DH46" i="22"/>
  <c r="DI46" i="22"/>
  <c r="DJ46" i="22"/>
  <c r="DK46" i="22"/>
  <c r="DL46" i="22"/>
  <c r="DM46" i="22"/>
  <c r="DN46" i="22"/>
  <c r="DO46" i="22"/>
  <c r="DP46" i="22"/>
  <c r="DQ46" i="22"/>
  <c r="DR46" i="22"/>
  <c r="DS46" i="22"/>
  <c r="DT46" i="22"/>
  <c r="DU46" i="22"/>
  <c r="DV46" i="22"/>
  <c r="DW46" i="22"/>
  <c r="DX46" i="22"/>
  <c r="DY46" i="22"/>
  <c r="DZ46" i="22"/>
  <c r="EA46" i="22"/>
  <c r="EB46" i="22"/>
  <c r="EC46" i="22"/>
  <c r="ED46" i="22"/>
  <c r="EE46" i="22"/>
  <c r="EF46" i="22"/>
  <c r="EG46" i="22"/>
  <c r="EH46" i="22"/>
  <c r="EI46" i="22"/>
  <c r="EJ46" i="22"/>
  <c r="EK46" i="22"/>
  <c r="EL46" i="22"/>
  <c r="EM46" i="22"/>
  <c r="EN46" i="22"/>
  <c r="EO46" i="22"/>
  <c r="EP46" i="22"/>
  <c r="EQ46" i="22"/>
  <c r="ER46" i="22"/>
  <c r="ES46" i="22"/>
  <c r="ET46" i="22"/>
  <c r="EU46" i="22"/>
  <c r="EV46" i="22"/>
  <c r="EW46" i="22"/>
  <c r="EX46" i="22"/>
  <c r="EY46" i="22"/>
  <c r="EZ46" i="22"/>
  <c r="FA46" i="22"/>
  <c r="FB46" i="22"/>
  <c r="FC46" i="22"/>
  <c r="FD46" i="22"/>
  <c r="FE46" i="22"/>
  <c r="FF46" i="22"/>
  <c r="FG46" i="22"/>
  <c r="FH46" i="22"/>
  <c r="FI46" i="22"/>
  <c r="FJ46" i="22"/>
  <c r="FK46" i="22"/>
  <c r="FL46" i="22"/>
  <c r="FM46" i="22"/>
  <c r="FN46" i="22"/>
  <c r="FO46" i="22"/>
  <c r="FP46" i="22"/>
  <c r="FQ46" i="22"/>
  <c r="FR46" i="22"/>
  <c r="FS46" i="22"/>
  <c r="FT46" i="22"/>
  <c r="FU46" i="22"/>
  <c r="FV46" i="22"/>
  <c r="FW46" i="22"/>
  <c r="FX46" i="22"/>
  <c r="FY46" i="22"/>
  <c r="FZ46" i="22"/>
  <c r="GA46" i="22"/>
  <c r="GB46" i="22"/>
  <c r="GC46" i="22"/>
  <c r="GD46" i="22"/>
  <c r="GE46" i="22"/>
  <c r="GF46" i="22"/>
  <c r="GG46" i="22"/>
  <c r="GH46" i="22"/>
  <c r="GI46" i="22"/>
  <c r="GJ46" i="22"/>
  <c r="GK46" i="22"/>
  <c r="GL46" i="22"/>
  <c r="GM46" i="22"/>
  <c r="GN46" i="22"/>
  <c r="GO46" i="22"/>
  <c r="GP46" i="22"/>
  <c r="GQ46" i="22"/>
  <c r="GR46" i="22"/>
  <c r="GS46" i="22"/>
  <c r="GT46" i="22"/>
  <c r="GU46" i="22"/>
  <c r="GV46" i="22"/>
  <c r="GW46" i="22"/>
  <c r="GX46" i="22"/>
  <c r="GY46" i="22"/>
  <c r="GZ46" i="22"/>
  <c r="HA46" i="22"/>
  <c r="HB46" i="22"/>
  <c r="HC46" i="22"/>
  <c r="HD46" i="22"/>
  <c r="HE46" i="22"/>
  <c r="HF46" i="22"/>
  <c r="HG46" i="22"/>
  <c r="HH46" i="22"/>
  <c r="HI46" i="22"/>
  <c r="HJ46" i="22"/>
  <c r="HK46" i="22"/>
  <c r="HL46" i="22"/>
  <c r="HM46" i="22"/>
  <c r="HN46" i="22"/>
  <c r="HO46" i="22"/>
  <c r="HP46" i="22"/>
  <c r="HQ46" i="22"/>
  <c r="HR46" i="22"/>
  <c r="HS46" i="22"/>
  <c r="HT46" i="22"/>
  <c r="HU46" i="22"/>
  <c r="HV46" i="22"/>
  <c r="HW46" i="22"/>
  <c r="HX46" i="22"/>
  <c r="HY46" i="22"/>
  <c r="HZ46" i="22"/>
  <c r="IA46" i="22"/>
  <c r="IB46" i="22"/>
  <c r="IC46" i="22"/>
  <c r="ID46" i="22"/>
  <c r="IE46" i="22"/>
  <c r="IF46" i="22"/>
  <c r="IG46" i="22"/>
  <c r="IH46" i="22"/>
  <c r="II46" i="22"/>
  <c r="IJ46" i="22"/>
  <c r="IK46" i="22"/>
  <c r="IL46" i="22"/>
  <c r="IM46" i="22"/>
  <c r="IN46" i="22"/>
  <c r="IO46" i="22"/>
  <c r="IP46" i="22"/>
  <c r="IQ46" i="22"/>
  <c r="IR46" i="22"/>
  <c r="IS46" i="22"/>
  <c r="IT46" i="22"/>
  <c r="IU46" i="22"/>
  <c r="IV46" i="22"/>
  <c r="IW46" i="22"/>
  <c r="IX46" i="22"/>
  <c r="IY46" i="22"/>
  <c r="IZ46" i="22"/>
  <c r="JA46" i="22"/>
  <c r="JB46" i="22"/>
  <c r="JC46" i="22"/>
  <c r="JD46" i="22"/>
  <c r="JE46" i="22"/>
  <c r="JF46" i="22"/>
  <c r="JG46" i="22"/>
  <c r="JH46" i="22"/>
  <c r="JI46" i="22"/>
  <c r="JJ46" i="22"/>
  <c r="JK46" i="22"/>
  <c r="JL46" i="22"/>
  <c r="JM46" i="22"/>
  <c r="JN46" i="22"/>
  <c r="JO46" i="22"/>
  <c r="JP46" i="22"/>
  <c r="JQ46" i="22"/>
  <c r="JR46" i="22"/>
  <c r="JS46" i="22"/>
  <c r="JT46" i="22"/>
  <c r="JU46" i="22"/>
  <c r="JV46" i="22"/>
  <c r="JW46" i="22"/>
  <c r="JX46" i="22"/>
  <c r="JY46" i="22"/>
  <c r="JZ46" i="22"/>
  <c r="KA46" i="22"/>
  <c r="KB46" i="22"/>
  <c r="KC46" i="22"/>
  <c r="KD46" i="22"/>
  <c r="KE46" i="22"/>
  <c r="KF46" i="22"/>
  <c r="KG46" i="22"/>
  <c r="KH46" i="22"/>
  <c r="KI46" i="22"/>
  <c r="KJ46" i="22"/>
  <c r="KK46" i="22"/>
  <c r="KL46" i="22"/>
  <c r="KM46" i="22"/>
  <c r="KN46" i="22"/>
  <c r="KO46" i="22"/>
  <c r="KP46" i="22"/>
  <c r="KQ46" i="22"/>
  <c r="KR46" i="22"/>
  <c r="KS46" i="22"/>
  <c r="KT46" i="22"/>
  <c r="KU46" i="22"/>
  <c r="KV46" i="22"/>
  <c r="KW46" i="22"/>
  <c r="KX46" i="22"/>
  <c r="KY46" i="22"/>
  <c r="KZ46" i="22"/>
  <c r="LA46" i="22"/>
  <c r="LB46" i="22"/>
  <c r="LC46" i="22"/>
  <c r="LD46" i="22"/>
  <c r="LE46" i="22"/>
  <c r="LF46" i="22"/>
  <c r="LG46" i="22"/>
  <c r="LH46" i="22"/>
  <c r="LI46" i="22"/>
  <c r="LJ46" i="22"/>
  <c r="LK46" i="22"/>
  <c r="LL46" i="22"/>
  <c r="LM46" i="22"/>
  <c r="LN46" i="22"/>
  <c r="LO46" i="22"/>
  <c r="LP46" i="22"/>
  <c r="LQ46" i="22"/>
  <c r="LR46" i="22"/>
  <c r="LS46" i="22"/>
  <c r="LT46" i="22"/>
  <c r="LU46" i="22"/>
  <c r="LV46" i="22"/>
  <c r="LW46" i="22"/>
  <c r="LX46" i="22"/>
  <c r="LY46" i="22"/>
  <c r="LZ46" i="22"/>
  <c r="MA46" i="22"/>
  <c r="MB46" i="22"/>
  <c r="MC46" i="22"/>
  <c r="MD46" i="22"/>
  <c r="ME46" i="22"/>
  <c r="MF46" i="22"/>
  <c r="MG46" i="22"/>
  <c r="MH46" i="22"/>
  <c r="MI46" i="22"/>
  <c r="MJ46" i="22"/>
  <c r="MK46" i="22"/>
  <c r="ML46" i="22"/>
  <c r="MM46" i="22"/>
  <c r="MN46" i="22"/>
  <c r="MO46" i="22"/>
  <c r="MP46" i="22"/>
  <c r="MQ46" i="22"/>
  <c r="MR46" i="22"/>
  <c r="MS46" i="22"/>
  <c r="MT46" i="22"/>
  <c r="MU46" i="22"/>
  <c r="MV46" i="22"/>
  <c r="MW46" i="22"/>
  <c r="MX46" i="22"/>
  <c r="MY46" i="22"/>
  <c r="MZ46" i="22"/>
  <c r="NA46" i="22"/>
  <c r="NB46" i="22"/>
  <c r="NS46" i="22"/>
  <c r="B47" i="22"/>
  <c r="C47" i="22"/>
  <c r="D47" i="22"/>
  <c r="E47" i="22"/>
  <c r="F47" i="22"/>
  <c r="G47" i="22"/>
  <c r="H47" i="22"/>
  <c r="I47" i="22"/>
  <c r="J47" i="22"/>
  <c r="K47" i="22"/>
  <c r="L47" i="22"/>
  <c r="M47" i="22"/>
  <c r="N47" i="22"/>
  <c r="O47" i="22"/>
  <c r="P47" i="22"/>
  <c r="Q47" i="22"/>
  <c r="R47" i="22"/>
  <c r="S47" i="22"/>
  <c r="T47" i="22"/>
  <c r="U47" i="22"/>
  <c r="V47" i="22"/>
  <c r="W47" i="22"/>
  <c r="X47" i="22"/>
  <c r="Y47" i="22"/>
  <c r="Z47" i="22"/>
  <c r="AA47" i="22"/>
  <c r="AB47" i="22"/>
  <c r="AC47" i="22"/>
  <c r="AD47" i="22"/>
  <c r="AE47" i="22"/>
  <c r="AF47" i="22"/>
  <c r="AG47" i="22"/>
  <c r="AH47" i="22"/>
  <c r="AI47" i="22"/>
  <c r="AJ47" i="22"/>
  <c r="AK47" i="22"/>
  <c r="AL47" i="22"/>
  <c r="AM47" i="22"/>
  <c r="AN47" i="22"/>
  <c r="AO47" i="22"/>
  <c r="AP47" i="22"/>
  <c r="AQ47" i="22"/>
  <c r="AR47" i="22"/>
  <c r="AS47" i="22"/>
  <c r="AT47" i="22"/>
  <c r="AU47" i="22"/>
  <c r="AV47" i="22"/>
  <c r="AW47" i="22"/>
  <c r="AX47" i="22"/>
  <c r="AY47" i="22"/>
  <c r="AZ47" i="22"/>
  <c r="BA47" i="22"/>
  <c r="BB47" i="22"/>
  <c r="BC47" i="22"/>
  <c r="BD47" i="22"/>
  <c r="BE47" i="22"/>
  <c r="BF47" i="22"/>
  <c r="BG47" i="22"/>
  <c r="BH47" i="22"/>
  <c r="BJ47" i="22"/>
  <c r="BK47" i="22"/>
  <c r="BL47" i="22"/>
  <c r="BM47" i="22"/>
  <c r="BN47" i="22"/>
  <c r="BO47" i="22"/>
  <c r="BP47" i="22"/>
  <c r="BQ47" i="22"/>
  <c r="BR47" i="22"/>
  <c r="BS47" i="22"/>
  <c r="BT47" i="22"/>
  <c r="BU47" i="22"/>
  <c r="BV47" i="22"/>
  <c r="BW47" i="22"/>
  <c r="BX47" i="22"/>
  <c r="BY47" i="22"/>
  <c r="BZ47" i="22"/>
  <c r="CA47" i="22"/>
  <c r="CB47" i="22"/>
  <c r="CC47" i="22"/>
  <c r="CD47" i="22"/>
  <c r="CE47" i="22"/>
  <c r="CF47" i="22"/>
  <c r="CG47" i="22"/>
  <c r="CH47" i="22"/>
  <c r="CI47" i="22"/>
  <c r="CJ47" i="22"/>
  <c r="CK47" i="22"/>
  <c r="CL47" i="22"/>
  <c r="CM47" i="22"/>
  <c r="CN47" i="22"/>
  <c r="CO47" i="22"/>
  <c r="CP47" i="22"/>
  <c r="CQ47" i="22"/>
  <c r="CR47" i="22"/>
  <c r="CS47" i="22"/>
  <c r="CT47" i="22"/>
  <c r="CU47" i="22"/>
  <c r="CV47" i="22"/>
  <c r="CW47" i="22"/>
  <c r="CX47" i="22"/>
  <c r="CY47" i="22"/>
  <c r="CZ47" i="22"/>
  <c r="DA47" i="22"/>
  <c r="DB47" i="22"/>
  <c r="DC47" i="22"/>
  <c r="DD47" i="22"/>
  <c r="DE47" i="22"/>
  <c r="DF47" i="22"/>
  <c r="DG47" i="22"/>
  <c r="DH47" i="22"/>
  <c r="DI47" i="22"/>
  <c r="DJ47" i="22"/>
  <c r="DK47" i="22"/>
  <c r="DL47" i="22"/>
  <c r="DM47" i="22"/>
  <c r="DN47" i="22"/>
  <c r="DO47" i="22"/>
  <c r="DP47" i="22"/>
  <c r="DQ47" i="22"/>
  <c r="DR47" i="22"/>
  <c r="DS47" i="22"/>
  <c r="DT47" i="22"/>
  <c r="DU47" i="22"/>
  <c r="DV47" i="22"/>
  <c r="DW47" i="22"/>
  <c r="DX47" i="22"/>
  <c r="DY47" i="22"/>
  <c r="DZ47" i="22"/>
  <c r="EA47" i="22"/>
  <c r="EB47" i="22"/>
  <c r="EC47" i="22"/>
  <c r="ED47" i="22"/>
  <c r="EE47" i="22"/>
  <c r="EF47" i="22"/>
  <c r="EG47" i="22"/>
  <c r="EH47" i="22"/>
  <c r="EI47" i="22"/>
  <c r="EJ47" i="22"/>
  <c r="EK47" i="22"/>
  <c r="EL47" i="22"/>
  <c r="EM47" i="22"/>
  <c r="EN47" i="22"/>
  <c r="EO47" i="22"/>
  <c r="EP47" i="22"/>
  <c r="EQ47" i="22"/>
  <c r="ER47" i="22"/>
  <c r="ES47" i="22"/>
  <c r="ET47" i="22"/>
  <c r="EU47" i="22"/>
  <c r="EV47" i="22"/>
  <c r="EW47" i="22"/>
  <c r="EX47" i="22"/>
  <c r="EY47" i="22"/>
  <c r="EZ47" i="22"/>
  <c r="FA47" i="22"/>
  <c r="FB47" i="22"/>
  <c r="FC47" i="22"/>
  <c r="FD47" i="22"/>
  <c r="FE47" i="22"/>
  <c r="FF47" i="22"/>
  <c r="FG47" i="22"/>
  <c r="FH47" i="22"/>
  <c r="FI47" i="22"/>
  <c r="FJ47" i="22"/>
  <c r="FK47" i="22"/>
  <c r="FL47" i="22"/>
  <c r="FM47" i="22"/>
  <c r="FN47" i="22"/>
  <c r="FO47" i="22"/>
  <c r="FP47" i="22"/>
  <c r="FQ47" i="22"/>
  <c r="FR47" i="22"/>
  <c r="FS47" i="22"/>
  <c r="FT47" i="22"/>
  <c r="FU47" i="22"/>
  <c r="FV47" i="22"/>
  <c r="FW47" i="22"/>
  <c r="FX47" i="22"/>
  <c r="FY47" i="22"/>
  <c r="FZ47" i="22"/>
  <c r="GA47" i="22"/>
  <c r="GB47" i="22"/>
  <c r="GC47" i="22"/>
  <c r="GD47" i="22"/>
  <c r="GE47" i="22"/>
  <c r="GF47" i="22"/>
  <c r="GG47" i="22"/>
  <c r="GH47" i="22"/>
  <c r="GI47" i="22"/>
  <c r="GJ47" i="22"/>
  <c r="GK47" i="22"/>
  <c r="GL47" i="22"/>
  <c r="GM47" i="22"/>
  <c r="GN47" i="22"/>
  <c r="GO47" i="22"/>
  <c r="GP47" i="22"/>
  <c r="GQ47" i="22"/>
  <c r="GR47" i="22"/>
  <c r="GS47" i="22"/>
  <c r="GT47" i="22"/>
  <c r="GU47" i="22"/>
  <c r="GV47" i="22"/>
  <c r="GW47" i="22"/>
  <c r="GX47" i="22"/>
  <c r="GY47" i="22"/>
  <c r="GZ47" i="22"/>
  <c r="HA47" i="22"/>
  <c r="HB47" i="22"/>
  <c r="HC47" i="22"/>
  <c r="HD47" i="22"/>
  <c r="HE47" i="22"/>
  <c r="HF47" i="22"/>
  <c r="HG47" i="22"/>
  <c r="HH47" i="22"/>
  <c r="HI47" i="22"/>
  <c r="HJ47" i="22"/>
  <c r="HK47" i="22"/>
  <c r="HL47" i="22"/>
  <c r="HM47" i="22"/>
  <c r="HN47" i="22"/>
  <c r="HO47" i="22"/>
  <c r="HP47" i="22"/>
  <c r="HQ47" i="22"/>
  <c r="HR47" i="22"/>
  <c r="HS47" i="22"/>
  <c r="HT47" i="22"/>
  <c r="HU47" i="22"/>
  <c r="HV47" i="22"/>
  <c r="HW47" i="22"/>
  <c r="HX47" i="22"/>
  <c r="HY47" i="22"/>
  <c r="HZ47" i="22"/>
  <c r="IA47" i="22"/>
  <c r="IB47" i="22"/>
  <c r="IC47" i="22"/>
  <c r="ID47" i="22"/>
  <c r="IE47" i="22"/>
  <c r="IF47" i="22"/>
  <c r="IG47" i="22"/>
  <c r="IH47" i="22"/>
  <c r="II47" i="22"/>
  <c r="IJ47" i="22"/>
  <c r="IK47" i="22"/>
  <c r="IL47" i="22"/>
  <c r="IM47" i="22"/>
  <c r="IN47" i="22"/>
  <c r="IO47" i="22"/>
  <c r="IP47" i="22"/>
  <c r="IQ47" i="22"/>
  <c r="IR47" i="22"/>
  <c r="IS47" i="22"/>
  <c r="IT47" i="22"/>
  <c r="IU47" i="22"/>
  <c r="IV47" i="22"/>
  <c r="IW47" i="22"/>
  <c r="IX47" i="22"/>
  <c r="IY47" i="22"/>
  <c r="IZ47" i="22"/>
  <c r="JA47" i="22"/>
  <c r="JB47" i="22"/>
  <c r="JC47" i="22"/>
  <c r="JD47" i="22"/>
  <c r="JE47" i="22"/>
  <c r="JF47" i="22"/>
  <c r="JG47" i="22"/>
  <c r="JH47" i="22"/>
  <c r="JI47" i="22"/>
  <c r="JJ47" i="22"/>
  <c r="JK47" i="22"/>
  <c r="JL47" i="22"/>
  <c r="JM47" i="22"/>
  <c r="JN47" i="22"/>
  <c r="JO47" i="22"/>
  <c r="JP47" i="22"/>
  <c r="JQ47" i="22"/>
  <c r="JR47" i="22"/>
  <c r="JS47" i="22"/>
  <c r="JT47" i="22"/>
  <c r="JU47" i="22"/>
  <c r="JV47" i="22"/>
  <c r="JW47" i="22"/>
  <c r="JX47" i="22"/>
  <c r="JY47" i="22"/>
  <c r="JZ47" i="22"/>
  <c r="KA47" i="22"/>
  <c r="KB47" i="22"/>
  <c r="KC47" i="22"/>
  <c r="KD47" i="22"/>
  <c r="KE47" i="22"/>
  <c r="KF47" i="22"/>
  <c r="KG47" i="22"/>
  <c r="KH47" i="22"/>
  <c r="KI47" i="22"/>
  <c r="KJ47" i="22"/>
  <c r="KK47" i="22"/>
  <c r="KL47" i="22"/>
  <c r="KM47" i="22"/>
  <c r="KN47" i="22"/>
  <c r="KO47" i="22"/>
  <c r="KP47" i="22"/>
  <c r="KQ47" i="22"/>
  <c r="KR47" i="22"/>
  <c r="KS47" i="22"/>
  <c r="KT47" i="22"/>
  <c r="KU47" i="22"/>
  <c r="KV47" i="22"/>
  <c r="KW47" i="22"/>
  <c r="KX47" i="22"/>
  <c r="KY47" i="22"/>
  <c r="KZ47" i="22"/>
  <c r="LA47" i="22"/>
  <c r="LB47" i="22"/>
  <c r="LC47" i="22"/>
  <c r="LD47" i="22"/>
  <c r="LE47" i="22"/>
  <c r="LF47" i="22"/>
  <c r="LG47" i="22"/>
  <c r="LH47" i="22"/>
  <c r="LI47" i="22"/>
  <c r="LJ47" i="22"/>
  <c r="LK47" i="22"/>
  <c r="LL47" i="22"/>
  <c r="LM47" i="22"/>
  <c r="LN47" i="22"/>
  <c r="LO47" i="22"/>
  <c r="LP47" i="22"/>
  <c r="LQ47" i="22"/>
  <c r="LR47" i="22"/>
  <c r="LS47" i="22"/>
  <c r="LT47" i="22"/>
  <c r="LU47" i="22"/>
  <c r="LV47" i="22"/>
  <c r="LW47" i="22"/>
  <c r="LX47" i="22"/>
  <c r="LY47" i="22"/>
  <c r="LZ47" i="22"/>
  <c r="MA47" i="22"/>
  <c r="MB47" i="22"/>
  <c r="MC47" i="22"/>
  <c r="MD47" i="22"/>
  <c r="ME47" i="22"/>
  <c r="MF47" i="22"/>
  <c r="MG47" i="22"/>
  <c r="MH47" i="22"/>
  <c r="MI47" i="22"/>
  <c r="MJ47" i="22"/>
  <c r="MK47" i="22"/>
  <c r="ML47" i="22"/>
  <c r="MM47" i="22"/>
  <c r="MN47" i="22"/>
  <c r="MO47" i="22"/>
  <c r="MP47" i="22"/>
  <c r="MQ47" i="22"/>
  <c r="MR47" i="22"/>
  <c r="MS47" i="22"/>
  <c r="MT47" i="22"/>
  <c r="MU47" i="22"/>
  <c r="MV47" i="22"/>
  <c r="MW47" i="22"/>
  <c r="MX47" i="22"/>
  <c r="MY47" i="22"/>
  <c r="MZ47" i="22"/>
  <c r="NA47" i="22"/>
  <c r="NB47" i="22"/>
  <c r="NS47" i="22"/>
  <c r="B48" i="22"/>
  <c r="C48" i="22"/>
  <c r="D48" i="22"/>
  <c r="E48" i="22"/>
  <c r="F48" i="22"/>
  <c r="G48" i="22"/>
  <c r="H48" i="22"/>
  <c r="I48" i="22"/>
  <c r="J48" i="22"/>
  <c r="K48" i="22"/>
  <c r="L48" i="22"/>
  <c r="M48" i="22"/>
  <c r="N48" i="22"/>
  <c r="O48" i="22"/>
  <c r="P48" i="22"/>
  <c r="Q48" i="22"/>
  <c r="R48" i="22"/>
  <c r="S48" i="22"/>
  <c r="T48" i="22"/>
  <c r="U48" i="22"/>
  <c r="V48" i="22"/>
  <c r="W48" i="22"/>
  <c r="X48" i="22"/>
  <c r="Y48" i="22"/>
  <c r="Z48" i="22"/>
  <c r="AA48" i="22"/>
  <c r="AB48" i="22"/>
  <c r="AC48" i="22"/>
  <c r="AD48" i="22"/>
  <c r="AE48" i="22"/>
  <c r="AF48" i="22"/>
  <c r="AG48" i="22"/>
  <c r="AH48" i="22"/>
  <c r="AI48" i="22"/>
  <c r="AJ48" i="22"/>
  <c r="AK48" i="22"/>
  <c r="AL48" i="22"/>
  <c r="AM48" i="22"/>
  <c r="AN48" i="22"/>
  <c r="AO48" i="22"/>
  <c r="AP48" i="22"/>
  <c r="AQ48" i="22"/>
  <c r="AR48" i="22"/>
  <c r="AS48" i="22"/>
  <c r="AT48" i="22"/>
  <c r="AU48" i="22"/>
  <c r="AV48" i="22"/>
  <c r="AW48" i="22"/>
  <c r="AX48" i="22"/>
  <c r="AY48" i="22"/>
  <c r="AZ48" i="22"/>
  <c r="BA48" i="22"/>
  <c r="BB48" i="22"/>
  <c r="BC48" i="22"/>
  <c r="BD48" i="22"/>
  <c r="BE48" i="22"/>
  <c r="BF48" i="22"/>
  <c r="BG48" i="22"/>
  <c r="BH48" i="22"/>
  <c r="BJ48" i="22"/>
  <c r="BK48" i="22"/>
  <c r="BL48" i="22"/>
  <c r="BM48" i="22"/>
  <c r="BN48" i="22"/>
  <c r="BO48" i="22"/>
  <c r="BP48" i="22"/>
  <c r="BQ48" i="22"/>
  <c r="BR48" i="22"/>
  <c r="BS48" i="22"/>
  <c r="BT48" i="22"/>
  <c r="BU48" i="22"/>
  <c r="BV48" i="22"/>
  <c r="BW48" i="22"/>
  <c r="BX48" i="22"/>
  <c r="BY48" i="22"/>
  <c r="BZ48" i="22"/>
  <c r="CA48" i="22"/>
  <c r="CB48" i="22"/>
  <c r="CC48" i="22"/>
  <c r="CD48" i="22"/>
  <c r="CE48" i="22"/>
  <c r="CF48" i="22"/>
  <c r="CG48" i="22"/>
  <c r="CH48" i="22"/>
  <c r="CI48" i="22"/>
  <c r="CJ48" i="22"/>
  <c r="CK48" i="22"/>
  <c r="CL48" i="22"/>
  <c r="CM48" i="22"/>
  <c r="CN48" i="22"/>
  <c r="CO48" i="22"/>
  <c r="CP48" i="22"/>
  <c r="CQ48" i="22"/>
  <c r="CR48" i="22"/>
  <c r="CS48" i="22"/>
  <c r="CT48" i="22"/>
  <c r="CU48" i="22"/>
  <c r="CV48" i="22"/>
  <c r="CW48" i="22"/>
  <c r="CX48" i="22"/>
  <c r="CY48" i="22"/>
  <c r="CZ48" i="22"/>
  <c r="DA48" i="22"/>
  <c r="DB48" i="22"/>
  <c r="DC48" i="22"/>
  <c r="DD48" i="22"/>
  <c r="DE48" i="22"/>
  <c r="DF48" i="22"/>
  <c r="DG48" i="22"/>
  <c r="DH48" i="22"/>
  <c r="DI48" i="22"/>
  <c r="DJ48" i="22"/>
  <c r="DK48" i="22"/>
  <c r="DL48" i="22"/>
  <c r="DM48" i="22"/>
  <c r="DN48" i="22"/>
  <c r="DO48" i="22"/>
  <c r="DP48" i="22"/>
  <c r="DQ48" i="22"/>
  <c r="DR48" i="22"/>
  <c r="DS48" i="22"/>
  <c r="DT48" i="22"/>
  <c r="DU48" i="22"/>
  <c r="DV48" i="22"/>
  <c r="DW48" i="22"/>
  <c r="DX48" i="22"/>
  <c r="DY48" i="22"/>
  <c r="DZ48" i="22"/>
  <c r="EA48" i="22"/>
  <c r="EB48" i="22"/>
  <c r="EC48" i="22"/>
  <c r="ED48" i="22"/>
  <c r="EE48" i="22"/>
  <c r="EF48" i="22"/>
  <c r="EG48" i="22"/>
  <c r="EH48" i="22"/>
  <c r="EI48" i="22"/>
  <c r="EJ48" i="22"/>
  <c r="EK48" i="22"/>
  <c r="EL48" i="22"/>
  <c r="EM48" i="22"/>
  <c r="EN48" i="22"/>
  <c r="EO48" i="22"/>
  <c r="EP48" i="22"/>
  <c r="EQ48" i="22"/>
  <c r="ER48" i="22"/>
  <c r="ES48" i="22"/>
  <c r="ET48" i="22"/>
  <c r="EU48" i="22"/>
  <c r="EV48" i="22"/>
  <c r="EW48" i="22"/>
  <c r="EX48" i="22"/>
  <c r="EY48" i="22"/>
  <c r="EZ48" i="22"/>
  <c r="FA48" i="22"/>
  <c r="FB48" i="22"/>
  <c r="FC48" i="22"/>
  <c r="FD48" i="22"/>
  <c r="FE48" i="22"/>
  <c r="FF48" i="22"/>
  <c r="FG48" i="22"/>
  <c r="FH48" i="22"/>
  <c r="FI48" i="22"/>
  <c r="FJ48" i="22"/>
  <c r="FK48" i="22"/>
  <c r="FL48" i="22"/>
  <c r="FM48" i="22"/>
  <c r="FN48" i="22"/>
  <c r="FO48" i="22"/>
  <c r="FP48" i="22"/>
  <c r="FQ48" i="22"/>
  <c r="FR48" i="22"/>
  <c r="FS48" i="22"/>
  <c r="FT48" i="22"/>
  <c r="FU48" i="22"/>
  <c r="FV48" i="22"/>
  <c r="FW48" i="22"/>
  <c r="FX48" i="22"/>
  <c r="FY48" i="22"/>
  <c r="FZ48" i="22"/>
  <c r="GA48" i="22"/>
  <c r="GB48" i="22"/>
  <c r="GC48" i="22"/>
  <c r="GD48" i="22"/>
  <c r="GE48" i="22"/>
  <c r="GF48" i="22"/>
  <c r="GG48" i="22"/>
  <c r="GH48" i="22"/>
  <c r="GI48" i="22"/>
  <c r="GJ48" i="22"/>
  <c r="GK48" i="22"/>
  <c r="GL48" i="22"/>
  <c r="GM48" i="22"/>
  <c r="GN48" i="22"/>
  <c r="GO48" i="22"/>
  <c r="GP48" i="22"/>
  <c r="GQ48" i="22"/>
  <c r="GR48" i="22"/>
  <c r="GS48" i="22"/>
  <c r="GT48" i="22"/>
  <c r="GU48" i="22"/>
  <c r="GV48" i="22"/>
  <c r="GW48" i="22"/>
  <c r="GX48" i="22"/>
  <c r="GY48" i="22"/>
  <c r="GZ48" i="22"/>
  <c r="HA48" i="22"/>
  <c r="HB48" i="22"/>
  <c r="HC48" i="22"/>
  <c r="HD48" i="22"/>
  <c r="HE48" i="22"/>
  <c r="HF48" i="22"/>
  <c r="HG48" i="22"/>
  <c r="HH48" i="22"/>
  <c r="HI48" i="22"/>
  <c r="HJ48" i="22"/>
  <c r="HK48" i="22"/>
  <c r="HL48" i="22"/>
  <c r="HM48" i="22"/>
  <c r="HN48" i="22"/>
  <c r="HO48" i="22"/>
  <c r="HP48" i="22"/>
  <c r="HQ48" i="22"/>
  <c r="HR48" i="22"/>
  <c r="HS48" i="22"/>
  <c r="HT48" i="22"/>
  <c r="HU48" i="22"/>
  <c r="HV48" i="22"/>
  <c r="HW48" i="22"/>
  <c r="HX48" i="22"/>
  <c r="HY48" i="22"/>
  <c r="HZ48" i="22"/>
  <c r="IA48" i="22"/>
  <c r="IB48" i="22"/>
  <c r="IC48" i="22"/>
  <c r="ID48" i="22"/>
  <c r="IE48" i="22"/>
  <c r="IF48" i="22"/>
  <c r="IG48" i="22"/>
  <c r="IH48" i="22"/>
  <c r="II48" i="22"/>
  <c r="IJ48" i="22"/>
  <c r="IK48" i="22"/>
  <c r="IL48" i="22"/>
  <c r="IM48" i="22"/>
  <c r="IN48" i="22"/>
  <c r="IO48" i="22"/>
  <c r="IP48" i="22"/>
  <c r="IQ48" i="22"/>
  <c r="IR48" i="22"/>
  <c r="IS48" i="22"/>
  <c r="IT48" i="22"/>
  <c r="IU48" i="22"/>
  <c r="IV48" i="22"/>
  <c r="IW48" i="22"/>
  <c r="IX48" i="22"/>
  <c r="IY48" i="22"/>
  <c r="IZ48" i="22"/>
  <c r="JA48" i="22"/>
  <c r="JB48" i="22"/>
  <c r="JC48" i="22"/>
  <c r="JD48" i="22"/>
  <c r="JE48" i="22"/>
  <c r="JF48" i="22"/>
  <c r="JG48" i="22"/>
  <c r="JH48" i="22"/>
  <c r="JI48" i="22"/>
  <c r="JJ48" i="22"/>
  <c r="JK48" i="22"/>
  <c r="JL48" i="22"/>
  <c r="JM48" i="22"/>
  <c r="JN48" i="22"/>
  <c r="JO48" i="22"/>
  <c r="JP48" i="22"/>
  <c r="JQ48" i="22"/>
  <c r="JR48" i="22"/>
  <c r="JS48" i="22"/>
  <c r="JT48" i="22"/>
  <c r="JU48" i="22"/>
  <c r="JV48" i="22"/>
  <c r="JW48" i="22"/>
  <c r="JX48" i="22"/>
  <c r="JY48" i="22"/>
  <c r="JZ48" i="22"/>
  <c r="KA48" i="22"/>
  <c r="KB48" i="22"/>
  <c r="KC48" i="22"/>
  <c r="KD48" i="22"/>
  <c r="KE48" i="22"/>
  <c r="KF48" i="22"/>
  <c r="KG48" i="22"/>
  <c r="KH48" i="22"/>
  <c r="KI48" i="22"/>
  <c r="KJ48" i="22"/>
  <c r="KK48" i="22"/>
  <c r="KL48" i="22"/>
  <c r="KM48" i="22"/>
  <c r="KN48" i="22"/>
  <c r="KO48" i="22"/>
  <c r="KP48" i="22"/>
  <c r="KQ48" i="22"/>
  <c r="KR48" i="22"/>
  <c r="KS48" i="22"/>
  <c r="KT48" i="22"/>
  <c r="KU48" i="22"/>
  <c r="KV48" i="22"/>
  <c r="KW48" i="22"/>
  <c r="KX48" i="22"/>
  <c r="KY48" i="22"/>
  <c r="KZ48" i="22"/>
  <c r="LA48" i="22"/>
  <c r="LB48" i="22"/>
  <c r="LC48" i="22"/>
  <c r="LD48" i="22"/>
  <c r="LE48" i="22"/>
  <c r="LF48" i="22"/>
  <c r="LG48" i="22"/>
  <c r="LH48" i="22"/>
  <c r="LI48" i="22"/>
  <c r="LJ48" i="22"/>
  <c r="LK48" i="22"/>
  <c r="LL48" i="22"/>
  <c r="LM48" i="22"/>
  <c r="LN48" i="22"/>
  <c r="LO48" i="22"/>
  <c r="LP48" i="22"/>
  <c r="LQ48" i="22"/>
  <c r="LR48" i="22"/>
  <c r="LS48" i="22"/>
  <c r="LT48" i="22"/>
  <c r="LU48" i="22"/>
  <c r="LV48" i="22"/>
  <c r="LW48" i="22"/>
  <c r="LX48" i="22"/>
  <c r="LY48" i="22"/>
  <c r="LZ48" i="22"/>
  <c r="MA48" i="22"/>
  <c r="MB48" i="22"/>
  <c r="MC48" i="22"/>
  <c r="MD48" i="22"/>
  <c r="ME48" i="22"/>
  <c r="MF48" i="22"/>
  <c r="MG48" i="22"/>
  <c r="MH48" i="22"/>
  <c r="MI48" i="22"/>
  <c r="MJ48" i="22"/>
  <c r="MK48" i="22"/>
  <c r="ML48" i="22"/>
  <c r="MM48" i="22"/>
  <c r="MN48" i="22"/>
  <c r="MO48" i="22"/>
  <c r="MP48" i="22"/>
  <c r="MQ48" i="22"/>
  <c r="MR48" i="22"/>
  <c r="MS48" i="22"/>
  <c r="MT48" i="22"/>
  <c r="MU48" i="22"/>
  <c r="MV48" i="22"/>
  <c r="MW48" i="22"/>
  <c r="MX48" i="22"/>
  <c r="MY48" i="22"/>
  <c r="MZ48" i="22"/>
  <c r="NA48" i="22"/>
  <c r="NB48" i="22"/>
  <c r="NS48" i="22"/>
  <c r="B49" i="22"/>
  <c r="C49" i="22"/>
  <c r="D49" i="22"/>
  <c r="E49" i="22"/>
  <c r="F49" i="22"/>
  <c r="G49" i="22"/>
  <c r="H49" i="22"/>
  <c r="I49" i="22"/>
  <c r="J49" i="22"/>
  <c r="K49" i="22"/>
  <c r="L49" i="22"/>
  <c r="M49" i="22"/>
  <c r="N49" i="22"/>
  <c r="O49" i="22"/>
  <c r="P49" i="22"/>
  <c r="Q49" i="22"/>
  <c r="R49" i="22"/>
  <c r="S49" i="22"/>
  <c r="T49" i="22"/>
  <c r="U49" i="22"/>
  <c r="V49" i="22"/>
  <c r="W49" i="22"/>
  <c r="X49" i="22"/>
  <c r="Y49" i="22"/>
  <c r="Z49" i="22"/>
  <c r="AA49" i="22"/>
  <c r="AB49" i="22"/>
  <c r="AC49" i="22"/>
  <c r="AD49" i="22"/>
  <c r="AE49" i="22"/>
  <c r="AF49" i="22"/>
  <c r="AG49" i="22"/>
  <c r="AH49" i="22"/>
  <c r="AI49" i="22"/>
  <c r="AJ49" i="22"/>
  <c r="AK49" i="22"/>
  <c r="AL49" i="22"/>
  <c r="AM49" i="22"/>
  <c r="AN49" i="22"/>
  <c r="AO49" i="22"/>
  <c r="AP49" i="22"/>
  <c r="AQ49" i="22"/>
  <c r="AR49" i="22"/>
  <c r="AS49" i="22"/>
  <c r="AT49" i="22"/>
  <c r="AU49" i="22"/>
  <c r="AV49" i="22"/>
  <c r="AW49" i="22"/>
  <c r="AX49" i="22"/>
  <c r="AY49" i="22"/>
  <c r="AZ49" i="22"/>
  <c r="BA49" i="22"/>
  <c r="BB49" i="22"/>
  <c r="BC49" i="22"/>
  <c r="BD49" i="22"/>
  <c r="BE49" i="22"/>
  <c r="BF49" i="22"/>
  <c r="BG49" i="22"/>
  <c r="BH49" i="22"/>
  <c r="BI49" i="22"/>
  <c r="BJ49" i="22"/>
  <c r="BK49" i="22"/>
  <c r="BL49" i="22"/>
  <c r="BM49" i="22"/>
  <c r="BN49" i="22"/>
  <c r="BO49" i="22"/>
  <c r="BP49" i="22"/>
  <c r="BQ49" i="22"/>
  <c r="BR49" i="22"/>
  <c r="BS49" i="22"/>
  <c r="BT49" i="22"/>
  <c r="BU49" i="22"/>
  <c r="BV49" i="22"/>
  <c r="BW49" i="22"/>
  <c r="BX49" i="22"/>
  <c r="BY49" i="22"/>
  <c r="BZ49" i="22"/>
  <c r="CA49" i="22"/>
  <c r="CB49" i="22"/>
  <c r="CC49" i="22"/>
  <c r="CD49" i="22"/>
  <c r="CE49" i="22"/>
  <c r="CF49" i="22"/>
  <c r="CG49" i="22"/>
  <c r="CH49" i="22"/>
  <c r="CI49" i="22"/>
  <c r="CJ49" i="22"/>
  <c r="CK49" i="22"/>
  <c r="CL49" i="22"/>
  <c r="CM49" i="22"/>
  <c r="CN49" i="22"/>
  <c r="CO49" i="22"/>
  <c r="CP49" i="22"/>
  <c r="CQ49" i="22"/>
  <c r="CR49" i="22"/>
  <c r="CS49" i="22"/>
  <c r="CT49" i="22"/>
  <c r="CU49" i="22"/>
  <c r="CV49" i="22"/>
  <c r="CW49" i="22"/>
  <c r="CX49" i="22"/>
  <c r="CY49" i="22"/>
  <c r="CZ49" i="22"/>
  <c r="DA49" i="22"/>
  <c r="DB49" i="22"/>
  <c r="DC49" i="22"/>
  <c r="DD49" i="22"/>
  <c r="DE49" i="22"/>
  <c r="DF49" i="22"/>
  <c r="DG49" i="22"/>
  <c r="DH49" i="22"/>
  <c r="DI49" i="22"/>
  <c r="DJ49" i="22"/>
  <c r="DK49" i="22"/>
  <c r="DL49" i="22"/>
  <c r="DM49" i="22"/>
  <c r="DN49" i="22"/>
  <c r="DO49" i="22"/>
  <c r="DP49" i="22"/>
  <c r="DQ49" i="22"/>
  <c r="DR49" i="22"/>
  <c r="DS49" i="22"/>
  <c r="DT49" i="22"/>
  <c r="DU49" i="22"/>
  <c r="DV49" i="22"/>
  <c r="DW49" i="22"/>
  <c r="DX49" i="22"/>
  <c r="DY49" i="22"/>
  <c r="DZ49" i="22"/>
  <c r="EA49" i="22"/>
  <c r="EB49" i="22"/>
  <c r="EC49" i="22"/>
  <c r="ED49" i="22"/>
  <c r="EE49" i="22"/>
  <c r="EF49" i="22"/>
  <c r="EG49" i="22"/>
  <c r="EH49" i="22"/>
  <c r="EI49" i="22"/>
  <c r="EJ49" i="22"/>
  <c r="EK49" i="22"/>
  <c r="EL49" i="22"/>
  <c r="EM49" i="22"/>
  <c r="EN49" i="22"/>
  <c r="EO49" i="22"/>
  <c r="EP49" i="22"/>
  <c r="EQ49" i="22"/>
  <c r="ER49" i="22"/>
  <c r="ES49" i="22"/>
  <c r="ET49" i="22"/>
  <c r="EU49" i="22"/>
  <c r="EV49" i="22"/>
  <c r="EW49" i="22"/>
  <c r="EX49" i="22"/>
  <c r="EY49" i="22"/>
  <c r="EZ49" i="22"/>
  <c r="FA49" i="22"/>
  <c r="FB49" i="22"/>
  <c r="FC49" i="22"/>
  <c r="FD49" i="22"/>
  <c r="FE49" i="22"/>
  <c r="FF49" i="22"/>
  <c r="FG49" i="22"/>
  <c r="FH49" i="22"/>
  <c r="FI49" i="22"/>
  <c r="FJ49" i="22"/>
  <c r="FK49" i="22"/>
  <c r="FL49" i="22"/>
  <c r="FM49" i="22"/>
  <c r="FN49" i="22"/>
  <c r="FO49" i="22"/>
  <c r="FP49" i="22"/>
  <c r="FQ49" i="22"/>
  <c r="FR49" i="22"/>
  <c r="FS49" i="22"/>
  <c r="FT49" i="22"/>
  <c r="FU49" i="22"/>
  <c r="FV49" i="22"/>
  <c r="FW49" i="22"/>
  <c r="FX49" i="22"/>
  <c r="FY49" i="22"/>
  <c r="FZ49" i="22"/>
  <c r="GA49" i="22"/>
  <c r="GB49" i="22"/>
  <c r="GC49" i="22"/>
  <c r="GD49" i="22"/>
  <c r="GE49" i="22"/>
  <c r="GF49" i="22"/>
  <c r="GG49" i="22"/>
  <c r="GH49" i="22"/>
  <c r="GI49" i="22"/>
  <c r="GJ49" i="22"/>
  <c r="GK49" i="22"/>
  <c r="GL49" i="22"/>
  <c r="GM49" i="22"/>
  <c r="GN49" i="22"/>
  <c r="GO49" i="22"/>
  <c r="GP49" i="22"/>
  <c r="GQ49" i="22"/>
  <c r="GR49" i="22"/>
  <c r="GS49" i="22"/>
  <c r="GT49" i="22"/>
  <c r="GU49" i="22"/>
  <c r="GV49" i="22"/>
  <c r="GW49" i="22"/>
  <c r="GX49" i="22"/>
  <c r="GY49" i="22"/>
  <c r="GZ49" i="22"/>
  <c r="HA49" i="22"/>
  <c r="HB49" i="22"/>
  <c r="HC49" i="22"/>
  <c r="HD49" i="22"/>
  <c r="HE49" i="22"/>
  <c r="HF49" i="22"/>
  <c r="HG49" i="22"/>
  <c r="HH49" i="22"/>
  <c r="HI49" i="22"/>
  <c r="HJ49" i="22"/>
  <c r="HK49" i="22"/>
  <c r="HL49" i="22"/>
  <c r="HM49" i="22"/>
  <c r="HN49" i="22"/>
  <c r="HO49" i="22"/>
  <c r="HP49" i="22"/>
  <c r="HQ49" i="22"/>
  <c r="HR49" i="22"/>
  <c r="HS49" i="22"/>
  <c r="HT49" i="22"/>
  <c r="HU49" i="22"/>
  <c r="HV49" i="22"/>
  <c r="HW49" i="22"/>
  <c r="HX49" i="22"/>
  <c r="HY49" i="22"/>
  <c r="HZ49" i="22"/>
  <c r="IA49" i="22"/>
  <c r="IB49" i="22"/>
  <c r="IC49" i="22"/>
  <c r="ID49" i="22"/>
  <c r="IE49" i="22"/>
  <c r="IF49" i="22"/>
  <c r="IG49" i="22"/>
  <c r="IH49" i="22"/>
  <c r="II49" i="22"/>
  <c r="IJ49" i="22"/>
  <c r="IK49" i="22"/>
  <c r="IL49" i="22"/>
  <c r="IM49" i="22"/>
  <c r="IN49" i="22"/>
  <c r="IO49" i="22"/>
  <c r="IP49" i="22"/>
  <c r="IQ49" i="22"/>
  <c r="IR49" i="22"/>
  <c r="IS49" i="22"/>
  <c r="IT49" i="22"/>
  <c r="IU49" i="22"/>
  <c r="IV49" i="22"/>
  <c r="IW49" i="22"/>
  <c r="IX49" i="22"/>
  <c r="IY49" i="22"/>
  <c r="IZ49" i="22"/>
  <c r="JA49" i="22"/>
  <c r="JB49" i="22"/>
  <c r="JC49" i="22"/>
  <c r="JD49" i="22"/>
  <c r="JE49" i="22"/>
  <c r="JF49" i="22"/>
  <c r="JG49" i="22"/>
  <c r="JH49" i="22"/>
  <c r="JI49" i="22"/>
  <c r="JJ49" i="22"/>
  <c r="JK49" i="22"/>
  <c r="JL49" i="22"/>
  <c r="JM49" i="22"/>
  <c r="JN49" i="22"/>
  <c r="JO49" i="22"/>
  <c r="JP49" i="22"/>
  <c r="JQ49" i="22"/>
  <c r="JR49" i="22"/>
  <c r="JS49" i="22"/>
  <c r="JT49" i="22"/>
  <c r="JU49" i="22"/>
  <c r="JV49" i="22"/>
  <c r="JW49" i="22"/>
  <c r="JX49" i="22"/>
  <c r="JY49" i="22"/>
  <c r="JZ49" i="22"/>
  <c r="KA49" i="22"/>
  <c r="KB49" i="22"/>
  <c r="KC49" i="22"/>
  <c r="KD49" i="22"/>
  <c r="KE49" i="22"/>
  <c r="KF49" i="22"/>
  <c r="KG49" i="22"/>
  <c r="KH49" i="22"/>
  <c r="KI49" i="22"/>
  <c r="KJ49" i="22"/>
  <c r="KK49" i="22"/>
  <c r="KL49" i="22"/>
  <c r="KM49" i="22"/>
  <c r="KN49" i="22"/>
  <c r="KO49" i="22"/>
  <c r="KP49" i="22"/>
  <c r="KQ49" i="22"/>
  <c r="KR49" i="22"/>
  <c r="KS49" i="22"/>
  <c r="KT49" i="22"/>
  <c r="KU49" i="22"/>
  <c r="KV49" i="22"/>
  <c r="KW49" i="22"/>
  <c r="KX49" i="22"/>
  <c r="KY49" i="22"/>
  <c r="KZ49" i="22"/>
  <c r="LA49" i="22"/>
  <c r="LB49" i="22"/>
  <c r="LC49" i="22"/>
  <c r="LD49" i="22"/>
  <c r="LE49" i="22"/>
  <c r="LF49" i="22"/>
  <c r="LG49" i="22"/>
  <c r="LH49" i="22"/>
  <c r="LI49" i="22"/>
  <c r="LJ49" i="22"/>
  <c r="LK49" i="22"/>
  <c r="LL49" i="22"/>
  <c r="LM49" i="22"/>
  <c r="LN49" i="22"/>
  <c r="LO49" i="22"/>
  <c r="LP49" i="22"/>
  <c r="LQ49" i="22"/>
  <c r="LR49" i="22"/>
  <c r="LS49" i="22"/>
  <c r="LT49" i="22"/>
  <c r="LU49" i="22"/>
  <c r="LV49" i="22"/>
  <c r="LW49" i="22"/>
  <c r="LX49" i="22"/>
  <c r="LY49" i="22"/>
  <c r="LZ49" i="22"/>
  <c r="MA49" i="22"/>
  <c r="MB49" i="22"/>
  <c r="MC49" i="22"/>
  <c r="MD49" i="22"/>
  <c r="ME49" i="22"/>
  <c r="MF49" i="22"/>
  <c r="MG49" i="22"/>
  <c r="MH49" i="22"/>
  <c r="MI49" i="22"/>
  <c r="MJ49" i="22"/>
  <c r="MK49" i="22"/>
  <c r="ML49" i="22"/>
  <c r="MM49" i="22"/>
  <c r="MN49" i="22"/>
  <c r="MO49" i="22"/>
  <c r="MP49" i="22"/>
  <c r="MQ49" i="22"/>
  <c r="MR49" i="22"/>
  <c r="MS49" i="22"/>
  <c r="MT49" i="22"/>
  <c r="MU49" i="22"/>
  <c r="MV49" i="22"/>
  <c r="MW49" i="22"/>
  <c r="MX49" i="22"/>
  <c r="MY49" i="22"/>
  <c r="MZ49" i="22"/>
  <c r="NA49" i="22"/>
  <c r="NB49" i="22"/>
  <c r="NC49" i="22"/>
  <c r="NS49" i="22"/>
  <c r="B50" i="22"/>
  <c r="C50" i="22"/>
  <c r="D50" i="22"/>
  <c r="E50" i="22"/>
  <c r="F50" i="22"/>
  <c r="G50" i="22"/>
  <c r="H50" i="22"/>
  <c r="I50" i="22"/>
  <c r="J50" i="22"/>
  <c r="K50" i="22"/>
  <c r="L50" i="22"/>
  <c r="M50" i="22"/>
  <c r="N50" i="22"/>
  <c r="O50" i="22"/>
  <c r="P50" i="22"/>
  <c r="Q50" i="22"/>
  <c r="R50" i="22"/>
  <c r="S50" i="22"/>
  <c r="T50" i="22"/>
  <c r="U50" i="22"/>
  <c r="V50" i="22"/>
  <c r="W50" i="22"/>
  <c r="X50" i="22"/>
  <c r="Y50" i="22"/>
  <c r="Z50" i="22"/>
  <c r="AA50" i="22"/>
  <c r="AB50" i="22"/>
  <c r="AC50" i="22"/>
  <c r="AD50" i="22"/>
  <c r="AE50" i="22"/>
  <c r="AF50" i="22"/>
  <c r="AG50" i="22"/>
  <c r="AH50" i="22"/>
  <c r="AI50" i="22"/>
  <c r="AJ50" i="22"/>
  <c r="AK50" i="22"/>
  <c r="AL50" i="22"/>
  <c r="AM50" i="22"/>
  <c r="AN50" i="22"/>
  <c r="AO50" i="22"/>
  <c r="AP50" i="22"/>
  <c r="AQ50" i="22"/>
  <c r="AR50" i="22"/>
  <c r="AS50" i="22"/>
  <c r="AT50" i="22"/>
  <c r="AU50" i="22"/>
  <c r="AV50" i="22"/>
  <c r="AW50" i="22"/>
  <c r="AX50" i="22"/>
  <c r="AY50" i="22"/>
  <c r="AZ50" i="22"/>
  <c r="BA50" i="22"/>
  <c r="BB50" i="22"/>
  <c r="BC50" i="22"/>
  <c r="BD50" i="22"/>
  <c r="BE50" i="22"/>
  <c r="BF50" i="22"/>
  <c r="BG50" i="22"/>
  <c r="BH50" i="22"/>
  <c r="BJ50" i="22"/>
  <c r="BK50" i="22"/>
  <c r="BL50" i="22"/>
  <c r="BM50" i="22"/>
  <c r="BN50" i="22"/>
  <c r="BO50" i="22"/>
  <c r="BP50" i="22"/>
  <c r="BQ50" i="22"/>
  <c r="BR50" i="22"/>
  <c r="BS50" i="22"/>
  <c r="BT50" i="22"/>
  <c r="BU50" i="22"/>
  <c r="BV50" i="22"/>
  <c r="BW50" i="22"/>
  <c r="BX50" i="22"/>
  <c r="BY50" i="22"/>
  <c r="BZ50" i="22"/>
  <c r="CA50" i="22"/>
  <c r="CB50" i="22"/>
  <c r="CC50" i="22"/>
  <c r="CD50" i="22"/>
  <c r="CE50" i="22"/>
  <c r="CF50" i="22"/>
  <c r="CG50" i="22"/>
  <c r="CH50" i="22"/>
  <c r="CI50" i="22"/>
  <c r="CJ50" i="22"/>
  <c r="CK50" i="22"/>
  <c r="CL50" i="22"/>
  <c r="CM50" i="22"/>
  <c r="CN50" i="22"/>
  <c r="CO50" i="22"/>
  <c r="CP50" i="22"/>
  <c r="CQ50" i="22"/>
  <c r="CR50" i="22"/>
  <c r="CS50" i="22"/>
  <c r="CT50" i="22"/>
  <c r="CU50" i="22"/>
  <c r="CV50" i="22"/>
  <c r="CW50" i="22"/>
  <c r="CX50" i="22"/>
  <c r="CY50" i="22"/>
  <c r="CZ50" i="22"/>
  <c r="DA50" i="22"/>
  <c r="DB50" i="22"/>
  <c r="DC50" i="22"/>
  <c r="DD50" i="22"/>
  <c r="DE50" i="22"/>
  <c r="DF50" i="22"/>
  <c r="DG50" i="22"/>
  <c r="DH50" i="22"/>
  <c r="DI50" i="22"/>
  <c r="DJ50" i="22"/>
  <c r="DK50" i="22"/>
  <c r="DL50" i="22"/>
  <c r="DM50" i="22"/>
  <c r="DN50" i="22"/>
  <c r="DO50" i="22"/>
  <c r="DP50" i="22"/>
  <c r="DQ50" i="22"/>
  <c r="DR50" i="22"/>
  <c r="DS50" i="22"/>
  <c r="DT50" i="22"/>
  <c r="DU50" i="22"/>
  <c r="DV50" i="22"/>
  <c r="DW50" i="22"/>
  <c r="DX50" i="22"/>
  <c r="DY50" i="22"/>
  <c r="DZ50" i="22"/>
  <c r="EA50" i="22"/>
  <c r="EB50" i="22"/>
  <c r="EC50" i="22"/>
  <c r="ED50" i="22"/>
  <c r="EE50" i="22"/>
  <c r="EF50" i="22"/>
  <c r="EG50" i="22"/>
  <c r="EH50" i="22"/>
  <c r="EI50" i="22"/>
  <c r="EJ50" i="22"/>
  <c r="EK50" i="22"/>
  <c r="EL50" i="22"/>
  <c r="EM50" i="22"/>
  <c r="EN50" i="22"/>
  <c r="EO50" i="22"/>
  <c r="EP50" i="22"/>
  <c r="EQ50" i="22"/>
  <c r="ER50" i="22"/>
  <c r="ES50" i="22"/>
  <c r="ET50" i="22"/>
  <c r="EU50" i="22"/>
  <c r="EV50" i="22"/>
  <c r="EW50" i="22"/>
  <c r="EX50" i="22"/>
  <c r="EY50" i="22"/>
  <c r="EZ50" i="22"/>
  <c r="FA50" i="22"/>
  <c r="FB50" i="22"/>
  <c r="FC50" i="22"/>
  <c r="FD50" i="22"/>
  <c r="FE50" i="22"/>
  <c r="FF50" i="22"/>
  <c r="FG50" i="22"/>
  <c r="FH50" i="22"/>
  <c r="FI50" i="22"/>
  <c r="FJ50" i="22"/>
  <c r="FK50" i="22"/>
  <c r="FL50" i="22"/>
  <c r="FM50" i="22"/>
  <c r="FN50" i="22"/>
  <c r="FO50" i="22"/>
  <c r="FP50" i="22"/>
  <c r="FQ50" i="22"/>
  <c r="FR50" i="22"/>
  <c r="FS50" i="22"/>
  <c r="FT50" i="22"/>
  <c r="FU50" i="22"/>
  <c r="FV50" i="22"/>
  <c r="FW50" i="22"/>
  <c r="FX50" i="22"/>
  <c r="FY50" i="22"/>
  <c r="FZ50" i="22"/>
  <c r="GA50" i="22"/>
  <c r="GB50" i="22"/>
  <c r="GC50" i="22"/>
  <c r="GD50" i="22"/>
  <c r="GE50" i="22"/>
  <c r="GF50" i="22"/>
  <c r="GG50" i="22"/>
  <c r="GH50" i="22"/>
  <c r="GI50" i="22"/>
  <c r="GJ50" i="22"/>
  <c r="GK50" i="22"/>
  <c r="GL50" i="22"/>
  <c r="GM50" i="22"/>
  <c r="GN50" i="22"/>
  <c r="GO50" i="22"/>
  <c r="GP50" i="22"/>
  <c r="GQ50" i="22"/>
  <c r="GR50" i="22"/>
  <c r="GS50" i="22"/>
  <c r="GT50" i="22"/>
  <c r="GU50" i="22"/>
  <c r="GV50" i="22"/>
  <c r="GW50" i="22"/>
  <c r="GX50" i="22"/>
  <c r="GY50" i="22"/>
  <c r="GZ50" i="22"/>
  <c r="HA50" i="22"/>
  <c r="HB50" i="22"/>
  <c r="HC50" i="22"/>
  <c r="HD50" i="22"/>
  <c r="HE50" i="22"/>
  <c r="HF50" i="22"/>
  <c r="HG50" i="22"/>
  <c r="HH50" i="22"/>
  <c r="HI50" i="22"/>
  <c r="HJ50" i="22"/>
  <c r="HK50" i="22"/>
  <c r="HL50" i="22"/>
  <c r="HM50" i="22"/>
  <c r="HN50" i="22"/>
  <c r="HO50" i="22"/>
  <c r="HP50" i="22"/>
  <c r="HQ50" i="22"/>
  <c r="HR50" i="22"/>
  <c r="HS50" i="22"/>
  <c r="HT50" i="22"/>
  <c r="HU50" i="22"/>
  <c r="HV50" i="22"/>
  <c r="HW50" i="22"/>
  <c r="HX50" i="22"/>
  <c r="HY50" i="22"/>
  <c r="HZ50" i="22"/>
  <c r="IA50" i="22"/>
  <c r="IB50" i="22"/>
  <c r="IC50" i="22"/>
  <c r="ID50" i="22"/>
  <c r="IE50" i="22"/>
  <c r="IF50" i="22"/>
  <c r="IG50" i="22"/>
  <c r="IH50" i="22"/>
  <c r="II50" i="22"/>
  <c r="IJ50" i="22"/>
  <c r="IK50" i="22"/>
  <c r="IL50" i="22"/>
  <c r="IM50" i="22"/>
  <c r="IN50" i="22"/>
  <c r="IO50" i="22"/>
  <c r="IP50" i="22"/>
  <c r="IQ50" i="22"/>
  <c r="IR50" i="22"/>
  <c r="IS50" i="22"/>
  <c r="IT50" i="22"/>
  <c r="IU50" i="22"/>
  <c r="IV50" i="22"/>
  <c r="IW50" i="22"/>
  <c r="IX50" i="22"/>
  <c r="IY50" i="22"/>
  <c r="IZ50" i="22"/>
  <c r="JA50" i="22"/>
  <c r="JB50" i="22"/>
  <c r="JC50" i="22"/>
  <c r="JD50" i="22"/>
  <c r="JE50" i="22"/>
  <c r="JF50" i="22"/>
  <c r="JG50" i="22"/>
  <c r="JH50" i="22"/>
  <c r="JI50" i="22"/>
  <c r="JJ50" i="22"/>
  <c r="JK50" i="22"/>
  <c r="JL50" i="22"/>
  <c r="JM50" i="22"/>
  <c r="JN50" i="22"/>
  <c r="JO50" i="22"/>
  <c r="JP50" i="22"/>
  <c r="JQ50" i="22"/>
  <c r="JR50" i="22"/>
  <c r="JS50" i="22"/>
  <c r="JT50" i="22"/>
  <c r="JU50" i="22"/>
  <c r="JV50" i="22"/>
  <c r="JW50" i="22"/>
  <c r="JX50" i="22"/>
  <c r="JY50" i="22"/>
  <c r="JZ50" i="22"/>
  <c r="KA50" i="22"/>
  <c r="KB50" i="22"/>
  <c r="KC50" i="22"/>
  <c r="KD50" i="22"/>
  <c r="KE50" i="22"/>
  <c r="KF50" i="22"/>
  <c r="KG50" i="22"/>
  <c r="KH50" i="22"/>
  <c r="KI50" i="22"/>
  <c r="KJ50" i="22"/>
  <c r="KK50" i="22"/>
  <c r="KL50" i="22"/>
  <c r="KM50" i="22"/>
  <c r="KN50" i="22"/>
  <c r="KO50" i="22"/>
  <c r="KP50" i="22"/>
  <c r="KQ50" i="22"/>
  <c r="KR50" i="22"/>
  <c r="KS50" i="22"/>
  <c r="KT50" i="22"/>
  <c r="KU50" i="22"/>
  <c r="KV50" i="22"/>
  <c r="KW50" i="22"/>
  <c r="KX50" i="22"/>
  <c r="KY50" i="22"/>
  <c r="KZ50" i="22"/>
  <c r="LA50" i="22"/>
  <c r="LB50" i="22"/>
  <c r="LC50" i="22"/>
  <c r="LD50" i="22"/>
  <c r="LE50" i="22"/>
  <c r="LF50" i="22"/>
  <c r="LG50" i="22"/>
  <c r="LH50" i="22"/>
  <c r="LI50" i="22"/>
  <c r="LJ50" i="22"/>
  <c r="LK50" i="22"/>
  <c r="LL50" i="22"/>
  <c r="LM50" i="22"/>
  <c r="LN50" i="22"/>
  <c r="LO50" i="22"/>
  <c r="LP50" i="22"/>
  <c r="LQ50" i="22"/>
  <c r="LR50" i="22"/>
  <c r="LS50" i="22"/>
  <c r="LT50" i="22"/>
  <c r="LU50" i="22"/>
  <c r="LV50" i="22"/>
  <c r="LW50" i="22"/>
  <c r="LX50" i="22"/>
  <c r="LY50" i="22"/>
  <c r="LZ50" i="22"/>
  <c r="MA50" i="22"/>
  <c r="MB50" i="22"/>
  <c r="MC50" i="22"/>
  <c r="MD50" i="22"/>
  <c r="ME50" i="22"/>
  <c r="MF50" i="22"/>
  <c r="MG50" i="22"/>
  <c r="MH50" i="22"/>
  <c r="MI50" i="22"/>
  <c r="MJ50" i="22"/>
  <c r="MK50" i="22"/>
  <c r="ML50" i="22"/>
  <c r="MM50" i="22"/>
  <c r="MN50" i="22"/>
  <c r="MO50" i="22"/>
  <c r="MP50" i="22"/>
  <c r="MQ50" i="22"/>
  <c r="MR50" i="22"/>
  <c r="MS50" i="22"/>
  <c r="MT50" i="22"/>
  <c r="MU50" i="22"/>
  <c r="MV50" i="22"/>
  <c r="MW50" i="22"/>
  <c r="MX50" i="22"/>
  <c r="MY50" i="22"/>
  <c r="MZ50" i="22"/>
  <c r="NA50" i="22"/>
  <c r="NB50" i="22"/>
  <c r="NS50" i="22"/>
  <c r="B51" i="22"/>
  <c r="C51" i="22"/>
  <c r="D51" i="22"/>
  <c r="E51" i="22"/>
  <c r="F51" i="22"/>
  <c r="G51" i="22"/>
  <c r="H51" i="22"/>
  <c r="I51" i="22"/>
  <c r="J51" i="22"/>
  <c r="K51" i="22"/>
  <c r="L51" i="22"/>
  <c r="M51" i="22"/>
  <c r="N51" i="22"/>
  <c r="O51" i="22"/>
  <c r="P51" i="22"/>
  <c r="Q51" i="22"/>
  <c r="R51" i="22"/>
  <c r="S51" i="22"/>
  <c r="T51" i="22"/>
  <c r="U51" i="22"/>
  <c r="V51" i="22"/>
  <c r="W51" i="22"/>
  <c r="X51" i="22"/>
  <c r="Y51" i="22"/>
  <c r="Z51" i="22"/>
  <c r="AA51" i="22"/>
  <c r="AB51" i="22"/>
  <c r="AC51" i="22"/>
  <c r="AD51" i="22"/>
  <c r="AE51" i="22"/>
  <c r="AF51" i="22"/>
  <c r="AG51" i="22"/>
  <c r="AH51" i="22"/>
  <c r="AI51" i="22"/>
  <c r="AJ51" i="22"/>
  <c r="AK51" i="22"/>
  <c r="AL51" i="22"/>
  <c r="AM51" i="22"/>
  <c r="AN51" i="22"/>
  <c r="AO51" i="22"/>
  <c r="AP51" i="22"/>
  <c r="AQ51" i="22"/>
  <c r="AR51" i="22"/>
  <c r="AS51" i="22"/>
  <c r="AT51" i="22"/>
  <c r="AU51" i="22"/>
  <c r="AV51" i="22"/>
  <c r="AW51" i="22"/>
  <c r="AX51" i="22"/>
  <c r="AY51" i="22"/>
  <c r="AZ51" i="22"/>
  <c r="BA51" i="22"/>
  <c r="BB51" i="22"/>
  <c r="BC51" i="22"/>
  <c r="BD51" i="22"/>
  <c r="BE51" i="22"/>
  <c r="BF51" i="22"/>
  <c r="BG51" i="22"/>
  <c r="BH51" i="22"/>
  <c r="BJ51" i="22"/>
  <c r="BK51" i="22"/>
  <c r="BL51" i="22"/>
  <c r="BM51" i="22"/>
  <c r="BN51" i="22"/>
  <c r="BO51" i="22"/>
  <c r="BP51" i="22"/>
  <c r="BQ51" i="22"/>
  <c r="BR51" i="22"/>
  <c r="BS51" i="22"/>
  <c r="BT51" i="22"/>
  <c r="BU51" i="22"/>
  <c r="BV51" i="22"/>
  <c r="BW51" i="22"/>
  <c r="BX51" i="22"/>
  <c r="BY51" i="22"/>
  <c r="BZ51" i="22"/>
  <c r="CA51" i="22"/>
  <c r="CB51" i="22"/>
  <c r="CC51" i="22"/>
  <c r="CD51" i="22"/>
  <c r="CE51" i="22"/>
  <c r="CF51" i="22"/>
  <c r="CG51" i="22"/>
  <c r="CH51" i="22"/>
  <c r="CI51" i="22"/>
  <c r="CJ51" i="22"/>
  <c r="CK51" i="22"/>
  <c r="CL51" i="22"/>
  <c r="CM51" i="22"/>
  <c r="CN51" i="22"/>
  <c r="CO51" i="22"/>
  <c r="CP51" i="22"/>
  <c r="CQ51" i="22"/>
  <c r="CR51" i="22"/>
  <c r="CS51" i="22"/>
  <c r="CT51" i="22"/>
  <c r="CU51" i="22"/>
  <c r="CV51" i="22"/>
  <c r="CW51" i="22"/>
  <c r="CX51" i="22"/>
  <c r="CY51" i="22"/>
  <c r="CZ51" i="22"/>
  <c r="DA51" i="22"/>
  <c r="DB51" i="22"/>
  <c r="DC51" i="22"/>
  <c r="DD51" i="22"/>
  <c r="DE51" i="22"/>
  <c r="DF51" i="22"/>
  <c r="DG51" i="22"/>
  <c r="DH51" i="22"/>
  <c r="DI51" i="22"/>
  <c r="DJ51" i="22"/>
  <c r="DK51" i="22"/>
  <c r="DL51" i="22"/>
  <c r="DM51" i="22"/>
  <c r="DN51" i="22"/>
  <c r="DO51" i="22"/>
  <c r="DP51" i="22"/>
  <c r="DQ51" i="22"/>
  <c r="DR51" i="22"/>
  <c r="DS51" i="22"/>
  <c r="DT51" i="22"/>
  <c r="DU51" i="22"/>
  <c r="DV51" i="22"/>
  <c r="DW51" i="22"/>
  <c r="DX51" i="22"/>
  <c r="DY51" i="22"/>
  <c r="DZ51" i="22"/>
  <c r="EA51" i="22"/>
  <c r="EB51" i="22"/>
  <c r="EC51" i="22"/>
  <c r="ED51" i="22"/>
  <c r="EE51" i="22"/>
  <c r="EF51" i="22"/>
  <c r="EG51" i="22"/>
  <c r="EH51" i="22"/>
  <c r="EI51" i="22"/>
  <c r="EJ51" i="22"/>
  <c r="EK51" i="22"/>
  <c r="EL51" i="22"/>
  <c r="EM51" i="22"/>
  <c r="EN51" i="22"/>
  <c r="EO51" i="22"/>
  <c r="EP51" i="22"/>
  <c r="EQ51" i="22"/>
  <c r="ER51" i="22"/>
  <c r="ES51" i="22"/>
  <c r="ET51" i="22"/>
  <c r="EU51" i="22"/>
  <c r="EV51" i="22"/>
  <c r="EW51" i="22"/>
  <c r="EX51" i="22"/>
  <c r="EY51" i="22"/>
  <c r="EZ51" i="22"/>
  <c r="FA51" i="22"/>
  <c r="FB51" i="22"/>
  <c r="FC51" i="22"/>
  <c r="FD51" i="22"/>
  <c r="FE51" i="22"/>
  <c r="FF51" i="22"/>
  <c r="FG51" i="22"/>
  <c r="FH51" i="22"/>
  <c r="FI51" i="22"/>
  <c r="FJ51" i="22"/>
  <c r="FK51" i="22"/>
  <c r="FL51" i="22"/>
  <c r="FM51" i="22"/>
  <c r="FN51" i="22"/>
  <c r="FO51" i="22"/>
  <c r="FP51" i="22"/>
  <c r="FQ51" i="22"/>
  <c r="FR51" i="22"/>
  <c r="FS51" i="22"/>
  <c r="FT51" i="22"/>
  <c r="FU51" i="22"/>
  <c r="FV51" i="22"/>
  <c r="FW51" i="22"/>
  <c r="FX51" i="22"/>
  <c r="FY51" i="22"/>
  <c r="FZ51" i="22"/>
  <c r="GA51" i="22"/>
  <c r="GB51" i="22"/>
  <c r="GC51" i="22"/>
  <c r="GD51" i="22"/>
  <c r="GE51" i="22"/>
  <c r="GF51" i="22"/>
  <c r="GG51" i="22"/>
  <c r="GH51" i="22"/>
  <c r="GI51" i="22"/>
  <c r="GJ51" i="22"/>
  <c r="GK51" i="22"/>
  <c r="GL51" i="22"/>
  <c r="GM51" i="22"/>
  <c r="GN51" i="22"/>
  <c r="GO51" i="22"/>
  <c r="GP51" i="22"/>
  <c r="GQ51" i="22"/>
  <c r="GR51" i="22"/>
  <c r="GS51" i="22"/>
  <c r="GT51" i="22"/>
  <c r="GU51" i="22"/>
  <c r="GV51" i="22"/>
  <c r="GW51" i="22"/>
  <c r="GX51" i="22"/>
  <c r="GY51" i="22"/>
  <c r="GZ51" i="22"/>
  <c r="HA51" i="22"/>
  <c r="HB51" i="22"/>
  <c r="HC51" i="22"/>
  <c r="HD51" i="22"/>
  <c r="HE51" i="22"/>
  <c r="HF51" i="22"/>
  <c r="HG51" i="22"/>
  <c r="HH51" i="22"/>
  <c r="HI51" i="22"/>
  <c r="HJ51" i="22"/>
  <c r="HK51" i="22"/>
  <c r="HL51" i="22"/>
  <c r="HM51" i="22"/>
  <c r="HN51" i="22"/>
  <c r="HO51" i="22"/>
  <c r="HP51" i="22"/>
  <c r="HQ51" i="22"/>
  <c r="HR51" i="22"/>
  <c r="HS51" i="22"/>
  <c r="HT51" i="22"/>
  <c r="HU51" i="22"/>
  <c r="HV51" i="22"/>
  <c r="HW51" i="22"/>
  <c r="HX51" i="22"/>
  <c r="HY51" i="22"/>
  <c r="HZ51" i="22"/>
  <c r="IA51" i="22"/>
  <c r="IB51" i="22"/>
  <c r="IC51" i="22"/>
  <c r="ID51" i="22"/>
  <c r="IE51" i="22"/>
  <c r="IF51" i="22"/>
  <c r="IG51" i="22"/>
  <c r="IH51" i="22"/>
  <c r="II51" i="22"/>
  <c r="IJ51" i="22"/>
  <c r="IK51" i="22"/>
  <c r="IL51" i="22"/>
  <c r="IM51" i="22"/>
  <c r="IN51" i="22"/>
  <c r="IO51" i="22"/>
  <c r="IP51" i="22"/>
  <c r="IQ51" i="22"/>
  <c r="IR51" i="22"/>
  <c r="IS51" i="22"/>
  <c r="IT51" i="22"/>
  <c r="IU51" i="22"/>
  <c r="IV51" i="22"/>
  <c r="IW51" i="22"/>
  <c r="IX51" i="22"/>
  <c r="IY51" i="22"/>
  <c r="IZ51" i="22"/>
  <c r="JA51" i="22"/>
  <c r="JB51" i="22"/>
  <c r="JC51" i="22"/>
  <c r="JD51" i="22"/>
  <c r="JE51" i="22"/>
  <c r="JF51" i="22"/>
  <c r="JG51" i="22"/>
  <c r="JH51" i="22"/>
  <c r="JI51" i="22"/>
  <c r="JJ51" i="22"/>
  <c r="JK51" i="22"/>
  <c r="JL51" i="22"/>
  <c r="JM51" i="22"/>
  <c r="JN51" i="22"/>
  <c r="JO51" i="22"/>
  <c r="JP51" i="22"/>
  <c r="JQ51" i="22"/>
  <c r="JR51" i="22"/>
  <c r="JS51" i="22"/>
  <c r="JT51" i="22"/>
  <c r="JU51" i="22"/>
  <c r="JV51" i="22"/>
  <c r="JW51" i="22"/>
  <c r="JX51" i="22"/>
  <c r="JY51" i="22"/>
  <c r="JZ51" i="22"/>
  <c r="KA51" i="22"/>
  <c r="KB51" i="22"/>
  <c r="KC51" i="22"/>
  <c r="KD51" i="22"/>
  <c r="KE51" i="22"/>
  <c r="KF51" i="22"/>
  <c r="KG51" i="22"/>
  <c r="KH51" i="22"/>
  <c r="KI51" i="22"/>
  <c r="KJ51" i="22"/>
  <c r="KK51" i="22"/>
  <c r="KL51" i="22"/>
  <c r="KM51" i="22"/>
  <c r="KN51" i="22"/>
  <c r="KO51" i="22"/>
  <c r="KP51" i="22"/>
  <c r="KQ51" i="22"/>
  <c r="KR51" i="22"/>
  <c r="KS51" i="22"/>
  <c r="KT51" i="22"/>
  <c r="KU51" i="22"/>
  <c r="KV51" i="22"/>
  <c r="KW51" i="22"/>
  <c r="KX51" i="22"/>
  <c r="KY51" i="22"/>
  <c r="KZ51" i="22"/>
  <c r="LA51" i="22"/>
  <c r="LB51" i="22"/>
  <c r="LC51" i="22"/>
  <c r="LD51" i="22"/>
  <c r="LE51" i="22"/>
  <c r="LF51" i="22"/>
  <c r="LG51" i="22"/>
  <c r="LH51" i="22"/>
  <c r="LI51" i="22"/>
  <c r="LJ51" i="22"/>
  <c r="LK51" i="22"/>
  <c r="LL51" i="22"/>
  <c r="LM51" i="22"/>
  <c r="LN51" i="22"/>
  <c r="LO51" i="22"/>
  <c r="LP51" i="22"/>
  <c r="LQ51" i="22"/>
  <c r="LR51" i="22"/>
  <c r="LS51" i="22"/>
  <c r="LT51" i="22"/>
  <c r="LU51" i="22"/>
  <c r="LV51" i="22"/>
  <c r="LW51" i="22"/>
  <c r="LX51" i="22"/>
  <c r="LY51" i="22"/>
  <c r="LZ51" i="22"/>
  <c r="MA51" i="22"/>
  <c r="MB51" i="22"/>
  <c r="MC51" i="22"/>
  <c r="MD51" i="22"/>
  <c r="ME51" i="22"/>
  <c r="MF51" i="22"/>
  <c r="MG51" i="22"/>
  <c r="MH51" i="22"/>
  <c r="MI51" i="22"/>
  <c r="MJ51" i="22"/>
  <c r="MK51" i="22"/>
  <c r="ML51" i="22"/>
  <c r="MM51" i="22"/>
  <c r="MN51" i="22"/>
  <c r="MO51" i="22"/>
  <c r="MP51" i="22"/>
  <c r="MQ51" i="22"/>
  <c r="MR51" i="22"/>
  <c r="MS51" i="22"/>
  <c r="MT51" i="22"/>
  <c r="MU51" i="22"/>
  <c r="MV51" i="22"/>
  <c r="MW51" i="22"/>
  <c r="MX51" i="22"/>
  <c r="MY51" i="22"/>
  <c r="MZ51" i="22"/>
  <c r="NA51" i="22"/>
  <c r="NB51" i="22"/>
  <c r="NS51" i="22"/>
  <c r="B52" i="22"/>
  <c r="C52" i="22"/>
  <c r="D52" i="22"/>
  <c r="E52" i="22"/>
  <c r="F52" i="22"/>
  <c r="G52" i="22"/>
  <c r="H52" i="22"/>
  <c r="I52" i="22"/>
  <c r="J52" i="22"/>
  <c r="K52" i="22"/>
  <c r="L52" i="22"/>
  <c r="M52" i="22"/>
  <c r="N52" i="22"/>
  <c r="O52" i="22"/>
  <c r="P52" i="22"/>
  <c r="Q52" i="22"/>
  <c r="R52" i="22"/>
  <c r="S52" i="22"/>
  <c r="T52" i="22"/>
  <c r="U52" i="22"/>
  <c r="V52" i="22"/>
  <c r="W52" i="22"/>
  <c r="X52" i="22"/>
  <c r="Y52" i="22"/>
  <c r="Z52" i="22"/>
  <c r="AA52" i="22"/>
  <c r="AB52" i="22"/>
  <c r="AC52" i="22"/>
  <c r="AD52" i="22"/>
  <c r="AE52" i="22"/>
  <c r="AF52" i="22"/>
  <c r="AG52" i="22"/>
  <c r="AH52" i="22"/>
  <c r="AI52" i="22"/>
  <c r="AJ52" i="22"/>
  <c r="AK52" i="22"/>
  <c r="AL52" i="22"/>
  <c r="AM52" i="22"/>
  <c r="AN52" i="22"/>
  <c r="AO52" i="22"/>
  <c r="AP52" i="22"/>
  <c r="AQ52" i="22"/>
  <c r="AR52" i="22"/>
  <c r="AS52" i="22"/>
  <c r="AT52" i="22"/>
  <c r="AU52" i="22"/>
  <c r="AV52" i="22"/>
  <c r="AW52" i="22"/>
  <c r="AX52" i="22"/>
  <c r="AY52" i="22"/>
  <c r="AZ52" i="22"/>
  <c r="BA52" i="22"/>
  <c r="BB52" i="22"/>
  <c r="BC52" i="22"/>
  <c r="BD52" i="22"/>
  <c r="BE52" i="22"/>
  <c r="BF52" i="22"/>
  <c r="BG52" i="22"/>
  <c r="BH52" i="22"/>
  <c r="BJ52" i="22"/>
  <c r="BK52" i="22"/>
  <c r="BL52" i="22"/>
  <c r="BM52" i="22"/>
  <c r="BN52" i="22"/>
  <c r="BO52" i="22"/>
  <c r="BP52" i="22"/>
  <c r="BQ52" i="22"/>
  <c r="BR52" i="22"/>
  <c r="BS52" i="22"/>
  <c r="BT52" i="22"/>
  <c r="BU52" i="22"/>
  <c r="BV52" i="22"/>
  <c r="BW52" i="22"/>
  <c r="BX52" i="22"/>
  <c r="BY52" i="22"/>
  <c r="BZ52" i="22"/>
  <c r="CA52" i="22"/>
  <c r="CB52" i="22"/>
  <c r="CC52" i="22"/>
  <c r="CD52" i="22"/>
  <c r="CE52" i="22"/>
  <c r="CF52" i="22"/>
  <c r="CG52" i="22"/>
  <c r="CH52" i="22"/>
  <c r="CI52" i="22"/>
  <c r="CJ52" i="22"/>
  <c r="CK52" i="22"/>
  <c r="CL52" i="22"/>
  <c r="CM52" i="22"/>
  <c r="CN52" i="22"/>
  <c r="CO52" i="22"/>
  <c r="CP52" i="22"/>
  <c r="CQ52" i="22"/>
  <c r="CR52" i="22"/>
  <c r="CS52" i="22"/>
  <c r="CT52" i="22"/>
  <c r="CU52" i="22"/>
  <c r="CV52" i="22"/>
  <c r="CW52" i="22"/>
  <c r="CX52" i="22"/>
  <c r="CY52" i="22"/>
  <c r="CZ52" i="22"/>
  <c r="DA52" i="22"/>
  <c r="DB52" i="22"/>
  <c r="DC52" i="22"/>
  <c r="DD52" i="22"/>
  <c r="DE52" i="22"/>
  <c r="DF52" i="22"/>
  <c r="DG52" i="22"/>
  <c r="DH52" i="22"/>
  <c r="DI52" i="22"/>
  <c r="DJ52" i="22"/>
  <c r="DK52" i="22"/>
  <c r="DL52" i="22"/>
  <c r="DM52" i="22"/>
  <c r="DN52" i="22"/>
  <c r="DO52" i="22"/>
  <c r="DP52" i="22"/>
  <c r="DQ52" i="22"/>
  <c r="DR52" i="22"/>
  <c r="DS52" i="22"/>
  <c r="DT52" i="22"/>
  <c r="DU52" i="22"/>
  <c r="DV52" i="22"/>
  <c r="DW52" i="22"/>
  <c r="DX52" i="22"/>
  <c r="DY52" i="22"/>
  <c r="DZ52" i="22"/>
  <c r="EA52" i="22"/>
  <c r="EB52" i="22"/>
  <c r="EC52" i="22"/>
  <c r="ED52" i="22"/>
  <c r="EE52" i="22"/>
  <c r="EF52" i="22"/>
  <c r="EG52" i="22"/>
  <c r="EH52" i="22"/>
  <c r="EI52" i="22"/>
  <c r="EJ52" i="22"/>
  <c r="EK52" i="22"/>
  <c r="EL52" i="22"/>
  <c r="EM52" i="22"/>
  <c r="EN52" i="22"/>
  <c r="EO52" i="22"/>
  <c r="EP52" i="22"/>
  <c r="EQ52" i="22"/>
  <c r="ER52" i="22"/>
  <c r="ES52" i="22"/>
  <c r="ET52" i="22"/>
  <c r="EU52" i="22"/>
  <c r="EV52" i="22"/>
  <c r="EW52" i="22"/>
  <c r="EX52" i="22"/>
  <c r="EY52" i="22"/>
  <c r="EZ52" i="22"/>
  <c r="FA52" i="22"/>
  <c r="FB52" i="22"/>
  <c r="FC52" i="22"/>
  <c r="FD52" i="22"/>
  <c r="FE52" i="22"/>
  <c r="FF52" i="22"/>
  <c r="FG52" i="22"/>
  <c r="FH52" i="22"/>
  <c r="FI52" i="22"/>
  <c r="FJ52" i="22"/>
  <c r="FK52" i="22"/>
  <c r="FL52" i="22"/>
  <c r="FM52" i="22"/>
  <c r="FN52" i="22"/>
  <c r="FO52" i="22"/>
  <c r="FP52" i="22"/>
  <c r="FQ52" i="22"/>
  <c r="FR52" i="22"/>
  <c r="FS52" i="22"/>
  <c r="FT52" i="22"/>
  <c r="FU52" i="22"/>
  <c r="FV52" i="22"/>
  <c r="FW52" i="22"/>
  <c r="FX52" i="22"/>
  <c r="FY52" i="22"/>
  <c r="FZ52" i="22"/>
  <c r="GA52" i="22"/>
  <c r="GB52" i="22"/>
  <c r="GC52" i="22"/>
  <c r="GD52" i="22"/>
  <c r="GE52" i="22"/>
  <c r="GF52" i="22"/>
  <c r="GG52" i="22"/>
  <c r="GH52" i="22"/>
  <c r="GI52" i="22"/>
  <c r="GJ52" i="22"/>
  <c r="GK52" i="22"/>
  <c r="GL52" i="22"/>
  <c r="GM52" i="22"/>
  <c r="GN52" i="22"/>
  <c r="GO52" i="22"/>
  <c r="GP52" i="22"/>
  <c r="GQ52" i="22"/>
  <c r="GR52" i="22"/>
  <c r="GS52" i="22"/>
  <c r="GT52" i="22"/>
  <c r="GU52" i="22"/>
  <c r="GV52" i="22"/>
  <c r="GW52" i="22"/>
  <c r="GX52" i="22"/>
  <c r="GY52" i="22"/>
  <c r="GZ52" i="22"/>
  <c r="HA52" i="22"/>
  <c r="HB52" i="22"/>
  <c r="HC52" i="22"/>
  <c r="HD52" i="22"/>
  <c r="HE52" i="22"/>
  <c r="HF52" i="22"/>
  <c r="HG52" i="22"/>
  <c r="HH52" i="22"/>
  <c r="HI52" i="22"/>
  <c r="HJ52" i="22"/>
  <c r="HK52" i="22"/>
  <c r="HL52" i="22"/>
  <c r="HM52" i="22"/>
  <c r="HN52" i="22"/>
  <c r="HO52" i="22"/>
  <c r="HP52" i="22"/>
  <c r="HQ52" i="22"/>
  <c r="HR52" i="22"/>
  <c r="HS52" i="22"/>
  <c r="HT52" i="22"/>
  <c r="HU52" i="22"/>
  <c r="HV52" i="22"/>
  <c r="HW52" i="22"/>
  <c r="HX52" i="22"/>
  <c r="HY52" i="22"/>
  <c r="HZ52" i="22"/>
  <c r="IA52" i="22"/>
  <c r="IB52" i="22"/>
  <c r="IC52" i="22"/>
  <c r="ID52" i="22"/>
  <c r="IE52" i="22"/>
  <c r="IF52" i="22"/>
  <c r="IG52" i="22"/>
  <c r="IH52" i="22"/>
  <c r="II52" i="22"/>
  <c r="IJ52" i="22"/>
  <c r="IK52" i="22"/>
  <c r="IL52" i="22"/>
  <c r="IM52" i="22"/>
  <c r="IN52" i="22"/>
  <c r="IO52" i="22"/>
  <c r="IP52" i="22"/>
  <c r="IQ52" i="22"/>
  <c r="IR52" i="22"/>
  <c r="IS52" i="22"/>
  <c r="IT52" i="22"/>
  <c r="IU52" i="22"/>
  <c r="IV52" i="22"/>
  <c r="IW52" i="22"/>
  <c r="IX52" i="22"/>
  <c r="IY52" i="22"/>
  <c r="IZ52" i="22"/>
  <c r="JA52" i="22"/>
  <c r="JB52" i="22"/>
  <c r="JC52" i="22"/>
  <c r="JD52" i="22"/>
  <c r="JE52" i="22"/>
  <c r="JF52" i="22"/>
  <c r="JG52" i="22"/>
  <c r="JH52" i="22"/>
  <c r="JI52" i="22"/>
  <c r="JJ52" i="22"/>
  <c r="JK52" i="22"/>
  <c r="JL52" i="22"/>
  <c r="JM52" i="22"/>
  <c r="JN52" i="22"/>
  <c r="JO52" i="22"/>
  <c r="JP52" i="22"/>
  <c r="JQ52" i="22"/>
  <c r="JR52" i="22"/>
  <c r="JS52" i="22"/>
  <c r="JT52" i="22"/>
  <c r="JU52" i="22"/>
  <c r="JV52" i="22"/>
  <c r="JW52" i="22"/>
  <c r="JX52" i="22"/>
  <c r="JY52" i="22"/>
  <c r="JZ52" i="22"/>
  <c r="KA52" i="22"/>
  <c r="KB52" i="22"/>
  <c r="KC52" i="22"/>
  <c r="KD52" i="22"/>
  <c r="KE52" i="22"/>
  <c r="KF52" i="22"/>
  <c r="KG52" i="22"/>
  <c r="KH52" i="22"/>
  <c r="KI52" i="22"/>
  <c r="KJ52" i="22"/>
  <c r="KK52" i="22"/>
  <c r="KL52" i="22"/>
  <c r="KM52" i="22"/>
  <c r="KN52" i="22"/>
  <c r="KO52" i="22"/>
  <c r="KP52" i="22"/>
  <c r="KQ52" i="22"/>
  <c r="KR52" i="22"/>
  <c r="KS52" i="22"/>
  <c r="KT52" i="22"/>
  <c r="KU52" i="22"/>
  <c r="KV52" i="22"/>
  <c r="KW52" i="22"/>
  <c r="KX52" i="22"/>
  <c r="KY52" i="22"/>
  <c r="KZ52" i="22"/>
  <c r="LA52" i="22"/>
  <c r="LB52" i="22"/>
  <c r="LC52" i="22"/>
  <c r="LD52" i="22"/>
  <c r="LE52" i="22"/>
  <c r="LF52" i="22"/>
  <c r="LG52" i="22"/>
  <c r="LH52" i="22"/>
  <c r="LI52" i="22"/>
  <c r="LJ52" i="22"/>
  <c r="LK52" i="22"/>
  <c r="LL52" i="22"/>
  <c r="LM52" i="22"/>
  <c r="LN52" i="22"/>
  <c r="LO52" i="22"/>
  <c r="LP52" i="22"/>
  <c r="LQ52" i="22"/>
  <c r="LR52" i="22"/>
  <c r="LS52" i="22"/>
  <c r="LT52" i="22"/>
  <c r="LU52" i="22"/>
  <c r="LV52" i="22"/>
  <c r="LW52" i="22"/>
  <c r="LX52" i="22"/>
  <c r="LY52" i="22"/>
  <c r="LZ52" i="22"/>
  <c r="MA52" i="22"/>
  <c r="MB52" i="22"/>
  <c r="MC52" i="22"/>
  <c r="MD52" i="22"/>
  <c r="ME52" i="22"/>
  <c r="MF52" i="22"/>
  <c r="MG52" i="22"/>
  <c r="MH52" i="22"/>
  <c r="MI52" i="22"/>
  <c r="MJ52" i="22"/>
  <c r="MK52" i="22"/>
  <c r="ML52" i="22"/>
  <c r="MM52" i="22"/>
  <c r="MN52" i="22"/>
  <c r="MO52" i="22"/>
  <c r="MP52" i="22"/>
  <c r="MQ52" i="22"/>
  <c r="MR52" i="22"/>
  <c r="MS52" i="22"/>
  <c r="MT52" i="22"/>
  <c r="MU52" i="22"/>
  <c r="MV52" i="22"/>
  <c r="MW52" i="22"/>
  <c r="MX52" i="22"/>
  <c r="MY52" i="22"/>
  <c r="MZ52" i="22"/>
  <c r="NA52" i="22"/>
  <c r="NB52" i="22"/>
  <c r="NS52" i="22"/>
  <c r="B53" i="22"/>
  <c r="C53" i="22"/>
  <c r="D53" i="22"/>
  <c r="E53" i="22"/>
  <c r="F53" i="22"/>
  <c r="G53" i="22"/>
  <c r="H53" i="22"/>
  <c r="I53" i="22"/>
  <c r="J53" i="22"/>
  <c r="K53" i="22"/>
  <c r="L53" i="22"/>
  <c r="M53" i="22"/>
  <c r="N53" i="22"/>
  <c r="O53" i="22"/>
  <c r="P53" i="22"/>
  <c r="Q53" i="22"/>
  <c r="R53" i="22"/>
  <c r="S53" i="22"/>
  <c r="T53" i="22"/>
  <c r="U53" i="22"/>
  <c r="V53" i="22"/>
  <c r="W53" i="22"/>
  <c r="X53" i="22"/>
  <c r="Y53" i="22"/>
  <c r="Z53" i="22"/>
  <c r="AA53" i="22"/>
  <c r="AB53" i="22"/>
  <c r="AC53" i="22"/>
  <c r="AD53" i="22"/>
  <c r="AE53" i="22"/>
  <c r="AF53" i="22"/>
  <c r="AG53" i="22"/>
  <c r="AH53" i="22"/>
  <c r="AI53" i="22"/>
  <c r="AJ53" i="22"/>
  <c r="AK53" i="22"/>
  <c r="AL53" i="22"/>
  <c r="AM53" i="22"/>
  <c r="AN53" i="22"/>
  <c r="AO53" i="22"/>
  <c r="AP53" i="22"/>
  <c r="AQ53" i="22"/>
  <c r="AR53" i="22"/>
  <c r="AS53" i="22"/>
  <c r="AT53" i="22"/>
  <c r="AU53" i="22"/>
  <c r="AV53" i="22"/>
  <c r="AW53" i="22"/>
  <c r="AX53" i="22"/>
  <c r="AY53" i="22"/>
  <c r="AZ53" i="22"/>
  <c r="BA53" i="22"/>
  <c r="BB53" i="22"/>
  <c r="BC53" i="22"/>
  <c r="BD53" i="22"/>
  <c r="BE53" i="22"/>
  <c r="BF53" i="22"/>
  <c r="BG53" i="22"/>
  <c r="BH53" i="22"/>
  <c r="BI53" i="22"/>
  <c r="BJ53" i="22"/>
  <c r="BK53" i="22"/>
  <c r="BL53" i="22"/>
  <c r="BM53" i="22"/>
  <c r="BN53" i="22"/>
  <c r="BO53" i="22"/>
  <c r="BP53" i="22"/>
  <c r="BQ53" i="22"/>
  <c r="BR53" i="22"/>
  <c r="BS53" i="22"/>
  <c r="BT53" i="22"/>
  <c r="BU53" i="22"/>
  <c r="BV53" i="22"/>
  <c r="BW53" i="22"/>
  <c r="BX53" i="22"/>
  <c r="BY53" i="22"/>
  <c r="BZ53" i="22"/>
  <c r="CA53" i="22"/>
  <c r="CB53" i="22"/>
  <c r="CC53" i="22"/>
  <c r="CD53" i="22"/>
  <c r="CE53" i="22"/>
  <c r="CF53" i="22"/>
  <c r="CG53" i="22"/>
  <c r="CH53" i="22"/>
  <c r="CI53" i="22"/>
  <c r="CJ53" i="22"/>
  <c r="CK53" i="22"/>
  <c r="CL53" i="22"/>
  <c r="CM53" i="22"/>
  <c r="CN53" i="22"/>
  <c r="CO53" i="22"/>
  <c r="CP53" i="22"/>
  <c r="CQ53" i="22"/>
  <c r="CR53" i="22"/>
  <c r="CS53" i="22"/>
  <c r="CT53" i="22"/>
  <c r="CU53" i="22"/>
  <c r="CV53" i="22"/>
  <c r="CW53" i="22"/>
  <c r="CX53" i="22"/>
  <c r="CY53" i="22"/>
  <c r="CZ53" i="22"/>
  <c r="DA53" i="22"/>
  <c r="DB53" i="22"/>
  <c r="DC53" i="22"/>
  <c r="DD53" i="22"/>
  <c r="DE53" i="22"/>
  <c r="DF53" i="22"/>
  <c r="DG53" i="22"/>
  <c r="DH53" i="22"/>
  <c r="DI53" i="22"/>
  <c r="DJ53" i="22"/>
  <c r="DK53" i="22"/>
  <c r="DL53" i="22"/>
  <c r="DM53" i="22"/>
  <c r="DN53" i="22"/>
  <c r="DO53" i="22"/>
  <c r="DP53" i="22"/>
  <c r="DQ53" i="22"/>
  <c r="DR53" i="22"/>
  <c r="DS53" i="22"/>
  <c r="DT53" i="22"/>
  <c r="DU53" i="22"/>
  <c r="DV53" i="22"/>
  <c r="DW53" i="22"/>
  <c r="DX53" i="22"/>
  <c r="DY53" i="22"/>
  <c r="DZ53" i="22"/>
  <c r="EA53" i="22"/>
  <c r="EB53" i="22"/>
  <c r="EC53" i="22"/>
  <c r="ED53" i="22"/>
  <c r="EE53" i="22"/>
  <c r="EF53" i="22"/>
  <c r="EG53" i="22"/>
  <c r="EH53" i="22"/>
  <c r="EI53" i="22"/>
  <c r="EJ53" i="22"/>
  <c r="EK53" i="22"/>
  <c r="EL53" i="22"/>
  <c r="EM53" i="22"/>
  <c r="EN53" i="22"/>
  <c r="EO53" i="22"/>
  <c r="EP53" i="22"/>
  <c r="EQ53" i="22"/>
  <c r="ER53" i="22"/>
  <c r="ES53" i="22"/>
  <c r="ET53" i="22"/>
  <c r="EU53" i="22"/>
  <c r="EV53" i="22"/>
  <c r="EW53" i="22"/>
  <c r="EX53" i="22"/>
  <c r="EY53" i="22"/>
  <c r="EZ53" i="22"/>
  <c r="FA53" i="22"/>
  <c r="FB53" i="22"/>
  <c r="FC53" i="22"/>
  <c r="FD53" i="22"/>
  <c r="FE53" i="22"/>
  <c r="FF53" i="22"/>
  <c r="FG53" i="22"/>
  <c r="FH53" i="22"/>
  <c r="FI53" i="22"/>
  <c r="FJ53" i="22"/>
  <c r="FK53" i="22"/>
  <c r="FL53" i="22"/>
  <c r="FM53" i="22"/>
  <c r="FN53" i="22"/>
  <c r="FO53" i="22"/>
  <c r="FP53" i="22"/>
  <c r="FQ53" i="22"/>
  <c r="FR53" i="22"/>
  <c r="FS53" i="22"/>
  <c r="FT53" i="22"/>
  <c r="FU53" i="22"/>
  <c r="FV53" i="22"/>
  <c r="FW53" i="22"/>
  <c r="FX53" i="22"/>
  <c r="FY53" i="22"/>
  <c r="FZ53" i="22"/>
  <c r="GA53" i="22"/>
  <c r="GB53" i="22"/>
  <c r="GC53" i="22"/>
  <c r="GD53" i="22"/>
  <c r="GE53" i="22"/>
  <c r="GF53" i="22"/>
  <c r="GG53" i="22"/>
  <c r="GH53" i="22"/>
  <c r="GI53" i="22"/>
  <c r="GJ53" i="22"/>
  <c r="GK53" i="22"/>
  <c r="GL53" i="22"/>
  <c r="GM53" i="22"/>
  <c r="GN53" i="22"/>
  <c r="GO53" i="22"/>
  <c r="GP53" i="22"/>
  <c r="GQ53" i="22"/>
  <c r="GR53" i="22"/>
  <c r="GS53" i="22"/>
  <c r="GT53" i="22"/>
  <c r="GU53" i="22"/>
  <c r="GV53" i="22"/>
  <c r="GW53" i="22"/>
  <c r="GX53" i="22"/>
  <c r="GY53" i="22"/>
  <c r="GZ53" i="22"/>
  <c r="HA53" i="22"/>
  <c r="HB53" i="22"/>
  <c r="HC53" i="22"/>
  <c r="HD53" i="22"/>
  <c r="HE53" i="22"/>
  <c r="HF53" i="22"/>
  <c r="HG53" i="22"/>
  <c r="HH53" i="22"/>
  <c r="HI53" i="22"/>
  <c r="HJ53" i="22"/>
  <c r="HK53" i="22"/>
  <c r="HL53" i="22"/>
  <c r="HM53" i="22"/>
  <c r="HN53" i="22"/>
  <c r="HO53" i="22"/>
  <c r="HP53" i="22"/>
  <c r="HQ53" i="22"/>
  <c r="HR53" i="22"/>
  <c r="HS53" i="22"/>
  <c r="HT53" i="22"/>
  <c r="HU53" i="22"/>
  <c r="HV53" i="22"/>
  <c r="HW53" i="22"/>
  <c r="HX53" i="22"/>
  <c r="HY53" i="22"/>
  <c r="HZ53" i="22"/>
  <c r="IA53" i="22"/>
  <c r="IB53" i="22"/>
  <c r="IC53" i="22"/>
  <c r="ID53" i="22"/>
  <c r="IE53" i="22"/>
  <c r="IF53" i="22"/>
  <c r="IG53" i="22"/>
  <c r="IH53" i="22"/>
  <c r="II53" i="22"/>
  <c r="IJ53" i="22"/>
  <c r="IK53" i="22"/>
  <c r="IL53" i="22"/>
  <c r="IM53" i="22"/>
  <c r="IN53" i="22"/>
  <c r="IO53" i="22"/>
  <c r="IP53" i="22"/>
  <c r="IQ53" i="22"/>
  <c r="IR53" i="22"/>
  <c r="IS53" i="22"/>
  <c r="IT53" i="22"/>
  <c r="IU53" i="22"/>
  <c r="IV53" i="22"/>
  <c r="IW53" i="22"/>
  <c r="IX53" i="22"/>
  <c r="IY53" i="22"/>
  <c r="IZ53" i="22"/>
  <c r="JA53" i="22"/>
  <c r="JB53" i="22"/>
  <c r="JC53" i="22"/>
  <c r="JD53" i="22"/>
  <c r="JE53" i="22"/>
  <c r="JF53" i="22"/>
  <c r="JG53" i="22"/>
  <c r="JH53" i="22"/>
  <c r="JI53" i="22"/>
  <c r="JJ53" i="22"/>
  <c r="JK53" i="22"/>
  <c r="JL53" i="22"/>
  <c r="JM53" i="22"/>
  <c r="JN53" i="22"/>
  <c r="JO53" i="22"/>
  <c r="JP53" i="22"/>
  <c r="JQ53" i="22"/>
  <c r="JR53" i="22"/>
  <c r="JS53" i="22"/>
  <c r="JT53" i="22"/>
  <c r="JU53" i="22"/>
  <c r="JV53" i="22"/>
  <c r="JW53" i="22"/>
  <c r="JX53" i="22"/>
  <c r="JY53" i="22"/>
  <c r="JZ53" i="22"/>
  <c r="KA53" i="22"/>
  <c r="KB53" i="22"/>
  <c r="KC53" i="22"/>
  <c r="KD53" i="22"/>
  <c r="KE53" i="22"/>
  <c r="KF53" i="22"/>
  <c r="KG53" i="22"/>
  <c r="KH53" i="22"/>
  <c r="KI53" i="22"/>
  <c r="KJ53" i="22"/>
  <c r="KK53" i="22"/>
  <c r="KL53" i="22"/>
  <c r="KM53" i="22"/>
  <c r="KN53" i="22"/>
  <c r="KO53" i="22"/>
  <c r="KP53" i="22"/>
  <c r="KQ53" i="22"/>
  <c r="KR53" i="22"/>
  <c r="KS53" i="22"/>
  <c r="KT53" i="22"/>
  <c r="KU53" i="22"/>
  <c r="KV53" i="22"/>
  <c r="KW53" i="22"/>
  <c r="KX53" i="22"/>
  <c r="KY53" i="22"/>
  <c r="KZ53" i="22"/>
  <c r="LA53" i="22"/>
  <c r="LB53" i="22"/>
  <c r="LC53" i="22"/>
  <c r="LD53" i="22"/>
  <c r="LE53" i="22"/>
  <c r="LF53" i="22"/>
  <c r="LG53" i="22"/>
  <c r="LH53" i="22"/>
  <c r="LI53" i="22"/>
  <c r="LJ53" i="22"/>
  <c r="LK53" i="22"/>
  <c r="LL53" i="22"/>
  <c r="LM53" i="22"/>
  <c r="LN53" i="22"/>
  <c r="LO53" i="22"/>
  <c r="LP53" i="22"/>
  <c r="LQ53" i="22"/>
  <c r="LR53" i="22"/>
  <c r="LS53" i="22"/>
  <c r="LT53" i="22"/>
  <c r="LU53" i="22"/>
  <c r="LV53" i="22"/>
  <c r="LW53" i="22"/>
  <c r="LX53" i="22"/>
  <c r="LY53" i="22"/>
  <c r="LZ53" i="22"/>
  <c r="MA53" i="22"/>
  <c r="MB53" i="22"/>
  <c r="MC53" i="22"/>
  <c r="MD53" i="22"/>
  <c r="ME53" i="22"/>
  <c r="MF53" i="22"/>
  <c r="MG53" i="22"/>
  <c r="MH53" i="22"/>
  <c r="MI53" i="22"/>
  <c r="MJ53" i="22"/>
  <c r="MK53" i="22"/>
  <c r="ML53" i="22"/>
  <c r="MM53" i="22"/>
  <c r="MN53" i="22"/>
  <c r="MO53" i="22"/>
  <c r="MP53" i="22"/>
  <c r="MQ53" i="22"/>
  <c r="MR53" i="22"/>
  <c r="MS53" i="22"/>
  <c r="MT53" i="22"/>
  <c r="MU53" i="22"/>
  <c r="MV53" i="22"/>
  <c r="MW53" i="22"/>
  <c r="MX53" i="22"/>
  <c r="MY53" i="22"/>
  <c r="MZ53" i="22"/>
  <c r="NA53" i="22"/>
  <c r="NB53" i="22"/>
  <c r="NC53" i="22"/>
  <c r="NS53" i="22"/>
  <c r="B54" i="22"/>
  <c r="C54" i="22"/>
  <c r="D54" i="22"/>
  <c r="E54" i="22"/>
  <c r="F54" i="22"/>
  <c r="G54" i="22"/>
  <c r="H54" i="22"/>
  <c r="I54" i="22"/>
  <c r="J54" i="22"/>
  <c r="K54" i="22"/>
  <c r="L54" i="22"/>
  <c r="M54" i="22"/>
  <c r="N54" i="22"/>
  <c r="O54" i="22"/>
  <c r="P54" i="22"/>
  <c r="Q54" i="22"/>
  <c r="R54" i="22"/>
  <c r="S54" i="22"/>
  <c r="T54" i="22"/>
  <c r="U54" i="22"/>
  <c r="V54" i="22"/>
  <c r="W54" i="22"/>
  <c r="X54" i="22"/>
  <c r="Y54" i="22"/>
  <c r="Z54" i="22"/>
  <c r="AA54" i="22"/>
  <c r="AB54" i="22"/>
  <c r="AC54" i="22"/>
  <c r="AD54" i="22"/>
  <c r="AE54" i="22"/>
  <c r="AF54" i="22"/>
  <c r="AG54" i="22"/>
  <c r="AH54" i="22"/>
  <c r="AI54" i="22"/>
  <c r="AJ54" i="22"/>
  <c r="AK54" i="22"/>
  <c r="AL54" i="22"/>
  <c r="AM54" i="22"/>
  <c r="AN54" i="22"/>
  <c r="AO54" i="22"/>
  <c r="AP54" i="22"/>
  <c r="AQ54" i="22"/>
  <c r="AR54" i="22"/>
  <c r="AS54" i="22"/>
  <c r="AT54" i="22"/>
  <c r="AU54" i="22"/>
  <c r="AV54" i="22"/>
  <c r="AW54" i="22"/>
  <c r="AX54" i="22"/>
  <c r="AY54" i="22"/>
  <c r="AZ54" i="22"/>
  <c r="BA54" i="22"/>
  <c r="BB54" i="22"/>
  <c r="BC54" i="22"/>
  <c r="BD54" i="22"/>
  <c r="BE54" i="22"/>
  <c r="BF54" i="22"/>
  <c r="BG54" i="22"/>
  <c r="BH54" i="22"/>
  <c r="BJ54" i="22"/>
  <c r="BK54" i="22"/>
  <c r="BL54" i="22"/>
  <c r="BM54" i="22"/>
  <c r="BN54" i="22"/>
  <c r="BO54" i="22"/>
  <c r="BP54" i="22"/>
  <c r="BQ54" i="22"/>
  <c r="BR54" i="22"/>
  <c r="BS54" i="22"/>
  <c r="BT54" i="22"/>
  <c r="BU54" i="22"/>
  <c r="BV54" i="22"/>
  <c r="BW54" i="22"/>
  <c r="BX54" i="22"/>
  <c r="BY54" i="22"/>
  <c r="BZ54" i="22"/>
  <c r="CA54" i="22"/>
  <c r="CB54" i="22"/>
  <c r="CC54" i="22"/>
  <c r="CD54" i="22"/>
  <c r="CE54" i="22"/>
  <c r="CF54" i="22"/>
  <c r="CG54" i="22"/>
  <c r="CH54" i="22"/>
  <c r="CI54" i="22"/>
  <c r="CJ54" i="22"/>
  <c r="CK54" i="22"/>
  <c r="CL54" i="22"/>
  <c r="CM54" i="22"/>
  <c r="CN54" i="22"/>
  <c r="CO54" i="22"/>
  <c r="CP54" i="22"/>
  <c r="CQ54" i="22"/>
  <c r="CR54" i="22"/>
  <c r="CS54" i="22"/>
  <c r="CT54" i="22"/>
  <c r="CU54" i="22"/>
  <c r="CV54" i="22"/>
  <c r="CW54" i="22"/>
  <c r="CX54" i="22"/>
  <c r="CY54" i="22"/>
  <c r="CZ54" i="22"/>
  <c r="DA54" i="22"/>
  <c r="DB54" i="22"/>
  <c r="DC54" i="22"/>
  <c r="DD54" i="22"/>
  <c r="DE54" i="22"/>
  <c r="DF54" i="22"/>
  <c r="DG54" i="22"/>
  <c r="DH54" i="22"/>
  <c r="DI54" i="22"/>
  <c r="DJ54" i="22"/>
  <c r="DK54" i="22"/>
  <c r="DL54" i="22"/>
  <c r="DM54" i="22"/>
  <c r="DN54" i="22"/>
  <c r="DO54" i="22"/>
  <c r="DP54" i="22"/>
  <c r="DQ54" i="22"/>
  <c r="DR54" i="22"/>
  <c r="DS54" i="22"/>
  <c r="DT54" i="22"/>
  <c r="DU54" i="22"/>
  <c r="DV54" i="22"/>
  <c r="DW54" i="22"/>
  <c r="DX54" i="22"/>
  <c r="DY54" i="22"/>
  <c r="DZ54" i="22"/>
  <c r="EA54" i="22"/>
  <c r="EB54" i="22"/>
  <c r="EC54" i="22"/>
  <c r="ED54" i="22"/>
  <c r="EE54" i="22"/>
  <c r="EF54" i="22"/>
  <c r="EG54" i="22"/>
  <c r="EH54" i="22"/>
  <c r="EI54" i="22"/>
  <c r="EJ54" i="22"/>
  <c r="EK54" i="22"/>
  <c r="EL54" i="22"/>
  <c r="EM54" i="22"/>
  <c r="EN54" i="22"/>
  <c r="EO54" i="22"/>
  <c r="EP54" i="22"/>
  <c r="EQ54" i="22"/>
  <c r="ER54" i="22"/>
  <c r="ES54" i="22"/>
  <c r="ET54" i="22"/>
  <c r="EU54" i="22"/>
  <c r="EV54" i="22"/>
  <c r="EW54" i="22"/>
  <c r="EX54" i="22"/>
  <c r="EY54" i="22"/>
  <c r="EZ54" i="22"/>
  <c r="FA54" i="22"/>
  <c r="FB54" i="22"/>
  <c r="FC54" i="22"/>
  <c r="FD54" i="22"/>
  <c r="FE54" i="22"/>
  <c r="FF54" i="22"/>
  <c r="FG54" i="22"/>
  <c r="FH54" i="22"/>
  <c r="FI54" i="22"/>
  <c r="FJ54" i="22"/>
  <c r="FK54" i="22"/>
  <c r="FL54" i="22"/>
  <c r="FM54" i="22"/>
  <c r="FN54" i="22"/>
  <c r="FO54" i="22"/>
  <c r="FP54" i="22"/>
  <c r="FQ54" i="22"/>
  <c r="FR54" i="22"/>
  <c r="FS54" i="22"/>
  <c r="FT54" i="22"/>
  <c r="FU54" i="22"/>
  <c r="FV54" i="22"/>
  <c r="FW54" i="22"/>
  <c r="FX54" i="22"/>
  <c r="FY54" i="22"/>
  <c r="FZ54" i="22"/>
  <c r="GA54" i="22"/>
  <c r="GB54" i="22"/>
  <c r="GC54" i="22"/>
  <c r="GD54" i="22"/>
  <c r="GE54" i="22"/>
  <c r="GF54" i="22"/>
  <c r="GG54" i="22"/>
  <c r="GH54" i="22"/>
  <c r="GI54" i="22"/>
  <c r="GJ54" i="22"/>
  <c r="GK54" i="22"/>
  <c r="GL54" i="22"/>
  <c r="GM54" i="22"/>
  <c r="GN54" i="22"/>
  <c r="GO54" i="22"/>
  <c r="GP54" i="22"/>
  <c r="GQ54" i="22"/>
  <c r="GR54" i="22"/>
  <c r="GS54" i="22"/>
  <c r="GT54" i="22"/>
  <c r="GU54" i="22"/>
  <c r="GV54" i="22"/>
  <c r="GW54" i="22"/>
  <c r="GX54" i="22"/>
  <c r="GY54" i="22"/>
  <c r="GZ54" i="22"/>
  <c r="HA54" i="22"/>
  <c r="HB54" i="22"/>
  <c r="HC54" i="22"/>
  <c r="HD54" i="22"/>
  <c r="HE54" i="22"/>
  <c r="HF54" i="22"/>
  <c r="HG54" i="22"/>
  <c r="HH54" i="22"/>
  <c r="HI54" i="22"/>
  <c r="HJ54" i="22"/>
  <c r="HK54" i="22"/>
  <c r="HL54" i="22"/>
  <c r="HM54" i="22"/>
  <c r="HN54" i="22"/>
  <c r="HO54" i="22"/>
  <c r="HP54" i="22"/>
  <c r="HQ54" i="22"/>
  <c r="HR54" i="22"/>
  <c r="HS54" i="22"/>
  <c r="HT54" i="22"/>
  <c r="HU54" i="22"/>
  <c r="HV54" i="22"/>
  <c r="HW54" i="22"/>
  <c r="HX54" i="22"/>
  <c r="HY54" i="22"/>
  <c r="HZ54" i="22"/>
  <c r="IA54" i="22"/>
  <c r="IB54" i="22"/>
  <c r="IC54" i="22"/>
  <c r="ID54" i="22"/>
  <c r="IE54" i="22"/>
  <c r="IF54" i="22"/>
  <c r="IG54" i="22"/>
  <c r="IH54" i="22"/>
  <c r="II54" i="22"/>
  <c r="IJ54" i="22"/>
  <c r="IK54" i="22"/>
  <c r="IL54" i="22"/>
  <c r="IM54" i="22"/>
  <c r="IN54" i="22"/>
  <c r="IO54" i="22"/>
  <c r="IP54" i="22"/>
  <c r="IQ54" i="22"/>
  <c r="IR54" i="22"/>
  <c r="IS54" i="22"/>
  <c r="IT54" i="22"/>
  <c r="IU54" i="22"/>
  <c r="IV54" i="22"/>
  <c r="IW54" i="22"/>
  <c r="IX54" i="22"/>
  <c r="IY54" i="22"/>
  <c r="IZ54" i="22"/>
  <c r="JA54" i="22"/>
  <c r="JB54" i="22"/>
  <c r="JC54" i="22"/>
  <c r="JD54" i="22"/>
  <c r="JE54" i="22"/>
  <c r="JF54" i="22"/>
  <c r="JG54" i="22"/>
  <c r="JH54" i="22"/>
  <c r="JI54" i="22"/>
  <c r="JJ54" i="22"/>
  <c r="JK54" i="22"/>
  <c r="JL54" i="22"/>
  <c r="JM54" i="22"/>
  <c r="JN54" i="22"/>
  <c r="JO54" i="22"/>
  <c r="JP54" i="22"/>
  <c r="JQ54" i="22"/>
  <c r="JR54" i="22"/>
  <c r="JS54" i="22"/>
  <c r="JT54" i="22"/>
  <c r="JU54" i="22"/>
  <c r="JV54" i="22"/>
  <c r="JW54" i="22"/>
  <c r="JX54" i="22"/>
  <c r="JY54" i="22"/>
  <c r="JZ54" i="22"/>
  <c r="KA54" i="22"/>
  <c r="KB54" i="22"/>
  <c r="KC54" i="22"/>
  <c r="KD54" i="22"/>
  <c r="KE54" i="22"/>
  <c r="KF54" i="22"/>
  <c r="KG54" i="22"/>
  <c r="KH54" i="22"/>
  <c r="KI54" i="22"/>
  <c r="KJ54" i="22"/>
  <c r="KK54" i="22"/>
  <c r="KL54" i="22"/>
  <c r="KM54" i="22"/>
  <c r="KN54" i="22"/>
  <c r="KO54" i="22"/>
  <c r="KP54" i="22"/>
  <c r="KQ54" i="22"/>
  <c r="KR54" i="22"/>
  <c r="KS54" i="22"/>
  <c r="KT54" i="22"/>
  <c r="KU54" i="22"/>
  <c r="KV54" i="22"/>
  <c r="KW54" i="22"/>
  <c r="KX54" i="22"/>
  <c r="KY54" i="22"/>
  <c r="KZ54" i="22"/>
  <c r="LA54" i="22"/>
  <c r="LB54" i="22"/>
  <c r="LC54" i="22"/>
  <c r="LD54" i="22"/>
  <c r="LE54" i="22"/>
  <c r="LF54" i="22"/>
  <c r="LG54" i="22"/>
  <c r="LH54" i="22"/>
  <c r="LI54" i="22"/>
  <c r="LJ54" i="22"/>
  <c r="LK54" i="22"/>
  <c r="LL54" i="22"/>
  <c r="LM54" i="22"/>
  <c r="LN54" i="22"/>
  <c r="LO54" i="22"/>
  <c r="LP54" i="22"/>
  <c r="LQ54" i="22"/>
  <c r="LR54" i="22"/>
  <c r="LS54" i="22"/>
  <c r="LT54" i="22"/>
  <c r="LU54" i="22"/>
  <c r="LV54" i="22"/>
  <c r="LW54" i="22"/>
  <c r="LX54" i="22"/>
  <c r="LY54" i="22"/>
  <c r="LZ54" i="22"/>
  <c r="MA54" i="22"/>
  <c r="MB54" i="22"/>
  <c r="MC54" i="22"/>
  <c r="MD54" i="22"/>
  <c r="ME54" i="22"/>
  <c r="MF54" i="22"/>
  <c r="MG54" i="22"/>
  <c r="MH54" i="22"/>
  <c r="MI54" i="22"/>
  <c r="MJ54" i="22"/>
  <c r="MK54" i="22"/>
  <c r="ML54" i="22"/>
  <c r="MM54" i="22"/>
  <c r="MN54" i="22"/>
  <c r="MO54" i="22"/>
  <c r="MP54" i="22"/>
  <c r="MQ54" i="22"/>
  <c r="MR54" i="22"/>
  <c r="MS54" i="22"/>
  <c r="MT54" i="22"/>
  <c r="MU54" i="22"/>
  <c r="MV54" i="22"/>
  <c r="MW54" i="22"/>
  <c r="MX54" i="22"/>
  <c r="MY54" i="22"/>
  <c r="MZ54" i="22"/>
  <c r="NA54" i="22"/>
  <c r="NB54" i="22"/>
  <c r="NS54" i="22"/>
  <c r="B55" i="22"/>
  <c r="C55" i="22"/>
  <c r="D55" i="22"/>
  <c r="E55" i="22"/>
  <c r="F55" i="22"/>
  <c r="G55" i="22"/>
  <c r="H55" i="22"/>
  <c r="I55" i="22"/>
  <c r="J55" i="22"/>
  <c r="K55" i="22"/>
  <c r="L55" i="22"/>
  <c r="M55" i="22"/>
  <c r="N55" i="22"/>
  <c r="O55" i="22"/>
  <c r="P55" i="22"/>
  <c r="Q55" i="22"/>
  <c r="R55" i="22"/>
  <c r="S55" i="22"/>
  <c r="T55" i="22"/>
  <c r="U55" i="22"/>
  <c r="V55" i="22"/>
  <c r="W55" i="22"/>
  <c r="X55" i="22"/>
  <c r="Y55" i="22"/>
  <c r="Z55" i="22"/>
  <c r="AA55" i="22"/>
  <c r="AB55" i="22"/>
  <c r="AC55" i="22"/>
  <c r="AD55" i="22"/>
  <c r="AE55" i="22"/>
  <c r="AF55" i="22"/>
  <c r="AG55" i="22"/>
  <c r="AH55" i="22"/>
  <c r="AI55" i="22"/>
  <c r="AJ55" i="22"/>
  <c r="AK55" i="22"/>
  <c r="AL55" i="22"/>
  <c r="AM55" i="22"/>
  <c r="AN55" i="22"/>
  <c r="AO55" i="22"/>
  <c r="AP55" i="22"/>
  <c r="AQ55" i="22"/>
  <c r="AR55" i="22"/>
  <c r="AS55" i="22"/>
  <c r="AT55" i="22"/>
  <c r="AU55" i="22"/>
  <c r="AV55" i="22"/>
  <c r="AW55" i="22"/>
  <c r="AX55" i="22"/>
  <c r="AY55" i="22"/>
  <c r="AZ55" i="22"/>
  <c r="BA55" i="22"/>
  <c r="BB55" i="22"/>
  <c r="BC55" i="22"/>
  <c r="BD55" i="22"/>
  <c r="BE55" i="22"/>
  <c r="BF55" i="22"/>
  <c r="BG55" i="22"/>
  <c r="BH55" i="22"/>
  <c r="BJ55" i="22"/>
  <c r="BK55" i="22"/>
  <c r="BL55" i="22"/>
  <c r="BM55" i="22"/>
  <c r="BN55" i="22"/>
  <c r="BO55" i="22"/>
  <c r="BP55" i="22"/>
  <c r="BQ55" i="22"/>
  <c r="BR55" i="22"/>
  <c r="BS55" i="22"/>
  <c r="BT55" i="22"/>
  <c r="BU55" i="22"/>
  <c r="BV55" i="22"/>
  <c r="BW55" i="22"/>
  <c r="BX55" i="22"/>
  <c r="BY55" i="22"/>
  <c r="BZ55" i="22"/>
  <c r="CA55" i="22"/>
  <c r="CB55" i="22"/>
  <c r="CC55" i="22"/>
  <c r="CD55" i="22"/>
  <c r="CE55" i="22"/>
  <c r="CF55" i="22"/>
  <c r="CG55" i="22"/>
  <c r="CH55" i="22"/>
  <c r="CI55" i="22"/>
  <c r="CJ55" i="22"/>
  <c r="CK55" i="22"/>
  <c r="CL55" i="22"/>
  <c r="CM55" i="22"/>
  <c r="CN55" i="22"/>
  <c r="CO55" i="22"/>
  <c r="CP55" i="22"/>
  <c r="CQ55" i="22"/>
  <c r="CR55" i="22"/>
  <c r="CS55" i="22"/>
  <c r="CT55" i="22"/>
  <c r="CU55" i="22"/>
  <c r="CV55" i="22"/>
  <c r="CW55" i="22"/>
  <c r="CX55" i="22"/>
  <c r="CY55" i="22"/>
  <c r="CZ55" i="22"/>
  <c r="DA55" i="22"/>
  <c r="DB55" i="22"/>
  <c r="DC55" i="22"/>
  <c r="DD55" i="22"/>
  <c r="DE55" i="22"/>
  <c r="DF55" i="22"/>
  <c r="DG55" i="22"/>
  <c r="DH55" i="22"/>
  <c r="DI55" i="22"/>
  <c r="DJ55" i="22"/>
  <c r="DK55" i="22"/>
  <c r="DL55" i="22"/>
  <c r="DM55" i="22"/>
  <c r="DN55" i="22"/>
  <c r="DO55" i="22"/>
  <c r="DP55" i="22"/>
  <c r="DQ55" i="22"/>
  <c r="DR55" i="22"/>
  <c r="DS55" i="22"/>
  <c r="DT55" i="22"/>
  <c r="DU55" i="22"/>
  <c r="DV55" i="22"/>
  <c r="DW55" i="22"/>
  <c r="DX55" i="22"/>
  <c r="DY55" i="22"/>
  <c r="DZ55" i="22"/>
  <c r="EA55" i="22"/>
  <c r="EB55" i="22"/>
  <c r="EC55" i="22"/>
  <c r="ED55" i="22"/>
  <c r="EE55" i="22"/>
  <c r="EF55" i="22"/>
  <c r="EG55" i="22"/>
  <c r="EH55" i="22"/>
  <c r="EI55" i="22"/>
  <c r="EJ55" i="22"/>
  <c r="EK55" i="22"/>
  <c r="EL55" i="22"/>
  <c r="EM55" i="22"/>
  <c r="EN55" i="22"/>
  <c r="EO55" i="22"/>
  <c r="EP55" i="22"/>
  <c r="EQ55" i="22"/>
  <c r="ER55" i="22"/>
  <c r="ES55" i="22"/>
  <c r="ET55" i="22"/>
  <c r="EU55" i="22"/>
  <c r="EV55" i="22"/>
  <c r="EW55" i="22"/>
  <c r="EX55" i="22"/>
  <c r="EY55" i="22"/>
  <c r="EZ55" i="22"/>
  <c r="FA55" i="22"/>
  <c r="FB55" i="22"/>
  <c r="FC55" i="22"/>
  <c r="FD55" i="22"/>
  <c r="FE55" i="22"/>
  <c r="FF55" i="22"/>
  <c r="FG55" i="22"/>
  <c r="FH55" i="22"/>
  <c r="FI55" i="22"/>
  <c r="FJ55" i="22"/>
  <c r="FK55" i="22"/>
  <c r="FL55" i="22"/>
  <c r="FM55" i="22"/>
  <c r="FN55" i="22"/>
  <c r="FO55" i="22"/>
  <c r="FP55" i="22"/>
  <c r="FQ55" i="22"/>
  <c r="FR55" i="22"/>
  <c r="FS55" i="22"/>
  <c r="FT55" i="22"/>
  <c r="FU55" i="22"/>
  <c r="FV55" i="22"/>
  <c r="FW55" i="22"/>
  <c r="FX55" i="22"/>
  <c r="FY55" i="22"/>
  <c r="FZ55" i="22"/>
  <c r="GA55" i="22"/>
  <c r="GB55" i="22"/>
  <c r="GC55" i="22"/>
  <c r="GD55" i="22"/>
  <c r="GE55" i="22"/>
  <c r="GF55" i="22"/>
  <c r="GG55" i="22"/>
  <c r="GH55" i="22"/>
  <c r="GI55" i="22"/>
  <c r="GJ55" i="22"/>
  <c r="GK55" i="22"/>
  <c r="GL55" i="22"/>
  <c r="GM55" i="22"/>
  <c r="GN55" i="22"/>
  <c r="GO55" i="22"/>
  <c r="GP55" i="22"/>
  <c r="GQ55" i="22"/>
  <c r="GR55" i="22"/>
  <c r="GS55" i="22"/>
  <c r="GT55" i="22"/>
  <c r="GU55" i="22"/>
  <c r="GV55" i="22"/>
  <c r="GW55" i="22"/>
  <c r="GX55" i="22"/>
  <c r="GY55" i="22"/>
  <c r="GZ55" i="22"/>
  <c r="HA55" i="22"/>
  <c r="HB55" i="22"/>
  <c r="HC55" i="22"/>
  <c r="HD55" i="22"/>
  <c r="HE55" i="22"/>
  <c r="HF55" i="22"/>
  <c r="HG55" i="22"/>
  <c r="HH55" i="22"/>
  <c r="HI55" i="22"/>
  <c r="HJ55" i="22"/>
  <c r="HK55" i="22"/>
  <c r="HL55" i="22"/>
  <c r="HM55" i="22"/>
  <c r="HN55" i="22"/>
  <c r="HO55" i="22"/>
  <c r="HP55" i="22"/>
  <c r="HQ55" i="22"/>
  <c r="HR55" i="22"/>
  <c r="HS55" i="22"/>
  <c r="HT55" i="22"/>
  <c r="HU55" i="22"/>
  <c r="HV55" i="22"/>
  <c r="HW55" i="22"/>
  <c r="HX55" i="22"/>
  <c r="HY55" i="22"/>
  <c r="HZ55" i="22"/>
  <c r="IA55" i="22"/>
  <c r="IB55" i="22"/>
  <c r="IC55" i="22"/>
  <c r="ID55" i="22"/>
  <c r="IE55" i="22"/>
  <c r="IF55" i="22"/>
  <c r="IG55" i="22"/>
  <c r="IH55" i="22"/>
  <c r="II55" i="22"/>
  <c r="IJ55" i="22"/>
  <c r="IK55" i="22"/>
  <c r="IL55" i="22"/>
  <c r="IM55" i="22"/>
  <c r="IN55" i="22"/>
  <c r="IO55" i="22"/>
  <c r="IP55" i="22"/>
  <c r="IQ55" i="22"/>
  <c r="IR55" i="22"/>
  <c r="IS55" i="22"/>
  <c r="IT55" i="22"/>
  <c r="IU55" i="22"/>
  <c r="IV55" i="22"/>
  <c r="IW55" i="22"/>
  <c r="IX55" i="22"/>
  <c r="IY55" i="22"/>
  <c r="IZ55" i="22"/>
  <c r="JA55" i="22"/>
  <c r="JB55" i="22"/>
  <c r="JC55" i="22"/>
  <c r="JD55" i="22"/>
  <c r="JE55" i="22"/>
  <c r="JF55" i="22"/>
  <c r="JG55" i="22"/>
  <c r="JH55" i="22"/>
  <c r="JI55" i="22"/>
  <c r="JJ55" i="22"/>
  <c r="JK55" i="22"/>
  <c r="JL55" i="22"/>
  <c r="JM55" i="22"/>
  <c r="JN55" i="22"/>
  <c r="JO55" i="22"/>
  <c r="JP55" i="22"/>
  <c r="JQ55" i="22"/>
  <c r="JR55" i="22"/>
  <c r="JS55" i="22"/>
  <c r="JT55" i="22"/>
  <c r="JU55" i="22"/>
  <c r="JV55" i="22"/>
  <c r="JW55" i="22"/>
  <c r="JX55" i="22"/>
  <c r="JY55" i="22"/>
  <c r="JZ55" i="22"/>
  <c r="KA55" i="22"/>
  <c r="KB55" i="22"/>
  <c r="KC55" i="22"/>
  <c r="KD55" i="22"/>
  <c r="KE55" i="22"/>
  <c r="KF55" i="22"/>
  <c r="KG55" i="22"/>
  <c r="KH55" i="22"/>
  <c r="KI55" i="22"/>
  <c r="KJ55" i="22"/>
  <c r="KK55" i="22"/>
  <c r="KL55" i="22"/>
  <c r="KM55" i="22"/>
  <c r="KN55" i="22"/>
  <c r="KO55" i="22"/>
  <c r="KP55" i="22"/>
  <c r="KQ55" i="22"/>
  <c r="KR55" i="22"/>
  <c r="KS55" i="22"/>
  <c r="KT55" i="22"/>
  <c r="KU55" i="22"/>
  <c r="KV55" i="22"/>
  <c r="KW55" i="22"/>
  <c r="KX55" i="22"/>
  <c r="KY55" i="22"/>
  <c r="KZ55" i="22"/>
  <c r="LA55" i="22"/>
  <c r="LB55" i="22"/>
  <c r="LC55" i="22"/>
  <c r="LD55" i="22"/>
  <c r="LE55" i="22"/>
  <c r="LF55" i="22"/>
  <c r="LG55" i="22"/>
  <c r="LH55" i="22"/>
  <c r="LI55" i="22"/>
  <c r="LJ55" i="22"/>
  <c r="LK55" i="22"/>
  <c r="LL55" i="22"/>
  <c r="LM55" i="22"/>
  <c r="LN55" i="22"/>
  <c r="LO55" i="22"/>
  <c r="LP55" i="22"/>
  <c r="LQ55" i="22"/>
  <c r="LR55" i="22"/>
  <c r="LS55" i="22"/>
  <c r="LT55" i="22"/>
  <c r="LU55" i="22"/>
  <c r="LV55" i="22"/>
  <c r="LW55" i="22"/>
  <c r="LX55" i="22"/>
  <c r="LY55" i="22"/>
  <c r="LZ55" i="22"/>
  <c r="MA55" i="22"/>
  <c r="MB55" i="22"/>
  <c r="MC55" i="22"/>
  <c r="MD55" i="22"/>
  <c r="ME55" i="22"/>
  <c r="MF55" i="22"/>
  <c r="MG55" i="22"/>
  <c r="MH55" i="22"/>
  <c r="MI55" i="22"/>
  <c r="MJ55" i="22"/>
  <c r="MK55" i="22"/>
  <c r="ML55" i="22"/>
  <c r="MM55" i="22"/>
  <c r="MN55" i="22"/>
  <c r="MO55" i="22"/>
  <c r="MP55" i="22"/>
  <c r="MQ55" i="22"/>
  <c r="MR55" i="22"/>
  <c r="MS55" i="22"/>
  <c r="MT55" i="22"/>
  <c r="MU55" i="22"/>
  <c r="MV55" i="22"/>
  <c r="MW55" i="22"/>
  <c r="MX55" i="22"/>
  <c r="MY55" i="22"/>
  <c r="MZ55" i="22"/>
  <c r="NA55" i="22"/>
  <c r="NB55" i="22"/>
  <c r="NS55" i="22"/>
  <c r="B56" i="22"/>
  <c r="C56" i="22"/>
  <c r="D56" i="22"/>
  <c r="E56" i="22"/>
  <c r="F56" i="22"/>
  <c r="G56" i="22"/>
  <c r="H56" i="22"/>
  <c r="I56" i="22"/>
  <c r="J56" i="22"/>
  <c r="K56" i="22"/>
  <c r="L56" i="22"/>
  <c r="M56" i="22"/>
  <c r="N56" i="22"/>
  <c r="O56" i="22"/>
  <c r="P56" i="22"/>
  <c r="Q56" i="22"/>
  <c r="R56" i="22"/>
  <c r="S56" i="22"/>
  <c r="T56" i="22"/>
  <c r="U56" i="22"/>
  <c r="V56" i="22"/>
  <c r="W56" i="22"/>
  <c r="X56" i="22"/>
  <c r="Y56" i="22"/>
  <c r="Z56" i="22"/>
  <c r="AA56" i="22"/>
  <c r="AB56" i="22"/>
  <c r="AC56" i="22"/>
  <c r="AD56" i="22"/>
  <c r="AE56" i="22"/>
  <c r="AF56" i="22"/>
  <c r="AG56" i="22"/>
  <c r="AH56" i="22"/>
  <c r="AI56" i="22"/>
  <c r="AJ56" i="22"/>
  <c r="AK56" i="22"/>
  <c r="AL56" i="22"/>
  <c r="AM56" i="22"/>
  <c r="AN56" i="22"/>
  <c r="AO56" i="22"/>
  <c r="AP56" i="22"/>
  <c r="AQ56" i="22"/>
  <c r="AR56" i="22"/>
  <c r="AS56" i="22"/>
  <c r="AT56" i="22"/>
  <c r="AU56" i="22"/>
  <c r="AV56" i="22"/>
  <c r="AW56" i="22"/>
  <c r="AX56" i="22"/>
  <c r="AY56" i="22"/>
  <c r="AZ56" i="22"/>
  <c r="BA56" i="22"/>
  <c r="BB56" i="22"/>
  <c r="BC56" i="22"/>
  <c r="BD56" i="22"/>
  <c r="BE56" i="22"/>
  <c r="BF56" i="22"/>
  <c r="BG56" i="22"/>
  <c r="BH56" i="22"/>
  <c r="BJ56" i="22"/>
  <c r="BK56" i="22"/>
  <c r="BL56" i="22"/>
  <c r="BM56" i="22"/>
  <c r="BN56" i="22"/>
  <c r="BO56" i="22"/>
  <c r="BP56" i="22"/>
  <c r="BQ56" i="22"/>
  <c r="BR56" i="22"/>
  <c r="BS56" i="22"/>
  <c r="BT56" i="22"/>
  <c r="BU56" i="22"/>
  <c r="BV56" i="22"/>
  <c r="BW56" i="22"/>
  <c r="BX56" i="22"/>
  <c r="BY56" i="22"/>
  <c r="BZ56" i="22"/>
  <c r="CA56" i="22"/>
  <c r="CB56" i="22"/>
  <c r="CC56" i="22"/>
  <c r="CD56" i="22"/>
  <c r="CE56" i="22"/>
  <c r="CF56" i="22"/>
  <c r="CG56" i="22"/>
  <c r="CH56" i="22"/>
  <c r="CI56" i="22"/>
  <c r="CJ56" i="22"/>
  <c r="CK56" i="22"/>
  <c r="CL56" i="22"/>
  <c r="CM56" i="22"/>
  <c r="CN56" i="22"/>
  <c r="CO56" i="22"/>
  <c r="CP56" i="22"/>
  <c r="CQ56" i="22"/>
  <c r="CR56" i="22"/>
  <c r="CS56" i="22"/>
  <c r="CT56" i="22"/>
  <c r="CU56" i="22"/>
  <c r="CV56" i="22"/>
  <c r="CW56" i="22"/>
  <c r="CX56" i="22"/>
  <c r="CY56" i="22"/>
  <c r="CZ56" i="22"/>
  <c r="DA56" i="22"/>
  <c r="DB56" i="22"/>
  <c r="DC56" i="22"/>
  <c r="DD56" i="22"/>
  <c r="DE56" i="22"/>
  <c r="DF56" i="22"/>
  <c r="DG56" i="22"/>
  <c r="DH56" i="22"/>
  <c r="DI56" i="22"/>
  <c r="DJ56" i="22"/>
  <c r="DK56" i="22"/>
  <c r="DL56" i="22"/>
  <c r="DM56" i="22"/>
  <c r="DN56" i="22"/>
  <c r="DO56" i="22"/>
  <c r="DP56" i="22"/>
  <c r="DQ56" i="22"/>
  <c r="DR56" i="22"/>
  <c r="DS56" i="22"/>
  <c r="DT56" i="22"/>
  <c r="DU56" i="22"/>
  <c r="DV56" i="22"/>
  <c r="DW56" i="22"/>
  <c r="DX56" i="22"/>
  <c r="DY56" i="22"/>
  <c r="DZ56" i="22"/>
  <c r="EA56" i="22"/>
  <c r="EB56" i="22"/>
  <c r="EC56" i="22"/>
  <c r="ED56" i="22"/>
  <c r="EE56" i="22"/>
  <c r="EF56" i="22"/>
  <c r="EG56" i="22"/>
  <c r="EH56" i="22"/>
  <c r="EI56" i="22"/>
  <c r="EJ56" i="22"/>
  <c r="EK56" i="22"/>
  <c r="EL56" i="22"/>
  <c r="EM56" i="22"/>
  <c r="EN56" i="22"/>
  <c r="EO56" i="22"/>
  <c r="EP56" i="22"/>
  <c r="EQ56" i="22"/>
  <c r="ER56" i="22"/>
  <c r="ES56" i="22"/>
  <c r="ET56" i="22"/>
  <c r="EU56" i="22"/>
  <c r="EV56" i="22"/>
  <c r="EW56" i="22"/>
  <c r="EX56" i="22"/>
  <c r="EY56" i="22"/>
  <c r="EZ56" i="22"/>
  <c r="FA56" i="22"/>
  <c r="FB56" i="22"/>
  <c r="FC56" i="22"/>
  <c r="FD56" i="22"/>
  <c r="FE56" i="22"/>
  <c r="FF56" i="22"/>
  <c r="FG56" i="22"/>
  <c r="FH56" i="22"/>
  <c r="FI56" i="22"/>
  <c r="FJ56" i="22"/>
  <c r="FK56" i="22"/>
  <c r="FL56" i="22"/>
  <c r="FM56" i="22"/>
  <c r="FN56" i="22"/>
  <c r="FO56" i="22"/>
  <c r="FP56" i="22"/>
  <c r="FQ56" i="22"/>
  <c r="FR56" i="22"/>
  <c r="FS56" i="22"/>
  <c r="FT56" i="22"/>
  <c r="FU56" i="22"/>
  <c r="FV56" i="22"/>
  <c r="FW56" i="22"/>
  <c r="FX56" i="22"/>
  <c r="FY56" i="22"/>
  <c r="FZ56" i="22"/>
  <c r="GA56" i="22"/>
  <c r="GB56" i="22"/>
  <c r="GC56" i="22"/>
  <c r="GD56" i="22"/>
  <c r="GE56" i="22"/>
  <c r="GF56" i="22"/>
  <c r="GG56" i="22"/>
  <c r="GH56" i="22"/>
  <c r="GI56" i="22"/>
  <c r="GJ56" i="22"/>
  <c r="GK56" i="22"/>
  <c r="GL56" i="22"/>
  <c r="GM56" i="22"/>
  <c r="GN56" i="22"/>
  <c r="GO56" i="22"/>
  <c r="GP56" i="22"/>
  <c r="GQ56" i="22"/>
  <c r="GR56" i="22"/>
  <c r="GS56" i="22"/>
  <c r="GT56" i="22"/>
  <c r="GU56" i="22"/>
  <c r="GV56" i="22"/>
  <c r="GW56" i="22"/>
  <c r="GX56" i="22"/>
  <c r="GY56" i="22"/>
  <c r="GZ56" i="22"/>
  <c r="HA56" i="22"/>
  <c r="HB56" i="22"/>
  <c r="HC56" i="22"/>
  <c r="HD56" i="22"/>
  <c r="HE56" i="22"/>
  <c r="HF56" i="22"/>
  <c r="HG56" i="22"/>
  <c r="HH56" i="22"/>
  <c r="HI56" i="22"/>
  <c r="HJ56" i="22"/>
  <c r="HK56" i="22"/>
  <c r="HL56" i="22"/>
  <c r="HM56" i="22"/>
  <c r="HN56" i="22"/>
  <c r="HO56" i="22"/>
  <c r="HP56" i="22"/>
  <c r="HQ56" i="22"/>
  <c r="HR56" i="22"/>
  <c r="HS56" i="22"/>
  <c r="HT56" i="22"/>
  <c r="HU56" i="22"/>
  <c r="HV56" i="22"/>
  <c r="HW56" i="22"/>
  <c r="HX56" i="22"/>
  <c r="HY56" i="22"/>
  <c r="HZ56" i="22"/>
  <c r="IA56" i="22"/>
  <c r="IB56" i="22"/>
  <c r="IC56" i="22"/>
  <c r="ID56" i="22"/>
  <c r="IE56" i="22"/>
  <c r="IF56" i="22"/>
  <c r="IG56" i="22"/>
  <c r="IH56" i="22"/>
  <c r="II56" i="22"/>
  <c r="IJ56" i="22"/>
  <c r="IK56" i="22"/>
  <c r="IL56" i="22"/>
  <c r="IM56" i="22"/>
  <c r="IN56" i="22"/>
  <c r="IO56" i="22"/>
  <c r="IP56" i="22"/>
  <c r="IQ56" i="22"/>
  <c r="IR56" i="22"/>
  <c r="IS56" i="22"/>
  <c r="IT56" i="22"/>
  <c r="IU56" i="22"/>
  <c r="IV56" i="22"/>
  <c r="IW56" i="22"/>
  <c r="IX56" i="22"/>
  <c r="IY56" i="22"/>
  <c r="IZ56" i="22"/>
  <c r="JA56" i="22"/>
  <c r="JB56" i="22"/>
  <c r="JC56" i="22"/>
  <c r="JD56" i="22"/>
  <c r="JE56" i="22"/>
  <c r="JF56" i="22"/>
  <c r="JG56" i="22"/>
  <c r="JH56" i="22"/>
  <c r="JI56" i="22"/>
  <c r="JJ56" i="22"/>
  <c r="JK56" i="22"/>
  <c r="JL56" i="22"/>
  <c r="JM56" i="22"/>
  <c r="JN56" i="22"/>
  <c r="JO56" i="22"/>
  <c r="JP56" i="22"/>
  <c r="JQ56" i="22"/>
  <c r="JR56" i="22"/>
  <c r="JS56" i="22"/>
  <c r="JT56" i="22"/>
  <c r="JU56" i="22"/>
  <c r="JV56" i="22"/>
  <c r="JW56" i="22"/>
  <c r="JX56" i="22"/>
  <c r="JY56" i="22"/>
  <c r="JZ56" i="22"/>
  <c r="KA56" i="22"/>
  <c r="KB56" i="22"/>
  <c r="KC56" i="22"/>
  <c r="KD56" i="22"/>
  <c r="KE56" i="22"/>
  <c r="KF56" i="22"/>
  <c r="KG56" i="22"/>
  <c r="KH56" i="22"/>
  <c r="KI56" i="22"/>
  <c r="KJ56" i="22"/>
  <c r="KK56" i="22"/>
  <c r="KL56" i="22"/>
  <c r="KM56" i="22"/>
  <c r="KN56" i="22"/>
  <c r="KO56" i="22"/>
  <c r="KP56" i="22"/>
  <c r="KQ56" i="22"/>
  <c r="KR56" i="22"/>
  <c r="KS56" i="22"/>
  <c r="KT56" i="22"/>
  <c r="KU56" i="22"/>
  <c r="KV56" i="22"/>
  <c r="KW56" i="22"/>
  <c r="KX56" i="22"/>
  <c r="KY56" i="22"/>
  <c r="KZ56" i="22"/>
  <c r="LA56" i="22"/>
  <c r="LB56" i="22"/>
  <c r="LC56" i="22"/>
  <c r="LD56" i="22"/>
  <c r="LE56" i="22"/>
  <c r="LF56" i="22"/>
  <c r="LG56" i="22"/>
  <c r="LH56" i="22"/>
  <c r="LI56" i="22"/>
  <c r="LJ56" i="22"/>
  <c r="LK56" i="22"/>
  <c r="LL56" i="22"/>
  <c r="LM56" i="22"/>
  <c r="LN56" i="22"/>
  <c r="LO56" i="22"/>
  <c r="LP56" i="22"/>
  <c r="LQ56" i="22"/>
  <c r="LR56" i="22"/>
  <c r="LS56" i="22"/>
  <c r="LT56" i="22"/>
  <c r="LU56" i="22"/>
  <c r="LV56" i="22"/>
  <c r="LW56" i="22"/>
  <c r="LX56" i="22"/>
  <c r="LY56" i="22"/>
  <c r="LZ56" i="22"/>
  <c r="MA56" i="22"/>
  <c r="MB56" i="22"/>
  <c r="MC56" i="22"/>
  <c r="MD56" i="22"/>
  <c r="ME56" i="22"/>
  <c r="MF56" i="22"/>
  <c r="MG56" i="22"/>
  <c r="MH56" i="22"/>
  <c r="MI56" i="22"/>
  <c r="MJ56" i="22"/>
  <c r="MK56" i="22"/>
  <c r="ML56" i="22"/>
  <c r="MM56" i="22"/>
  <c r="MN56" i="22"/>
  <c r="MO56" i="22"/>
  <c r="MP56" i="22"/>
  <c r="MQ56" i="22"/>
  <c r="MR56" i="22"/>
  <c r="MS56" i="22"/>
  <c r="MT56" i="22"/>
  <c r="MU56" i="22"/>
  <c r="MV56" i="22"/>
  <c r="MW56" i="22"/>
  <c r="MX56" i="22"/>
  <c r="MY56" i="22"/>
  <c r="MZ56" i="22"/>
  <c r="NA56" i="22"/>
  <c r="NB56" i="22"/>
  <c r="NS56" i="22"/>
  <c r="B57" i="22"/>
  <c r="C57" i="22"/>
  <c r="D57" i="22"/>
  <c r="E57" i="22"/>
  <c r="F57" i="22"/>
  <c r="G57" i="22"/>
  <c r="H57" i="22"/>
  <c r="I57" i="22"/>
  <c r="J57" i="22"/>
  <c r="K57" i="22"/>
  <c r="L57" i="22"/>
  <c r="M57" i="22"/>
  <c r="N57" i="22"/>
  <c r="O57" i="22"/>
  <c r="P57" i="22"/>
  <c r="Q57" i="22"/>
  <c r="R57" i="22"/>
  <c r="S57" i="22"/>
  <c r="T57" i="22"/>
  <c r="U57" i="22"/>
  <c r="V57" i="22"/>
  <c r="W57" i="22"/>
  <c r="X57" i="22"/>
  <c r="Y57" i="22"/>
  <c r="Z57" i="22"/>
  <c r="AA57" i="22"/>
  <c r="AB57" i="22"/>
  <c r="AC57" i="22"/>
  <c r="AD57" i="22"/>
  <c r="AE57" i="22"/>
  <c r="AF57" i="22"/>
  <c r="AG57" i="22"/>
  <c r="AH57" i="22"/>
  <c r="AI57" i="22"/>
  <c r="AJ57" i="22"/>
  <c r="AK57" i="22"/>
  <c r="AL57" i="22"/>
  <c r="AM57" i="22"/>
  <c r="AN57" i="22"/>
  <c r="AO57" i="22"/>
  <c r="AP57" i="22"/>
  <c r="AQ57" i="22"/>
  <c r="AR57" i="22"/>
  <c r="AS57" i="22"/>
  <c r="AT57" i="22"/>
  <c r="AU57" i="22"/>
  <c r="AV57" i="22"/>
  <c r="AW57" i="22"/>
  <c r="AX57" i="22"/>
  <c r="AY57" i="22"/>
  <c r="AZ57" i="22"/>
  <c r="BA57" i="22"/>
  <c r="BB57" i="22"/>
  <c r="BC57" i="22"/>
  <c r="BD57" i="22"/>
  <c r="BE57" i="22"/>
  <c r="BF57" i="22"/>
  <c r="BG57" i="22"/>
  <c r="BH57" i="22"/>
  <c r="BI57" i="22"/>
  <c r="BJ57" i="22"/>
  <c r="BK57" i="22"/>
  <c r="BL57" i="22"/>
  <c r="BM57" i="22"/>
  <c r="BN57" i="22"/>
  <c r="BO57" i="22"/>
  <c r="BP57" i="22"/>
  <c r="BQ57" i="22"/>
  <c r="BR57" i="22"/>
  <c r="BS57" i="22"/>
  <c r="BT57" i="22"/>
  <c r="BU57" i="22"/>
  <c r="BV57" i="22"/>
  <c r="BW57" i="22"/>
  <c r="BX57" i="22"/>
  <c r="BY57" i="22"/>
  <c r="BZ57" i="22"/>
  <c r="CA57" i="22"/>
  <c r="CB57" i="22"/>
  <c r="CC57" i="22"/>
  <c r="CD57" i="22"/>
  <c r="CE57" i="22"/>
  <c r="CF57" i="22"/>
  <c r="CG57" i="22"/>
  <c r="CH57" i="22"/>
  <c r="CI57" i="22"/>
  <c r="CJ57" i="22"/>
  <c r="CK57" i="22"/>
  <c r="CL57" i="22"/>
  <c r="CM57" i="22"/>
  <c r="CN57" i="22"/>
  <c r="CO57" i="22"/>
  <c r="CP57" i="22"/>
  <c r="CQ57" i="22"/>
  <c r="CR57" i="22"/>
  <c r="CS57" i="22"/>
  <c r="CT57" i="22"/>
  <c r="CU57" i="22"/>
  <c r="CV57" i="22"/>
  <c r="CW57" i="22"/>
  <c r="CX57" i="22"/>
  <c r="CY57" i="22"/>
  <c r="CZ57" i="22"/>
  <c r="DA57" i="22"/>
  <c r="DB57" i="22"/>
  <c r="DC57" i="22"/>
  <c r="DD57" i="22"/>
  <c r="DE57" i="22"/>
  <c r="DF57" i="22"/>
  <c r="DG57" i="22"/>
  <c r="DH57" i="22"/>
  <c r="DI57" i="22"/>
  <c r="DJ57" i="22"/>
  <c r="DK57" i="22"/>
  <c r="DL57" i="22"/>
  <c r="DM57" i="22"/>
  <c r="DN57" i="22"/>
  <c r="DO57" i="22"/>
  <c r="DP57" i="22"/>
  <c r="DQ57" i="22"/>
  <c r="DR57" i="22"/>
  <c r="DS57" i="22"/>
  <c r="DT57" i="22"/>
  <c r="DU57" i="22"/>
  <c r="DV57" i="22"/>
  <c r="DW57" i="22"/>
  <c r="DX57" i="22"/>
  <c r="DY57" i="22"/>
  <c r="DZ57" i="22"/>
  <c r="EA57" i="22"/>
  <c r="EB57" i="22"/>
  <c r="EC57" i="22"/>
  <c r="ED57" i="22"/>
  <c r="EE57" i="22"/>
  <c r="EF57" i="22"/>
  <c r="EG57" i="22"/>
  <c r="EH57" i="22"/>
  <c r="EI57" i="22"/>
  <c r="EJ57" i="22"/>
  <c r="EK57" i="22"/>
  <c r="EL57" i="22"/>
  <c r="EM57" i="22"/>
  <c r="EN57" i="22"/>
  <c r="EO57" i="22"/>
  <c r="EP57" i="22"/>
  <c r="EQ57" i="22"/>
  <c r="ER57" i="22"/>
  <c r="ES57" i="22"/>
  <c r="ET57" i="22"/>
  <c r="EU57" i="22"/>
  <c r="EV57" i="22"/>
  <c r="EW57" i="22"/>
  <c r="EX57" i="22"/>
  <c r="EY57" i="22"/>
  <c r="EZ57" i="22"/>
  <c r="FA57" i="22"/>
  <c r="FB57" i="22"/>
  <c r="FC57" i="22"/>
  <c r="FD57" i="22"/>
  <c r="FE57" i="22"/>
  <c r="FF57" i="22"/>
  <c r="FG57" i="22"/>
  <c r="FH57" i="22"/>
  <c r="FI57" i="22"/>
  <c r="FJ57" i="22"/>
  <c r="FK57" i="22"/>
  <c r="FL57" i="22"/>
  <c r="FM57" i="22"/>
  <c r="FN57" i="22"/>
  <c r="FO57" i="22"/>
  <c r="FP57" i="22"/>
  <c r="FQ57" i="22"/>
  <c r="FR57" i="22"/>
  <c r="FS57" i="22"/>
  <c r="FT57" i="22"/>
  <c r="FU57" i="22"/>
  <c r="FV57" i="22"/>
  <c r="FW57" i="22"/>
  <c r="FX57" i="22"/>
  <c r="FY57" i="22"/>
  <c r="FZ57" i="22"/>
  <c r="GA57" i="22"/>
  <c r="GB57" i="22"/>
  <c r="GC57" i="22"/>
  <c r="GD57" i="22"/>
  <c r="GE57" i="22"/>
  <c r="GF57" i="22"/>
  <c r="GG57" i="22"/>
  <c r="GH57" i="22"/>
  <c r="GI57" i="22"/>
  <c r="GJ57" i="22"/>
  <c r="GK57" i="22"/>
  <c r="GL57" i="22"/>
  <c r="GM57" i="22"/>
  <c r="GN57" i="22"/>
  <c r="GO57" i="22"/>
  <c r="GP57" i="22"/>
  <c r="GQ57" i="22"/>
  <c r="GR57" i="22"/>
  <c r="GS57" i="22"/>
  <c r="GT57" i="22"/>
  <c r="GU57" i="22"/>
  <c r="GV57" i="22"/>
  <c r="GW57" i="22"/>
  <c r="GX57" i="22"/>
  <c r="GY57" i="22"/>
  <c r="GZ57" i="22"/>
  <c r="HA57" i="22"/>
  <c r="HB57" i="22"/>
  <c r="HC57" i="22"/>
  <c r="HD57" i="22"/>
  <c r="HE57" i="22"/>
  <c r="HF57" i="22"/>
  <c r="HG57" i="22"/>
  <c r="HH57" i="22"/>
  <c r="HI57" i="22"/>
  <c r="HJ57" i="22"/>
  <c r="HK57" i="22"/>
  <c r="HL57" i="22"/>
  <c r="HM57" i="22"/>
  <c r="HN57" i="22"/>
  <c r="HO57" i="22"/>
  <c r="HP57" i="22"/>
  <c r="HQ57" i="22"/>
  <c r="HR57" i="22"/>
  <c r="HS57" i="22"/>
  <c r="HT57" i="22"/>
  <c r="HU57" i="22"/>
  <c r="HV57" i="22"/>
  <c r="HW57" i="22"/>
  <c r="HX57" i="22"/>
  <c r="HY57" i="22"/>
  <c r="HZ57" i="22"/>
  <c r="IA57" i="22"/>
  <c r="IB57" i="22"/>
  <c r="IC57" i="22"/>
  <c r="ID57" i="22"/>
  <c r="IE57" i="22"/>
  <c r="IF57" i="22"/>
  <c r="IG57" i="22"/>
  <c r="IH57" i="22"/>
  <c r="II57" i="22"/>
  <c r="IJ57" i="22"/>
  <c r="IK57" i="22"/>
  <c r="IL57" i="22"/>
  <c r="IM57" i="22"/>
  <c r="IN57" i="22"/>
  <c r="IO57" i="22"/>
  <c r="IP57" i="22"/>
  <c r="IQ57" i="22"/>
  <c r="IR57" i="22"/>
  <c r="IS57" i="22"/>
  <c r="IT57" i="22"/>
  <c r="IU57" i="22"/>
  <c r="IV57" i="22"/>
  <c r="IW57" i="22"/>
  <c r="IX57" i="22"/>
  <c r="IY57" i="22"/>
  <c r="IZ57" i="22"/>
  <c r="JA57" i="22"/>
  <c r="JB57" i="22"/>
  <c r="JC57" i="22"/>
  <c r="JD57" i="22"/>
  <c r="JE57" i="22"/>
  <c r="JF57" i="22"/>
  <c r="JG57" i="22"/>
  <c r="JH57" i="22"/>
  <c r="JI57" i="22"/>
  <c r="JJ57" i="22"/>
  <c r="JK57" i="22"/>
  <c r="JL57" i="22"/>
  <c r="JM57" i="22"/>
  <c r="JN57" i="22"/>
  <c r="JO57" i="22"/>
  <c r="JP57" i="22"/>
  <c r="JQ57" i="22"/>
  <c r="JR57" i="22"/>
  <c r="JS57" i="22"/>
  <c r="JT57" i="22"/>
  <c r="JU57" i="22"/>
  <c r="JV57" i="22"/>
  <c r="JW57" i="22"/>
  <c r="JX57" i="22"/>
  <c r="JY57" i="22"/>
  <c r="JZ57" i="22"/>
  <c r="KA57" i="22"/>
  <c r="KB57" i="22"/>
  <c r="KC57" i="22"/>
  <c r="KD57" i="22"/>
  <c r="KE57" i="22"/>
  <c r="KF57" i="22"/>
  <c r="KG57" i="22"/>
  <c r="KH57" i="22"/>
  <c r="KI57" i="22"/>
  <c r="KJ57" i="22"/>
  <c r="KK57" i="22"/>
  <c r="KL57" i="22"/>
  <c r="KM57" i="22"/>
  <c r="KN57" i="22"/>
  <c r="KO57" i="22"/>
  <c r="KP57" i="22"/>
  <c r="KQ57" i="22"/>
  <c r="KR57" i="22"/>
  <c r="KS57" i="22"/>
  <c r="KT57" i="22"/>
  <c r="KU57" i="22"/>
  <c r="KV57" i="22"/>
  <c r="KW57" i="22"/>
  <c r="KX57" i="22"/>
  <c r="KY57" i="22"/>
  <c r="KZ57" i="22"/>
  <c r="LA57" i="22"/>
  <c r="LB57" i="22"/>
  <c r="LC57" i="22"/>
  <c r="LD57" i="22"/>
  <c r="LE57" i="22"/>
  <c r="LF57" i="22"/>
  <c r="LG57" i="22"/>
  <c r="LH57" i="22"/>
  <c r="LI57" i="22"/>
  <c r="LJ57" i="22"/>
  <c r="LK57" i="22"/>
  <c r="LL57" i="22"/>
  <c r="LM57" i="22"/>
  <c r="LN57" i="22"/>
  <c r="LO57" i="22"/>
  <c r="LP57" i="22"/>
  <c r="LQ57" i="22"/>
  <c r="LR57" i="22"/>
  <c r="LS57" i="22"/>
  <c r="LT57" i="22"/>
  <c r="LU57" i="22"/>
  <c r="LV57" i="22"/>
  <c r="LW57" i="22"/>
  <c r="LX57" i="22"/>
  <c r="LY57" i="22"/>
  <c r="LZ57" i="22"/>
  <c r="MA57" i="22"/>
  <c r="MB57" i="22"/>
  <c r="MC57" i="22"/>
  <c r="MD57" i="22"/>
  <c r="ME57" i="22"/>
  <c r="MF57" i="22"/>
  <c r="MG57" i="22"/>
  <c r="MH57" i="22"/>
  <c r="MI57" i="22"/>
  <c r="MJ57" i="22"/>
  <c r="MK57" i="22"/>
  <c r="ML57" i="22"/>
  <c r="MM57" i="22"/>
  <c r="MN57" i="22"/>
  <c r="MO57" i="22"/>
  <c r="MP57" i="22"/>
  <c r="MQ57" i="22"/>
  <c r="MR57" i="22"/>
  <c r="MS57" i="22"/>
  <c r="MT57" i="22"/>
  <c r="MU57" i="22"/>
  <c r="MV57" i="22"/>
  <c r="MW57" i="22"/>
  <c r="MX57" i="22"/>
  <c r="MY57" i="22"/>
  <c r="MZ57" i="22"/>
  <c r="NA57" i="22"/>
  <c r="NB57" i="22"/>
  <c r="NC57" i="22"/>
  <c r="NS57" i="22"/>
  <c r="B58" i="22"/>
  <c r="C58" i="22"/>
  <c r="D58" i="22"/>
  <c r="E58" i="22"/>
  <c r="F58" i="22"/>
  <c r="G58" i="22"/>
  <c r="H58" i="22"/>
  <c r="I58" i="22"/>
  <c r="J58" i="22"/>
  <c r="K58" i="22"/>
  <c r="L58" i="22"/>
  <c r="M58" i="22"/>
  <c r="N58" i="22"/>
  <c r="O58" i="22"/>
  <c r="P58" i="22"/>
  <c r="Q58" i="22"/>
  <c r="R58" i="22"/>
  <c r="S58" i="22"/>
  <c r="T58" i="22"/>
  <c r="U58" i="22"/>
  <c r="V58" i="22"/>
  <c r="W58" i="22"/>
  <c r="X58" i="22"/>
  <c r="Y58" i="22"/>
  <c r="Z58" i="22"/>
  <c r="AA58" i="22"/>
  <c r="AB58" i="22"/>
  <c r="AC58" i="22"/>
  <c r="AD58" i="22"/>
  <c r="AE58" i="22"/>
  <c r="AF58" i="22"/>
  <c r="AG58" i="22"/>
  <c r="AH58" i="22"/>
  <c r="AI58" i="22"/>
  <c r="AJ58" i="22"/>
  <c r="AK58" i="22"/>
  <c r="AL58" i="22"/>
  <c r="AM58" i="22"/>
  <c r="AN58" i="22"/>
  <c r="AO58" i="22"/>
  <c r="AP58" i="22"/>
  <c r="AQ58" i="22"/>
  <c r="AR58" i="22"/>
  <c r="AS58" i="22"/>
  <c r="AT58" i="22"/>
  <c r="AU58" i="22"/>
  <c r="AV58" i="22"/>
  <c r="AW58" i="22"/>
  <c r="AX58" i="22"/>
  <c r="AY58" i="22"/>
  <c r="AZ58" i="22"/>
  <c r="BA58" i="22"/>
  <c r="BB58" i="22"/>
  <c r="BC58" i="22"/>
  <c r="BD58" i="22"/>
  <c r="BE58" i="22"/>
  <c r="BF58" i="22"/>
  <c r="BG58" i="22"/>
  <c r="BH58" i="22"/>
  <c r="BJ58" i="22"/>
  <c r="BK58" i="22"/>
  <c r="BL58" i="22"/>
  <c r="BM58" i="22"/>
  <c r="BN58" i="22"/>
  <c r="BO58" i="22"/>
  <c r="BP58" i="22"/>
  <c r="BQ58" i="22"/>
  <c r="BR58" i="22"/>
  <c r="BS58" i="22"/>
  <c r="BT58" i="22"/>
  <c r="BU58" i="22"/>
  <c r="BV58" i="22"/>
  <c r="BW58" i="22"/>
  <c r="BX58" i="22"/>
  <c r="BY58" i="22"/>
  <c r="BZ58" i="22"/>
  <c r="CA58" i="22"/>
  <c r="CB58" i="22"/>
  <c r="CC58" i="22"/>
  <c r="CD58" i="22"/>
  <c r="CE58" i="22"/>
  <c r="CF58" i="22"/>
  <c r="CG58" i="22"/>
  <c r="CH58" i="22"/>
  <c r="CI58" i="22"/>
  <c r="CJ58" i="22"/>
  <c r="CK58" i="22"/>
  <c r="CL58" i="22"/>
  <c r="CM58" i="22"/>
  <c r="CN58" i="22"/>
  <c r="CO58" i="22"/>
  <c r="CP58" i="22"/>
  <c r="CQ58" i="22"/>
  <c r="CR58" i="22"/>
  <c r="CS58" i="22"/>
  <c r="CT58" i="22"/>
  <c r="CU58" i="22"/>
  <c r="CV58" i="22"/>
  <c r="CW58" i="22"/>
  <c r="CX58" i="22"/>
  <c r="CY58" i="22"/>
  <c r="CZ58" i="22"/>
  <c r="DA58" i="22"/>
  <c r="DB58" i="22"/>
  <c r="DC58" i="22"/>
  <c r="DD58" i="22"/>
  <c r="DE58" i="22"/>
  <c r="DF58" i="22"/>
  <c r="DG58" i="22"/>
  <c r="DH58" i="22"/>
  <c r="DI58" i="22"/>
  <c r="DJ58" i="22"/>
  <c r="DK58" i="22"/>
  <c r="DL58" i="22"/>
  <c r="DM58" i="22"/>
  <c r="DN58" i="22"/>
  <c r="DO58" i="22"/>
  <c r="DP58" i="22"/>
  <c r="DQ58" i="22"/>
  <c r="DR58" i="22"/>
  <c r="DS58" i="22"/>
  <c r="DT58" i="22"/>
  <c r="DU58" i="22"/>
  <c r="DV58" i="22"/>
  <c r="DW58" i="22"/>
  <c r="DX58" i="22"/>
  <c r="DY58" i="22"/>
  <c r="DZ58" i="22"/>
  <c r="EA58" i="22"/>
  <c r="EB58" i="22"/>
  <c r="EC58" i="22"/>
  <c r="ED58" i="22"/>
  <c r="EE58" i="22"/>
  <c r="EF58" i="22"/>
  <c r="EG58" i="22"/>
  <c r="EH58" i="22"/>
  <c r="EI58" i="22"/>
  <c r="EJ58" i="22"/>
  <c r="EK58" i="22"/>
  <c r="EL58" i="22"/>
  <c r="EM58" i="22"/>
  <c r="EN58" i="22"/>
  <c r="EO58" i="22"/>
  <c r="EP58" i="22"/>
  <c r="EQ58" i="22"/>
  <c r="ER58" i="22"/>
  <c r="ES58" i="22"/>
  <c r="ET58" i="22"/>
  <c r="EU58" i="22"/>
  <c r="EV58" i="22"/>
  <c r="EW58" i="22"/>
  <c r="EX58" i="22"/>
  <c r="EY58" i="22"/>
  <c r="EZ58" i="22"/>
  <c r="FA58" i="22"/>
  <c r="FB58" i="22"/>
  <c r="FC58" i="22"/>
  <c r="FD58" i="22"/>
  <c r="FE58" i="22"/>
  <c r="FF58" i="22"/>
  <c r="FG58" i="22"/>
  <c r="FH58" i="22"/>
  <c r="FI58" i="22"/>
  <c r="FJ58" i="22"/>
  <c r="FK58" i="22"/>
  <c r="FL58" i="22"/>
  <c r="FM58" i="22"/>
  <c r="FN58" i="22"/>
  <c r="FO58" i="22"/>
  <c r="FP58" i="22"/>
  <c r="FQ58" i="22"/>
  <c r="FR58" i="22"/>
  <c r="FS58" i="22"/>
  <c r="FT58" i="22"/>
  <c r="FU58" i="22"/>
  <c r="FV58" i="22"/>
  <c r="FW58" i="22"/>
  <c r="FX58" i="22"/>
  <c r="FY58" i="22"/>
  <c r="FZ58" i="22"/>
  <c r="GA58" i="22"/>
  <c r="GB58" i="22"/>
  <c r="GC58" i="22"/>
  <c r="GD58" i="22"/>
  <c r="GE58" i="22"/>
  <c r="GF58" i="22"/>
  <c r="GG58" i="22"/>
  <c r="GH58" i="22"/>
  <c r="GI58" i="22"/>
  <c r="GJ58" i="22"/>
  <c r="GK58" i="22"/>
  <c r="GL58" i="22"/>
  <c r="GM58" i="22"/>
  <c r="GN58" i="22"/>
  <c r="GO58" i="22"/>
  <c r="GP58" i="22"/>
  <c r="GQ58" i="22"/>
  <c r="GR58" i="22"/>
  <c r="GS58" i="22"/>
  <c r="GT58" i="22"/>
  <c r="GU58" i="22"/>
  <c r="GV58" i="22"/>
  <c r="GW58" i="22"/>
  <c r="GX58" i="22"/>
  <c r="GY58" i="22"/>
  <c r="GZ58" i="22"/>
  <c r="HA58" i="22"/>
  <c r="HB58" i="22"/>
  <c r="HC58" i="22"/>
  <c r="HD58" i="22"/>
  <c r="HE58" i="22"/>
  <c r="HF58" i="22"/>
  <c r="HG58" i="22"/>
  <c r="HH58" i="22"/>
  <c r="HI58" i="22"/>
  <c r="HJ58" i="22"/>
  <c r="HK58" i="22"/>
  <c r="HL58" i="22"/>
  <c r="HM58" i="22"/>
  <c r="HN58" i="22"/>
  <c r="HO58" i="22"/>
  <c r="HP58" i="22"/>
  <c r="HQ58" i="22"/>
  <c r="HR58" i="22"/>
  <c r="HS58" i="22"/>
  <c r="HT58" i="22"/>
  <c r="HU58" i="22"/>
  <c r="HV58" i="22"/>
  <c r="HW58" i="22"/>
  <c r="HX58" i="22"/>
  <c r="HY58" i="22"/>
  <c r="HZ58" i="22"/>
  <c r="IA58" i="22"/>
  <c r="IB58" i="22"/>
  <c r="IC58" i="22"/>
  <c r="ID58" i="22"/>
  <c r="IE58" i="22"/>
  <c r="IF58" i="22"/>
  <c r="IG58" i="22"/>
  <c r="IH58" i="22"/>
  <c r="II58" i="22"/>
  <c r="IJ58" i="22"/>
  <c r="IK58" i="22"/>
  <c r="IL58" i="22"/>
  <c r="IM58" i="22"/>
  <c r="IN58" i="22"/>
  <c r="IO58" i="22"/>
  <c r="IP58" i="22"/>
  <c r="IQ58" i="22"/>
  <c r="IR58" i="22"/>
  <c r="IS58" i="22"/>
  <c r="IT58" i="22"/>
  <c r="IU58" i="22"/>
  <c r="IV58" i="22"/>
  <c r="IW58" i="22"/>
  <c r="IX58" i="22"/>
  <c r="IY58" i="22"/>
  <c r="IZ58" i="22"/>
  <c r="JA58" i="22"/>
  <c r="JB58" i="22"/>
  <c r="JC58" i="22"/>
  <c r="JD58" i="22"/>
  <c r="JE58" i="22"/>
  <c r="JF58" i="22"/>
  <c r="JG58" i="22"/>
  <c r="JH58" i="22"/>
  <c r="JI58" i="22"/>
  <c r="JJ58" i="22"/>
  <c r="JK58" i="22"/>
  <c r="JL58" i="22"/>
  <c r="JM58" i="22"/>
  <c r="JN58" i="22"/>
  <c r="JO58" i="22"/>
  <c r="JP58" i="22"/>
  <c r="JQ58" i="22"/>
  <c r="JR58" i="22"/>
  <c r="JS58" i="22"/>
  <c r="JT58" i="22"/>
  <c r="JU58" i="22"/>
  <c r="JV58" i="22"/>
  <c r="JW58" i="22"/>
  <c r="JX58" i="22"/>
  <c r="JY58" i="22"/>
  <c r="JZ58" i="22"/>
  <c r="KA58" i="22"/>
  <c r="KB58" i="22"/>
  <c r="KC58" i="22"/>
  <c r="KD58" i="22"/>
  <c r="KE58" i="22"/>
  <c r="KF58" i="22"/>
  <c r="KG58" i="22"/>
  <c r="KH58" i="22"/>
  <c r="KI58" i="22"/>
  <c r="KJ58" i="22"/>
  <c r="KK58" i="22"/>
  <c r="KL58" i="22"/>
  <c r="KM58" i="22"/>
  <c r="KN58" i="22"/>
  <c r="KO58" i="22"/>
  <c r="KP58" i="22"/>
  <c r="KQ58" i="22"/>
  <c r="KR58" i="22"/>
  <c r="KS58" i="22"/>
  <c r="KT58" i="22"/>
  <c r="KU58" i="22"/>
  <c r="KV58" i="22"/>
  <c r="KW58" i="22"/>
  <c r="KX58" i="22"/>
  <c r="KY58" i="22"/>
  <c r="KZ58" i="22"/>
  <c r="LA58" i="22"/>
  <c r="LB58" i="22"/>
  <c r="LC58" i="22"/>
  <c r="LD58" i="22"/>
  <c r="LE58" i="22"/>
  <c r="LF58" i="22"/>
  <c r="LG58" i="22"/>
  <c r="LH58" i="22"/>
  <c r="LI58" i="22"/>
  <c r="LJ58" i="22"/>
  <c r="LK58" i="22"/>
  <c r="LL58" i="22"/>
  <c r="LM58" i="22"/>
  <c r="LN58" i="22"/>
  <c r="LO58" i="22"/>
  <c r="LP58" i="22"/>
  <c r="LQ58" i="22"/>
  <c r="LR58" i="22"/>
  <c r="LS58" i="22"/>
  <c r="LT58" i="22"/>
  <c r="LU58" i="22"/>
  <c r="LV58" i="22"/>
  <c r="LW58" i="22"/>
  <c r="LX58" i="22"/>
  <c r="LY58" i="22"/>
  <c r="LZ58" i="22"/>
  <c r="MA58" i="22"/>
  <c r="MB58" i="22"/>
  <c r="MC58" i="22"/>
  <c r="MD58" i="22"/>
  <c r="ME58" i="22"/>
  <c r="MF58" i="22"/>
  <c r="MG58" i="22"/>
  <c r="MH58" i="22"/>
  <c r="MI58" i="22"/>
  <c r="MJ58" i="22"/>
  <c r="MK58" i="22"/>
  <c r="ML58" i="22"/>
  <c r="MM58" i="22"/>
  <c r="MN58" i="22"/>
  <c r="MO58" i="22"/>
  <c r="MP58" i="22"/>
  <c r="MQ58" i="22"/>
  <c r="MR58" i="22"/>
  <c r="MS58" i="22"/>
  <c r="MT58" i="22"/>
  <c r="MU58" i="22"/>
  <c r="MV58" i="22"/>
  <c r="MW58" i="22"/>
  <c r="MX58" i="22"/>
  <c r="MY58" i="22"/>
  <c r="MZ58" i="22"/>
  <c r="NA58" i="22"/>
  <c r="NB58" i="22"/>
  <c r="NS58" i="22"/>
  <c r="B59" i="22"/>
  <c r="C59" i="22"/>
  <c r="D59" i="22"/>
  <c r="E59" i="22"/>
  <c r="F59" i="22"/>
  <c r="G59" i="22"/>
  <c r="H59" i="22"/>
  <c r="I59" i="22"/>
  <c r="J59" i="22"/>
  <c r="K59" i="22"/>
  <c r="L59" i="22"/>
  <c r="M59" i="22"/>
  <c r="N59" i="22"/>
  <c r="O59" i="22"/>
  <c r="P59" i="22"/>
  <c r="Q59" i="22"/>
  <c r="R59" i="22"/>
  <c r="S59" i="22"/>
  <c r="T59" i="22"/>
  <c r="U59" i="22"/>
  <c r="V59" i="22"/>
  <c r="W59" i="22"/>
  <c r="X59" i="22"/>
  <c r="Y59" i="22"/>
  <c r="Z59" i="22"/>
  <c r="AA59" i="22"/>
  <c r="AB59" i="22"/>
  <c r="AC59" i="22"/>
  <c r="AD59" i="22"/>
  <c r="AE59" i="22"/>
  <c r="AF59" i="22"/>
  <c r="AG59" i="22"/>
  <c r="AH59" i="22"/>
  <c r="AI59" i="22"/>
  <c r="AJ59" i="22"/>
  <c r="AK59" i="22"/>
  <c r="AL59" i="22"/>
  <c r="AM59" i="22"/>
  <c r="AN59" i="22"/>
  <c r="AO59" i="22"/>
  <c r="AP59" i="22"/>
  <c r="AQ59" i="22"/>
  <c r="AR59" i="22"/>
  <c r="AS59" i="22"/>
  <c r="AT59" i="22"/>
  <c r="AU59" i="22"/>
  <c r="AV59" i="22"/>
  <c r="AW59" i="22"/>
  <c r="AX59" i="22"/>
  <c r="AY59" i="22"/>
  <c r="AZ59" i="22"/>
  <c r="BA59" i="22"/>
  <c r="BB59" i="22"/>
  <c r="BC59" i="22"/>
  <c r="BD59" i="22"/>
  <c r="BE59" i="22"/>
  <c r="BF59" i="22"/>
  <c r="BG59" i="22"/>
  <c r="BH59" i="22"/>
  <c r="BJ59" i="22"/>
  <c r="BK59" i="22"/>
  <c r="BL59" i="22"/>
  <c r="BM59" i="22"/>
  <c r="BN59" i="22"/>
  <c r="BO59" i="22"/>
  <c r="BP59" i="22"/>
  <c r="BQ59" i="22"/>
  <c r="BR59" i="22"/>
  <c r="BS59" i="22"/>
  <c r="BT59" i="22"/>
  <c r="BU59" i="22"/>
  <c r="BV59" i="22"/>
  <c r="BW59" i="22"/>
  <c r="BX59" i="22"/>
  <c r="BY59" i="22"/>
  <c r="BZ59" i="22"/>
  <c r="CA59" i="22"/>
  <c r="CB59" i="22"/>
  <c r="CC59" i="22"/>
  <c r="CD59" i="22"/>
  <c r="CE59" i="22"/>
  <c r="CF59" i="22"/>
  <c r="CG59" i="22"/>
  <c r="CH59" i="22"/>
  <c r="CI59" i="22"/>
  <c r="CJ59" i="22"/>
  <c r="CK59" i="22"/>
  <c r="CL59" i="22"/>
  <c r="CM59" i="22"/>
  <c r="CN59" i="22"/>
  <c r="CO59" i="22"/>
  <c r="CP59" i="22"/>
  <c r="CQ59" i="22"/>
  <c r="CR59" i="22"/>
  <c r="CS59" i="22"/>
  <c r="CT59" i="22"/>
  <c r="CU59" i="22"/>
  <c r="CV59" i="22"/>
  <c r="CW59" i="22"/>
  <c r="CX59" i="22"/>
  <c r="CY59" i="22"/>
  <c r="CZ59" i="22"/>
  <c r="DA59" i="22"/>
  <c r="DB59" i="22"/>
  <c r="DC59" i="22"/>
  <c r="DD59" i="22"/>
  <c r="DE59" i="22"/>
  <c r="DF59" i="22"/>
  <c r="DG59" i="22"/>
  <c r="DH59" i="22"/>
  <c r="DI59" i="22"/>
  <c r="DJ59" i="22"/>
  <c r="DK59" i="22"/>
  <c r="DL59" i="22"/>
  <c r="DM59" i="22"/>
  <c r="DN59" i="22"/>
  <c r="DO59" i="22"/>
  <c r="DP59" i="22"/>
  <c r="DQ59" i="22"/>
  <c r="DR59" i="22"/>
  <c r="DS59" i="22"/>
  <c r="DT59" i="22"/>
  <c r="DU59" i="22"/>
  <c r="DV59" i="22"/>
  <c r="DW59" i="22"/>
  <c r="DX59" i="22"/>
  <c r="DY59" i="22"/>
  <c r="DZ59" i="22"/>
  <c r="EA59" i="22"/>
  <c r="EB59" i="22"/>
  <c r="EC59" i="22"/>
  <c r="ED59" i="22"/>
  <c r="EE59" i="22"/>
  <c r="EF59" i="22"/>
  <c r="EG59" i="22"/>
  <c r="EH59" i="22"/>
  <c r="EI59" i="22"/>
  <c r="EJ59" i="22"/>
  <c r="EK59" i="22"/>
  <c r="EL59" i="22"/>
  <c r="EM59" i="22"/>
  <c r="EN59" i="22"/>
  <c r="EO59" i="22"/>
  <c r="EP59" i="22"/>
  <c r="EQ59" i="22"/>
  <c r="ER59" i="22"/>
  <c r="ES59" i="22"/>
  <c r="ET59" i="22"/>
  <c r="EU59" i="22"/>
  <c r="EV59" i="22"/>
  <c r="EW59" i="22"/>
  <c r="EX59" i="22"/>
  <c r="EY59" i="22"/>
  <c r="EZ59" i="22"/>
  <c r="FA59" i="22"/>
  <c r="FB59" i="22"/>
  <c r="FC59" i="22"/>
  <c r="FD59" i="22"/>
  <c r="FE59" i="22"/>
  <c r="FF59" i="22"/>
  <c r="FG59" i="22"/>
  <c r="FH59" i="22"/>
  <c r="FI59" i="22"/>
  <c r="FJ59" i="22"/>
  <c r="FK59" i="22"/>
  <c r="FL59" i="22"/>
  <c r="FM59" i="22"/>
  <c r="FN59" i="22"/>
  <c r="FO59" i="22"/>
  <c r="FP59" i="22"/>
  <c r="FQ59" i="22"/>
  <c r="FR59" i="22"/>
  <c r="FS59" i="22"/>
  <c r="FT59" i="22"/>
  <c r="FU59" i="22"/>
  <c r="FV59" i="22"/>
  <c r="FW59" i="22"/>
  <c r="FX59" i="22"/>
  <c r="FY59" i="22"/>
  <c r="FZ59" i="22"/>
  <c r="GA59" i="22"/>
  <c r="GB59" i="22"/>
  <c r="GC59" i="22"/>
  <c r="GD59" i="22"/>
  <c r="GE59" i="22"/>
  <c r="GF59" i="22"/>
  <c r="GG59" i="22"/>
  <c r="GH59" i="22"/>
  <c r="GI59" i="22"/>
  <c r="GJ59" i="22"/>
  <c r="GK59" i="22"/>
  <c r="GL59" i="22"/>
  <c r="GM59" i="22"/>
  <c r="GN59" i="22"/>
  <c r="GO59" i="22"/>
  <c r="GP59" i="22"/>
  <c r="GQ59" i="22"/>
  <c r="GR59" i="22"/>
  <c r="GS59" i="22"/>
  <c r="GT59" i="22"/>
  <c r="GU59" i="22"/>
  <c r="GV59" i="22"/>
  <c r="GW59" i="22"/>
  <c r="GX59" i="22"/>
  <c r="GY59" i="22"/>
  <c r="GZ59" i="22"/>
  <c r="HA59" i="22"/>
  <c r="HB59" i="22"/>
  <c r="HC59" i="22"/>
  <c r="HD59" i="22"/>
  <c r="HE59" i="22"/>
  <c r="HF59" i="22"/>
  <c r="HG59" i="22"/>
  <c r="HH59" i="22"/>
  <c r="HI59" i="22"/>
  <c r="HJ59" i="22"/>
  <c r="HK59" i="22"/>
  <c r="HL59" i="22"/>
  <c r="HM59" i="22"/>
  <c r="HN59" i="22"/>
  <c r="HO59" i="22"/>
  <c r="HP59" i="22"/>
  <c r="HQ59" i="22"/>
  <c r="HR59" i="22"/>
  <c r="HS59" i="22"/>
  <c r="HT59" i="22"/>
  <c r="HU59" i="22"/>
  <c r="HV59" i="22"/>
  <c r="HW59" i="22"/>
  <c r="HX59" i="22"/>
  <c r="HY59" i="22"/>
  <c r="HZ59" i="22"/>
  <c r="IA59" i="22"/>
  <c r="IB59" i="22"/>
  <c r="IC59" i="22"/>
  <c r="ID59" i="22"/>
  <c r="IE59" i="22"/>
  <c r="IF59" i="22"/>
  <c r="IG59" i="22"/>
  <c r="IH59" i="22"/>
  <c r="II59" i="22"/>
  <c r="IJ59" i="22"/>
  <c r="IK59" i="22"/>
  <c r="IL59" i="22"/>
  <c r="IM59" i="22"/>
  <c r="IN59" i="22"/>
  <c r="IO59" i="22"/>
  <c r="IP59" i="22"/>
  <c r="IQ59" i="22"/>
  <c r="IR59" i="22"/>
  <c r="IS59" i="22"/>
  <c r="IT59" i="22"/>
  <c r="IU59" i="22"/>
  <c r="IV59" i="22"/>
  <c r="IW59" i="22"/>
  <c r="IX59" i="22"/>
  <c r="IY59" i="22"/>
  <c r="IZ59" i="22"/>
  <c r="JA59" i="22"/>
  <c r="JB59" i="22"/>
  <c r="JC59" i="22"/>
  <c r="JD59" i="22"/>
  <c r="JE59" i="22"/>
  <c r="JF59" i="22"/>
  <c r="JG59" i="22"/>
  <c r="JH59" i="22"/>
  <c r="JI59" i="22"/>
  <c r="JJ59" i="22"/>
  <c r="JK59" i="22"/>
  <c r="JL59" i="22"/>
  <c r="JM59" i="22"/>
  <c r="JN59" i="22"/>
  <c r="JO59" i="22"/>
  <c r="JP59" i="22"/>
  <c r="JQ59" i="22"/>
  <c r="JR59" i="22"/>
  <c r="JS59" i="22"/>
  <c r="JT59" i="22"/>
  <c r="JU59" i="22"/>
  <c r="JV59" i="22"/>
  <c r="JW59" i="22"/>
  <c r="JX59" i="22"/>
  <c r="JY59" i="22"/>
  <c r="JZ59" i="22"/>
  <c r="KA59" i="22"/>
  <c r="KB59" i="22"/>
  <c r="KC59" i="22"/>
  <c r="KD59" i="22"/>
  <c r="KE59" i="22"/>
  <c r="KF59" i="22"/>
  <c r="KG59" i="22"/>
  <c r="KH59" i="22"/>
  <c r="KI59" i="22"/>
  <c r="KJ59" i="22"/>
  <c r="KK59" i="22"/>
  <c r="KL59" i="22"/>
  <c r="KM59" i="22"/>
  <c r="KN59" i="22"/>
  <c r="KO59" i="22"/>
  <c r="KP59" i="22"/>
  <c r="KQ59" i="22"/>
  <c r="KR59" i="22"/>
  <c r="KS59" i="22"/>
  <c r="KT59" i="22"/>
  <c r="KU59" i="22"/>
  <c r="KV59" i="22"/>
  <c r="KW59" i="22"/>
  <c r="KX59" i="22"/>
  <c r="KY59" i="22"/>
  <c r="KZ59" i="22"/>
  <c r="LA59" i="22"/>
  <c r="LB59" i="22"/>
  <c r="LC59" i="22"/>
  <c r="LD59" i="22"/>
  <c r="LE59" i="22"/>
  <c r="LF59" i="22"/>
  <c r="LG59" i="22"/>
  <c r="LH59" i="22"/>
  <c r="LI59" i="22"/>
  <c r="LJ59" i="22"/>
  <c r="LK59" i="22"/>
  <c r="LL59" i="22"/>
  <c r="LM59" i="22"/>
  <c r="LN59" i="22"/>
  <c r="LO59" i="22"/>
  <c r="LP59" i="22"/>
  <c r="LQ59" i="22"/>
  <c r="LR59" i="22"/>
  <c r="LS59" i="22"/>
  <c r="LT59" i="22"/>
  <c r="LU59" i="22"/>
  <c r="LV59" i="22"/>
  <c r="LW59" i="22"/>
  <c r="LX59" i="22"/>
  <c r="LY59" i="22"/>
  <c r="LZ59" i="22"/>
  <c r="MA59" i="22"/>
  <c r="MB59" i="22"/>
  <c r="MC59" i="22"/>
  <c r="MD59" i="22"/>
  <c r="ME59" i="22"/>
  <c r="MF59" i="22"/>
  <c r="MG59" i="22"/>
  <c r="MH59" i="22"/>
  <c r="MI59" i="22"/>
  <c r="MJ59" i="22"/>
  <c r="MK59" i="22"/>
  <c r="ML59" i="22"/>
  <c r="MM59" i="22"/>
  <c r="MN59" i="22"/>
  <c r="MO59" i="22"/>
  <c r="MP59" i="22"/>
  <c r="MQ59" i="22"/>
  <c r="MR59" i="22"/>
  <c r="MS59" i="22"/>
  <c r="MT59" i="22"/>
  <c r="MU59" i="22"/>
  <c r="MV59" i="22"/>
  <c r="MW59" i="22"/>
  <c r="MX59" i="22"/>
  <c r="MY59" i="22"/>
  <c r="MZ59" i="22"/>
  <c r="NA59" i="22"/>
  <c r="NB59" i="22"/>
  <c r="NS59" i="22"/>
  <c r="B60" i="22"/>
  <c r="C60" i="22"/>
  <c r="D60" i="22"/>
  <c r="E60" i="22"/>
  <c r="F60" i="22"/>
  <c r="G60" i="22"/>
  <c r="H60" i="22"/>
  <c r="I60" i="22"/>
  <c r="J60" i="22"/>
  <c r="K60" i="22"/>
  <c r="L60" i="22"/>
  <c r="M60" i="22"/>
  <c r="N60" i="22"/>
  <c r="O60" i="22"/>
  <c r="P60" i="22"/>
  <c r="Q60" i="22"/>
  <c r="R60" i="22"/>
  <c r="S60" i="22"/>
  <c r="T60" i="22"/>
  <c r="U60" i="22"/>
  <c r="V60" i="22"/>
  <c r="W60" i="22"/>
  <c r="X60" i="22"/>
  <c r="Y60" i="22"/>
  <c r="Z60" i="22"/>
  <c r="AA60" i="22"/>
  <c r="AB60" i="22"/>
  <c r="AC60" i="22"/>
  <c r="AD60" i="22"/>
  <c r="AE60" i="22"/>
  <c r="AF60" i="22"/>
  <c r="AG60" i="22"/>
  <c r="AH60" i="22"/>
  <c r="AI60" i="22"/>
  <c r="AJ60" i="22"/>
  <c r="AK60" i="22"/>
  <c r="AL60" i="22"/>
  <c r="AM60" i="22"/>
  <c r="AN60" i="22"/>
  <c r="AO60" i="22"/>
  <c r="AP60" i="22"/>
  <c r="AQ60" i="22"/>
  <c r="AR60" i="22"/>
  <c r="AS60" i="22"/>
  <c r="AT60" i="22"/>
  <c r="AU60" i="22"/>
  <c r="AV60" i="22"/>
  <c r="AW60" i="22"/>
  <c r="AX60" i="22"/>
  <c r="AY60" i="22"/>
  <c r="AZ60" i="22"/>
  <c r="BA60" i="22"/>
  <c r="BB60" i="22"/>
  <c r="BC60" i="22"/>
  <c r="BD60" i="22"/>
  <c r="BE60" i="22"/>
  <c r="BF60" i="22"/>
  <c r="BG60" i="22"/>
  <c r="BH60" i="22"/>
  <c r="BJ60" i="22"/>
  <c r="BK60" i="22"/>
  <c r="BL60" i="22"/>
  <c r="BM60" i="22"/>
  <c r="BN60" i="22"/>
  <c r="BO60" i="22"/>
  <c r="BP60" i="22"/>
  <c r="BQ60" i="22"/>
  <c r="BR60" i="22"/>
  <c r="BS60" i="22"/>
  <c r="BT60" i="22"/>
  <c r="BU60" i="22"/>
  <c r="BV60" i="22"/>
  <c r="BW60" i="22"/>
  <c r="BX60" i="22"/>
  <c r="BY60" i="22"/>
  <c r="BZ60" i="22"/>
  <c r="CA60" i="22"/>
  <c r="CB60" i="22"/>
  <c r="CC60" i="22"/>
  <c r="CD60" i="22"/>
  <c r="CE60" i="22"/>
  <c r="CF60" i="22"/>
  <c r="CG60" i="22"/>
  <c r="CH60" i="22"/>
  <c r="CI60" i="22"/>
  <c r="CJ60" i="22"/>
  <c r="CK60" i="22"/>
  <c r="CL60" i="22"/>
  <c r="CM60" i="22"/>
  <c r="CN60" i="22"/>
  <c r="CO60" i="22"/>
  <c r="CP60" i="22"/>
  <c r="CQ60" i="22"/>
  <c r="CR60" i="22"/>
  <c r="CS60" i="22"/>
  <c r="CT60" i="22"/>
  <c r="CU60" i="22"/>
  <c r="CV60" i="22"/>
  <c r="CW60" i="22"/>
  <c r="CX60" i="22"/>
  <c r="CY60" i="22"/>
  <c r="CZ60" i="22"/>
  <c r="DA60" i="22"/>
  <c r="DB60" i="22"/>
  <c r="DC60" i="22"/>
  <c r="DD60" i="22"/>
  <c r="DE60" i="22"/>
  <c r="DF60" i="22"/>
  <c r="DG60" i="22"/>
  <c r="DH60" i="22"/>
  <c r="DI60" i="22"/>
  <c r="DJ60" i="22"/>
  <c r="DK60" i="22"/>
  <c r="DL60" i="22"/>
  <c r="DM60" i="22"/>
  <c r="DN60" i="22"/>
  <c r="DO60" i="22"/>
  <c r="DP60" i="22"/>
  <c r="DQ60" i="22"/>
  <c r="DR60" i="22"/>
  <c r="DS60" i="22"/>
  <c r="DT60" i="22"/>
  <c r="DU60" i="22"/>
  <c r="DV60" i="22"/>
  <c r="DW60" i="22"/>
  <c r="DX60" i="22"/>
  <c r="DY60" i="22"/>
  <c r="DZ60" i="22"/>
  <c r="EA60" i="22"/>
  <c r="EB60" i="22"/>
  <c r="EC60" i="22"/>
  <c r="ED60" i="22"/>
  <c r="EE60" i="22"/>
  <c r="EF60" i="22"/>
  <c r="EG60" i="22"/>
  <c r="EH60" i="22"/>
  <c r="EI60" i="22"/>
  <c r="EJ60" i="22"/>
  <c r="EK60" i="22"/>
  <c r="EL60" i="22"/>
  <c r="EM60" i="22"/>
  <c r="EN60" i="22"/>
  <c r="EO60" i="22"/>
  <c r="EP60" i="22"/>
  <c r="EQ60" i="22"/>
  <c r="ER60" i="22"/>
  <c r="ES60" i="22"/>
  <c r="ET60" i="22"/>
  <c r="EU60" i="22"/>
  <c r="EV60" i="22"/>
  <c r="EW60" i="22"/>
  <c r="EX60" i="22"/>
  <c r="EY60" i="22"/>
  <c r="EZ60" i="22"/>
  <c r="FA60" i="22"/>
  <c r="FB60" i="22"/>
  <c r="FC60" i="22"/>
  <c r="FD60" i="22"/>
  <c r="FE60" i="22"/>
  <c r="FF60" i="22"/>
  <c r="FG60" i="22"/>
  <c r="FH60" i="22"/>
  <c r="FI60" i="22"/>
  <c r="FJ60" i="22"/>
  <c r="FK60" i="22"/>
  <c r="FL60" i="22"/>
  <c r="FM60" i="22"/>
  <c r="FN60" i="22"/>
  <c r="FO60" i="22"/>
  <c r="FP60" i="22"/>
  <c r="FQ60" i="22"/>
  <c r="FR60" i="22"/>
  <c r="FS60" i="22"/>
  <c r="FT60" i="22"/>
  <c r="FU60" i="22"/>
  <c r="FV60" i="22"/>
  <c r="FW60" i="22"/>
  <c r="FX60" i="22"/>
  <c r="FY60" i="22"/>
  <c r="FZ60" i="22"/>
  <c r="GA60" i="22"/>
  <c r="GB60" i="22"/>
  <c r="GC60" i="22"/>
  <c r="GD60" i="22"/>
  <c r="GE60" i="22"/>
  <c r="GF60" i="22"/>
  <c r="GG60" i="22"/>
  <c r="GH60" i="22"/>
  <c r="GI60" i="22"/>
  <c r="GJ60" i="22"/>
  <c r="GK60" i="22"/>
  <c r="GL60" i="22"/>
  <c r="GM60" i="22"/>
  <c r="GN60" i="22"/>
  <c r="GO60" i="22"/>
  <c r="GP60" i="22"/>
  <c r="GQ60" i="22"/>
  <c r="GR60" i="22"/>
  <c r="GS60" i="22"/>
  <c r="GT60" i="22"/>
  <c r="GU60" i="22"/>
  <c r="GV60" i="22"/>
  <c r="GW60" i="22"/>
  <c r="GX60" i="22"/>
  <c r="GY60" i="22"/>
  <c r="GZ60" i="22"/>
  <c r="HA60" i="22"/>
  <c r="HB60" i="22"/>
  <c r="HC60" i="22"/>
  <c r="HD60" i="22"/>
  <c r="HE60" i="22"/>
  <c r="HF60" i="22"/>
  <c r="HG60" i="22"/>
  <c r="HH60" i="22"/>
  <c r="HI60" i="22"/>
  <c r="HJ60" i="22"/>
  <c r="HK60" i="22"/>
  <c r="HL60" i="22"/>
  <c r="HM60" i="22"/>
  <c r="HN60" i="22"/>
  <c r="HO60" i="22"/>
  <c r="HP60" i="22"/>
  <c r="HQ60" i="22"/>
  <c r="HR60" i="22"/>
  <c r="HS60" i="22"/>
  <c r="HT60" i="22"/>
  <c r="HU60" i="22"/>
  <c r="HV60" i="22"/>
  <c r="HW60" i="22"/>
  <c r="HX60" i="22"/>
  <c r="HY60" i="22"/>
  <c r="HZ60" i="22"/>
  <c r="IA60" i="22"/>
  <c r="IB60" i="22"/>
  <c r="IC60" i="22"/>
  <c r="ID60" i="22"/>
  <c r="IE60" i="22"/>
  <c r="IF60" i="22"/>
  <c r="IG60" i="22"/>
  <c r="IH60" i="22"/>
  <c r="II60" i="22"/>
  <c r="IJ60" i="22"/>
  <c r="IK60" i="22"/>
  <c r="IL60" i="22"/>
  <c r="IM60" i="22"/>
  <c r="IN60" i="22"/>
  <c r="IO60" i="22"/>
  <c r="IP60" i="22"/>
  <c r="IQ60" i="22"/>
  <c r="IR60" i="22"/>
  <c r="IS60" i="22"/>
  <c r="IT60" i="22"/>
  <c r="IU60" i="22"/>
  <c r="IV60" i="22"/>
  <c r="IW60" i="22"/>
  <c r="IX60" i="22"/>
  <c r="IY60" i="22"/>
  <c r="IZ60" i="22"/>
  <c r="JA60" i="22"/>
  <c r="JB60" i="22"/>
  <c r="JC60" i="22"/>
  <c r="JD60" i="22"/>
  <c r="JE60" i="22"/>
  <c r="JF60" i="22"/>
  <c r="JG60" i="22"/>
  <c r="JH60" i="22"/>
  <c r="JI60" i="22"/>
  <c r="JJ60" i="22"/>
  <c r="JK60" i="22"/>
  <c r="JL60" i="22"/>
  <c r="JM60" i="22"/>
  <c r="JN60" i="22"/>
  <c r="JO60" i="22"/>
  <c r="JP60" i="22"/>
  <c r="JQ60" i="22"/>
  <c r="JR60" i="22"/>
  <c r="JS60" i="22"/>
  <c r="JT60" i="22"/>
  <c r="JU60" i="22"/>
  <c r="JV60" i="22"/>
  <c r="JW60" i="22"/>
  <c r="JX60" i="22"/>
  <c r="JY60" i="22"/>
  <c r="JZ60" i="22"/>
  <c r="KA60" i="22"/>
  <c r="KB60" i="22"/>
  <c r="KC60" i="22"/>
  <c r="KD60" i="22"/>
  <c r="KE60" i="22"/>
  <c r="KF60" i="22"/>
  <c r="KG60" i="22"/>
  <c r="KH60" i="22"/>
  <c r="KI60" i="22"/>
  <c r="KJ60" i="22"/>
  <c r="KK60" i="22"/>
  <c r="KL60" i="22"/>
  <c r="KM60" i="22"/>
  <c r="KN60" i="22"/>
  <c r="KO60" i="22"/>
  <c r="KP60" i="22"/>
  <c r="KQ60" i="22"/>
  <c r="KR60" i="22"/>
  <c r="KS60" i="22"/>
  <c r="KT60" i="22"/>
  <c r="KU60" i="22"/>
  <c r="KV60" i="22"/>
  <c r="KW60" i="22"/>
  <c r="KX60" i="22"/>
  <c r="KY60" i="22"/>
  <c r="KZ60" i="22"/>
  <c r="LA60" i="22"/>
  <c r="LB60" i="22"/>
  <c r="LC60" i="22"/>
  <c r="LD60" i="22"/>
  <c r="LE60" i="22"/>
  <c r="LF60" i="22"/>
  <c r="LG60" i="22"/>
  <c r="LH60" i="22"/>
  <c r="LI60" i="22"/>
  <c r="LJ60" i="22"/>
  <c r="LK60" i="22"/>
  <c r="LL60" i="22"/>
  <c r="LM60" i="22"/>
  <c r="LN60" i="22"/>
  <c r="LO60" i="22"/>
  <c r="LP60" i="22"/>
  <c r="LQ60" i="22"/>
  <c r="LR60" i="22"/>
  <c r="LS60" i="22"/>
  <c r="LT60" i="22"/>
  <c r="LU60" i="22"/>
  <c r="LV60" i="22"/>
  <c r="LW60" i="22"/>
  <c r="LX60" i="22"/>
  <c r="LY60" i="22"/>
  <c r="LZ60" i="22"/>
  <c r="MA60" i="22"/>
  <c r="MB60" i="22"/>
  <c r="MC60" i="22"/>
  <c r="MD60" i="22"/>
  <c r="ME60" i="22"/>
  <c r="MF60" i="22"/>
  <c r="MG60" i="22"/>
  <c r="MH60" i="22"/>
  <c r="MI60" i="22"/>
  <c r="MJ60" i="22"/>
  <c r="MK60" i="22"/>
  <c r="ML60" i="22"/>
  <c r="MM60" i="22"/>
  <c r="MN60" i="22"/>
  <c r="MO60" i="22"/>
  <c r="MP60" i="22"/>
  <c r="MQ60" i="22"/>
  <c r="MR60" i="22"/>
  <c r="MS60" i="22"/>
  <c r="MT60" i="22"/>
  <c r="MU60" i="22"/>
  <c r="MV60" i="22"/>
  <c r="MW60" i="22"/>
  <c r="MX60" i="22"/>
  <c r="MY60" i="22"/>
  <c r="MZ60" i="22"/>
  <c r="NA60" i="22"/>
  <c r="NB60" i="22"/>
  <c r="NS60" i="22"/>
  <c r="B61" i="22"/>
  <c r="C61" i="22"/>
  <c r="D61" i="22"/>
  <c r="E61" i="22"/>
  <c r="F61" i="22"/>
  <c r="G61" i="22"/>
  <c r="H61" i="22"/>
  <c r="I61" i="22"/>
  <c r="J61" i="22"/>
  <c r="K61" i="22"/>
  <c r="L61" i="22"/>
  <c r="M61" i="22"/>
  <c r="N61" i="22"/>
  <c r="O61" i="22"/>
  <c r="P61" i="22"/>
  <c r="Q61" i="22"/>
  <c r="R61" i="22"/>
  <c r="S61" i="22"/>
  <c r="T61" i="22"/>
  <c r="U61" i="22"/>
  <c r="V61" i="22"/>
  <c r="W61" i="22"/>
  <c r="X61" i="22"/>
  <c r="Y61" i="22"/>
  <c r="Z61" i="22"/>
  <c r="AA61" i="22"/>
  <c r="AB61" i="22"/>
  <c r="AC61" i="22"/>
  <c r="AD61" i="22"/>
  <c r="AE61" i="22"/>
  <c r="AF61" i="22"/>
  <c r="AG61" i="22"/>
  <c r="AH61" i="22"/>
  <c r="AI61" i="22"/>
  <c r="AJ61" i="22"/>
  <c r="AK61" i="22"/>
  <c r="AL61" i="22"/>
  <c r="AM61" i="22"/>
  <c r="AN61" i="22"/>
  <c r="AO61" i="22"/>
  <c r="AP61" i="22"/>
  <c r="AQ61" i="22"/>
  <c r="AR61" i="22"/>
  <c r="AS61" i="22"/>
  <c r="AT61" i="22"/>
  <c r="AU61" i="22"/>
  <c r="AV61" i="22"/>
  <c r="AW61" i="22"/>
  <c r="AX61" i="22"/>
  <c r="AY61" i="22"/>
  <c r="AZ61" i="22"/>
  <c r="BA61" i="22"/>
  <c r="BB61" i="22"/>
  <c r="BC61" i="22"/>
  <c r="BD61" i="22"/>
  <c r="BE61" i="22"/>
  <c r="BF61" i="22"/>
  <c r="BG61" i="22"/>
  <c r="BH61" i="22"/>
  <c r="BI61" i="22"/>
  <c r="BJ61" i="22"/>
  <c r="BK61" i="22"/>
  <c r="BL61" i="22"/>
  <c r="BM61" i="22"/>
  <c r="BN61" i="22"/>
  <c r="BO61" i="22"/>
  <c r="BP61" i="22"/>
  <c r="BQ61" i="22"/>
  <c r="BR61" i="22"/>
  <c r="BS61" i="22"/>
  <c r="BT61" i="22"/>
  <c r="BU61" i="22"/>
  <c r="BV61" i="22"/>
  <c r="BW61" i="22"/>
  <c r="BX61" i="22"/>
  <c r="BY61" i="22"/>
  <c r="BZ61" i="22"/>
  <c r="CA61" i="22"/>
  <c r="CB61" i="22"/>
  <c r="CC61" i="22"/>
  <c r="CD61" i="22"/>
  <c r="CE61" i="22"/>
  <c r="CF61" i="22"/>
  <c r="CG61" i="22"/>
  <c r="CH61" i="22"/>
  <c r="CI61" i="22"/>
  <c r="CJ61" i="22"/>
  <c r="CK61" i="22"/>
  <c r="CL61" i="22"/>
  <c r="CM61" i="22"/>
  <c r="CN61" i="22"/>
  <c r="CO61" i="22"/>
  <c r="CP61" i="22"/>
  <c r="CQ61" i="22"/>
  <c r="CR61" i="22"/>
  <c r="CS61" i="22"/>
  <c r="CT61" i="22"/>
  <c r="CU61" i="22"/>
  <c r="CV61" i="22"/>
  <c r="CW61" i="22"/>
  <c r="CX61" i="22"/>
  <c r="CY61" i="22"/>
  <c r="CZ61" i="22"/>
  <c r="DA61" i="22"/>
  <c r="DB61" i="22"/>
  <c r="DC61" i="22"/>
  <c r="DD61" i="22"/>
  <c r="DE61" i="22"/>
  <c r="DF61" i="22"/>
  <c r="DG61" i="22"/>
  <c r="DH61" i="22"/>
  <c r="DI61" i="22"/>
  <c r="DJ61" i="22"/>
  <c r="DK61" i="22"/>
  <c r="DL61" i="22"/>
  <c r="DM61" i="22"/>
  <c r="DN61" i="22"/>
  <c r="DO61" i="22"/>
  <c r="DP61" i="22"/>
  <c r="DQ61" i="22"/>
  <c r="DR61" i="22"/>
  <c r="DS61" i="22"/>
  <c r="DT61" i="22"/>
  <c r="DU61" i="22"/>
  <c r="DV61" i="22"/>
  <c r="DW61" i="22"/>
  <c r="DX61" i="22"/>
  <c r="DY61" i="22"/>
  <c r="DZ61" i="22"/>
  <c r="EA61" i="22"/>
  <c r="EB61" i="22"/>
  <c r="EC61" i="22"/>
  <c r="ED61" i="22"/>
  <c r="EE61" i="22"/>
  <c r="EF61" i="22"/>
  <c r="EG61" i="22"/>
  <c r="EH61" i="22"/>
  <c r="EI61" i="22"/>
  <c r="EJ61" i="22"/>
  <c r="EK61" i="22"/>
  <c r="EL61" i="22"/>
  <c r="EM61" i="22"/>
  <c r="EN61" i="22"/>
  <c r="EO61" i="22"/>
  <c r="EP61" i="22"/>
  <c r="EQ61" i="22"/>
  <c r="ER61" i="22"/>
  <c r="ES61" i="22"/>
  <c r="ET61" i="22"/>
  <c r="EU61" i="22"/>
  <c r="EV61" i="22"/>
  <c r="EW61" i="22"/>
  <c r="EX61" i="22"/>
  <c r="EY61" i="22"/>
  <c r="EZ61" i="22"/>
  <c r="FA61" i="22"/>
  <c r="FB61" i="22"/>
  <c r="FC61" i="22"/>
  <c r="FD61" i="22"/>
  <c r="FE61" i="22"/>
  <c r="FF61" i="22"/>
  <c r="FG61" i="22"/>
  <c r="FH61" i="22"/>
  <c r="FI61" i="22"/>
  <c r="FJ61" i="22"/>
  <c r="FK61" i="22"/>
  <c r="FL61" i="22"/>
  <c r="FM61" i="22"/>
  <c r="FN61" i="22"/>
  <c r="FO61" i="22"/>
  <c r="FP61" i="22"/>
  <c r="FQ61" i="22"/>
  <c r="FR61" i="22"/>
  <c r="FS61" i="22"/>
  <c r="FT61" i="22"/>
  <c r="FU61" i="22"/>
  <c r="FV61" i="22"/>
  <c r="FW61" i="22"/>
  <c r="FX61" i="22"/>
  <c r="FY61" i="22"/>
  <c r="FZ61" i="22"/>
  <c r="GA61" i="22"/>
  <c r="GB61" i="22"/>
  <c r="GC61" i="22"/>
  <c r="GD61" i="22"/>
  <c r="GE61" i="22"/>
  <c r="GF61" i="22"/>
  <c r="GG61" i="22"/>
  <c r="GH61" i="22"/>
  <c r="GI61" i="22"/>
  <c r="GJ61" i="22"/>
  <c r="GK61" i="22"/>
  <c r="GL61" i="22"/>
  <c r="GM61" i="22"/>
  <c r="GN61" i="22"/>
  <c r="GO61" i="22"/>
  <c r="GP61" i="22"/>
  <c r="GQ61" i="22"/>
  <c r="GR61" i="22"/>
  <c r="GS61" i="22"/>
  <c r="GT61" i="22"/>
  <c r="GU61" i="22"/>
  <c r="GV61" i="22"/>
  <c r="GW61" i="22"/>
  <c r="GX61" i="22"/>
  <c r="GY61" i="22"/>
  <c r="GZ61" i="22"/>
  <c r="HA61" i="22"/>
  <c r="HB61" i="22"/>
  <c r="HC61" i="22"/>
  <c r="HD61" i="22"/>
  <c r="HE61" i="22"/>
  <c r="HF61" i="22"/>
  <c r="HG61" i="22"/>
  <c r="HH61" i="22"/>
  <c r="HI61" i="22"/>
  <c r="HJ61" i="22"/>
  <c r="HK61" i="22"/>
  <c r="HL61" i="22"/>
  <c r="HM61" i="22"/>
  <c r="HN61" i="22"/>
  <c r="HO61" i="22"/>
  <c r="HP61" i="22"/>
  <c r="HQ61" i="22"/>
  <c r="HR61" i="22"/>
  <c r="HS61" i="22"/>
  <c r="HT61" i="22"/>
  <c r="HU61" i="22"/>
  <c r="HV61" i="22"/>
  <c r="HW61" i="22"/>
  <c r="HX61" i="22"/>
  <c r="HY61" i="22"/>
  <c r="HZ61" i="22"/>
  <c r="IA61" i="22"/>
  <c r="IB61" i="22"/>
  <c r="IC61" i="22"/>
  <c r="ID61" i="22"/>
  <c r="IE61" i="22"/>
  <c r="IF61" i="22"/>
  <c r="IG61" i="22"/>
  <c r="IH61" i="22"/>
  <c r="II61" i="22"/>
  <c r="IJ61" i="22"/>
  <c r="IK61" i="22"/>
  <c r="IL61" i="22"/>
  <c r="IM61" i="22"/>
  <c r="IN61" i="22"/>
  <c r="IO61" i="22"/>
  <c r="IP61" i="22"/>
  <c r="IQ61" i="22"/>
  <c r="IR61" i="22"/>
  <c r="IS61" i="22"/>
  <c r="IT61" i="22"/>
  <c r="IU61" i="22"/>
  <c r="IV61" i="22"/>
  <c r="IW61" i="22"/>
  <c r="IX61" i="22"/>
  <c r="IY61" i="22"/>
  <c r="IZ61" i="22"/>
  <c r="JA61" i="22"/>
  <c r="JB61" i="22"/>
  <c r="JC61" i="22"/>
  <c r="JD61" i="22"/>
  <c r="JE61" i="22"/>
  <c r="JF61" i="22"/>
  <c r="JG61" i="22"/>
  <c r="JH61" i="22"/>
  <c r="JI61" i="22"/>
  <c r="JJ61" i="22"/>
  <c r="JK61" i="22"/>
  <c r="JL61" i="22"/>
  <c r="JM61" i="22"/>
  <c r="JN61" i="22"/>
  <c r="JO61" i="22"/>
  <c r="JP61" i="22"/>
  <c r="JQ61" i="22"/>
  <c r="JR61" i="22"/>
  <c r="JS61" i="22"/>
  <c r="JT61" i="22"/>
  <c r="JU61" i="22"/>
  <c r="JV61" i="22"/>
  <c r="JW61" i="22"/>
  <c r="JX61" i="22"/>
  <c r="JY61" i="22"/>
  <c r="JZ61" i="22"/>
  <c r="KA61" i="22"/>
  <c r="KB61" i="22"/>
  <c r="KC61" i="22"/>
  <c r="KD61" i="22"/>
  <c r="KE61" i="22"/>
  <c r="KF61" i="22"/>
  <c r="KG61" i="22"/>
  <c r="KH61" i="22"/>
  <c r="KI61" i="22"/>
  <c r="KJ61" i="22"/>
  <c r="KK61" i="22"/>
  <c r="KL61" i="22"/>
  <c r="KM61" i="22"/>
  <c r="KN61" i="22"/>
  <c r="KO61" i="22"/>
  <c r="KP61" i="22"/>
  <c r="KQ61" i="22"/>
  <c r="KR61" i="22"/>
  <c r="KS61" i="22"/>
  <c r="KT61" i="22"/>
  <c r="KU61" i="22"/>
  <c r="KV61" i="22"/>
  <c r="KW61" i="22"/>
  <c r="KX61" i="22"/>
  <c r="KY61" i="22"/>
  <c r="KZ61" i="22"/>
  <c r="LA61" i="22"/>
  <c r="LB61" i="22"/>
  <c r="LC61" i="22"/>
  <c r="LD61" i="22"/>
  <c r="LE61" i="22"/>
  <c r="LF61" i="22"/>
  <c r="LG61" i="22"/>
  <c r="LH61" i="22"/>
  <c r="LI61" i="22"/>
  <c r="LJ61" i="22"/>
  <c r="LK61" i="22"/>
  <c r="LL61" i="22"/>
  <c r="LM61" i="22"/>
  <c r="LN61" i="22"/>
  <c r="LO61" i="22"/>
  <c r="LP61" i="22"/>
  <c r="LQ61" i="22"/>
  <c r="LR61" i="22"/>
  <c r="LS61" i="22"/>
  <c r="LT61" i="22"/>
  <c r="LU61" i="22"/>
  <c r="LV61" i="22"/>
  <c r="LW61" i="22"/>
  <c r="LX61" i="22"/>
  <c r="LY61" i="22"/>
  <c r="LZ61" i="22"/>
  <c r="MA61" i="22"/>
  <c r="MB61" i="22"/>
  <c r="MC61" i="22"/>
  <c r="MD61" i="22"/>
  <c r="ME61" i="22"/>
  <c r="MF61" i="22"/>
  <c r="MG61" i="22"/>
  <c r="MH61" i="22"/>
  <c r="MI61" i="22"/>
  <c r="MJ61" i="22"/>
  <c r="MK61" i="22"/>
  <c r="ML61" i="22"/>
  <c r="MM61" i="22"/>
  <c r="MN61" i="22"/>
  <c r="MO61" i="22"/>
  <c r="MP61" i="22"/>
  <c r="MQ61" i="22"/>
  <c r="MR61" i="22"/>
  <c r="MS61" i="22"/>
  <c r="MT61" i="22"/>
  <c r="MU61" i="22"/>
  <c r="MV61" i="22"/>
  <c r="MW61" i="22"/>
  <c r="MX61" i="22"/>
  <c r="MY61" i="22"/>
  <c r="MZ61" i="22"/>
  <c r="NA61" i="22"/>
  <c r="NB61" i="22"/>
  <c r="NC61" i="22"/>
  <c r="NS61" i="22"/>
  <c r="B62" i="22"/>
  <c r="C62" i="22"/>
  <c r="D62" i="22"/>
  <c r="E62" i="22"/>
  <c r="F62" i="22"/>
  <c r="G62" i="22"/>
  <c r="H62" i="22"/>
  <c r="I62" i="22"/>
  <c r="J62" i="22"/>
  <c r="K62" i="22"/>
  <c r="L62" i="22"/>
  <c r="M62" i="22"/>
  <c r="N62" i="22"/>
  <c r="O62" i="22"/>
  <c r="P62" i="22"/>
  <c r="Q62" i="22"/>
  <c r="R62" i="22"/>
  <c r="S62" i="22"/>
  <c r="T62" i="22"/>
  <c r="U62" i="22"/>
  <c r="V62" i="22"/>
  <c r="W62" i="22"/>
  <c r="X62" i="22"/>
  <c r="Y62" i="22"/>
  <c r="Z62" i="22"/>
  <c r="AA62" i="22"/>
  <c r="AB62" i="22"/>
  <c r="AC62" i="22"/>
  <c r="AD62" i="22"/>
  <c r="AE62" i="22"/>
  <c r="AF62" i="22"/>
  <c r="AG62" i="22"/>
  <c r="AH62" i="22"/>
  <c r="AI62" i="22"/>
  <c r="AJ62" i="22"/>
  <c r="AK62" i="22"/>
  <c r="AL62" i="22"/>
  <c r="AM62" i="22"/>
  <c r="AN62" i="22"/>
  <c r="AO62" i="22"/>
  <c r="AP62" i="22"/>
  <c r="AQ62" i="22"/>
  <c r="AR62" i="22"/>
  <c r="AS62" i="22"/>
  <c r="AT62" i="22"/>
  <c r="AU62" i="22"/>
  <c r="AV62" i="22"/>
  <c r="AW62" i="22"/>
  <c r="AX62" i="22"/>
  <c r="AY62" i="22"/>
  <c r="AZ62" i="22"/>
  <c r="BA62" i="22"/>
  <c r="BB62" i="22"/>
  <c r="BC62" i="22"/>
  <c r="BD62" i="22"/>
  <c r="BE62" i="22"/>
  <c r="BF62" i="22"/>
  <c r="BG62" i="22"/>
  <c r="BH62" i="22"/>
  <c r="BJ62" i="22"/>
  <c r="BK62" i="22"/>
  <c r="BL62" i="22"/>
  <c r="BM62" i="22"/>
  <c r="BN62" i="22"/>
  <c r="BO62" i="22"/>
  <c r="BP62" i="22"/>
  <c r="BQ62" i="22"/>
  <c r="BR62" i="22"/>
  <c r="BS62" i="22"/>
  <c r="BT62" i="22"/>
  <c r="BU62" i="22"/>
  <c r="BV62" i="22"/>
  <c r="BW62" i="22"/>
  <c r="BX62" i="22"/>
  <c r="BY62" i="22"/>
  <c r="BZ62" i="22"/>
  <c r="CA62" i="22"/>
  <c r="CB62" i="22"/>
  <c r="CC62" i="22"/>
  <c r="CD62" i="22"/>
  <c r="CE62" i="22"/>
  <c r="CF62" i="22"/>
  <c r="CG62" i="22"/>
  <c r="CH62" i="22"/>
  <c r="CI62" i="22"/>
  <c r="CJ62" i="22"/>
  <c r="CK62" i="22"/>
  <c r="CL62" i="22"/>
  <c r="CM62" i="22"/>
  <c r="CN62" i="22"/>
  <c r="CO62" i="22"/>
  <c r="CP62" i="22"/>
  <c r="CQ62" i="22"/>
  <c r="CR62" i="22"/>
  <c r="CS62" i="22"/>
  <c r="CT62" i="22"/>
  <c r="CU62" i="22"/>
  <c r="CV62" i="22"/>
  <c r="CW62" i="22"/>
  <c r="CX62" i="22"/>
  <c r="CY62" i="22"/>
  <c r="CZ62" i="22"/>
  <c r="DA62" i="22"/>
  <c r="DB62" i="22"/>
  <c r="DC62" i="22"/>
  <c r="DD62" i="22"/>
  <c r="DE62" i="22"/>
  <c r="DF62" i="22"/>
  <c r="DG62" i="22"/>
  <c r="DH62" i="22"/>
  <c r="DI62" i="22"/>
  <c r="DJ62" i="22"/>
  <c r="DK62" i="22"/>
  <c r="DL62" i="22"/>
  <c r="DM62" i="22"/>
  <c r="DN62" i="22"/>
  <c r="DO62" i="22"/>
  <c r="DP62" i="22"/>
  <c r="DQ62" i="22"/>
  <c r="DR62" i="22"/>
  <c r="DS62" i="22"/>
  <c r="DT62" i="22"/>
  <c r="DU62" i="22"/>
  <c r="DV62" i="22"/>
  <c r="DW62" i="22"/>
  <c r="DX62" i="22"/>
  <c r="DY62" i="22"/>
  <c r="DZ62" i="22"/>
  <c r="EA62" i="22"/>
  <c r="EB62" i="22"/>
  <c r="EC62" i="22"/>
  <c r="ED62" i="22"/>
  <c r="EE62" i="22"/>
  <c r="EF62" i="22"/>
  <c r="EG62" i="22"/>
  <c r="EH62" i="22"/>
  <c r="EI62" i="22"/>
  <c r="EJ62" i="22"/>
  <c r="EK62" i="22"/>
  <c r="EL62" i="22"/>
  <c r="EM62" i="22"/>
  <c r="EN62" i="22"/>
  <c r="EO62" i="22"/>
  <c r="EP62" i="22"/>
  <c r="EQ62" i="22"/>
  <c r="ER62" i="22"/>
  <c r="ES62" i="22"/>
  <c r="ET62" i="22"/>
  <c r="EU62" i="22"/>
  <c r="EV62" i="22"/>
  <c r="EW62" i="22"/>
  <c r="EX62" i="22"/>
  <c r="EY62" i="22"/>
  <c r="EZ62" i="22"/>
  <c r="FA62" i="22"/>
  <c r="FB62" i="22"/>
  <c r="FC62" i="22"/>
  <c r="FD62" i="22"/>
  <c r="FE62" i="22"/>
  <c r="FF62" i="22"/>
  <c r="FG62" i="22"/>
  <c r="FH62" i="22"/>
  <c r="FI62" i="22"/>
  <c r="FJ62" i="22"/>
  <c r="FK62" i="22"/>
  <c r="FL62" i="22"/>
  <c r="FM62" i="22"/>
  <c r="FN62" i="22"/>
  <c r="FO62" i="22"/>
  <c r="FP62" i="22"/>
  <c r="FQ62" i="22"/>
  <c r="FR62" i="22"/>
  <c r="FS62" i="22"/>
  <c r="FT62" i="22"/>
  <c r="FU62" i="22"/>
  <c r="FV62" i="22"/>
  <c r="FW62" i="22"/>
  <c r="FX62" i="22"/>
  <c r="FY62" i="22"/>
  <c r="FZ62" i="22"/>
  <c r="GA62" i="22"/>
  <c r="GB62" i="22"/>
  <c r="GC62" i="22"/>
  <c r="GD62" i="22"/>
  <c r="GE62" i="22"/>
  <c r="GF62" i="22"/>
  <c r="GG62" i="22"/>
  <c r="GH62" i="22"/>
  <c r="GI62" i="22"/>
  <c r="GJ62" i="22"/>
  <c r="GK62" i="22"/>
  <c r="GL62" i="22"/>
  <c r="GM62" i="22"/>
  <c r="GN62" i="22"/>
  <c r="GO62" i="22"/>
  <c r="GP62" i="22"/>
  <c r="GQ62" i="22"/>
  <c r="GR62" i="22"/>
  <c r="GS62" i="22"/>
  <c r="GT62" i="22"/>
  <c r="GU62" i="22"/>
  <c r="GV62" i="22"/>
  <c r="GW62" i="22"/>
  <c r="GX62" i="22"/>
  <c r="GY62" i="22"/>
  <c r="GZ62" i="22"/>
  <c r="HA62" i="22"/>
  <c r="HB62" i="22"/>
  <c r="HC62" i="22"/>
  <c r="HD62" i="22"/>
  <c r="HE62" i="22"/>
  <c r="HF62" i="22"/>
  <c r="HG62" i="22"/>
  <c r="HH62" i="22"/>
  <c r="HI62" i="22"/>
  <c r="HJ62" i="22"/>
  <c r="HK62" i="22"/>
  <c r="HL62" i="22"/>
  <c r="HM62" i="22"/>
  <c r="HN62" i="22"/>
  <c r="HO62" i="22"/>
  <c r="HP62" i="22"/>
  <c r="HQ62" i="22"/>
  <c r="HR62" i="22"/>
  <c r="HS62" i="22"/>
  <c r="HT62" i="22"/>
  <c r="HU62" i="22"/>
  <c r="HV62" i="22"/>
  <c r="HW62" i="22"/>
  <c r="HX62" i="22"/>
  <c r="HY62" i="22"/>
  <c r="HZ62" i="22"/>
  <c r="IA62" i="22"/>
  <c r="IB62" i="22"/>
  <c r="IC62" i="22"/>
  <c r="ID62" i="22"/>
  <c r="IE62" i="22"/>
  <c r="IF62" i="22"/>
  <c r="IG62" i="22"/>
  <c r="IH62" i="22"/>
  <c r="II62" i="22"/>
  <c r="IJ62" i="22"/>
  <c r="IK62" i="22"/>
  <c r="IL62" i="22"/>
  <c r="IM62" i="22"/>
  <c r="IN62" i="22"/>
  <c r="IO62" i="22"/>
  <c r="IP62" i="22"/>
  <c r="IQ62" i="22"/>
  <c r="IR62" i="22"/>
  <c r="IS62" i="22"/>
  <c r="IT62" i="22"/>
  <c r="IU62" i="22"/>
  <c r="IV62" i="22"/>
  <c r="IW62" i="22"/>
  <c r="IX62" i="22"/>
  <c r="IY62" i="22"/>
  <c r="IZ62" i="22"/>
  <c r="JA62" i="22"/>
  <c r="JB62" i="22"/>
  <c r="JC62" i="22"/>
  <c r="JD62" i="22"/>
  <c r="JE62" i="22"/>
  <c r="JF62" i="22"/>
  <c r="JG62" i="22"/>
  <c r="JH62" i="22"/>
  <c r="JI62" i="22"/>
  <c r="JJ62" i="22"/>
  <c r="JK62" i="22"/>
  <c r="JL62" i="22"/>
  <c r="JM62" i="22"/>
  <c r="JN62" i="22"/>
  <c r="JO62" i="22"/>
  <c r="JP62" i="22"/>
  <c r="JQ62" i="22"/>
  <c r="JR62" i="22"/>
  <c r="JS62" i="22"/>
  <c r="JT62" i="22"/>
  <c r="JU62" i="22"/>
  <c r="JV62" i="22"/>
  <c r="JW62" i="22"/>
  <c r="JX62" i="22"/>
  <c r="JY62" i="22"/>
  <c r="JZ62" i="22"/>
  <c r="KA62" i="22"/>
  <c r="KB62" i="22"/>
  <c r="KC62" i="22"/>
  <c r="KD62" i="22"/>
  <c r="KE62" i="22"/>
  <c r="KF62" i="22"/>
  <c r="KG62" i="22"/>
  <c r="KH62" i="22"/>
  <c r="KI62" i="22"/>
  <c r="KJ62" i="22"/>
  <c r="KK62" i="22"/>
  <c r="KL62" i="22"/>
  <c r="KM62" i="22"/>
  <c r="KN62" i="22"/>
  <c r="KO62" i="22"/>
  <c r="KP62" i="22"/>
  <c r="KQ62" i="22"/>
  <c r="KR62" i="22"/>
  <c r="KS62" i="22"/>
  <c r="KT62" i="22"/>
  <c r="KU62" i="22"/>
  <c r="KV62" i="22"/>
  <c r="KW62" i="22"/>
  <c r="KX62" i="22"/>
  <c r="KY62" i="22"/>
  <c r="KZ62" i="22"/>
  <c r="LA62" i="22"/>
  <c r="LB62" i="22"/>
  <c r="LC62" i="22"/>
  <c r="LD62" i="22"/>
  <c r="LE62" i="22"/>
  <c r="LF62" i="22"/>
  <c r="LG62" i="22"/>
  <c r="LH62" i="22"/>
  <c r="LI62" i="22"/>
  <c r="LJ62" i="22"/>
  <c r="LK62" i="22"/>
  <c r="LL62" i="22"/>
  <c r="LM62" i="22"/>
  <c r="LN62" i="22"/>
  <c r="LO62" i="22"/>
  <c r="LP62" i="22"/>
  <c r="LQ62" i="22"/>
  <c r="LR62" i="22"/>
  <c r="LS62" i="22"/>
  <c r="LT62" i="22"/>
  <c r="LU62" i="22"/>
  <c r="LV62" i="22"/>
  <c r="LW62" i="22"/>
  <c r="LX62" i="22"/>
  <c r="LY62" i="22"/>
  <c r="LZ62" i="22"/>
  <c r="MA62" i="22"/>
  <c r="MB62" i="22"/>
  <c r="MC62" i="22"/>
  <c r="MD62" i="22"/>
  <c r="ME62" i="22"/>
  <c r="MF62" i="22"/>
  <c r="MG62" i="22"/>
  <c r="MH62" i="22"/>
  <c r="MI62" i="22"/>
  <c r="MJ62" i="22"/>
  <c r="MK62" i="22"/>
  <c r="ML62" i="22"/>
  <c r="MM62" i="22"/>
  <c r="MN62" i="22"/>
  <c r="MO62" i="22"/>
  <c r="MP62" i="22"/>
  <c r="MQ62" i="22"/>
  <c r="MR62" i="22"/>
  <c r="MS62" i="22"/>
  <c r="MT62" i="22"/>
  <c r="MU62" i="22"/>
  <c r="MV62" i="22"/>
  <c r="MW62" i="22"/>
  <c r="MX62" i="22"/>
  <c r="MY62" i="22"/>
  <c r="MZ62" i="22"/>
  <c r="NA62" i="22"/>
  <c r="NB62" i="22"/>
  <c r="NS62" i="22"/>
  <c r="B63" i="22"/>
  <c r="C63" i="22"/>
  <c r="D63" i="22"/>
  <c r="E63" i="22"/>
  <c r="F63" i="22"/>
  <c r="G63" i="22"/>
  <c r="H63" i="22"/>
  <c r="I63" i="22"/>
  <c r="J63" i="22"/>
  <c r="K63" i="22"/>
  <c r="L63" i="22"/>
  <c r="M63" i="22"/>
  <c r="N63" i="22"/>
  <c r="O63" i="22"/>
  <c r="P63" i="22"/>
  <c r="Q63" i="22"/>
  <c r="R63" i="22"/>
  <c r="S63" i="22"/>
  <c r="T63" i="22"/>
  <c r="U63" i="22"/>
  <c r="V63" i="22"/>
  <c r="W63" i="22"/>
  <c r="X63" i="22"/>
  <c r="Y63" i="22"/>
  <c r="Z63" i="22"/>
  <c r="AA63" i="22"/>
  <c r="AB63" i="22"/>
  <c r="AC63" i="22"/>
  <c r="AD63" i="22"/>
  <c r="AE63" i="22"/>
  <c r="AF63" i="22"/>
  <c r="AG63" i="22"/>
  <c r="AH63" i="22"/>
  <c r="AI63" i="22"/>
  <c r="AJ63" i="22"/>
  <c r="AK63" i="22"/>
  <c r="AL63" i="22"/>
  <c r="AM63" i="22"/>
  <c r="AN63" i="22"/>
  <c r="AO63" i="22"/>
  <c r="AP63" i="22"/>
  <c r="AQ63" i="22"/>
  <c r="AR63" i="22"/>
  <c r="AS63" i="22"/>
  <c r="AT63" i="22"/>
  <c r="AU63" i="22"/>
  <c r="AV63" i="22"/>
  <c r="AW63" i="22"/>
  <c r="AX63" i="22"/>
  <c r="AY63" i="22"/>
  <c r="AZ63" i="22"/>
  <c r="BA63" i="22"/>
  <c r="BB63" i="22"/>
  <c r="BC63" i="22"/>
  <c r="BD63" i="22"/>
  <c r="BE63" i="22"/>
  <c r="BF63" i="22"/>
  <c r="BG63" i="22"/>
  <c r="BH63" i="22"/>
  <c r="BJ63" i="22"/>
  <c r="BK63" i="22"/>
  <c r="BL63" i="22"/>
  <c r="BM63" i="22"/>
  <c r="BN63" i="22"/>
  <c r="BO63" i="22"/>
  <c r="BP63" i="22"/>
  <c r="BQ63" i="22"/>
  <c r="BR63" i="22"/>
  <c r="BS63" i="22"/>
  <c r="BT63" i="22"/>
  <c r="BU63" i="22"/>
  <c r="BV63" i="22"/>
  <c r="BW63" i="22"/>
  <c r="BX63" i="22"/>
  <c r="BY63" i="22"/>
  <c r="BZ63" i="22"/>
  <c r="CA63" i="22"/>
  <c r="CB63" i="22"/>
  <c r="CC63" i="22"/>
  <c r="CD63" i="22"/>
  <c r="CE63" i="22"/>
  <c r="CF63" i="22"/>
  <c r="CG63" i="22"/>
  <c r="CH63" i="22"/>
  <c r="CI63" i="22"/>
  <c r="CJ63" i="22"/>
  <c r="CK63" i="22"/>
  <c r="CL63" i="22"/>
  <c r="CM63" i="22"/>
  <c r="CN63" i="22"/>
  <c r="CO63" i="22"/>
  <c r="CP63" i="22"/>
  <c r="CQ63" i="22"/>
  <c r="CR63" i="22"/>
  <c r="CS63" i="22"/>
  <c r="CT63" i="22"/>
  <c r="CU63" i="22"/>
  <c r="CV63" i="22"/>
  <c r="CW63" i="22"/>
  <c r="CX63" i="22"/>
  <c r="CY63" i="22"/>
  <c r="CZ63" i="22"/>
  <c r="DA63" i="22"/>
  <c r="DB63" i="22"/>
  <c r="DC63" i="22"/>
  <c r="DD63" i="22"/>
  <c r="DE63" i="22"/>
  <c r="DF63" i="22"/>
  <c r="DG63" i="22"/>
  <c r="DH63" i="22"/>
  <c r="DI63" i="22"/>
  <c r="DJ63" i="22"/>
  <c r="DK63" i="22"/>
  <c r="DL63" i="22"/>
  <c r="DM63" i="22"/>
  <c r="DN63" i="22"/>
  <c r="DO63" i="22"/>
  <c r="DP63" i="22"/>
  <c r="DQ63" i="22"/>
  <c r="DR63" i="22"/>
  <c r="DS63" i="22"/>
  <c r="DT63" i="22"/>
  <c r="DU63" i="22"/>
  <c r="DV63" i="22"/>
  <c r="DW63" i="22"/>
  <c r="DX63" i="22"/>
  <c r="DY63" i="22"/>
  <c r="DZ63" i="22"/>
  <c r="EA63" i="22"/>
  <c r="EB63" i="22"/>
  <c r="EC63" i="22"/>
  <c r="ED63" i="22"/>
  <c r="EE63" i="22"/>
  <c r="EF63" i="22"/>
  <c r="EG63" i="22"/>
  <c r="EH63" i="22"/>
  <c r="EI63" i="22"/>
  <c r="EJ63" i="22"/>
  <c r="EK63" i="22"/>
  <c r="EL63" i="22"/>
  <c r="EM63" i="22"/>
  <c r="EN63" i="22"/>
  <c r="EO63" i="22"/>
  <c r="EP63" i="22"/>
  <c r="EQ63" i="22"/>
  <c r="ER63" i="22"/>
  <c r="ES63" i="22"/>
  <c r="ET63" i="22"/>
  <c r="EU63" i="22"/>
  <c r="EV63" i="22"/>
  <c r="EW63" i="22"/>
  <c r="EX63" i="22"/>
  <c r="EY63" i="22"/>
  <c r="EZ63" i="22"/>
  <c r="FA63" i="22"/>
  <c r="FB63" i="22"/>
  <c r="FC63" i="22"/>
  <c r="FD63" i="22"/>
  <c r="FE63" i="22"/>
  <c r="FF63" i="22"/>
  <c r="FG63" i="22"/>
  <c r="FH63" i="22"/>
  <c r="FI63" i="22"/>
  <c r="FJ63" i="22"/>
  <c r="FK63" i="22"/>
  <c r="FL63" i="22"/>
  <c r="FM63" i="22"/>
  <c r="FN63" i="22"/>
  <c r="FO63" i="22"/>
  <c r="FP63" i="22"/>
  <c r="FQ63" i="22"/>
  <c r="FR63" i="22"/>
  <c r="FS63" i="22"/>
  <c r="FT63" i="22"/>
  <c r="FU63" i="22"/>
  <c r="FV63" i="22"/>
  <c r="FW63" i="22"/>
  <c r="FX63" i="22"/>
  <c r="FY63" i="22"/>
  <c r="FZ63" i="22"/>
  <c r="GA63" i="22"/>
  <c r="GB63" i="22"/>
  <c r="GC63" i="22"/>
  <c r="GD63" i="22"/>
  <c r="GE63" i="22"/>
  <c r="GF63" i="22"/>
  <c r="GG63" i="22"/>
  <c r="GH63" i="22"/>
  <c r="GI63" i="22"/>
  <c r="GJ63" i="22"/>
  <c r="GK63" i="22"/>
  <c r="GL63" i="22"/>
  <c r="GM63" i="22"/>
  <c r="GN63" i="22"/>
  <c r="GO63" i="22"/>
  <c r="GP63" i="22"/>
  <c r="GQ63" i="22"/>
  <c r="GR63" i="22"/>
  <c r="GS63" i="22"/>
  <c r="GT63" i="22"/>
  <c r="GU63" i="22"/>
  <c r="GV63" i="22"/>
  <c r="GW63" i="22"/>
  <c r="GX63" i="22"/>
  <c r="GY63" i="22"/>
  <c r="GZ63" i="22"/>
  <c r="HA63" i="22"/>
  <c r="HB63" i="22"/>
  <c r="HC63" i="22"/>
  <c r="HD63" i="22"/>
  <c r="HE63" i="22"/>
  <c r="HF63" i="22"/>
  <c r="HG63" i="22"/>
  <c r="HH63" i="22"/>
  <c r="HI63" i="22"/>
  <c r="HJ63" i="22"/>
  <c r="HK63" i="22"/>
  <c r="HL63" i="22"/>
  <c r="HM63" i="22"/>
  <c r="HN63" i="22"/>
  <c r="HO63" i="22"/>
  <c r="HP63" i="22"/>
  <c r="HQ63" i="22"/>
  <c r="HR63" i="22"/>
  <c r="HS63" i="22"/>
  <c r="HT63" i="22"/>
  <c r="HU63" i="22"/>
  <c r="HV63" i="22"/>
  <c r="HW63" i="22"/>
  <c r="HX63" i="22"/>
  <c r="HY63" i="22"/>
  <c r="HZ63" i="22"/>
  <c r="IA63" i="22"/>
  <c r="IB63" i="22"/>
  <c r="IC63" i="22"/>
  <c r="ID63" i="22"/>
  <c r="IE63" i="22"/>
  <c r="IF63" i="22"/>
  <c r="IG63" i="22"/>
  <c r="IH63" i="22"/>
  <c r="II63" i="22"/>
  <c r="IJ63" i="22"/>
  <c r="IK63" i="22"/>
  <c r="IL63" i="22"/>
  <c r="IM63" i="22"/>
  <c r="IN63" i="22"/>
  <c r="IO63" i="22"/>
  <c r="IP63" i="22"/>
  <c r="IQ63" i="22"/>
  <c r="IR63" i="22"/>
  <c r="IS63" i="22"/>
  <c r="IT63" i="22"/>
  <c r="IU63" i="22"/>
  <c r="IV63" i="22"/>
  <c r="IW63" i="22"/>
  <c r="IX63" i="22"/>
  <c r="IY63" i="22"/>
  <c r="IZ63" i="22"/>
  <c r="JA63" i="22"/>
  <c r="JB63" i="22"/>
  <c r="JC63" i="22"/>
  <c r="JD63" i="22"/>
  <c r="JE63" i="22"/>
  <c r="JF63" i="22"/>
  <c r="JG63" i="22"/>
  <c r="JH63" i="22"/>
  <c r="JI63" i="22"/>
  <c r="JJ63" i="22"/>
  <c r="JK63" i="22"/>
  <c r="JL63" i="22"/>
  <c r="JM63" i="22"/>
  <c r="JN63" i="22"/>
  <c r="JO63" i="22"/>
  <c r="JP63" i="22"/>
  <c r="JQ63" i="22"/>
  <c r="JR63" i="22"/>
  <c r="JS63" i="22"/>
  <c r="JT63" i="22"/>
  <c r="JU63" i="22"/>
  <c r="JV63" i="22"/>
  <c r="JW63" i="22"/>
  <c r="JX63" i="22"/>
  <c r="JY63" i="22"/>
  <c r="JZ63" i="22"/>
  <c r="KA63" i="22"/>
  <c r="KB63" i="22"/>
  <c r="KC63" i="22"/>
  <c r="KD63" i="22"/>
  <c r="KE63" i="22"/>
  <c r="KF63" i="22"/>
  <c r="KG63" i="22"/>
  <c r="KH63" i="22"/>
  <c r="KI63" i="22"/>
  <c r="KJ63" i="22"/>
  <c r="KK63" i="22"/>
  <c r="KL63" i="22"/>
  <c r="KM63" i="22"/>
  <c r="KN63" i="22"/>
  <c r="KO63" i="22"/>
  <c r="KP63" i="22"/>
  <c r="KQ63" i="22"/>
  <c r="KR63" i="22"/>
  <c r="KS63" i="22"/>
  <c r="KT63" i="22"/>
  <c r="KU63" i="22"/>
  <c r="KV63" i="22"/>
  <c r="KW63" i="22"/>
  <c r="KX63" i="22"/>
  <c r="KY63" i="22"/>
  <c r="KZ63" i="22"/>
  <c r="LA63" i="22"/>
  <c r="LB63" i="22"/>
  <c r="LC63" i="22"/>
  <c r="LD63" i="22"/>
  <c r="LE63" i="22"/>
  <c r="LF63" i="22"/>
  <c r="LG63" i="22"/>
  <c r="LH63" i="22"/>
  <c r="LI63" i="22"/>
  <c r="LJ63" i="22"/>
  <c r="LK63" i="22"/>
  <c r="LL63" i="22"/>
  <c r="LM63" i="22"/>
  <c r="LN63" i="22"/>
  <c r="LO63" i="22"/>
  <c r="LP63" i="22"/>
  <c r="LQ63" i="22"/>
  <c r="LR63" i="22"/>
  <c r="LS63" i="22"/>
  <c r="LT63" i="22"/>
  <c r="LU63" i="22"/>
  <c r="LV63" i="22"/>
  <c r="LW63" i="22"/>
  <c r="LX63" i="22"/>
  <c r="LY63" i="22"/>
  <c r="LZ63" i="22"/>
  <c r="MA63" i="22"/>
  <c r="MB63" i="22"/>
  <c r="MC63" i="22"/>
  <c r="MD63" i="22"/>
  <c r="ME63" i="22"/>
  <c r="MF63" i="22"/>
  <c r="MG63" i="22"/>
  <c r="MH63" i="22"/>
  <c r="MI63" i="22"/>
  <c r="MJ63" i="22"/>
  <c r="MK63" i="22"/>
  <c r="ML63" i="22"/>
  <c r="MM63" i="22"/>
  <c r="MN63" i="22"/>
  <c r="MO63" i="22"/>
  <c r="MP63" i="22"/>
  <c r="MQ63" i="22"/>
  <c r="MR63" i="22"/>
  <c r="MS63" i="22"/>
  <c r="MT63" i="22"/>
  <c r="MU63" i="22"/>
  <c r="MV63" i="22"/>
  <c r="MW63" i="22"/>
  <c r="MX63" i="22"/>
  <c r="MY63" i="22"/>
  <c r="MZ63" i="22"/>
  <c r="NA63" i="22"/>
  <c r="NB63" i="22"/>
  <c r="NS63" i="22"/>
  <c r="B64" i="22"/>
  <c r="C64" i="22"/>
  <c r="D64" i="22"/>
  <c r="E64" i="22"/>
  <c r="F64" i="22"/>
  <c r="G64" i="22"/>
  <c r="H64" i="22"/>
  <c r="I64" i="22"/>
  <c r="J64" i="22"/>
  <c r="K64" i="22"/>
  <c r="L64" i="22"/>
  <c r="M64" i="22"/>
  <c r="N64" i="22"/>
  <c r="O64" i="22"/>
  <c r="P64" i="22"/>
  <c r="Q64" i="22"/>
  <c r="R64" i="22"/>
  <c r="S64" i="22"/>
  <c r="T64" i="22"/>
  <c r="U64" i="22"/>
  <c r="V64" i="22"/>
  <c r="W64" i="22"/>
  <c r="X64" i="22"/>
  <c r="Y64" i="22"/>
  <c r="Z64" i="22"/>
  <c r="AA64" i="22"/>
  <c r="AB64" i="22"/>
  <c r="AC64" i="22"/>
  <c r="AD64" i="22"/>
  <c r="AE64" i="22"/>
  <c r="AF64" i="22"/>
  <c r="AG64" i="22"/>
  <c r="AH64" i="22"/>
  <c r="AI64" i="22"/>
  <c r="AJ64" i="22"/>
  <c r="AK64" i="22"/>
  <c r="AL64" i="22"/>
  <c r="AM64" i="22"/>
  <c r="AN64" i="22"/>
  <c r="AO64" i="22"/>
  <c r="AP64" i="22"/>
  <c r="AQ64" i="22"/>
  <c r="AR64" i="22"/>
  <c r="AS64" i="22"/>
  <c r="AT64" i="22"/>
  <c r="AU64" i="22"/>
  <c r="AV64" i="22"/>
  <c r="AW64" i="22"/>
  <c r="AX64" i="22"/>
  <c r="AY64" i="22"/>
  <c r="AZ64" i="22"/>
  <c r="BA64" i="22"/>
  <c r="BB64" i="22"/>
  <c r="BC64" i="22"/>
  <c r="BD64" i="22"/>
  <c r="BE64" i="22"/>
  <c r="BF64" i="22"/>
  <c r="BG64" i="22"/>
  <c r="BH64" i="22"/>
  <c r="BJ64" i="22"/>
  <c r="BK64" i="22"/>
  <c r="BL64" i="22"/>
  <c r="BM64" i="22"/>
  <c r="BN64" i="22"/>
  <c r="BO64" i="22"/>
  <c r="BP64" i="22"/>
  <c r="BQ64" i="22"/>
  <c r="BR64" i="22"/>
  <c r="BS64" i="22"/>
  <c r="BT64" i="22"/>
  <c r="BU64" i="22"/>
  <c r="BV64" i="22"/>
  <c r="BW64" i="22"/>
  <c r="BX64" i="22"/>
  <c r="BY64" i="22"/>
  <c r="BZ64" i="22"/>
  <c r="CA64" i="22"/>
  <c r="CB64" i="22"/>
  <c r="CC64" i="22"/>
  <c r="CD64" i="22"/>
  <c r="CE64" i="22"/>
  <c r="CF64" i="22"/>
  <c r="CG64" i="22"/>
  <c r="CH64" i="22"/>
  <c r="CI64" i="22"/>
  <c r="CJ64" i="22"/>
  <c r="CK64" i="22"/>
  <c r="CL64" i="22"/>
  <c r="CM64" i="22"/>
  <c r="CN64" i="22"/>
  <c r="CO64" i="22"/>
  <c r="CP64" i="22"/>
  <c r="CQ64" i="22"/>
  <c r="CR64" i="22"/>
  <c r="CS64" i="22"/>
  <c r="CT64" i="22"/>
  <c r="CU64" i="22"/>
  <c r="CV64" i="22"/>
  <c r="CW64" i="22"/>
  <c r="CX64" i="22"/>
  <c r="CY64" i="22"/>
  <c r="CZ64" i="22"/>
  <c r="DA64" i="22"/>
  <c r="DB64" i="22"/>
  <c r="DC64" i="22"/>
  <c r="DD64" i="22"/>
  <c r="DE64" i="22"/>
  <c r="DF64" i="22"/>
  <c r="DG64" i="22"/>
  <c r="DH64" i="22"/>
  <c r="DI64" i="22"/>
  <c r="DJ64" i="22"/>
  <c r="DK64" i="22"/>
  <c r="DL64" i="22"/>
  <c r="DM64" i="22"/>
  <c r="DN64" i="22"/>
  <c r="DO64" i="22"/>
  <c r="DP64" i="22"/>
  <c r="DQ64" i="22"/>
  <c r="DR64" i="22"/>
  <c r="DS64" i="22"/>
  <c r="DT64" i="22"/>
  <c r="DU64" i="22"/>
  <c r="DV64" i="22"/>
  <c r="DW64" i="22"/>
  <c r="DX64" i="22"/>
  <c r="DY64" i="22"/>
  <c r="DZ64" i="22"/>
  <c r="EA64" i="22"/>
  <c r="EB64" i="22"/>
  <c r="EC64" i="22"/>
  <c r="ED64" i="22"/>
  <c r="EE64" i="22"/>
  <c r="EF64" i="22"/>
  <c r="EG64" i="22"/>
  <c r="EH64" i="22"/>
  <c r="EI64" i="22"/>
  <c r="EJ64" i="22"/>
  <c r="EK64" i="22"/>
  <c r="EL64" i="22"/>
  <c r="EM64" i="22"/>
  <c r="EN64" i="22"/>
  <c r="EO64" i="22"/>
  <c r="EP64" i="22"/>
  <c r="EQ64" i="22"/>
  <c r="ER64" i="22"/>
  <c r="ES64" i="22"/>
  <c r="ET64" i="22"/>
  <c r="EU64" i="22"/>
  <c r="EV64" i="22"/>
  <c r="EW64" i="22"/>
  <c r="EX64" i="22"/>
  <c r="EY64" i="22"/>
  <c r="EZ64" i="22"/>
  <c r="FA64" i="22"/>
  <c r="FB64" i="22"/>
  <c r="FC64" i="22"/>
  <c r="FD64" i="22"/>
  <c r="FE64" i="22"/>
  <c r="FF64" i="22"/>
  <c r="FG64" i="22"/>
  <c r="FH64" i="22"/>
  <c r="FI64" i="22"/>
  <c r="FJ64" i="22"/>
  <c r="FK64" i="22"/>
  <c r="FL64" i="22"/>
  <c r="FM64" i="22"/>
  <c r="FN64" i="22"/>
  <c r="FO64" i="22"/>
  <c r="FP64" i="22"/>
  <c r="FQ64" i="22"/>
  <c r="FR64" i="22"/>
  <c r="FS64" i="22"/>
  <c r="FT64" i="22"/>
  <c r="FU64" i="22"/>
  <c r="FV64" i="22"/>
  <c r="FW64" i="22"/>
  <c r="FX64" i="22"/>
  <c r="FY64" i="22"/>
  <c r="FZ64" i="22"/>
  <c r="GA64" i="22"/>
  <c r="GB64" i="22"/>
  <c r="GC64" i="22"/>
  <c r="GD64" i="22"/>
  <c r="GE64" i="22"/>
  <c r="GF64" i="22"/>
  <c r="GG64" i="22"/>
  <c r="GH64" i="22"/>
  <c r="GI64" i="22"/>
  <c r="GJ64" i="22"/>
  <c r="GK64" i="22"/>
  <c r="GL64" i="22"/>
  <c r="GM64" i="22"/>
  <c r="GN64" i="22"/>
  <c r="GO64" i="22"/>
  <c r="GP64" i="22"/>
  <c r="GQ64" i="22"/>
  <c r="GR64" i="22"/>
  <c r="GS64" i="22"/>
  <c r="GT64" i="22"/>
  <c r="GU64" i="22"/>
  <c r="GV64" i="22"/>
  <c r="GW64" i="22"/>
  <c r="GX64" i="22"/>
  <c r="GY64" i="22"/>
  <c r="GZ64" i="22"/>
  <c r="HA64" i="22"/>
  <c r="HB64" i="22"/>
  <c r="HC64" i="22"/>
  <c r="HD64" i="22"/>
  <c r="HE64" i="22"/>
  <c r="HF64" i="22"/>
  <c r="HG64" i="22"/>
  <c r="HH64" i="22"/>
  <c r="HI64" i="22"/>
  <c r="HJ64" i="22"/>
  <c r="HK64" i="22"/>
  <c r="HL64" i="22"/>
  <c r="HM64" i="22"/>
  <c r="HN64" i="22"/>
  <c r="HO64" i="22"/>
  <c r="HP64" i="22"/>
  <c r="HQ64" i="22"/>
  <c r="HR64" i="22"/>
  <c r="HS64" i="22"/>
  <c r="HT64" i="22"/>
  <c r="HU64" i="22"/>
  <c r="HV64" i="22"/>
  <c r="HW64" i="22"/>
  <c r="HX64" i="22"/>
  <c r="HY64" i="22"/>
  <c r="HZ64" i="22"/>
  <c r="IA64" i="22"/>
  <c r="IB64" i="22"/>
  <c r="IC64" i="22"/>
  <c r="ID64" i="22"/>
  <c r="IE64" i="22"/>
  <c r="IF64" i="22"/>
  <c r="IG64" i="22"/>
  <c r="IH64" i="22"/>
  <c r="II64" i="22"/>
  <c r="IJ64" i="22"/>
  <c r="IK64" i="22"/>
  <c r="IL64" i="22"/>
  <c r="IM64" i="22"/>
  <c r="IN64" i="22"/>
  <c r="IO64" i="22"/>
  <c r="IP64" i="22"/>
  <c r="IQ64" i="22"/>
  <c r="IR64" i="22"/>
  <c r="IS64" i="22"/>
  <c r="IT64" i="22"/>
  <c r="IU64" i="22"/>
  <c r="IV64" i="22"/>
  <c r="IW64" i="22"/>
  <c r="IX64" i="22"/>
  <c r="IY64" i="22"/>
  <c r="IZ64" i="22"/>
  <c r="JA64" i="22"/>
  <c r="JB64" i="22"/>
  <c r="JC64" i="22"/>
  <c r="JD64" i="22"/>
  <c r="JE64" i="22"/>
  <c r="JF64" i="22"/>
  <c r="JG64" i="22"/>
  <c r="JH64" i="22"/>
  <c r="JI64" i="22"/>
  <c r="JJ64" i="22"/>
  <c r="JK64" i="22"/>
  <c r="JL64" i="22"/>
  <c r="JM64" i="22"/>
  <c r="JN64" i="22"/>
  <c r="JO64" i="22"/>
  <c r="JP64" i="22"/>
  <c r="JQ64" i="22"/>
  <c r="JR64" i="22"/>
  <c r="JS64" i="22"/>
  <c r="JT64" i="22"/>
  <c r="JU64" i="22"/>
  <c r="JV64" i="22"/>
  <c r="JW64" i="22"/>
  <c r="JX64" i="22"/>
  <c r="JY64" i="22"/>
  <c r="JZ64" i="22"/>
  <c r="KA64" i="22"/>
  <c r="KB64" i="22"/>
  <c r="KC64" i="22"/>
  <c r="KD64" i="22"/>
  <c r="KE64" i="22"/>
  <c r="KF64" i="22"/>
  <c r="KG64" i="22"/>
  <c r="KH64" i="22"/>
  <c r="KI64" i="22"/>
  <c r="KJ64" i="22"/>
  <c r="KK64" i="22"/>
  <c r="KL64" i="22"/>
  <c r="KM64" i="22"/>
  <c r="KN64" i="22"/>
  <c r="KO64" i="22"/>
  <c r="KP64" i="22"/>
  <c r="KQ64" i="22"/>
  <c r="KR64" i="22"/>
  <c r="KS64" i="22"/>
  <c r="KT64" i="22"/>
  <c r="KU64" i="22"/>
  <c r="KV64" i="22"/>
  <c r="KW64" i="22"/>
  <c r="KX64" i="22"/>
  <c r="KY64" i="22"/>
  <c r="KZ64" i="22"/>
  <c r="LA64" i="22"/>
  <c r="LB64" i="22"/>
  <c r="LC64" i="22"/>
  <c r="LD64" i="22"/>
  <c r="LE64" i="22"/>
  <c r="LF64" i="22"/>
  <c r="LG64" i="22"/>
  <c r="LH64" i="22"/>
  <c r="LI64" i="22"/>
  <c r="LJ64" i="22"/>
  <c r="LK64" i="22"/>
  <c r="LL64" i="22"/>
  <c r="LM64" i="22"/>
  <c r="LN64" i="22"/>
  <c r="LO64" i="22"/>
  <c r="LP64" i="22"/>
  <c r="LQ64" i="22"/>
  <c r="LR64" i="22"/>
  <c r="LS64" i="22"/>
  <c r="LT64" i="22"/>
  <c r="LU64" i="22"/>
  <c r="LV64" i="22"/>
  <c r="LW64" i="22"/>
  <c r="LX64" i="22"/>
  <c r="LY64" i="22"/>
  <c r="LZ64" i="22"/>
  <c r="MA64" i="22"/>
  <c r="MB64" i="22"/>
  <c r="MC64" i="22"/>
  <c r="MD64" i="22"/>
  <c r="ME64" i="22"/>
  <c r="MF64" i="22"/>
  <c r="MG64" i="22"/>
  <c r="MH64" i="22"/>
  <c r="MI64" i="22"/>
  <c r="MJ64" i="22"/>
  <c r="MK64" i="22"/>
  <c r="ML64" i="22"/>
  <c r="MM64" i="22"/>
  <c r="MN64" i="22"/>
  <c r="MO64" i="22"/>
  <c r="MP64" i="22"/>
  <c r="MQ64" i="22"/>
  <c r="MR64" i="22"/>
  <c r="MS64" i="22"/>
  <c r="MT64" i="22"/>
  <c r="MU64" i="22"/>
  <c r="MV64" i="22"/>
  <c r="MW64" i="22"/>
  <c r="MX64" i="22"/>
  <c r="MY64" i="22"/>
  <c r="MZ64" i="22"/>
  <c r="NA64" i="22"/>
  <c r="NB64" i="22"/>
  <c r="NS64" i="22"/>
  <c r="B65" i="22"/>
  <c r="C65" i="22"/>
  <c r="D65" i="22"/>
  <c r="E65" i="22"/>
  <c r="F65" i="22"/>
  <c r="G65" i="22"/>
  <c r="H65" i="22"/>
  <c r="I65" i="22"/>
  <c r="J65" i="22"/>
  <c r="K65" i="22"/>
  <c r="L65" i="22"/>
  <c r="M65" i="22"/>
  <c r="N65" i="22"/>
  <c r="O65" i="22"/>
  <c r="P65" i="22"/>
  <c r="Q65" i="22"/>
  <c r="R65" i="22"/>
  <c r="S65" i="22"/>
  <c r="T65" i="22"/>
  <c r="U65" i="22"/>
  <c r="V65" i="22"/>
  <c r="W65" i="22"/>
  <c r="X65" i="22"/>
  <c r="Y65" i="22"/>
  <c r="Z65" i="22"/>
  <c r="AA65" i="22"/>
  <c r="AB65" i="22"/>
  <c r="AC65" i="22"/>
  <c r="AD65" i="22"/>
  <c r="AE65" i="22"/>
  <c r="AF65" i="22"/>
  <c r="AG65" i="22"/>
  <c r="AH65" i="22"/>
  <c r="AI65" i="22"/>
  <c r="AJ65" i="22"/>
  <c r="AK65" i="22"/>
  <c r="AL65" i="22"/>
  <c r="AM65" i="22"/>
  <c r="AN65" i="22"/>
  <c r="AO65" i="22"/>
  <c r="AP65" i="22"/>
  <c r="AQ65" i="22"/>
  <c r="AR65" i="22"/>
  <c r="AS65" i="22"/>
  <c r="AT65" i="22"/>
  <c r="AU65" i="22"/>
  <c r="AV65" i="22"/>
  <c r="AW65" i="22"/>
  <c r="AX65" i="22"/>
  <c r="AY65" i="22"/>
  <c r="AZ65" i="22"/>
  <c r="BA65" i="22"/>
  <c r="BB65" i="22"/>
  <c r="BC65" i="22"/>
  <c r="BD65" i="22"/>
  <c r="BE65" i="22"/>
  <c r="BF65" i="22"/>
  <c r="BG65" i="22"/>
  <c r="BH65" i="22"/>
  <c r="BI65" i="22"/>
  <c r="BJ65" i="22"/>
  <c r="BK65" i="22"/>
  <c r="BL65" i="22"/>
  <c r="BM65" i="22"/>
  <c r="BN65" i="22"/>
  <c r="BO65" i="22"/>
  <c r="BP65" i="22"/>
  <c r="BQ65" i="22"/>
  <c r="BR65" i="22"/>
  <c r="BS65" i="22"/>
  <c r="BT65" i="22"/>
  <c r="BU65" i="22"/>
  <c r="BV65" i="22"/>
  <c r="BW65" i="22"/>
  <c r="BX65" i="22"/>
  <c r="BY65" i="22"/>
  <c r="BZ65" i="22"/>
  <c r="CA65" i="22"/>
  <c r="CB65" i="22"/>
  <c r="CC65" i="22"/>
  <c r="CD65" i="22"/>
  <c r="CE65" i="22"/>
  <c r="CF65" i="22"/>
  <c r="CG65" i="22"/>
  <c r="CH65" i="22"/>
  <c r="CI65" i="22"/>
  <c r="CJ65" i="22"/>
  <c r="CK65" i="22"/>
  <c r="CL65" i="22"/>
  <c r="CM65" i="22"/>
  <c r="CN65" i="22"/>
  <c r="CO65" i="22"/>
  <c r="CP65" i="22"/>
  <c r="CQ65" i="22"/>
  <c r="CR65" i="22"/>
  <c r="CS65" i="22"/>
  <c r="CT65" i="22"/>
  <c r="CU65" i="22"/>
  <c r="CV65" i="22"/>
  <c r="CW65" i="22"/>
  <c r="CX65" i="22"/>
  <c r="CY65" i="22"/>
  <c r="CZ65" i="22"/>
  <c r="DA65" i="22"/>
  <c r="DB65" i="22"/>
  <c r="DC65" i="22"/>
  <c r="DD65" i="22"/>
  <c r="DE65" i="22"/>
  <c r="DF65" i="22"/>
  <c r="DG65" i="22"/>
  <c r="DH65" i="22"/>
  <c r="DI65" i="22"/>
  <c r="DJ65" i="22"/>
  <c r="DK65" i="22"/>
  <c r="DL65" i="22"/>
  <c r="DM65" i="22"/>
  <c r="DN65" i="22"/>
  <c r="DO65" i="22"/>
  <c r="DP65" i="22"/>
  <c r="DQ65" i="22"/>
  <c r="DR65" i="22"/>
  <c r="DS65" i="22"/>
  <c r="DT65" i="22"/>
  <c r="DU65" i="22"/>
  <c r="DV65" i="22"/>
  <c r="DW65" i="22"/>
  <c r="DX65" i="22"/>
  <c r="DY65" i="22"/>
  <c r="DZ65" i="22"/>
  <c r="EA65" i="22"/>
  <c r="EB65" i="22"/>
  <c r="EC65" i="22"/>
  <c r="ED65" i="22"/>
  <c r="EE65" i="22"/>
  <c r="EF65" i="22"/>
  <c r="EG65" i="22"/>
  <c r="EH65" i="22"/>
  <c r="EI65" i="22"/>
  <c r="EJ65" i="22"/>
  <c r="EK65" i="22"/>
  <c r="EL65" i="22"/>
  <c r="EM65" i="22"/>
  <c r="EN65" i="22"/>
  <c r="EO65" i="22"/>
  <c r="EP65" i="22"/>
  <c r="EQ65" i="22"/>
  <c r="ER65" i="22"/>
  <c r="ES65" i="22"/>
  <c r="ET65" i="22"/>
  <c r="EU65" i="22"/>
  <c r="EV65" i="22"/>
  <c r="EW65" i="22"/>
  <c r="EX65" i="22"/>
  <c r="EY65" i="22"/>
  <c r="EZ65" i="22"/>
  <c r="FA65" i="22"/>
  <c r="FB65" i="22"/>
  <c r="FC65" i="22"/>
  <c r="FD65" i="22"/>
  <c r="FE65" i="22"/>
  <c r="FF65" i="22"/>
  <c r="FG65" i="22"/>
  <c r="FH65" i="22"/>
  <c r="FI65" i="22"/>
  <c r="FJ65" i="22"/>
  <c r="FK65" i="22"/>
  <c r="FL65" i="22"/>
  <c r="FM65" i="22"/>
  <c r="FN65" i="22"/>
  <c r="FO65" i="22"/>
  <c r="FP65" i="22"/>
  <c r="FQ65" i="22"/>
  <c r="FR65" i="22"/>
  <c r="FS65" i="22"/>
  <c r="FT65" i="22"/>
  <c r="FU65" i="22"/>
  <c r="FV65" i="22"/>
  <c r="FW65" i="22"/>
  <c r="FX65" i="22"/>
  <c r="FY65" i="22"/>
  <c r="FZ65" i="22"/>
  <c r="GA65" i="22"/>
  <c r="GB65" i="22"/>
  <c r="GC65" i="22"/>
  <c r="GD65" i="22"/>
  <c r="GE65" i="22"/>
  <c r="GF65" i="22"/>
  <c r="GG65" i="22"/>
  <c r="GH65" i="22"/>
  <c r="GI65" i="22"/>
  <c r="GJ65" i="22"/>
  <c r="GK65" i="22"/>
  <c r="GL65" i="22"/>
  <c r="GM65" i="22"/>
  <c r="GN65" i="22"/>
  <c r="GO65" i="22"/>
  <c r="GP65" i="22"/>
  <c r="GQ65" i="22"/>
  <c r="GR65" i="22"/>
  <c r="GS65" i="22"/>
  <c r="GT65" i="22"/>
  <c r="GU65" i="22"/>
  <c r="GV65" i="22"/>
  <c r="GW65" i="22"/>
  <c r="GX65" i="22"/>
  <c r="GY65" i="22"/>
  <c r="GZ65" i="22"/>
  <c r="HA65" i="22"/>
  <c r="HB65" i="22"/>
  <c r="HC65" i="22"/>
  <c r="HD65" i="22"/>
  <c r="HE65" i="22"/>
  <c r="HF65" i="22"/>
  <c r="HG65" i="22"/>
  <c r="HH65" i="22"/>
  <c r="HI65" i="22"/>
  <c r="HJ65" i="22"/>
  <c r="HK65" i="22"/>
  <c r="HL65" i="22"/>
  <c r="HM65" i="22"/>
  <c r="HN65" i="22"/>
  <c r="HO65" i="22"/>
  <c r="HP65" i="22"/>
  <c r="HQ65" i="22"/>
  <c r="HR65" i="22"/>
  <c r="HS65" i="22"/>
  <c r="HT65" i="22"/>
  <c r="HU65" i="22"/>
  <c r="HV65" i="22"/>
  <c r="HW65" i="22"/>
  <c r="HX65" i="22"/>
  <c r="HY65" i="22"/>
  <c r="HZ65" i="22"/>
  <c r="IA65" i="22"/>
  <c r="IB65" i="22"/>
  <c r="IC65" i="22"/>
  <c r="ID65" i="22"/>
  <c r="IE65" i="22"/>
  <c r="IF65" i="22"/>
  <c r="IG65" i="22"/>
  <c r="IH65" i="22"/>
  <c r="II65" i="22"/>
  <c r="IJ65" i="22"/>
  <c r="IK65" i="22"/>
  <c r="IL65" i="22"/>
  <c r="IM65" i="22"/>
  <c r="IN65" i="22"/>
  <c r="IO65" i="22"/>
  <c r="IP65" i="22"/>
  <c r="IQ65" i="22"/>
  <c r="IR65" i="22"/>
  <c r="IS65" i="22"/>
  <c r="IT65" i="22"/>
  <c r="IU65" i="22"/>
  <c r="IV65" i="22"/>
  <c r="IW65" i="22"/>
  <c r="IX65" i="22"/>
  <c r="IY65" i="22"/>
  <c r="IZ65" i="22"/>
  <c r="JA65" i="22"/>
  <c r="JB65" i="22"/>
  <c r="JC65" i="22"/>
  <c r="JD65" i="22"/>
  <c r="JE65" i="22"/>
  <c r="JF65" i="22"/>
  <c r="JG65" i="22"/>
  <c r="JH65" i="22"/>
  <c r="JI65" i="22"/>
  <c r="JJ65" i="22"/>
  <c r="JK65" i="22"/>
  <c r="JL65" i="22"/>
  <c r="JM65" i="22"/>
  <c r="JN65" i="22"/>
  <c r="JO65" i="22"/>
  <c r="JP65" i="22"/>
  <c r="JQ65" i="22"/>
  <c r="JR65" i="22"/>
  <c r="JS65" i="22"/>
  <c r="JT65" i="22"/>
  <c r="JU65" i="22"/>
  <c r="JV65" i="22"/>
  <c r="JW65" i="22"/>
  <c r="JX65" i="22"/>
  <c r="JY65" i="22"/>
  <c r="JZ65" i="22"/>
  <c r="KA65" i="22"/>
  <c r="KB65" i="22"/>
  <c r="KC65" i="22"/>
  <c r="KD65" i="22"/>
  <c r="KE65" i="22"/>
  <c r="KF65" i="22"/>
  <c r="KG65" i="22"/>
  <c r="KH65" i="22"/>
  <c r="KI65" i="22"/>
  <c r="KJ65" i="22"/>
  <c r="KK65" i="22"/>
  <c r="KL65" i="22"/>
  <c r="KM65" i="22"/>
  <c r="KN65" i="22"/>
  <c r="KO65" i="22"/>
  <c r="KP65" i="22"/>
  <c r="KQ65" i="22"/>
  <c r="KR65" i="22"/>
  <c r="KS65" i="22"/>
  <c r="KT65" i="22"/>
  <c r="KU65" i="22"/>
  <c r="KV65" i="22"/>
  <c r="KW65" i="22"/>
  <c r="KX65" i="22"/>
  <c r="KY65" i="22"/>
  <c r="KZ65" i="22"/>
  <c r="LA65" i="22"/>
  <c r="LB65" i="22"/>
  <c r="LC65" i="22"/>
  <c r="LD65" i="22"/>
  <c r="LE65" i="22"/>
  <c r="LF65" i="22"/>
  <c r="LG65" i="22"/>
  <c r="LH65" i="22"/>
  <c r="LI65" i="22"/>
  <c r="LJ65" i="22"/>
  <c r="LK65" i="22"/>
  <c r="LL65" i="22"/>
  <c r="LM65" i="22"/>
  <c r="LN65" i="22"/>
  <c r="LO65" i="22"/>
  <c r="LP65" i="22"/>
  <c r="LQ65" i="22"/>
  <c r="LR65" i="22"/>
  <c r="LS65" i="22"/>
  <c r="LT65" i="22"/>
  <c r="LU65" i="22"/>
  <c r="LV65" i="22"/>
  <c r="LW65" i="22"/>
  <c r="LX65" i="22"/>
  <c r="LY65" i="22"/>
  <c r="LZ65" i="22"/>
  <c r="MA65" i="22"/>
  <c r="MB65" i="22"/>
  <c r="MC65" i="22"/>
  <c r="MD65" i="22"/>
  <c r="ME65" i="22"/>
  <c r="MF65" i="22"/>
  <c r="MG65" i="22"/>
  <c r="MH65" i="22"/>
  <c r="MI65" i="22"/>
  <c r="MJ65" i="22"/>
  <c r="MK65" i="22"/>
  <c r="ML65" i="22"/>
  <c r="MM65" i="22"/>
  <c r="MN65" i="22"/>
  <c r="MO65" i="22"/>
  <c r="MP65" i="22"/>
  <c r="MQ65" i="22"/>
  <c r="MR65" i="22"/>
  <c r="MS65" i="22"/>
  <c r="MT65" i="22"/>
  <c r="MU65" i="22"/>
  <c r="MV65" i="22"/>
  <c r="MW65" i="22"/>
  <c r="MX65" i="22"/>
  <c r="MY65" i="22"/>
  <c r="MZ65" i="22"/>
  <c r="NA65" i="22"/>
  <c r="NB65" i="22"/>
  <c r="NC65" i="22"/>
  <c r="NC85" i="22" s="1"/>
  <c r="NS65" i="22"/>
  <c r="B66" i="22"/>
  <c r="C66" i="22"/>
  <c r="D66" i="22"/>
  <c r="E66" i="22"/>
  <c r="F66" i="22"/>
  <c r="G66" i="22"/>
  <c r="H66" i="22"/>
  <c r="I66" i="22"/>
  <c r="J66" i="22"/>
  <c r="K66" i="22"/>
  <c r="L66" i="22"/>
  <c r="M66" i="22"/>
  <c r="N66" i="22"/>
  <c r="O66" i="22"/>
  <c r="P66" i="22"/>
  <c r="Q66" i="22"/>
  <c r="R66" i="22"/>
  <c r="S66" i="22"/>
  <c r="T66" i="22"/>
  <c r="U66" i="22"/>
  <c r="V66" i="22"/>
  <c r="W66" i="22"/>
  <c r="X66" i="22"/>
  <c r="Y66" i="22"/>
  <c r="Z66" i="22"/>
  <c r="AA66" i="22"/>
  <c r="AB66" i="22"/>
  <c r="AC66" i="22"/>
  <c r="AD66" i="22"/>
  <c r="AE66" i="22"/>
  <c r="AF66" i="22"/>
  <c r="AG66" i="22"/>
  <c r="AH66" i="22"/>
  <c r="AI66" i="22"/>
  <c r="AJ66" i="22"/>
  <c r="AK66" i="22"/>
  <c r="AL66" i="22"/>
  <c r="AM66" i="22"/>
  <c r="AN66" i="22"/>
  <c r="AO66" i="22"/>
  <c r="AP66" i="22"/>
  <c r="AQ66" i="22"/>
  <c r="AR66" i="22"/>
  <c r="AS66" i="22"/>
  <c r="AT66" i="22"/>
  <c r="AU66" i="22"/>
  <c r="AV66" i="22"/>
  <c r="AW66" i="22"/>
  <c r="AX66" i="22"/>
  <c r="AY66" i="22"/>
  <c r="AZ66" i="22"/>
  <c r="BA66" i="22"/>
  <c r="BB66" i="22"/>
  <c r="BC66" i="22"/>
  <c r="BD66" i="22"/>
  <c r="BE66" i="22"/>
  <c r="BF66" i="22"/>
  <c r="BG66" i="22"/>
  <c r="BH66" i="22"/>
  <c r="BJ66" i="22"/>
  <c r="BK66" i="22"/>
  <c r="BL66" i="22"/>
  <c r="BM66" i="22"/>
  <c r="BN66" i="22"/>
  <c r="BO66" i="22"/>
  <c r="BP66" i="22"/>
  <c r="BQ66" i="22"/>
  <c r="BR66" i="22"/>
  <c r="BS66" i="22"/>
  <c r="BT66" i="22"/>
  <c r="BU66" i="22"/>
  <c r="BV66" i="22"/>
  <c r="BW66" i="22"/>
  <c r="BX66" i="22"/>
  <c r="BY66" i="22"/>
  <c r="BZ66" i="22"/>
  <c r="CA66" i="22"/>
  <c r="CB66" i="22"/>
  <c r="CC66" i="22"/>
  <c r="CD66" i="22"/>
  <c r="CE66" i="22"/>
  <c r="CF66" i="22"/>
  <c r="CG66" i="22"/>
  <c r="CH66" i="22"/>
  <c r="CI66" i="22"/>
  <c r="CJ66" i="22"/>
  <c r="CK66" i="22"/>
  <c r="CL66" i="22"/>
  <c r="CM66" i="22"/>
  <c r="CN66" i="22"/>
  <c r="CO66" i="22"/>
  <c r="CP66" i="22"/>
  <c r="CQ66" i="22"/>
  <c r="CR66" i="22"/>
  <c r="CS66" i="22"/>
  <c r="CT66" i="22"/>
  <c r="CU66" i="22"/>
  <c r="CV66" i="22"/>
  <c r="CW66" i="22"/>
  <c r="CX66" i="22"/>
  <c r="CY66" i="22"/>
  <c r="CZ66" i="22"/>
  <c r="DA66" i="22"/>
  <c r="DB66" i="22"/>
  <c r="DC66" i="22"/>
  <c r="DD66" i="22"/>
  <c r="DE66" i="22"/>
  <c r="DF66" i="22"/>
  <c r="DG66" i="22"/>
  <c r="DH66" i="22"/>
  <c r="DI66" i="22"/>
  <c r="DJ66" i="22"/>
  <c r="DK66" i="22"/>
  <c r="DL66" i="22"/>
  <c r="DM66" i="22"/>
  <c r="DN66" i="22"/>
  <c r="DO66" i="22"/>
  <c r="DP66" i="22"/>
  <c r="DQ66" i="22"/>
  <c r="DR66" i="22"/>
  <c r="DS66" i="22"/>
  <c r="DT66" i="22"/>
  <c r="DU66" i="22"/>
  <c r="DV66" i="22"/>
  <c r="DW66" i="22"/>
  <c r="DX66" i="22"/>
  <c r="DY66" i="22"/>
  <c r="DZ66" i="22"/>
  <c r="EA66" i="22"/>
  <c r="EB66" i="22"/>
  <c r="EC66" i="22"/>
  <c r="ED66" i="22"/>
  <c r="EE66" i="22"/>
  <c r="EF66" i="22"/>
  <c r="EG66" i="22"/>
  <c r="EH66" i="22"/>
  <c r="EI66" i="22"/>
  <c r="EJ66" i="22"/>
  <c r="EK66" i="22"/>
  <c r="EL66" i="22"/>
  <c r="EM66" i="22"/>
  <c r="EN66" i="22"/>
  <c r="EO66" i="22"/>
  <c r="EP66" i="22"/>
  <c r="EQ66" i="22"/>
  <c r="ER66" i="22"/>
  <c r="ES66" i="22"/>
  <c r="ET66" i="22"/>
  <c r="EU66" i="22"/>
  <c r="EV66" i="22"/>
  <c r="EW66" i="22"/>
  <c r="EX66" i="22"/>
  <c r="EY66" i="22"/>
  <c r="EZ66" i="22"/>
  <c r="FA66" i="22"/>
  <c r="FB66" i="22"/>
  <c r="FC66" i="22"/>
  <c r="FD66" i="22"/>
  <c r="FE66" i="22"/>
  <c r="FF66" i="22"/>
  <c r="FG66" i="22"/>
  <c r="FH66" i="22"/>
  <c r="FI66" i="22"/>
  <c r="FJ66" i="22"/>
  <c r="FK66" i="22"/>
  <c r="FL66" i="22"/>
  <c r="FM66" i="22"/>
  <c r="FN66" i="22"/>
  <c r="FO66" i="22"/>
  <c r="FP66" i="22"/>
  <c r="FQ66" i="22"/>
  <c r="FR66" i="22"/>
  <c r="FS66" i="22"/>
  <c r="FT66" i="22"/>
  <c r="FU66" i="22"/>
  <c r="FV66" i="22"/>
  <c r="FW66" i="22"/>
  <c r="FX66" i="22"/>
  <c r="FY66" i="22"/>
  <c r="FZ66" i="22"/>
  <c r="GA66" i="22"/>
  <c r="GB66" i="22"/>
  <c r="GC66" i="22"/>
  <c r="GD66" i="22"/>
  <c r="GE66" i="22"/>
  <c r="GF66" i="22"/>
  <c r="GG66" i="22"/>
  <c r="GH66" i="22"/>
  <c r="GI66" i="22"/>
  <c r="GJ66" i="22"/>
  <c r="GK66" i="22"/>
  <c r="GL66" i="22"/>
  <c r="GM66" i="22"/>
  <c r="GN66" i="22"/>
  <c r="GO66" i="22"/>
  <c r="GP66" i="22"/>
  <c r="GQ66" i="22"/>
  <c r="GR66" i="22"/>
  <c r="GS66" i="22"/>
  <c r="GT66" i="22"/>
  <c r="GU66" i="22"/>
  <c r="GV66" i="22"/>
  <c r="GW66" i="22"/>
  <c r="GX66" i="22"/>
  <c r="GY66" i="22"/>
  <c r="GZ66" i="22"/>
  <c r="HA66" i="22"/>
  <c r="HB66" i="22"/>
  <c r="HC66" i="22"/>
  <c r="HD66" i="22"/>
  <c r="HE66" i="22"/>
  <c r="HF66" i="22"/>
  <c r="HG66" i="22"/>
  <c r="HH66" i="22"/>
  <c r="HI66" i="22"/>
  <c r="HJ66" i="22"/>
  <c r="HK66" i="22"/>
  <c r="HL66" i="22"/>
  <c r="HM66" i="22"/>
  <c r="HN66" i="22"/>
  <c r="HO66" i="22"/>
  <c r="HP66" i="22"/>
  <c r="HQ66" i="22"/>
  <c r="HR66" i="22"/>
  <c r="HS66" i="22"/>
  <c r="HT66" i="22"/>
  <c r="HU66" i="22"/>
  <c r="HV66" i="22"/>
  <c r="HW66" i="22"/>
  <c r="HX66" i="22"/>
  <c r="HY66" i="22"/>
  <c r="HZ66" i="22"/>
  <c r="IA66" i="22"/>
  <c r="IB66" i="22"/>
  <c r="IC66" i="22"/>
  <c r="ID66" i="22"/>
  <c r="IE66" i="22"/>
  <c r="IF66" i="22"/>
  <c r="IG66" i="22"/>
  <c r="IH66" i="22"/>
  <c r="II66" i="22"/>
  <c r="IJ66" i="22"/>
  <c r="IK66" i="22"/>
  <c r="IL66" i="22"/>
  <c r="IM66" i="22"/>
  <c r="IN66" i="22"/>
  <c r="IO66" i="22"/>
  <c r="IP66" i="22"/>
  <c r="IQ66" i="22"/>
  <c r="IR66" i="22"/>
  <c r="IS66" i="22"/>
  <c r="IT66" i="22"/>
  <c r="IU66" i="22"/>
  <c r="IV66" i="22"/>
  <c r="IW66" i="22"/>
  <c r="IX66" i="22"/>
  <c r="IY66" i="22"/>
  <c r="IZ66" i="22"/>
  <c r="JA66" i="22"/>
  <c r="JB66" i="22"/>
  <c r="JC66" i="22"/>
  <c r="JD66" i="22"/>
  <c r="JE66" i="22"/>
  <c r="JF66" i="22"/>
  <c r="JG66" i="22"/>
  <c r="JH66" i="22"/>
  <c r="JI66" i="22"/>
  <c r="JJ66" i="22"/>
  <c r="JK66" i="22"/>
  <c r="JL66" i="22"/>
  <c r="JM66" i="22"/>
  <c r="JN66" i="22"/>
  <c r="JO66" i="22"/>
  <c r="JP66" i="22"/>
  <c r="JQ66" i="22"/>
  <c r="JR66" i="22"/>
  <c r="JS66" i="22"/>
  <c r="JT66" i="22"/>
  <c r="JU66" i="22"/>
  <c r="JV66" i="22"/>
  <c r="JW66" i="22"/>
  <c r="JX66" i="22"/>
  <c r="JY66" i="22"/>
  <c r="JZ66" i="22"/>
  <c r="KA66" i="22"/>
  <c r="KB66" i="22"/>
  <c r="KC66" i="22"/>
  <c r="KD66" i="22"/>
  <c r="KE66" i="22"/>
  <c r="KF66" i="22"/>
  <c r="KG66" i="22"/>
  <c r="KH66" i="22"/>
  <c r="KI66" i="22"/>
  <c r="KJ66" i="22"/>
  <c r="KK66" i="22"/>
  <c r="KL66" i="22"/>
  <c r="KM66" i="22"/>
  <c r="KN66" i="22"/>
  <c r="KO66" i="22"/>
  <c r="KP66" i="22"/>
  <c r="KQ66" i="22"/>
  <c r="KR66" i="22"/>
  <c r="KS66" i="22"/>
  <c r="KT66" i="22"/>
  <c r="KU66" i="22"/>
  <c r="KV66" i="22"/>
  <c r="KW66" i="22"/>
  <c r="KX66" i="22"/>
  <c r="KY66" i="22"/>
  <c r="KZ66" i="22"/>
  <c r="LA66" i="22"/>
  <c r="LB66" i="22"/>
  <c r="LC66" i="22"/>
  <c r="LD66" i="22"/>
  <c r="LE66" i="22"/>
  <c r="LF66" i="22"/>
  <c r="LG66" i="22"/>
  <c r="LH66" i="22"/>
  <c r="LI66" i="22"/>
  <c r="LJ66" i="22"/>
  <c r="LK66" i="22"/>
  <c r="LL66" i="22"/>
  <c r="LM66" i="22"/>
  <c r="LN66" i="22"/>
  <c r="LO66" i="22"/>
  <c r="LP66" i="22"/>
  <c r="LQ66" i="22"/>
  <c r="LR66" i="22"/>
  <c r="LS66" i="22"/>
  <c r="LT66" i="22"/>
  <c r="LU66" i="22"/>
  <c r="LV66" i="22"/>
  <c r="LW66" i="22"/>
  <c r="LX66" i="22"/>
  <c r="LY66" i="22"/>
  <c r="LZ66" i="22"/>
  <c r="MA66" i="22"/>
  <c r="MB66" i="22"/>
  <c r="MC66" i="22"/>
  <c r="MD66" i="22"/>
  <c r="ME66" i="22"/>
  <c r="MF66" i="22"/>
  <c r="MG66" i="22"/>
  <c r="MH66" i="22"/>
  <c r="MI66" i="22"/>
  <c r="MJ66" i="22"/>
  <c r="MK66" i="22"/>
  <c r="ML66" i="22"/>
  <c r="MM66" i="22"/>
  <c r="MN66" i="22"/>
  <c r="MO66" i="22"/>
  <c r="MP66" i="22"/>
  <c r="MQ66" i="22"/>
  <c r="MR66" i="22"/>
  <c r="MS66" i="22"/>
  <c r="MT66" i="22"/>
  <c r="MU66" i="22"/>
  <c r="MV66" i="22"/>
  <c r="MW66" i="22"/>
  <c r="MX66" i="22"/>
  <c r="MY66" i="22"/>
  <c r="MZ66" i="22"/>
  <c r="NA66" i="22"/>
  <c r="NB66" i="22"/>
  <c r="NS66" i="22"/>
  <c r="NS67" i="22"/>
  <c r="NS68" i="22"/>
  <c r="AS8" i="22"/>
  <c r="AT8" i="22"/>
  <c r="AU8" i="22"/>
  <c r="AV8" i="22"/>
  <c r="AW8" i="22"/>
  <c r="AX8" i="22"/>
  <c r="AY8" i="22"/>
  <c r="AZ8" i="22"/>
  <c r="BA8" i="22"/>
  <c r="BB8" i="22"/>
  <c r="BC8" i="22"/>
  <c r="BD8" i="22"/>
  <c r="BE8" i="22"/>
  <c r="BF8" i="22"/>
  <c r="BG8" i="22"/>
  <c r="BH8" i="22"/>
  <c r="BJ8" i="22"/>
  <c r="BK8" i="22"/>
  <c r="BL8" i="22"/>
  <c r="BM8" i="22"/>
  <c r="BN8" i="22"/>
  <c r="BO8" i="22"/>
  <c r="BP8" i="22"/>
  <c r="BQ8" i="22"/>
  <c r="BR8" i="22"/>
  <c r="BS8" i="22"/>
  <c r="BT8" i="22"/>
  <c r="BU8" i="22"/>
  <c r="BV8" i="22"/>
  <c r="BW8" i="22"/>
  <c r="BX8" i="22"/>
  <c r="BY8" i="22"/>
  <c r="BZ8" i="22"/>
  <c r="CA8" i="22"/>
  <c r="CB8" i="22"/>
  <c r="CC8" i="22"/>
  <c r="CD8" i="22"/>
  <c r="CE8" i="22"/>
  <c r="CF8" i="22"/>
  <c r="CG8" i="22"/>
  <c r="CH8" i="22"/>
  <c r="CI8" i="22"/>
  <c r="CJ8" i="22"/>
  <c r="CK8" i="22"/>
  <c r="CL8" i="22"/>
  <c r="CM8" i="22"/>
  <c r="CN8" i="22"/>
  <c r="CO8" i="22"/>
  <c r="CP8" i="22"/>
  <c r="CQ8" i="22"/>
  <c r="CR8" i="22"/>
  <c r="CS8" i="22"/>
  <c r="CT8" i="22"/>
  <c r="CU8" i="22"/>
  <c r="CV8" i="22"/>
  <c r="CW8" i="22"/>
  <c r="CX8" i="22"/>
  <c r="CY8" i="22"/>
  <c r="CZ8" i="22"/>
  <c r="DA8" i="22"/>
  <c r="DB8" i="22"/>
  <c r="DC8" i="22"/>
  <c r="DD8" i="22"/>
  <c r="DE8" i="22"/>
  <c r="DF8" i="22"/>
  <c r="DG8" i="22"/>
  <c r="DH8" i="22"/>
  <c r="DI8" i="22"/>
  <c r="DJ8" i="22"/>
  <c r="DK8" i="22"/>
  <c r="DL8" i="22"/>
  <c r="DM8" i="22"/>
  <c r="DN8" i="22"/>
  <c r="DO8" i="22"/>
  <c r="DP8" i="22"/>
  <c r="DQ8" i="22"/>
  <c r="DR8" i="22"/>
  <c r="DS8" i="22"/>
  <c r="DT8" i="22"/>
  <c r="DU8" i="22"/>
  <c r="DV8" i="22"/>
  <c r="DW8" i="22"/>
  <c r="DX8" i="22"/>
  <c r="DY8" i="22"/>
  <c r="DZ8" i="22"/>
  <c r="EA8" i="22"/>
  <c r="EB8" i="22"/>
  <c r="EC8" i="22"/>
  <c r="ED8" i="22"/>
  <c r="EE8" i="22"/>
  <c r="EF8" i="22"/>
  <c r="EG8" i="22"/>
  <c r="EH8" i="22"/>
  <c r="EI8" i="22"/>
  <c r="EJ8" i="22"/>
  <c r="EK8" i="22"/>
  <c r="EL8" i="22"/>
  <c r="EM8" i="22"/>
  <c r="EN8" i="22"/>
  <c r="EO8" i="22"/>
  <c r="EP8" i="22"/>
  <c r="EQ8" i="22"/>
  <c r="ER8" i="22"/>
  <c r="ES8" i="22"/>
  <c r="ET8" i="22"/>
  <c r="EU8" i="22"/>
  <c r="EV8" i="22"/>
  <c r="EW8" i="22"/>
  <c r="EX8" i="22"/>
  <c r="EY8" i="22"/>
  <c r="EZ8" i="22"/>
  <c r="FA8" i="22"/>
  <c r="FB8" i="22"/>
  <c r="FC8" i="22"/>
  <c r="FD8" i="22"/>
  <c r="FE8" i="22"/>
  <c r="FF8" i="22"/>
  <c r="FG8" i="22"/>
  <c r="FH8" i="22"/>
  <c r="FI8" i="22"/>
  <c r="FJ8" i="22"/>
  <c r="FK8" i="22"/>
  <c r="FL8" i="22"/>
  <c r="FM8" i="22"/>
  <c r="FN8" i="22"/>
  <c r="FO8" i="22"/>
  <c r="FP8" i="22"/>
  <c r="FQ8" i="22"/>
  <c r="FR8" i="22"/>
  <c r="FS8" i="22"/>
  <c r="FT8" i="22"/>
  <c r="FU8" i="22"/>
  <c r="FV8" i="22"/>
  <c r="FW8" i="22"/>
  <c r="FX8" i="22"/>
  <c r="FY8" i="22"/>
  <c r="FZ8" i="22"/>
  <c r="GA8" i="22"/>
  <c r="GB8" i="22"/>
  <c r="GC8" i="22"/>
  <c r="GD8" i="22"/>
  <c r="GE8" i="22"/>
  <c r="GF8" i="22"/>
  <c r="GG8" i="22"/>
  <c r="GH8" i="22"/>
  <c r="GI8" i="22"/>
  <c r="GJ8" i="22"/>
  <c r="GK8" i="22"/>
  <c r="GL8" i="22"/>
  <c r="GM8" i="22"/>
  <c r="GN8" i="22"/>
  <c r="GO8" i="22"/>
  <c r="GP8" i="22"/>
  <c r="GQ8" i="22"/>
  <c r="GR8" i="22"/>
  <c r="GS8" i="22"/>
  <c r="GT8" i="22"/>
  <c r="GU8" i="22"/>
  <c r="GV8" i="22"/>
  <c r="GW8" i="22"/>
  <c r="GX8" i="22"/>
  <c r="GY8" i="22"/>
  <c r="GZ8" i="22"/>
  <c r="HA8" i="22"/>
  <c r="HB8" i="22"/>
  <c r="HC8" i="22"/>
  <c r="HD8" i="22"/>
  <c r="HE8" i="22"/>
  <c r="HF8" i="22"/>
  <c r="HG8" i="22"/>
  <c r="HH8" i="22"/>
  <c r="HI8" i="22"/>
  <c r="HJ8" i="22"/>
  <c r="HK8" i="22"/>
  <c r="HL8" i="22"/>
  <c r="HM8" i="22"/>
  <c r="HN8" i="22"/>
  <c r="HO8" i="22"/>
  <c r="HP8" i="22"/>
  <c r="HQ8" i="22"/>
  <c r="HR8" i="22"/>
  <c r="HS8" i="22"/>
  <c r="HT8" i="22"/>
  <c r="HU8" i="22"/>
  <c r="HV8" i="22"/>
  <c r="HW8" i="22"/>
  <c r="HX8" i="22"/>
  <c r="HY8" i="22"/>
  <c r="HZ8" i="22"/>
  <c r="IA8" i="22"/>
  <c r="IB8" i="22"/>
  <c r="IC8" i="22"/>
  <c r="ID8" i="22"/>
  <c r="IE8" i="22"/>
  <c r="IF8" i="22"/>
  <c r="IG8" i="22"/>
  <c r="IH8" i="22"/>
  <c r="II8" i="22"/>
  <c r="IJ8" i="22"/>
  <c r="IK8" i="22"/>
  <c r="IL8" i="22"/>
  <c r="IM8" i="22"/>
  <c r="IN8" i="22"/>
  <c r="IO8" i="22"/>
  <c r="IP8" i="22"/>
  <c r="IQ8" i="22"/>
  <c r="IR8" i="22"/>
  <c r="IS8" i="22"/>
  <c r="IT8" i="22"/>
  <c r="IU8" i="22"/>
  <c r="IV8" i="22"/>
  <c r="IW8" i="22"/>
  <c r="IX8" i="22"/>
  <c r="IY8" i="22"/>
  <c r="IZ8" i="22"/>
  <c r="JA8" i="22"/>
  <c r="JB8" i="22"/>
  <c r="JC8" i="22"/>
  <c r="JD8" i="22"/>
  <c r="JE8" i="22"/>
  <c r="JF8" i="22"/>
  <c r="JG8" i="22"/>
  <c r="JH8" i="22"/>
  <c r="JI8" i="22"/>
  <c r="JJ8" i="22"/>
  <c r="JK8" i="22"/>
  <c r="JL8" i="22"/>
  <c r="JM8" i="22"/>
  <c r="JN8" i="22"/>
  <c r="JO8" i="22"/>
  <c r="JP8" i="22"/>
  <c r="JQ8" i="22"/>
  <c r="JR8" i="22"/>
  <c r="JS8" i="22"/>
  <c r="JT8" i="22"/>
  <c r="JU8" i="22"/>
  <c r="JV8" i="22"/>
  <c r="JW8" i="22"/>
  <c r="JX8" i="22"/>
  <c r="JY8" i="22"/>
  <c r="JZ8" i="22"/>
  <c r="KA8" i="22"/>
  <c r="KB8" i="22"/>
  <c r="KC8" i="22"/>
  <c r="KD8" i="22"/>
  <c r="KE8" i="22"/>
  <c r="KF8" i="22"/>
  <c r="KG8" i="22"/>
  <c r="KH8" i="22"/>
  <c r="KI8" i="22"/>
  <c r="KJ8" i="22"/>
  <c r="KK8" i="22"/>
  <c r="KL8" i="22"/>
  <c r="KM8" i="22"/>
  <c r="KN8" i="22"/>
  <c r="KO8" i="22"/>
  <c r="KP8" i="22"/>
  <c r="KQ8" i="22"/>
  <c r="KR8" i="22"/>
  <c r="KS8" i="22"/>
  <c r="KT8" i="22"/>
  <c r="KU8" i="22"/>
  <c r="KV8" i="22"/>
  <c r="KW8" i="22"/>
  <c r="KX8" i="22"/>
  <c r="KY8" i="22"/>
  <c r="KZ8" i="22"/>
  <c r="LA8" i="22"/>
  <c r="LB8" i="22"/>
  <c r="LC8" i="22"/>
  <c r="LD8" i="22"/>
  <c r="LE8" i="22"/>
  <c r="LF8" i="22"/>
  <c r="LG8" i="22"/>
  <c r="LH8" i="22"/>
  <c r="LI8" i="22"/>
  <c r="LJ8" i="22"/>
  <c r="LK8" i="22"/>
  <c r="LL8" i="22"/>
  <c r="LM8" i="22"/>
  <c r="LN8" i="22"/>
  <c r="LO8" i="22"/>
  <c r="LP8" i="22"/>
  <c r="LQ8" i="22"/>
  <c r="LR8" i="22"/>
  <c r="LS8" i="22"/>
  <c r="LT8" i="22"/>
  <c r="LU8" i="22"/>
  <c r="LV8" i="22"/>
  <c r="LW8" i="22"/>
  <c r="LX8" i="22"/>
  <c r="LY8" i="22"/>
  <c r="LZ8" i="22"/>
  <c r="MA8" i="22"/>
  <c r="MB8" i="22"/>
  <c r="MC8" i="22"/>
  <c r="MD8" i="22"/>
  <c r="ME8" i="22"/>
  <c r="MF8" i="22"/>
  <c r="MG8" i="22"/>
  <c r="MH8" i="22"/>
  <c r="MI8" i="22"/>
  <c r="MJ8" i="22"/>
  <c r="MK8" i="22"/>
  <c r="ML8" i="22"/>
  <c r="MM8" i="22"/>
  <c r="MN8" i="22"/>
  <c r="MO8" i="22"/>
  <c r="MP8" i="22"/>
  <c r="MQ8" i="22"/>
  <c r="MR8" i="22"/>
  <c r="MS8" i="22"/>
  <c r="MT8" i="22"/>
  <c r="MU8" i="22"/>
  <c r="MV8" i="22"/>
  <c r="MW8" i="22"/>
  <c r="MX8" i="22"/>
  <c r="MY8" i="22"/>
  <c r="MZ8" i="22"/>
  <c r="NA8" i="22"/>
  <c r="NB8" i="22"/>
  <c r="NQ8" i="22"/>
  <c r="C8" i="22"/>
  <c r="D8" i="22"/>
  <c r="E8" i="22"/>
  <c r="F8" i="22"/>
  <c r="G8" i="22"/>
  <c r="H8" i="22"/>
  <c r="I8" i="22"/>
  <c r="J8" i="22"/>
  <c r="K8" i="22"/>
  <c r="L8" i="22"/>
  <c r="M8" i="22"/>
  <c r="N8" i="22"/>
  <c r="O8" i="22"/>
  <c r="P8" i="22"/>
  <c r="Q8" i="22"/>
  <c r="R8" i="22"/>
  <c r="S8" i="22"/>
  <c r="T8" i="22"/>
  <c r="U8" i="22"/>
  <c r="V8" i="22"/>
  <c r="W8" i="22"/>
  <c r="X8" i="22"/>
  <c r="Y8" i="22"/>
  <c r="Z8" i="22"/>
  <c r="AA8" i="22"/>
  <c r="AB8" i="22"/>
  <c r="AC8" i="22"/>
  <c r="AD8" i="22"/>
  <c r="AE8" i="22"/>
  <c r="AF8" i="22"/>
  <c r="AG8" i="22"/>
  <c r="AH8" i="22"/>
  <c r="AI8" i="22"/>
  <c r="AJ8" i="22"/>
  <c r="AK8" i="22"/>
  <c r="AL8" i="22"/>
  <c r="AM8" i="22"/>
  <c r="AN8" i="22"/>
  <c r="AO8" i="22"/>
  <c r="AP8" i="22"/>
  <c r="AQ8" i="22"/>
  <c r="AR8" i="22"/>
  <c r="B8" i="22"/>
  <c r="NX69" i="22" l="1"/>
  <c r="OE7" i="22"/>
  <c r="NX5" i="22"/>
  <c r="NX6" i="22"/>
  <c r="OD69" i="22"/>
  <c r="NZ7" i="22"/>
  <c r="NZ5" i="22"/>
  <c r="ML79" i="22"/>
  <c r="LV73" i="22"/>
  <c r="JZ79" i="22"/>
  <c r="JR75" i="22"/>
  <c r="JR76" i="22" s="1"/>
  <c r="JR77" i="22" s="1"/>
  <c r="IX86" i="22"/>
  <c r="IP88" i="22"/>
  <c r="IH71" i="22"/>
  <c r="Y75" i="22"/>
  <c r="Y76" i="22" s="1"/>
  <c r="Y77" i="22" s="1"/>
  <c r="NC82" i="22"/>
  <c r="NY67" i="22"/>
  <c r="AB75" i="22"/>
  <c r="AB76" i="22" s="1"/>
  <c r="AB77" i="22" s="1"/>
  <c r="T79" i="22"/>
  <c r="MC75" i="22"/>
  <c r="MC76" i="22" s="1"/>
  <c r="MC77" i="22" s="1"/>
  <c r="KW73" i="22"/>
  <c r="KO71" i="22"/>
  <c r="KG71" i="22"/>
  <c r="JM71" i="22"/>
  <c r="JA79" i="22"/>
  <c r="IS75" i="22"/>
  <c r="IS76" i="22" s="1"/>
  <c r="IS77" i="22" s="1"/>
  <c r="HY71" i="22"/>
  <c r="HA88" i="22"/>
  <c r="GS73" i="22"/>
  <c r="GK75" i="22"/>
  <c r="EW75" i="22"/>
  <c r="EW76" i="22" s="1"/>
  <c r="EW77" i="22" s="1"/>
  <c r="EO71" i="22"/>
  <c r="DQ86" i="22"/>
  <c r="DI71" i="22"/>
  <c r="DA79" i="22"/>
  <c r="CG75" i="22"/>
  <c r="CG76" i="22" s="1"/>
  <c r="CG77" i="22" s="1"/>
  <c r="BM75" i="22"/>
  <c r="BM76" i="22" s="1"/>
  <c r="BM77" i="22" s="1"/>
  <c r="MY85" i="22"/>
  <c r="MU85" i="22"/>
  <c r="MQ85" i="22"/>
  <c r="MM85" i="22"/>
  <c r="MI85" i="22"/>
  <c r="ME85" i="22"/>
  <c r="MA85" i="22"/>
  <c r="LW85" i="22"/>
  <c r="LS85" i="22"/>
  <c r="LO85" i="22"/>
  <c r="LK85" i="22"/>
  <c r="LG85" i="22"/>
  <c r="LC85" i="22"/>
  <c r="KY85" i="22"/>
  <c r="KU85" i="22"/>
  <c r="KQ85" i="22"/>
  <c r="KM85" i="22"/>
  <c r="KI85" i="22"/>
  <c r="KE85" i="22"/>
  <c r="KA85" i="22"/>
  <c r="JW85" i="22"/>
  <c r="JS85" i="22"/>
  <c r="JO85" i="22"/>
  <c r="JK85" i="22"/>
  <c r="JG85" i="22"/>
  <c r="JC85" i="22"/>
  <c r="IY85" i="22"/>
  <c r="IU85" i="22"/>
  <c r="IQ85" i="22"/>
  <c r="IM85" i="22"/>
  <c r="II85" i="22"/>
  <c r="IE85" i="22"/>
  <c r="IA85" i="22"/>
  <c r="HW85" i="22"/>
  <c r="HS85" i="22"/>
  <c r="HO85" i="22"/>
  <c r="HK85" i="22"/>
  <c r="HG85" i="22"/>
  <c r="HC85" i="22"/>
  <c r="GY85" i="22"/>
  <c r="GU85" i="22"/>
  <c r="GQ85" i="22"/>
  <c r="GM85" i="22"/>
  <c r="GI85" i="22"/>
  <c r="GE85" i="22"/>
  <c r="GA85" i="22"/>
  <c r="FW85" i="22"/>
  <c r="FS85" i="22"/>
  <c r="FO85" i="22"/>
  <c r="FK85" i="22"/>
  <c r="FG85" i="22"/>
  <c r="FC85" i="22"/>
  <c r="EY85" i="22"/>
  <c r="EU85" i="22"/>
  <c r="EQ85" i="22"/>
  <c r="EM85" i="22"/>
  <c r="EI85" i="22"/>
  <c r="EE85" i="22"/>
  <c r="EA85" i="22"/>
  <c r="DW85" i="22"/>
  <c r="DS85" i="22"/>
  <c r="DO85" i="22"/>
  <c r="DK85" i="22"/>
  <c r="DG85" i="22"/>
  <c r="DC85" i="22"/>
  <c r="CY85" i="22"/>
  <c r="CU85" i="22"/>
  <c r="CQ85" i="22"/>
  <c r="CM85" i="22"/>
  <c r="CI85" i="22"/>
  <c r="CE85" i="22"/>
  <c r="CA85" i="22"/>
  <c r="BW85" i="22"/>
  <c r="BS85" i="22"/>
  <c r="BO85" i="22"/>
  <c r="BK85" i="22"/>
  <c r="BG85" i="22"/>
  <c r="BC85" i="22"/>
  <c r="AY85" i="22"/>
  <c r="AU85" i="22"/>
  <c r="AQ85" i="22"/>
  <c r="AM85" i="22"/>
  <c r="AI85" i="22"/>
  <c r="AE85" i="22"/>
  <c r="AA85" i="22"/>
  <c r="W85" i="22"/>
  <c r="S85" i="22"/>
  <c r="O85" i="22"/>
  <c r="K85" i="22"/>
  <c r="G85" i="22"/>
  <c r="C85" i="22"/>
  <c r="NC81" i="22"/>
  <c r="AM79" i="22"/>
  <c r="W88" i="22"/>
  <c r="MZ75" i="22"/>
  <c r="MZ76" i="22" s="1"/>
  <c r="MZ77" i="22" s="1"/>
  <c r="MN86" i="22"/>
  <c r="MF73" i="22"/>
  <c r="LX86" i="22"/>
  <c r="LT73" i="22"/>
  <c r="LD73" i="22"/>
  <c r="KN73" i="22"/>
  <c r="JX75" i="22"/>
  <c r="JX76" i="22" s="1"/>
  <c r="JX77" i="22" s="1"/>
  <c r="IR75" i="22"/>
  <c r="IR76" i="22" s="1"/>
  <c r="IR77" i="22" s="1"/>
  <c r="IJ79" i="22"/>
  <c r="IB75" i="22"/>
  <c r="IB76" i="22" s="1"/>
  <c r="IB77" i="22" s="1"/>
  <c r="HH71" i="22"/>
  <c r="GZ86" i="22"/>
  <c r="GR71" i="22"/>
  <c r="GJ86" i="22"/>
  <c r="FX79" i="22"/>
  <c r="FL71" i="22"/>
  <c r="FD75" i="22"/>
  <c r="FD76" i="22" s="1"/>
  <c r="FD77" i="22" s="1"/>
  <c r="EV71" i="22"/>
  <c r="EN86" i="22"/>
  <c r="EF71" i="22"/>
  <c r="DX86" i="22"/>
  <c r="DH86" i="22"/>
  <c r="CZ71" i="22"/>
  <c r="CR75" i="22"/>
  <c r="CR76" i="22" s="1"/>
  <c r="CR77" i="22" s="1"/>
  <c r="CB86" i="22"/>
  <c r="BT71" i="22"/>
  <c r="BL75" i="22"/>
  <c r="BL76" i="22" s="1"/>
  <c r="BL77" i="22" s="1"/>
  <c r="BD71" i="22"/>
  <c r="AV86" i="22"/>
  <c r="NB85" i="22"/>
  <c r="MX85" i="22"/>
  <c r="MT85" i="22"/>
  <c r="MP85" i="22"/>
  <c r="ML85" i="22"/>
  <c r="MH85" i="22"/>
  <c r="MD85" i="22"/>
  <c r="LZ85" i="22"/>
  <c r="LV85" i="22"/>
  <c r="LR85" i="22"/>
  <c r="LN85" i="22"/>
  <c r="LJ85" i="22"/>
  <c r="LF85" i="22"/>
  <c r="LB85" i="22"/>
  <c r="KX85" i="22"/>
  <c r="KT85" i="22"/>
  <c r="KP85" i="22"/>
  <c r="KL85" i="22"/>
  <c r="KH85" i="22"/>
  <c r="KD85" i="22"/>
  <c r="JZ85" i="22"/>
  <c r="JV85" i="22"/>
  <c r="JR85" i="22"/>
  <c r="JN85" i="22"/>
  <c r="JJ85" i="22"/>
  <c r="JF85" i="22"/>
  <c r="JB85" i="22"/>
  <c r="IX85" i="22"/>
  <c r="IT85" i="22"/>
  <c r="IP85" i="22"/>
  <c r="IL85" i="22"/>
  <c r="IH85" i="22"/>
  <c r="ID85" i="22"/>
  <c r="HZ85" i="22"/>
  <c r="HV85" i="22"/>
  <c r="HR85" i="22"/>
  <c r="HN85" i="22"/>
  <c r="HJ85" i="22"/>
  <c r="HF85" i="22"/>
  <c r="HB85" i="22"/>
  <c r="GX85" i="22"/>
  <c r="GT85" i="22"/>
  <c r="GP85" i="22"/>
  <c r="GL85" i="22"/>
  <c r="GH85" i="22"/>
  <c r="GD85" i="22"/>
  <c r="FZ85" i="22"/>
  <c r="FV85" i="22"/>
  <c r="FR85" i="22"/>
  <c r="FN85" i="22"/>
  <c r="FJ85" i="22"/>
  <c r="FF85" i="22"/>
  <c r="FB85" i="22"/>
  <c r="EX85" i="22"/>
  <c r="ET85" i="22"/>
  <c r="EP85" i="22"/>
  <c r="EL85" i="22"/>
  <c r="EH85" i="22"/>
  <c r="ED85" i="22"/>
  <c r="DZ85" i="22"/>
  <c r="DV85" i="22"/>
  <c r="DR85" i="22"/>
  <c r="DN85" i="22"/>
  <c r="DJ85" i="22"/>
  <c r="DF85" i="22"/>
  <c r="DB85" i="22"/>
  <c r="CX85" i="22"/>
  <c r="CT85" i="22"/>
  <c r="CP85" i="22"/>
  <c r="CL85" i="22"/>
  <c r="CH85" i="22"/>
  <c r="CD85" i="22"/>
  <c r="BZ85" i="22"/>
  <c r="BV85" i="22"/>
  <c r="BR85" i="22"/>
  <c r="BN85" i="22"/>
  <c r="BJ85" i="22"/>
  <c r="BF85" i="22"/>
  <c r="BB85" i="22"/>
  <c r="AX85" i="22"/>
  <c r="AT85" i="22"/>
  <c r="AP85" i="22"/>
  <c r="AL85" i="22"/>
  <c r="AH85" i="22"/>
  <c r="AD85" i="22"/>
  <c r="Z85" i="22"/>
  <c r="V85" i="22"/>
  <c r="R85" i="22"/>
  <c r="N85" i="22"/>
  <c r="J85" i="22"/>
  <c r="F85" i="22"/>
  <c r="B85" i="22"/>
  <c r="NA71" i="22"/>
  <c r="MG75" i="22"/>
  <c r="MG76" i="22" s="1"/>
  <c r="MG77" i="22" s="1"/>
  <c r="LU86" i="22"/>
  <c r="LM71" i="22"/>
  <c r="LA86" i="22"/>
  <c r="KS71" i="22"/>
  <c r="KG86" i="22"/>
  <c r="JY79" i="22"/>
  <c r="JM88" i="22"/>
  <c r="JE73" i="22"/>
  <c r="IW75" i="22"/>
  <c r="IK73" i="22"/>
  <c r="IC71" i="22"/>
  <c r="HI75" i="22"/>
  <c r="HI76" i="22" s="1"/>
  <c r="HI77" i="22" s="1"/>
  <c r="GW86" i="22"/>
  <c r="GO71" i="22"/>
  <c r="GC86" i="22"/>
  <c r="FU71" i="22"/>
  <c r="FI86" i="22"/>
  <c r="FA79" i="22"/>
  <c r="EO88" i="22"/>
  <c r="EG73" i="22"/>
  <c r="DY75" i="22"/>
  <c r="DY76" i="22" s="1"/>
  <c r="DY77" i="22" s="1"/>
  <c r="DM73" i="22"/>
  <c r="DE71" i="22"/>
  <c r="CK75" i="22"/>
  <c r="CK76" i="22" s="1"/>
  <c r="CK77" i="22" s="1"/>
  <c r="BY86" i="22"/>
  <c r="BQ79" i="22"/>
  <c r="BE86" i="22"/>
  <c r="AW71" i="22"/>
  <c r="AK86" i="22"/>
  <c r="AC75" i="22"/>
  <c r="AC76" i="22" s="1"/>
  <c r="AC77" i="22" s="1"/>
  <c r="Q88" i="22"/>
  <c r="AP75" i="22"/>
  <c r="AP76" i="22" s="1"/>
  <c r="AP77" i="22" s="1"/>
  <c r="AD86" i="22"/>
  <c r="MU75" i="22"/>
  <c r="MU76" i="22" s="1"/>
  <c r="MU77" i="22" s="1"/>
  <c r="MI71" i="22"/>
  <c r="ME79" i="22"/>
  <c r="LK75" i="22"/>
  <c r="LK76" i="22" s="1"/>
  <c r="LK77" i="22" s="1"/>
  <c r="LG71" i="22"/>
  <c r="KU79" i="22"/>
  <c r="KI75" i="22"/>
  <c r="KI76" i="22" s="1"/>
  <c r="KI77" i="22" s="1"/>
  <c r="JW71" i="22"/>
  <c r="JS88" i="22"/>
  <c r="IY75" i="22"/>
  <c r="IY76" i="22" s="1"/>
  <c r="IY77" i="22" s="1"/>
  <c r="IU71" i="22"/>
  <c r="II79" i="22"/>
  <c r="HW75" i="22"/>
  <c r="HW76" i="22" s="1"/>
  <c r="HW77" i="22" s="1"/>
  <c r="HK71" i="22"/>
  <c r="HG88" i="22"/>
  <c r="GM75" i="22"/>
  <c r="GM76" i="22" s="1"/>
  <c r="GM77" i="22" s="1"/>
  <c r="GI71" i="22"/>
  <c r="FS88" i="22"/>
  <c r="FO88" i="22"/>
  <c r="EY71" i="22"/>
  <c r="EU88" i="22"/>
  <c r="EA75" i="22"/>
  <c r="EA76" i="22" s="1"/>
  <c r="EA77" i="22" s="1"/>
  <c r="DW71" i="22"/>
  <c r="DK88" i="22"/>
  <c r="CY75" i="22"/>
  <c r="CY76" i="22" s="1"/>
  <c r="CY77" i="22" s="1"/>
  <c r="CM75" i="22"/>
  <c r="CM76" i="22" s="1"/>
  <c r="CM77" i="22" s="1"/>
  <c r="CI88" i="22"/>
  <c r="BS75" i="22"/>
  <c r="BS76" i="22" s="1"/>
  <c r="BS77" i="22" s="1"/>
  <c r="BG75" i="22"/>
  <c r="BG76" i="22" s="1"/>
  <c r="BG77" i="22" s="1"/>
  <c r="BC88" i="22"/>
  <c r="NS86" i="22"/>
  <c r="AR75" i="22"/>
  <c r="AR76" i="22" s="1"/>
  <c r="AR77" i="22" s="1"/>
  <c r="AF86" i="22"/>
  <c r="X71" i="22"/>
  <c r="L75" i="22"/>
  <c r="L76" i="22" s="1"/>
  <c r="L77" i="22" s="1"/>
  <c r="NQ75" i="22"/>
  <c r="NQ76" i="22" s="1"/>
  <c r="NQ77" i="22" s="1"/>
  <c r="MQ75" i="22"/>
  <c r="MQ76" i="22" s="1"/>
  <c r="MQ77" i="22" s="1"/>
  <c r="MM71" i="22"/>
  <c r="MA79" i="22"/>
  <c r="LO75" i="22"/>
  <c r="LO76" i="22" s="1"/>
  <c r="LO77" i="22" s="1"/>
  <c r="LC71" i="22"/>
  <c r="KY79" i="22"/>
  <c r="KE75" i="22"/>
  <c r="KE76" i="22" s="1"/>
  <c r="KE77" i="22" s="1"/>
  <c r="KA71" i="22"/>
  <c r="JO79" i="22"/>
  <c r="JC75" i="22"/>
  <c r="JC76" i="22" s="1"/>
  <c r="JC77" i="22" s="1"/>
  <c r="IQ71" i="22"/>
  <c r="IM88" i="22"/>
  <c r="HS75" i="22"/>
  <c r="HS76" i="22" s="1"/>
  <c r="HS77" i="22" s="1"/>
  <c r="HO71" i="22"/>
  <c r="HC79" i="22"/>
  <c r="GQ75" i="22"/>
  <c r="GQ76" i="22" s="1"/>
  <c r="GQ77" i="22" s="1"/>
  <c r="GE73" i="22"/>
  <c r="GA86" i="22"/>
  <c r="FG88" i="22"/>
  <c r="FC86" i="22"/>
  <c r="EQ88" i="22"/>
  <c r="EE75" i="22"/>
  <c r="EE76" i="22" s="1"/>
  <c r="EE77" i="22" s="1"/>
  <c r="DS71" i="22"/>
  <c r="DO88" i="22"/>
  <c r="CU75" i="22"/>
  <c r="CU76" i="22" s="1"/>
  <c r="CU77" i="22" s="1"/>
  <c r="CQ71" i="22"/>
  <c r="CE79" i="22"/>
  <c r="BO75" i="22"/>
  <c r="BO76" i="22" s="1"/>
  <c r="BO77" i="22" s="1"/>
  <c r="BK71" i="22"/>
  <c r="AY79" i="22"/>
  <c r="NB75" i="22"/>
  <c r="MX79" i="22"/>
  <c r="MP71" i="22"/>
  <c r="MH73" i="22"/>
  <c r="LZ71" i="22"/>
  <c r="LV88" i="22"/>
  <c r="LR75" i="22"/>
  <c r="LR76" i="22" s="1"/>
  <c r="LR77" i="22" s="1"/>
  <c r="LN86" i="22"/>
  <c r="LF79" i="22"/>
  <c r="KX71" i="22"/>
  <c r="KP73" i="22"/>
  <c r="KL79" i="22"/>
  <c r="KD71" i="22"/>
  <c r="JJ88" i="22"/>
  <c r="JF75" i="22"/>
  <c r="JF76" i="22" s="1"/>
  <c r="JF77" i="22" s="1"/>
  <c r="JB86" i="22"/>
  <c r="IT79" i="22"/>
  <c r="IL71" i="22"/>
  <c r="ID73" i="22"/>
  <c r="HZ79" i="22"/>
  <c r="HR71" i="22"/>
  <c r="HJ88" i="22"/>
  <c r="HB71" i="22"/>
  <c r="GX88" i="22"/>
  <c r="GT75" i="22"/>
  <c r="GT76" i="22" s="1"/>
  <c r="GT77" i="22" s="1"/>
  <c r="GP86" i="22"/>
  <c r="FR73" i="22"/>
  <c r="FN79" i="22"/>
  <c r="FF86" i="22"/>
  <c r="EX73" i="22"/>
  <c r="EL88" i="22"/>
  <c r="EH75" i="22"/>
  <c r="EH76" i="22" s="1"/>
  <c r="EH77" i="22" s="1"/>
  <c r="ED86" i="22"/>
  <c r="DV75" i="22"/>
  <c r="DV76" i="22" s="1"/>
  <c r="DV77" i="22" s="1"/>
  <c r="DN71" i="22"/>
  <c r="DF73" i="22"/>
  <c r="DB88" i="22"/>
  <c r="CT86" i="22"/>
  <c r="CL79" i="22"/>
  <c r="CD73" i="22"/>
  <c r="BZ88" i="22"/>
  <c r="BV75" i="22"/>
  <c r="BV76" i="22" s="1"/>
  <c r="BV77" i="22" s="1"/>
  <c r="BR79" i="22"/>
  <c r="BJ86" i="22"/>
  <c r="BB71" i="22"/>
  <c r="AT73" i="22"/>
  <c r="AP88" i="22"/>
  <c r="AH79" i="22"/>
  <c r="Z79" i="22"/>
  <c r="N88" i="22"/>
  <c r="ND75" i="22"/>
  <c r="ND76" i="22" s="1"/>
  <c r="ND77" i="22" s="1"/>
  <c r="NK75" i="22"/>
  <c r="NK76" i="22" s="1"/>
  <c r="NK77" i="22" s="1"/>
  <c r="NF80" i="22"/>
  <c r="NJ80" i="22"/>
  <c r="NN80" i="22"/>
  <c r="NE73" i="22"/>
  <c r="NY15" i="22"/>
  <c r="NM86" i="22"/>
  <c r="NW16" i="22"/>
  <c r="NY19" i="22"/>
  <c r="NW20" i="22"/>
  <c r="NY23" i="22"/>
  <c r="NL81" i="22"/>
  <c r="NQ81" i="22"/>
  <c r="NY27" i="22"/>
  <c r="NW28" i="22"/>
  <c r="NY31" i="22"/>
  <c r="NW32" i="22"/>
  <c r="NF82" i="22"/>
  <c r="NJ82" i="22"/>
  <c r="NN82" i="22"/>
  <c r="NY35" i="22"/>
  <c r="NW36" i="22"/>
  <c r="NY39" i="22"/>
  <c r="NW40" i="22"/>
  <c r="NY43" i="22"/>
  <c r="NY47" i="22"/>
  <c r="NW48" i="22"/>
  <c r="NY51" i="22"/>
  <c r="NW52" i="22"/>
  <c r="NF84" i="22"/>
  <c r="NJ84" i="22"/>
  <c r="NN84" i="22"/>
  <c r="NY55" i="22"/>
  <c r="NL89" i="22"/>
  <c r="NQ89" i="22"/>
  <c r="NY59" i="22"/>
  <c r="NW60" i="22"/>
  <c r="NY63" i="22"/>
  <c r="NL85" i="22"/>
  <c r="NQ85" i="22"/>
  <c r="NG71" i="22"/>
  <c r="AK79" i="22"/>
  <c r="Y73" i="22"/>
  <c r="Q71" i="22"/>
  <c r="NQ71" i="22"/>
  <c r="MQ79" i="22"/>
  <c r="MM73" i="22"/>
  <c r="LS75" i="22"/>
  <c r="LS76" i="22" s="1"/>
  <c r="LS77" i="22" s="1"/>
  <c r="LO71" i="22"/>
  <c r="LC86" i="22"/>
  <c r="KY86" i="22"/>
  <c r="KE79" i="22"/>
  <c r="KA73" i="22"/>
  <c r="JG75" i="22"/>
  <c r="JG76" i="22" s="1"/>
  <c r="JG77" i="22" s="1"/>
  <c r="JC71" i="22"/>
  <c r="IQ86" i="22"/>
  <c r="IM79" i="22"/>
  <c r="HS79" i="22"/>
  <c r="HO73" i="22"/>
  <c r="GU75" i="22"/>
  <c r="GU76" i="22" s="1"/>
  <c r="GU77" i="22" s="1"/>
  <c r="GQ71" i="22"/>
  <c r="GE86" i="22"/>
  <c r="GA79" i="22"/>
  <c r="FG86" i="22"/>
  <c r="FC73" i="22"/>
  <c r="EI75" i="22"/>
  <c r="EI76" i="22" s="1"/>
  <c r="EI77" i="22" s="1"/>
  <c r="EE71" i="22"/>
  <c r="DS86" i="22"/>
  <c r="DO79" i="22"/>
  <c r="CU79" i="22"/>
  <c r="CQ73" i="22"/>
  <c r="BW79" i="22"/>
  <c r="BO71" i="22"/>
  <c r="BK88" i="22"/>
  <c r="AY73" i="22"/>
  <c r="NF86" i="22"/>
  <c r="NL88" i="22"/>
  <c r="NM71" i="22"/>
  <c r="OD7" i="22"/>
  <c r="I71" i="22"/>
  <c r="J75" i="22"/>
  <c r="J76" i="22" s="1"/>
  <c r="J77" i="22" s="1"/>
  <c r="E73" i="22"/>
  <c r="F79" i="22"/>
  <c r="AQ79" i="22"/>
  <c r="AQ73" i="22"/>
  <c r="AQ88" i="22"/>
  <c r="AQ86" i="22"/>
  <c r="AQ71" i="22"/>
  <c r="AQ75" i="22"/>
  <c r="AQ76" i="22" s="1"/>
  <c r="AQ77" i="22" s="1"/>
  <c r="AI79" i="22"/>
  <c r="AI88" i="22"/>
  <c r="AI73" i="22"/>
  <c r="AI86" i="22"/>
  <c r="AA88" i="22"/>
  <c r="AA73" i="22"/>
  <c r="AA71" i="22"/>
  <c r="AA79" i="22"/>
  <c r="S86" i="22"/>
  <c r="S71" i="22"/>
  <c r="S73" i="22"/>
  <c r="S88" i="22"/>
  <c r="S75" i="22"/>
  <c r="S76" i="22" s="1"/>
  <c r="S77" i="22" s="1"/>
  <c r="K71" i="22"/>
  <c r="K75" i="22"/>
  <c r="K76" i="22" s="1"/>
  <c r="K77" i="22" s="1"/>
  <c r="K73" i="22"/>
  <c r="K86" i="22"/>
  <c r="C71" i="22"/>
  <c r="C73" i="22"/>
  <c r="C75" i="22"/>
  <c r="C76" i="22" s="1"/>
  <c r="C77" i="22" s="1"/>
  <c r="C86" i="22"/>
  <c r="MV73" i="22"/>
  <c r="MV79" i="22"/>
  <c r="MV75" i="22"/>
  <c r="MV76" i="22" s="1"/>
  <c r="MV77" i="22" s="1"/>
  <c r="MV86" i="22"/>
  <c r="MR86" i="22"/>
  <c r="MR75" i="22"/>
  <c r="MR76" i="22" s="1"/>
  <c r="MR77" i="22" s="1"/>
  <c r="MR88" i="22"/>
  <c r="MR71" i="22"/>
  <c r="MR73" i="22"/>
  <c r="MJ86" i="22"/>
  <c r="MJ71" i="22"/>
  <c r="MJ88" i="22"/>
  <c r="MJ73" i="22"/>
  <c r="MJ79" i="22"/>
  <c r="MB86" i="22"/>
  <c r="MB71" i="22"/>
  <c r="MB88" i="22"/>
  <c r="MB75" i="22"/>
  <c r="MB76" i="22" s="1"/>
  <c r="MB77" i="22" s="1"/>
  <c r="MB73" i="22"/>
  <c r="LP75" i="22"/>
  <c r="LP76" i="22" s="1"/>
  <c r="LP77" i="22" s="1"/>
  <c r="LP79" i="22"/>
  <c r="LP71" i="22"/>
  <c r="LP86" i="22"/>
  <c r="LH75" i="22"/>
  <c r="LH76" i="22" s="1"/>
  <c r="LH77" i="22" s="1"/>
  <c r="LH79" i="22"/>
  <c r="LH88" i="22"/>
  <c r="LH73" i="22"/>
  <c r="KZ75" i="22"/>
  <c r="KZ76" i="22" s="1"/>
  <c r="KZ77" i="22" s="1"/>
  <c r="KZ79" i="22"/>
  <c r="KZ71" i="22"/>
  <c r="KZ86" i="22"/>
  <c r="KR75" i="22"/>
  <c r="KR76" i="22" s="1"/>
  <c r="KR77" i="22" s="1"/>
  <c r="KR79" i="22"/>
  <c r="KR88" i="22"/>
  <c r="KR73" i="22"/>
  <c r="KJ75" i="22"/>
  <c r="KJ76" i="22" s="1"/>
  <c r="KJ77" i="22" s="1"/>
  <c r="KJ79" i="22"/>
  <c r="KJ71" i="22"/>
  <c r="KJ86" i="22"/>
  <c r="KB73" i="22"/>
  <c r="KB79" i="22"/>
  <c r="KB88" i="22"/>
  <c r="KB71" i="22"/>
  <c r="JT73" i="22"/>
  <c r="JT79" i="22"/>
  <c r="JT75" i="22"/>
  <c r="JT76" i="22" s="1"/>
  <c r="JT77" i="22" s="1"/>
  <c r="JT86" i="22"/>
  <c r="JL73" i="22"/>
  <c r="JL79" i="22"/>
  <c r="JL88" i="22"/>
  <c r="JL71" i="22"/>
  <c r="JD73" i="22"/>
  <c r="JD79" i="22"/>
  <c r="JD75" i="22"/>
  <c r="JD76" i="22" s="1"/>
  <c r="JD77" i="22" s="1"/>
  <c r="JD86" i="22"/>
  <c r="IV73" i="22"/>
  <c r="IV79" i="22"/>
  <c r="IV88" i="22"/>
  <c r="IV71" i="22"/>
  <c r="IN73" i="22"/>
  <c r="IN79" i="22"/>
  <c r="IN75" i="22"/>
  <c r="IN76" i="22" s="1"/>
  <c r="IN77" i="22" s="1"/>
  <c r="IN86" i="22"/>
  <c r="IF73" i="22"/>
  <c r="IF79" i="22"/>
  <c r="IF88" i="22"/>
  <c r="IF71" i="22"/>
  <c r="HX73" i="22"/>
  <c r="HX79" i="22"/>
  <c r="HX75" i="22"/>
  <c r="HX76" i="22" s="1"/>
  <c r="HX77" i="22" s="1"/>
  <c r="HX86" i="22"/>
  <c r="HP73" i="22"/>
  <c r="HP79" i="22"/>
  <c r="HP88" i="22"/>
  <c r="HP71" i="22"/>
  <c r="HL86" i="22"/>
  <c r="HL73" i="22"/>
  <c r="HL88" i="22"/>
  <c r="HL71" i="22"/>
  <c r="HL79" i="22"/>
  <c r="HD86" i="22"/>
  <c r="HD73" i="22"/>
  <c r="HD88" i="22"/>
  <c r="HD71" i="22"/>
  <c r="HD75" i="22"/>
  <c r="HD76" i="22" s="1"/>
  <c r="HD77" i="22" s="1"/>
  <c r="GV86" i="22"/>
  <c r="GV73" i="22"/>
  <c r="GV88" i="22"/>
  <c r="GV71" i="22"/>
  <c r="GV79" i="22"/>
  <c r="GN86" i="22"/>
  <c r="GN73" i="22"/>
  <c r="GN88" i="22"/>
  <c r="GN71" i="22"/>
  <c r="GN75" i="22"/>
  <c r="GN76" i="22" s="1"/>
  <c r="GN77" i="22" s="1"/>
  <c r="GF86" i="22"/>
  <c r="GF73" i="22"/>
  <c r="GF88" i="22"/>
  <c r="GF71" i="22"/>
  <c r="GF79" i="22"/>
  <c r="GB73" i="22"/>
  <c r="GB79" i="22"/>
  <c r="GB75" i="22"/>
  <c r="GB76" i="22" s="1"/>
  <c r="GB77" i="22" s="1"/>
  <c r="GB86" i="22"/>
  <c r="FT73" i="22"/>
  <c r="FT79" i="22"/>
  <c r="FT88" i="22"/>
  <c r="FT71" i="22"/>
  <c r="FP86" i="22"/>
  <c r="FP73" i="22"/>
  <c r="FP88" i="22"/>
  <c r="FP71" i="22"/>
  <c r="FP79" i="22"/>
  <c r="FH86" i="22"/>
  <c r="FH73" i="22"/>
  <c r="FH88" i="22"/>
  <c r="FH71" i="22"/>
  <c r="FH75" i="22"/>
  <c r="FH76" i="22" s="1"/>
  <c r="FH77" i="22" s="1"/>
  <c r="EZ86" i="22"/>
  <c r="EZ73" i="22"/>
  <c r="EZ88" i="22"/>
  <c r="EZ71" i="22"/>
  <c r="EZ79" i="22"/>
  <c r="ER86" i="22"/>
  <c r="ER73" i="22"/>
  <c r="ER88" i="22"/>
  <c r="ER71" i="22"/>
  <c r="ER75" i="22"/>
  <c r="ER76" i="22" s="1"/>
  <c r="ER77" i="22" s="1"/>
  <c r="EJ86" i="22"/>
  <c r="EJ73" i="22"/>
  <c r="EJ88" i="22"/>
  <c r="EJ71" i="22"/>
  <c r="EJ79" i="22"/>
  <c r="EB86" i="22"/>
  <c r="EB73" i="22"/>
  <c r="EB88" i="22"/>
  <c r="EB71" i="22"/>
  <c r="EB75" i="22"/>
  <c r="EB76" i="22" s="1"/>
  <c r="EB77" i="22" s="1"/>
  <c r="DT86" i="22"/>
  <c r="DT73" i="22"/>
  <c r="DT88" i="22"/>
  <c r="DT71" i="22"/>
  <c r="DT79" i="22"/>
  <c r="DL86" i="22"/>
  <c r="DL73" i="22"/>
  <c r="DL88" i="22"/>
  <c r="DL71" i="22"/>
  <c r="DL75" i="22"/>
  <c r="DL76" i="22" s="1"/>
  <c r="DL77" i="22" s="1"/>
  <c r="DD86" i="22"/>
  <c r="DD73" i="22"/>
  <c r="DD88" i="22"/>
  <c r="DD71" i="22"/>
  <c r="DD79" i="22"/>
  <c r="CV86" i="22"/>
  <c r="CV73" i="22"/>
  <c r="CV88" i="22"/>
  <c r="CV71" i="22"/>
  <c r="CV75" i="22"/>
  <c r="CV76" i="22" s="1"/>
  <c r="CV77" i="22" s="1"/>
  <c r="CN86" i="22"/>
  <c r="CN73" i="22"/>
  <c r="CN88" i="22"/>
  <c r="CN71" i="22"/>
  <c r="CN79" i="22"/>
  <c r="CF86" i="22"/>
  <c r="CF73" i="22"/>
  <c r="CF88" i="22"/>
  <c r="CF71" i="22"/>
  <c r="CF75" i="22"/>
  <c r="CF76" i="22" s="1"/>
  <c r="CF77" i="22" s="1"/>
  <c r="BX86" i="22"/>
  <c r="BX73" i="22"/>
  <c r="BX88" i="22"/>
  <c r="BX71" i="22"/>
  <c r="BX79" i="22"/>
  <c r="BP86" i="22"/>
  <c r="BP73" i="22"/>
  <c r="BP88" i="22"/>
  <c r="BP71" i="22"/>
  <c r="BP75" i="22"/>
  <c r="BP76" i="22" s="1"/>
  <c r="BP77" i="22" s="1"/>
  <c r="BH86" i="22"/>
  <c r="BH73" i="22"/>
  <c r="BH88" i="22"/>
  <c r="BH71" i="22"/>
  <c r="BH79" i="22"/>
  <c r="AZ86" i="22"/>
  <c r="AZ73" i="22"/>
  <c r="AZ88" i="22"/>
  <c r="AZ71" i="22"/>
  <c r="AZ75" i="22"/>
  <c r="AZ76" i="22" s="1"/>
  <c r="AZ77" i="22" s="1"/>
  <c r="NS87" i="22"/>
  <c r="NS83" i="22"/>
  <c r="MY87" i="22"/>
  <c r="MY83" i="22"/>
  <c r="MQ87" i="22"/>
  <c r="MQ83" i="22"/>
  <c r="MI87" i="22"/>
  <c r="MI83" i="22"/>
  <c r="MA87" i="22"/>
  <c r="MA83" i="22"/>
  <c r="LS87" i="22"/>
  <c r="LS83" i="22"/>
  <c r="LK87" i="22"/>
  <c r="LK83" i="22"/>
  <c r="LC87" i="22"/>
  <c r="LC83" i="22"/>
  <c r="KQ87" i="22"/>
  <c r="KQ83" i="22"/>
  <c r="KI87" i="22"/>
  <c r="KI83" i="22"/>
  <c r="KA87" i="22"/>
  <c r="KA83" i="22"/>
  <c r="JS87" i="22"/>
  <c r="JS83" i="22"/>
  <c r="JG87" i="22"/>
  <c r="JG83" i="22"/>
  <c r="IU87" i="22"/>
  <c r="IU83" i="22"/>
  <c r="IQ87" i="22"/>
  <c r="IQ83" i="22"/>
  <c r="II87" i="22"/>
  <c r="II83" i="22"/>
  <c r="IA87" i="22"/>
  <c r="IA83" i="22"/>
  <c r="HS87" i="22"/>
  <c r="HS83" i="22"/>
  <c r="HK87" i="22"/>
  <c r="HK83" i="22"/>
  <c r="HC87" i="22"/>
  <c r="HC83" i="22"/>
  <c r="GQ87" i="22"/>
  <c r="GQ83" i="22"/>
  <c r="GI87" i="22"/>
  <c r="GI83" i="22"/>
  <c r="GA87" i="22"/>
  <c r="GA83" i="22"/>
  <c r="FO87" i="22"/>
  <c r="FO83" i="22"/>
  <c r="FG87" i="22"/>
  <c r="FG83" i="22"/>
  <c r="EY87" i="22"/>
  <c r="EY83" i="22"/>
  <c r="EQ87" i="22"/>
  <c r="EQ83" i="22"/>
  <c r="EI87" i="22"/>
  <c r="EI83" i="22"/>
  <c r="EA87" i="22"/>
  <c r="EA83" i="22"/>
  <c r="DS87" i="22"/>
  <c r="DS83" i="22"/>
  <c r="DK87" i="22"/>
  <c r="DK83" i="22"/>
  <c r="DC87" i="22"/>
  <c r="DC83" i="22"/>
  <c r="CU87" i="22"/>
  <c r="CU83" i="22"/>
  <c r="CM87" i="22"/>
  <c r="CM83" i="22"/>
  <c r="CE87" i="22"/>
  <c r="CE83" i="22"/>
  <c r="BW87" i="22"/>
  <c r="BW83" i="22"/>
  <c r="BO87" i="22"/>
  <c r="BO83" i="22"/>
  <c r="BG87" i="22"/>
  <c r="BG83" i="22"/>
  <c r="AY87" i="22"/>
  <c r="AY83" i="22"/>
  <c r="AM87" i="22"/>
  <c r="AM83" i="22"/>
  <c r="AE87" i="22"/>
  <c r="AE83" i="22"/>
  <c r="W87" i="22"/>
  <c r="W83" i="22"/>
  <c r="O87" i="22"/>
  <c r="O83" i="22"/>
  <c r="G87" i="22"/>
  <c r="G83" i="22"/>
  <c r="NO75" i="22"/>
  <c r="NO79" i="22"/>
  <c r="NO73" i="22"/>
  <c r="NO71" i="22"/>
  <c r="NO88" i="22"/>
  <c r="NN79" i="22"/>
  <c r="NN73" i="22"/>
  <c r="NN86" i="22"/>
  <c r="NN71" i="22"/>
  <c r="NN88" i="22"/>
  <c r="OC20" i="22"/>
  <c r="NP20" i="22"/>
  <c r="ND81" i="22"/>
  <c r="NP24" i="22"/>
  <c r="OC24" i="22"/>
  <c r="OC36" i="22"/>
  <c r="NP36" i="22"/>
  <c r="ND87" i="22"/>
  <c r="ND83" i="22"/>
  <c r="OC44" i="22"/>
  <c r="NP44" i="22"/>
  <c r="NL87" i="22"/>
  <c r="NL83" i="22"/>
  <c r="OC52" i="22"/>
  <c r="NP52" i="22"/>
  <c r="NH89" i="22"/>
  <c r="NW56" i="22"/>
  <c r="NH85" i="22"/>
  <c r="NW64" i="22"/>
  <c r="AN73" i="22"/>
  <c r="AN79" i="22"/>
  <c r="AN75" i="22"/>
  <c r="AN76" i="22" s="1"/>
  <c r="AN77" i="22" s="1"/>
  <c r="AN86" i="22"/>
  <c r="AF73" i="22"/>
  <c r="AF79" i="22"/>
  <c r="AF88" i="22"/>
  <c r="AF71" i="22"/>
  <c r="X73" i="22"/>
  <c r="X79" i="22"/>
  <c r="X75" i="22"/>
  <c r="X76" i="22" s="1"/>
  <c r="X77" i="22" s="1"/>
  <c r="X86" i="22"/>
  <c r="P73" i="22"/>
  <c r="P79" i="22"/>
  <c r="P88" i="22"/>
  <c r="P71" i="22"/>
  <c r="H73" i="22"/>
  <c r="H79" i="22"/>
  <c r="H75" i="22"/>
  <c r="H76" i="22" s="1"/>
  <c r="H77" i="22" s="1"/>
  <c r="H86" i="22"/>
  <c r="NA88" i="22"/>
  <c r="NA75" i="22"/>
  <c r="NA76" i="22" s="1"/>
  <c r="NA77" i="22" s="1"/>
  <c r="NA79" i="22"/>
  <c r="NA86" i="22"/>
  <c r="MS88" i="22"/>
  <c r="MS79" i="22"/>
  <c r="MS73" i="22"/>
  <c r="MS71" i="22"/>
  <c r="MK73" i="22"/>
  <c r="MK86" i="22"/>
  <c r="MK71" i="22"/>
  <c r="MK75" i="22"/>
  <c r="MK76" i="22" s="1"/>
  <c r="MK77" i="22" s="1"/>
  <c r="LY73" i="22"/>
  <c r="LY79" i="22"/>
  <c r="LY75" i="22"/>
  <c r="LY76" i="22" s="1"/>
  <c r="LY77" i="22" s="1"/>
  <c r="LY71" i="22"/>
  <c r="LY86" i="22"/>
  <c r="LQ79" i="22"/>
  <c r="LQ86" i="22"/>
  <c r="LQ75" i="22"/>
  <c r="LQ76" i="22" s="1"/>
  <c r="LQ77" i="22" s="1"/>
  <c r="LQ71" i="22"/>
  <c r="LI86" i="22"/>
  <c r="LI71" i="22"/>
  <c r="LI88" i="22"/>
  <c r="LI73" i="22"/>
  <c r="LA88" i="22"/>
  <c r="LA71" i="22"/>
  <c r="LA73" i="22"/>
  <c r="LA75" i="22"/>
  <c r="LA76" i="22" s="1"/>
  <c r="LA77" i="22" s="1"/>
  <c r="LA79" i="22"/>
  <c r="KS73" i="22"/>
  <c r="KS79" i="22"/>
  <c r="KS75" i="22"/>
  <c r="KS76" i="22" s="1"/>
  <c r="KS77" i="22" s="1"/>
  <c r="KS88" i="22"/>
  <c r="KK79" i="22"/>
  <c r="KK86" i="22"/>
  <c r="KK75" i="22"/>
  <c r="KK76" i="22" s="1"/>
  <c r="KK77" i="22" s="1"/>
  <c r="KK73" i="22"/>
  <c r="KK88" i="22"/>
  <c r="KC86" i="22"/>
  <c r="KC71" i="22"/>
  <c r="KC88" i="22"/>
  <c r="KC73" i="22"/>
  <c r="KC75" i="22"/>
  <c r="KC76" i="22" s="1"/>
  <c r="KC77" i="22" s="1"/>
  <c r="KC79" i="22"/>
  <c r="JU88" i="22"/>
  <c r="JU71" i="22"/>
  <c r="JU73" i="22"/>
  <c r="JU86" i="22"/>
  <c r="JI88" i="22"/>
  <c r="JI75" i="22"/>
  <c r="JI76" i="22" s="1"/>
  <c r="JI77" i="22" s="1"/>
  <c r="JI79" i="22"/>
  <c r="JI71" i="22"/>
  <c r="JI73" i="22"/>
  <c r="IW86" i="22"/>
  <c r="IW71" i="22"/>
  <c r="IW88" i="22"/>
  <c r="IW73" i="22"/>
  <c r="IW76" i="22"/>
  <c r="IW77" i="22" s="1"/>
  <c r="IO88" i="22"/>
  <c r="IO71" i="22"/>
  <c r="IO73" i="22"/>
  <c r="IO75" i="22"/>
  <c r="IO76" i="22" s="1"/>
  <c r="IO77" i="22" s="1"/>
  <c r="IO79" i="22"/>
  <c r="IG73" i="22"/>
  <c r="IG79" i="22"/>
  <c r="IG75" i="22"/>
  <c r="IG76" i="22" s="1"/>
  <c r="IG77" i="22" s="1"/>
  <c r="IG88" i="22"/>
  <c r="IC88" i="22"/>
  <c r="IC75" i="22"/>
  <c r="IC76" i="22" s="1"/>
  <c r="IC77" i="22" s="1"/>
  <c r="IC79" i="22"/>
  <c r="IC86" i="22"/>
  <c r="HU88" i="22"/>
  <c r="HU75" i="22"/>
  <c r="HU76" i="22" s="1"/>
  <c r="HU77" i="22" s="1"/>
  <c r="HU73" i="22"/>
  <c r="HU79" i="22"/>
  <c r="HM73" i="22"/>
  <c r="HM86" i="22"/>
  <c r="HM71" i="22"/>
  <c r="HM75" i="22"/>
  <c r="HM76" i="22" s="1"/>
  <c r="HM77" i="22" s="1"/>
  <c r="HE71" i="22"/>
  <c r="HE86" i="22"/>
  <c r="HE79" i="22"/>
  <c r="HE73" i="22"/>
  <c r="HE88" i="22"/>
  <c r="GW88" i="22"/>
  <c r="GW75" i="22"/>
  <c r="GW76" i="22" s="1"/>
  <c r="GW77" i="22" s="1"/>
  <c r="GW79" i="22"/>
  <c r="GW71" i="22"/>
  <c r="GW73" i="22"/>
  <c r="GO88" i="22"/>
  <c r="GO79" i="22"/>
  <c r="GO75" i="22"/>
  <c r="GO76" i="22" s="1"/>
  <c r="GO77" i="22" s="1"/>
  <c r="GO86" i="22"/>
  <c r="GC88" i="22"/>
  <c r="GC71" i="22"/>
  <c r="GC73" i="22"/>
  <c r="GC75" i="22"/>
  <c r="GC76" i="22" s="1"/>
  <c r="GC77" i="22" s="1"/>
  <c r="GC79" i="22"/>
  <c r="FY71" i="22"/>
  <c r="FY86" i="22"/>
  <c r="FY79" i="22"/>
  <c r="FY75" i="22"/>
  <c r="FY76" i="22" s="1"/>
  <c r="FY77" i="22" s="1"/>
  <c r="FQ88" i="22"/>
  <c r="FQ75" i="22"/>
  <c r="FQ76" i="22" s="1"/>
  <c r="FQ77" i="22" s="1"/>
  <c r="FQ79" i="22"/>
  <c r="FQ86" i="22"/>
  <c r="FI88" i="22"/>
  <c r="FI75" i="22"/>
  <c r="FI76" i="22" s="1"/>
  <c r="FI77" i="22" s="1"/>
  <c r="FI79" i="22"/>
  <c r="FI73" i="22"/>
  <c r="FA73" i="22"/>
  <c r="FA86" i="22"/>
  <c r="FA71" i="22"/>
  <c r="FA75" i="22"/>
  <c r="FA76" i="22" s="1"/>
  <c r="FA77" i="22" s="1"/>
  <c r="ES71" i="22"/>
  <c r="ES86" i="22"/>
  <c r="ES79" i="22"/>
  <c r="ES73" i="22"/>
  <c r="ES88" i="22"/>
  <c r="EK88" i="22"/>
  <c r="EK75" i="22"/>
  <c r="EK76" i="22" s="1"/>
  <c r="EK77" i="22" s="1"/>
  <c r="EK79" i="22"/>
  <c r="EK71" i="22"/>
  <c r="EK73" i="22"/>
  <c r="EC88" i="22"/>
  <c r="EC75" i="22"/>
  <c r="EC76" i="22" s="1"/>
  <c r="EC77" i="22" s="1"/>
  <c r="EC86" i="22"/>
  <c r="EC71" i="22"/>
  <c r="DU73" i="22"/>
  <c r="DU86" i="22"/>
  <c r="DU71" i="22"/>
  <c r="DU79" i="22"/>
  <c r="DU88" i="22"/>
  <c r="DM71" i="22"/>
  <c r="DM86" i="22"/>
  <c r="DM79" i="22"/>
  <c r="DM75" i="22"/>
  <c r="DM76" i="22" s="1"/>
  <c r="DM77" i="22" s="1"/>
  <c r="DE88" i="22"/>
  <c r="DE79" i="22"/>
  <c r="DE75" i="22"/>
  <c r="DE76" i="22" s="1"/>
  <c r="DE77" i="22" s="1"/>
  <c r="DE86" i="22"/>
  <c r="CW88" i="22"/>
  <c r="CW75" i="22"/>
  <c r="CW76" i="22" s="1"/>
  <c r="CW77" i="22" s="1"/>
  <c r="CW73" i="22"/>
  <c r="CW71" i="22"/>
  <c r="CO73" i="22"/>
  <c r="CO86" i="22"/>
  <c r="CO71" i="22"/>
  <c r="CO79" i="22"/>
  <c r="CC73" i="22"/>
  <c r="CC79" i="22"/>
  <c r="CC75" i="22"/>
  <c r="CC76" i="22" s="1"/>
  <c r="CC77" i="22" s="1"/>
  <c r="CC86" i="22"/>
  <c r="BU73" i="22"/>
  <c r="BU86" i="22"/>
  <c r="BU75" i="22"/>
  <c r="BU76" i="22" s="1"/>
  <c r="BU77" i="22" s="1"/>
  <c r="BU79" i="22"/>
  <c r="BI73" i="22"/>
  <c r="BI86" i="22"/>
  <c r="BI71" i="22"/>
  <c r="BI75" i="22"/>
  <c r="BI76" i="22" s="1"/>
  <c r="BI77" i="22" s="1"/>
  <c r="BI88" i="22"/>
  <c r="BA71" i="22"/>
  <c r="BA86" i="22"/>
  <c r="BA79" i="22"/>
  <c r="BA75" i="22"/>
  <c r="BA76" i="22" s="1"/>
  <c r="BA77" i="22" s="1"/>
  <c r="AS88" i="22"/>
  <c r="AS79" i="22"/>
  <c r="AS75" i="22"/>
  <c r="AS76" i="22" s="1"/>
  <c r="AS77" i="22" s="1"/>
  <c r="AS86" i="22"/>
  <c r="NC89" i="22"/>
  <c r="NC84" i="22"/>
  <c r="MZ87" i="22"/>
  <c r="MZ83" i="22"/>
  <c r="MN87" i="22"/>
  <c r="MN83" i="22"/>
  <c r="MF87" i="22"/>
  <c r="MF83" i="22"/>
  <c r="LX87" i="22"/>
  <c r="LX83" i="22"/>
  <c r="LP87" i="22"/>
  <c r="LP83" i="22"/>
  <c r="LH87" i="22"/>
  <c r="LH83" i="22"/>
  <c r="KZ87" i="22"/>
  <c r="KZ83" i="22"/>
  <c r="KR87" i="22"/>
  <c r="KR83" i="22"/>
  <c r="KJ87" i="22"/>
  <c r="KJ83" i="22"/>
  <c r="KB87" i="22"/>
  <c r="KB83" i="22"/>
  <c r="JT87" i="22"/>
  <c r="JT83" i="22"/>
  <c r="JL87" i="22"/>
  <c r="JL83" i="22"/>
  <c r="JH87" i="22"/>
  <c r="JH83" i="22"/>
  <c r="IZ87" i="22"/>
  <c r="IZ83" i="22"/>
  <c r="IR87" i="22"/>
  <c r="IR83" i="22"/>
  <c r="IJ87" i="22"/>
  <c r="IJ83" i="22"/>
  <c r="IB87" i="22"/>
  <c r="IB83" i="22"/>
  <c r="HT87" i="22"/>
  <c r="HT83" i="22"/>
  <c r="HL87" i="22"/>
  <c r="HL83" i="22"/>
  <c r="HD87" i="22"/>
  <c r="HD83" i="22"/>
  <c r="GR87" i="22"/>
  <c r="GR83" i="22"/>
  <c r="GJ87" i="22"/>
  <c r="GJ83" i="22"/>
  <c r="GB87" i="22"/>
  <c r="GB83" i="22"/>
  <c r="FT87" i="22"/>
  <c r="FT83" i="22"/>
  <c r="FL87" i="22"/>
  <c r="FL83" i="22"/>
  <c r="FD87" i="22"/>
  <c r="FD83" i="22"/>
  <c r="EV87" i="22"/>
  <c r="EV83" i="22"/>
  <c r="EN87" i="22"/>
  <c r="EN83" i="22"/>
  <c r="EF87" i="22"/>
  <c r="EF83" i="22"/>
  <c r="DX87" i="22"/>
  <c r="DX83" i="22"/>
  <c r="DP87" i="22"/>
  <c r="DP83" i="22"/>
  <c r="DH87" i="22"/>
  <c r="DH83" i="22"/>
  <c r="DD87" i="22"/>
  <c r="DD83" i="22"/>
  <c r="CV87" i="22"/>
  <c r="CV83" i="22"/>
  <c r="CN87" i="22"/>
  <c r="CN83" i="22"/>
  <c r="CF87" i="22"/>
  <c r="CF83" i="22"/>
  <c r="BX87" i="22"/>
  <c r="BX83" i="22"/>
  <c r="BP87" i="22"/>
  <c r="BP83" i="22"/>
  <c r="BH87" i="22"/>
  <c r="BH83" i="22"/>
  <c r="AZ87" i="22"/>
  <c r="AZ83" i="22"/>
  <c r="AR87" i="22"/>
  <c r="AR83" i="22"/>
  <c r="AF87" i="22"/>
  <c r="AF83" i="22"/>
  <c r="X87" i="22"/>
  <c r="X83" i="22"/>
  <c r="P87" i="22"/>
  <c r="P83" i="22"/>
  <c r="H87" i="22"/>
  <c r="H83" i="22"/>
  <c r="NC86" i="22"/>
  <c r="NC79" i="22"/>
  <c r="NC75" i="22"/>
  <c r="NC76" i="22" s="1"/>
  <c r="NC77" i="22" s="1"/>
  <c r="NC73" i="22"/>
  <c r="NC88" i="22"/>
  <c r="NC71" i="22"/>
  <c r="NJ86" i="22"/>
  <c r="NJ71" i="22"/>
  <c r="NJ79" i="22"/>
  <c r="NJ73" i="22"/>
  <c r="NJ75" i="22"/>
  <c r="NJ76" i="22" s="1"/>
  <c r="NJ77" i="22" s="1"/>
  <c r="NJ88" i="22"/>
  <c r="NI80" i="22"/>
  <c r="NY14" i="22"/>
  <c r="NP15" i="22"/>
  <c r="OC15" i="22"/>
  <c r="OC23" i="22"/>
  <c r="NP23" i="22"/>
  <c r="NP27" i="22"/>
  <c r="OC27" i="22"/>
  <c r="OC39" i="22"/>
  <c r="NP39" i="22"/>
  <c r="NK87" i="22"/>
  <c r="NK83" i="22"/>
  <c r="OC55" i="22"/>
  <c r="NP55" i="22"/>
  <c r="NP59" i="22"/>
  <c r="OC59" i="22"/>
  <c r="NW67" i="22"/>
  <c r="OC67" i="22"/>
  <c r="NP67" i="22"/>
  <c r="NZ67" i="22" s="1"/>
  <c r="B86" i="22"/>
  <c r="B79" i="22"/>
  <c r="B71" i="22"/>
  <c r="B88" i="22"/>
  <c r="B75" i="22"/>
  <c r="B76" i="22" s="1"/>
  <c r="B77" i="22" s="1"/>
  <c r="AK88" i="22"/>
  <c r="AK75" i="22"/>
  <c r="AK76" i="22" s="1"/>
  <c r="AK77" i="22" s="1"/>
  <c r="AK71" i="22"/>
  <c r="AK73" i="22"/>
  <c r="AC73" i="22"/>
  <c r="AC86" i="22"/>
  <c r="AC71" i="22"/>
  <c r="AC79" i="22"/>
  <c r="U71" i="22"/>
  <c r="U86" i="22"/>
  <c r="U79" i="22"/>
  <c r="U73" i="22"/>
  <c r="U88" i="22"/>
  <c r="M88" i="22"/>
  <c r="M79" i="22"/>
  <c r="M75" i="22"/>
  <c r="M76" i="22" s="1"/>
  <c r="M77" i="22" s="1"/>
  <c r="M71" i="22"/>
  <c r="M73" i="22"/>
  <c r="E88" i="22"/>
  <c r="E75" i="22"/>
  <c r="E76" i="22" s="1"/>
  <c r="E77" i="22" s="1"/>
  <c r="E86" i="22"/>
  <c r="E79" i="22"/>
  <c r="MX86" i="22"/>
  <c r="MX75" i="22"/>
  <c r="MX76" i="22" s="1"/>
  <c r="MX77" i="22" s="1"/>
  <c r="MX71" i="22"/>
  <c r="MX88" i="22"/>
  <c r="MP88" i="22"/>
  <c r="MP79" i="22"/>
  <c r="MP73" i="22"/>
  <c r="MP75" i="22"/>
  <c r="MP76" i="22" s="1"/>
  <c r="MP77" i="22" s="1"/>
  <c r="MH86" i="22"/>
  <c r="MH71" i="22"/>
  <c r="MH79" i="22"/>
  <c r="MH75" i="22"/>
  <c r="MH76" i="22" s="1"/>
  <c r="MH77" i="22" s="1"/>
  <c r="LZ88" i="22"/>
  <c r="LZ75" i="22"/>
  <c r="LZ76" i="22" s="1"/>
  <c r="LZ77" i="22" s="1"/>
  <c r="LZ79" i="22"/>
  <c r="LZ73" i="22"/>
  <c r="LZ86" i="22"/>
  <c r="LR86" i="22"/>
  <c r="LR71" i="22"/>
  <c r="LR73" i="22"/>
  <c r="LR88" i="22"/>
  <c r="LJ88" i="22"/>
  <c r="LJ75" i="22"/>
  <c r="LJ76" i="22" s="1"/>
  <c r="LJ77" i="22" s="1"/>
  <c r="LJ79" i="22"/>
  <c r="LJ73" i="22"/>
  <c r="LJ71" i="22"/>
  <c r="LB86" i="22"/>
  <c r="LB71" i="22"/>
  <c r="LB79" i="22"/>
  <c r="LB75" i="22"/>
  <c r="LB76" i="22" s="1"/>
  <c r="LB77" i="22" s="1"/>
  <c r="KT88" i="22"/>
  <c r="KT75" i="22"/>
  <c r="KT76" i="22" s="1"/>
  <c r="KT77" i="22" s="1"/>
  <c r="KT79" i="22"/>
  <c r="KT71" i="22"/>
  <c r="KT86" i="22"/>
  <c r="KL86" i="22"/>
  <c r="KL71" i="22"/>
  <c r="KL73" i="22"/>
  <c r="KL88" i="22"/>
  <c r="KD88" i="22"/>
  <c r="KD75" i="22"/>
  <c r="KD76" i="22" s="1"/>
  <c r="KD77" i="22" s="1"/>
  <c r="KD79" i="22"/>
  <c r="KD73" i="22"/>
  <c r="JV86" i="22"/>
  <c r="JV73" i="22"/>
  <c r="JV71" i="22"/>
  <c r="JV79" i="22"/>
  <c r="JV75" i="22"/>
  <c r="JV76" i="22" s="1"/>
  <c r="JV77" i="22" s="1"/>
  <c r="JJ86" i="22"/>
  <c r="JJ71" i="22"/>
  <c r="JJ75" i="22"/>
  <c r="JJ76" i="22" s="1"/>
  <c r="JJ77" i="22" s="1"/>
  <c r="JJ79" i="22"/>
  <c r="JB79" i="22"/>
  <c r="JB73" i="22"/>
  <c r="JB88" i="22"/>
  <c r="JB75" i="22"/>
  <c r="JB76" i="22" s="1"/>
  <c r="JB77" i="22" s="1"/>
  <c r="JB71" i="22"/>
  <c r="IT75" i="22"/>
  <c r="IT76" i="22" s="1"/>
  <c r="IT77" i="22" s="1"/>
  <c r="IT86" i="22"/>
  <c r="IT71" i="22"/>
  <c r="IT88" i="22"/>
  <c r="IL79" i="22"/>
  <c r="IL73" i="22"/>
  <c r="IL88" i="22"/>
  <c r="IL86" i="22"/>
  <c r="ID86" i="22"/>
  <c r="ID71" i="22"/>
  <c r="ID75" i="22"/>
  <c r="ID76" i="22" s="1"/>
  <c r="ID77" i="22" s="1"/>
  <c r="ID79" i="22"/>
  <c r="HZ86" i="22"/>
  <c r="HZ71" i="22"/>
  <c r="HZ73" i="22"/>
  <c r="HZ88" i="22"/>
  <c r="HV79" i="22"/>
  <c r="HV73" i="22"/>
  <c r="HV88" i="22"/>
  <c r="HV71" i="22"/>
  <c r="HV75" i="22"/>
  <c r="HV76" i="22" s="1"/>
  <c r="HV77" i="22" s="1"/>
  <c r="HN75" i="22"/>
  <c r="HN76" i="22" s="1"/>
  <c r="HN77" i="22" s="1"/>
  <c r="HN86" i="22"/>
  <c r="HN71" i="22"/>
  <c r="HN88" i="22"/>
  <c r="HJ86" i="22"/>
  <c r="HJ71" i="22"/>
  <c r="HJ79" i="22"/>
  <c r="HJ75" i="22"/>
  <c r="HJ76" i="22" s="1"/>
  <c r="HJ77" i="22" s="1"/>
  <c r="HF79" i="22"/>
  <c r="HF73" i="22"/>
  <c r="HF88" i="22"/>
  <c r="HF75" i="22"/>
  <c r="HF76" i="22" s="1"/>
  <c r="HF77" i="22" s="1"/>
  <c r="HF86" i="22"/>
  <c r="HB88" i="22"/>
  <c r="HB75" i="22"/>
  <c r="HB76" i="22" s="1"/>
  <c r="HB77" i="22" s="1"/>
  <c r="HB79" i="22"/>
  <c r="HB73" i="22"/>
  <c r="HB86" i="22"/>
  <c r="GX75" i="22"/>
  <c r="GX76" i="22" s="1"/>
  <c r="GX77" i="22" s="1"/>
  <c r="GX86" i="22"/>
  <c r="GX71" i="22"/>
  <c r="GX79" i="22"/>
  <c r="GT86" i="22"/>
  <c r="GT71" i="22"/>
  <c r="GT73" i="22"/>
  <c r="GT88" i="22"/>
  <c r="GP79" i="22"/>
  <c r="GP73" i="22"/>
  <c r="GP88" i="22"/>
  <c r="GP75" i="22"/>
  <c r="GP76" i="22" s="1"/>
  <c r="GP77" i="22" s="1"/>
  <c r="GP71" i="22"/>
  <c r="GL88" i="22"/>
  <c r="GL75" i="22"/>
  <c r="GL76" i="22" s="1"/>
  <c r="GL77" i="22" s="1"/>
  <c r="GL79" i="22"/>
  <c r="GL73" i="22"/>
  <c r="GH75" i="22"/>
  <c r="GH76" i="22" s="1"/>
  <c r="GH77" i="22" s="1"/>
  <c r="GH86" i="22"/>
  <c r="GH71" i="22"/>
  <c r="GH88" i="22"/>
  <c r="GH73" i="22"/>
  <c r="GD86" i="22"/>
  <c r="GD71" i="22"/>
  <c r="GD79" i="22"/>
  <c r="GD75" i="22"/>
  <c r="GD76" i="22" s="1"/>
  <c r="GD77" i="22" s="1"/>
  <c r="FZ79" i="22"/>
  <c r="FZ73" i="22"/>
  <c r="FZ88" i="22"/>
  <c r="FZ75" i="22"/>
  <c r="FZ76" i="22" s="1"/>
  <c r="FZ77" i="22" s="1"/>
  <c r="FZ86" i="22"/>
  <c r="FV88" i="22"/>
  <c r="FV75" i="22"/>
  <c r="FV76" i="22" s="1"/>
  <c r="FV77" i="22" s="1"/>
  <c r="FV79" i="22"/>
  <c r="FV73" i="22"/>
  <c r="FV86" i="22"/>
  <c r="FR86" i="22"/>
  <c r="FR71" i="22"/>
  <c r="FR75" i="22"/>
  <c r="FR76" i="22" s="1"/>
  <c r="FR77" i="22" s="1"/>
  <c r="FR79" i="22"/>
  <c r="FN86" i="22"/>
  <c r="FN71" i="22"/>
  <c r="FN73" i="22"/>
  <c r="FN88" i="22"/>
  <c r="FJ79" i="22"/>
  <c r="FJ88" i="22"/>
  <c r="FJ73" i="22"/>
  <c r="FJ71" i="22"/>
  <c r="FJ75" i="22"/>
  <c r="FJ76" i="22" s="1"/>
  <c r="FJ77" i="22" s="1"/>
  <c r="FF88" i="22"/>
  <c r="FF75" i="22"/>
  <c r="FF76" i="22" s="1"/>
  <c r="FF77" i="22" s="1"/>
  <c r="FF79" i="22"/>
  <c r="FF73" i="22"/>
  <c r="FB86" i="22"/>
  <c r="FB71" i="22"/>
  <c r="FB88" i="22"/>
  <c r="FB73" i="22"/>
  <c r="EX86" i="22"/>
  <c r="EX71" i="22"/>
  <c r="EX79" i="22"/>
  <c r="EX75" i="22"/>
  <c r="EX76" i="22" s="1"/>
  <c r="EX77" i="22" s="1"/>
  <c r="ET79" i="22"/>
  <c r="ET88" i="22"/>
  <c r="ET73" i="22"/>
  <c r="ET86" i="22"/>
  <c r="EP88" i="22"/>
  <c r="EP75" i="22"/>
  <c r="EP76" i="22" s="1"/>
  <c r="EP77" i="22" s="1"/>
  <c r="EP79" i="22"/>
  <c r="EP73" i="22"/>
  <c r="EP71" i="22"/>
  <c r="EP86" i="22"/>
  <c r="EL75" i="22"/>
  <c r="EL76" i="22" s="1"/>
  <c r="EL77" i="22" s="1"/>
  <c r="EL86" i="22"/>
  <c r="EL71" i="22"/>
  <c r="EL73" i="22"/>
  <c r="EL79" i="22"/>
  <c r="EH86" i="22"/>
  <c r="EH71" i="22"/>
  <c r="EH73" i="22"/>
  <c r="EH88" i="22"/>
  <c r="ED79" i="22"/>
  <c r="ED73" i="22"/>
  <c r="ED88" i="22"/>
  <c r="ED75" i="22"/>
  <c r="ED76" i="22" s="1"/>
  <c r="ED77" i="22" s="1"/>
  <c r="ED71" i="22"/>
  <c r="DZ88" i="22"/>
  <c r="DZ75" i="22"/>
  <c r="DZ76" i="22" s="1"/>
  <c r="DZ77" i="22" s="1"/>
  <c r="DZ79" i="22"/>
  <c r="DZ73" i="22"/>
  <c r="DZ71" i="22"/>
  <c r="DV86" i="22"/>
  <c r="DV71" i="22"/>
  <c r="DV88" i="22"/>
  <c r="DV73" i="22"/>
  <c r="DR86" i="22"/>
  <c r="DR73" i="22"/>
  <c r="DR71" i="22"/>
  <c r="DR79" i="22"/>
  <c r="DR75" i="22"/>
  <c r="DR76" i="22" s="1"/>
  <c r="DR77" i="22" s="1"/>
  <c r="DN79" i="22"/>
  <c r="DN73" i="22"/>
  <c r="DN88" i="22"/>
  <c r="DN86" i="22"/>
  <c r="DJ88" i="22"/>
  <c r="DJ75" i="22"/>
  <c r="DJ76" i="22" s="1"/>
  <c r="DJ77" i="22" s="1"/>
  <c r="DJ79" i="22"/>
  <c r="DJ73" i="22"/>
  <c r="DJ86" i="22"/>
  <c r="DF79" i="22"/>
  <c r="DF71" i="22"/>
  <c r="DF75" i="22"/>
  <c r="DF76" i="22" s="1"/>
  <c r="DF77" i="22" s="1"/>
  <c r="DF86" i="22"/>
  <c r="DB86" i="22"/>
  <c r="DB71" i="22"/>
  <c r="DB79" i="22"/>
  <c r="DB73" i="22"/>
  <c r="CX86" i="22"/>
  <c r="CX73" i="22"/>
  <c r="CX88" i="22"/>
  <c r="CX71" i="22"/>
  <c r="CX75" i="22"/>
  <c r="CX76" i="22" s="1"/>
  <c r="CX77" i="22" s="1"/>
  <c r="CT75" i="22"/>
  <c r="CT76" i="22" s="1"/>
  <c r="CT77" i="22" s="1"/>
  <c r="CT88" i="22"/>
  <c r="CT73" i="22"/>
  <c r="CT79" i="22"/>
  <c r="CP73" i="22"/>
  <c r="CP75" i="22"/>
  <c r="CP76" i="22" s="1"/>
  <c r="CP77" i="22" s="1"/>
  <c r="CP71" i="22"/>
  <c r="CP88" i="22"/>
  <c r="CL86" i="22"/>
  <c r="CL73" i="22"/>
  <c r="CL88" i="22"/>
  <c r="CL75" i="22"/>
  <c r="CL76" i="22" s="1"/>
  <c r="CL77" i="22" s="1"/>
  <c r="CH86" i="22"/>
  <c r="CH73" i="22"/>
  <c r="CH88" i="22"/>
  <c r="CH75" i="22"/>
  <c r="CH76" i="22" s="1"/>
  <c r="CH77" i="22" s="1"/>
  <c r="CH79" i="22"/>
  <c r="CD71" i="22"/>
  <c r="CD75" i="22"/>
  <c r="CD76" i="22" s="1"/>
  <c r="CD77" i="22" s="1"/>
  <c r="CD88" i="22"/>
  <c r="CD79" i="22"/>
  <c r="CD86" i="22"/>
  <c r="BZ75" i="22"/>
  <c r="BZ76" i="22" s="1"/>
  <c r="BZ77" i="22" s="1"/>
  <c r="BZ79" i="22"/>
  <c r="BZ71" i="22"/>
  <c r="BZ86" i="22"/>
  <c r="BV86" i="22"/>
  <c r="BV71" i="22"/>
  <c r="BV79" i="22"/>
  <c r="BV73" i="22"/>
  <c r="BR86" i="22"/>
  <c r="BR73" i="22"/>
  <c r="BR88" i="22"/>
  <c r="BR75" i="22"/>
  <c r="BR76" i="22" s="1"/>
  <c r="BR77" i="22" s="1"/>
  <c r="BR71" i="22"/>
  <c r="BN71" i="22"/>
  <c r="BN75" i="22"/>
  <c r="BN76" i="22" s="1"/>
  <c r="BN77" i="22" s="1"/>
  <c r="BN88" i="22"/>
  <c r="BN73" i="22"/>
  <c r="BJ75" i="22"/>
  <c r="BJ76" i="22" s="1"/>
  <c r="BJ77" i="22" s="1"/>
  <c r="BJ71" i="22"/>
  <c r="BJ88" i="22"/>
  <c r="BJ79" i="22"/>
  <c r="BF86" i="22"/>
  <c r="BF73" i="22"/>
  <c r="BF71" i="22"/>
  <c r="BF88" i="22"/>
  <c r="BF75" i="22"/>
  <c r="BF76" i="22" s="1"/>
  <c r="BF77" i="22" s="1"/>
  <c r="BB86" i="22"/>
  <c r="BB73" i="22"/>
  <c r="BB88" i="22"/>
  <c r="BB75" i="22"/>
  <c r="BB76" i="22" s="1"/>
  <c r="BB77" i="22" s="1"/>
  <c r="BB79" i="22"/>
  <c r="AX75" i="22"/>
  <c r="AX76" i="22" s="1"/>
  <c r="AX77" i="22" s="1"/>
  <c r="AX88" i="22"/>
  <c r="AX73" i="22"/>
  <c r="AX71" i="22"/>
  <c r="AX86" i="22"/>
  <c r="AT79" i="22"/>
  <c r="AT71" i="22"/>
  <c r="AT75" i="22"/>
  <c r="AT76" i="22" s="1"/>
  <c r="AT77" i="22" s="1"/>
  <c r="AT86" i="22"/>
  <c r="NC87" i="22"/>
  <c r="NC83" i="22"/>
  <c r="NA83" i="22"/>
  <c r="NA87" i="22"/>
  <c r="MW87" i="22"/>
  <c r="MW83" i="22"/>
  <c r="MS87" i="22"/>
  <c r="MS83" i="22"/>
  <c r="MO87" i="22"/>
  <c r="MO83" i="22"/>
  <c r="MK83" i="22"/>
  <c r="MK87" i="22"/>
  <c r="MG83" i="22"/>
  <c r="MG87" i="22"/>
  <c r="MC87" i="22"/>
  <c r="MC83" i="22"/>
  <c r="LY83" i="22"/>
  <c r="LY87" i="22"/>
  <c r="LU83" i="22"/>
  <c r="LU87" i="22"/>
  <c r="LQ87" i="22"/>
  <c r="LQ83" i="22"/>
  <c r="LM87" i="22"/>
  <c r="LM83" i="22"/>
  <c r="LI87" i="22"/>
  <c r="LI83" i="22"/>
  <c r="LE83" i="22"/>
  <c r="LE87" i="22"/>
  <c r="LA83" i="22"/>
  <c r="LA87" i="22"/>
  <c r="KW87" i="22"/>
  <c r="KW83" i="22"/>
  <c r="KS83" i="22"/>
  <c r="KS87" i="22"/>
  <c r="KO83" i="22"/>
  <c r="KO87" i="22"/>
  <c r="KK87" i="22"/>
  <c r="KK83" i="22"/>
  <c r="KG87" i="22"/>
  <c r="KG83" i="22"/>
  <c r="KC87" i="22"/>
  <c r="KC83" i="22"/>
  <c r="JY83" i="22"/>
  <c r="JY87" i="22"/>
  <c r="JU83" i="22"/>
  <c r="JU87" i="22"/>
  <c r="JQ87" i="22"/>
  <c r="JQ83" i="22"/>
  <c r="JM83" i="22"/>
  <c r="JM87" i="22"/>
  <c r="JI83" i="22"/>
  <c r="JI87" i="22"/>
  <c r="JE87" i="22"/>
  <c r="JE83" i="22"/>
  <c r="JA87" i="22"/>
  <c r="JA83" i="22"/>
  <c r="IW83" i="22"/>
  <c r="IW87" i="22"/>
  <c r="IS83" i="22"/>
  <c r="IS87" i="22"/>
  <c r="IO83" i="22"/>
  <c r="IO87" i="22"/>
  <c r="IK87" i="22"/>
  <c r="IK83" i="22"/>
  <c r="IG83" i="22"/>
  <c r="IG87" i="22"/>
  <c r="IC87" i="22"/>
  <c r="IC83" i="22"/>
  <c r="HY83" i="22"/>
  <c r="HY87" i="22"/>
  <c r="HU87" i="22"/>
  <c r="HU83" i="22"/>
  <c r="HQ83" i="22"/>
  <c r="HQ87" i="22"/>
  <c r="HM83" i="22"/>
  <c r="HM87" i="22"/>
  <c r="HI83" i="22"/>
  <c r="HI87" i="22"/>
  <c r="HE87" i="22"/>
  <c r="HE83" i="22"/>
  <c r="HA83" i="22"/>
  <c r="HA87" i="22"/>
  <c r="GW87" i="22"/>
  <c r="GW83" i="22"/>
  <c r="GS83" i="22"/>
  <c r="GS87" i="22"/>
  <c r="GO87" i="22"/>
  <c r="GO83" i="22"/>
  <c r="GK83" i="22"/>
  <c r="GK87" i="22"/>
  <c r="GG83" i="22"/>
  <c r="GG87" i="22"/>
  <c r="GC83" i="22"/>
  <c r="GC87" i="22"/>
  <c r="FY87" i="22"/>
  <c r="FY83" i="22"/>
  <c r="FU83" i="22"/>
  <c r="FU87" i="22"/>
  <c r="FQ87" i="22"/>
  <c r="FQ83" i="22"/>
  <c r="FM83" i="22"/>
  <c r="FM87" i="22"/>
  <c r="FI87" i="22"/>
  <c r="FI83" i="22"/>
  <c r="FE83" i="22"/>
  <c r="FE87" i="22"/>
  <c r="FA83" i="22"/>
  <c r="FA87" i="22"/>
  <c r="EW83" i="22"/>
  <c r="EW87" i="22"/>
  <c r="ES87" i="22"/>
  <c r="ES83" i="22"/>
  <c r="EO83" i="22"/>
  <c r="EO87" i="22"/>
  <c r="EK87" i="22"/>
  <c r="EK83" i="22"/>
  <c r="EG83" i="22"/>
  <c r="EG87" i="22"/>
  <c r="EC87" i="22"/>
  <c r="EC83" i="22"/>
  <c r="DY83" i="22"/>
  <c r="DY87" i="22"/>
  <c r="DU87" i="22"/>
  <c r="DU83" i="22"/>
  <c r="DQ83" i="22"/>
  <c r="DQ87" i="22"/>
  <c r="DM87" i="22"/>
  <c r="DM83" i="22"/>
  <c r="DI83" i="22"/>
  <c r="DI87" i="22"/>
  <c r="DE87" i="22"/>
  <c r="DE83" i="22"/>
  <c r="DA83" i="22"/>
  <c r="DA87" i="22"/>
  <c r="CW87" i="22"/>
  <c r="CW83" i="22"/>
  <c r="CS83" i="22"/>
  <c r="CS87" i="22"/>
  <c r="CO87" i="22"/>
  <c r="CO83" i="22"/>
  <c r="CK83" i="22"/>
  <c r="CK87" i="22"/>
  <c r="CG87" i="22"/>
  <c r="CG83" i="22"/>
  <c r="CC83" i="22"/>
  <c r="CC87" i="22"/>
  <c r="BY87" i="22"/>
  <c r="BY83" i="22"/>
  <c r="BU83" i="22"/>
  <c r="BU87" i="22"/>
  <c r="BQ87" i="22"/>
  <c r="BQ83" i="22"/>
  <c r="BM83" i="22"/>
  <c r="BM87" i="22"/>
  <c r="BI87" i="22"/>
  <c r="BI83" i="22"/>
  <c r="BE83" i="22"/>
  <c r="BE87" i="22"/>
  <c r="BA87" i="22"/>
  <c r="BA83" i="22"/>
  <c r="AW83" i="22"/>
  <c r="AW87" i="22"/>
  <c r="AS83" i="22"/>
  <c r="AS87" i="22"/>
  <c r="AO83" i="22"/>
  <c r="AO87" i="22"/>
  <c r="AK87" i="22"/>
  <c r="AK83" i="22"/>
  <c r="AG83" i="22"/>
  <c r="AG87" i="22"/>
  <c r="AC87" i="22"/>
  <c r="AC83" i="22"/>
  <c r="Y83" i="22"/>
  <c r="Y87" i="22"/>
  <c r="U87" i="22"/>
  <c r="U83" i="22"/>
  <c r="Q83" i="22"/>
  <c r="Q87" i="22"/>
  <c r="M83" i="22"/>
  <c r="M87" i="22"/>
  <c r="I83" i="22"/>
  <c r="I87" i="22"/>
  <c r="E87" i="22"/>
  <c r="E83" i="22"/>
  <c r="OC8" i="22"/>
  <c r="NP8" i="22"/>
  <c r="ND88" i="22"/>
  <c r="ND71" i="22"/>
  <c r="ND73" i="22"/>
  <c r="ND86" i="22"/>
  <c r="NK88" i="22"/>
  <c r="NK71" i="22"/>
  <c r="NK73" i="22"/>
  <c r="NK86" i="22"/>
  <c r="NK79" i="22"/>
  <c r="NY8" i="22"/>
  <c r="NI86" i="22"/>
  <c r="NI79" i="22"/>
  <c r="NI88" i="22"/>
  <c r="NI75" i="22"/>
  <c r="NI76" i="22" s="1"/>
  <c r="NI77" i="22" s="1"/>
  <c r="ND80" i="22"/>
  <c r="OC14" i="22"/>
  <c r="NP14" i="22"/>
  <c r="NH80" i="22"/>
  <c r="NW14" i="22"/>
  <c r="NP18" i="22"/>
  <c r="OC18" i="22"/>
  <c r="OC22" i="22"/>
  <c r="NP22" i="22"/>
  <c r="OC26" i="22"/>
  <c r="NP26" i="22"/>
  <c r="OC30" i="22"/>
  <c r="NP30" i="22"/>
  <c r="ND82" i="22"/>
  <c r="NP34" i="22"/>
  <c r="OC34" i="22"/>
  <c r="NH82" i="22"/>
  <c r="NW34" i="22"/>
  <c r="OC38" i="22"/>
  <c r="NP38" i="22"/>
  <c r="OC42" i="22"/>
  <c r="NP42" i="22"/>
  <c r="NF87" i="22"/>
  <c r="NF83" i="22"/>
  <c r="NJ87" i="22"/>
  <c r="NJ83" i="22"/>
  <c r="NN87" i="22"/>
  <c r="NN83" i="22"/>
  <c r="OC46" i="22"/>
  <c r="NP46" i="22"/>
  <c r="OC50" i="22"/>
  <c r="NP50" i="22"/>
  <c r="ND84" i="22"/>
  <c r="OC54" i="22"/>
  <c r="NP54" i="22"/>
  <c r="NH84" i="22"/>
  <c r="NW54" i="22"/>
  <c r="OC58" i="22"/>
  <c r="NP58" i="22"/>
  <c r="OC62" i="22"/>
  <c r="NP62" i="22"/>
  <c r="OC66" i="22"/>
  <c r="NP66" i="22"/>
  <c r="NY68" i="22"/>
  <c r="NP68" i="22"/>
  <c r="OC68" i="22"/>
  <c r="MZ89" i="22"/>
  <c r="MR89" i="22"/>
  <c r="MJ89" i="22"/>
  <c r="MB89" i="22"/>
  <c r="LT89" i="22"/>
  <c r="LL89" i="22"/>
  <c r="LD89" i="22"/>
  <c r="KV89" i="22"/>
  <c r="KN89" i="22"/>
  <c r="KF89" i="22"/>
  <c r="JX89" i="22"/>
  <c r="JP89" i="22"/>
  <c r="JH89" i="22"/>
  <c r="IZ89" i="22"/>
  <c r="IR89" i="22"/>
  <c r="IJ89" i="22"/>
  <c r="IF89" i="22"/>
  <c r="HX89" i="22"/>
  <c r="HP89" i="22"/>
  <c r="HH89" i="22"/>
  <c r="GZ89" i="22"/>
  <c r="GR89" i="22"/>
  <c r="GJ89" i="22"/>
  <c r="GB89" i="22"/>
  <c r="FT89" i="22"/>
  <c r="FL89" i="22"/>
  <c r="FD89" i="22"/>
  <c r="EV89" i="22"/>
  <c r="EN89" i="22"/>
  <c r="EF89" i="22"/>
  <c r="DX89" i="22"/>
  <c r="DP89" i="22"/>
  <c r="DD89" i="22"/>
  <c r="CV89" i="22"/>
  <c r="CR89" i="22"/>
  <c r="CJ89" i="22"/>
  <c r="CB89" i="22"/>
  <c r="BT89" i="22"/>
  <c r="BL89" i="22"/>
  <c r="BD89" i="22"/>
  <c r="AV89" i="22"/>
  <c r="AN89" i="22"/>
  <c r="AF89" i="22"/>
  <c r="X89" i="22"/>
  <c r="P89" i="22"/>
  <c r="H89" i="22"/>
  <c r="MV84" i="22"/>
  <c r="MN84" i="22"/>
  <c r="MF84" i="22"/>
  <c r="LX84" i="22"/>
  <c r="LP84" i="22"/>
  <c r="LH84" i="22"/>
  <c r="KZ84" i="22"/>
  <c r="KV84" i="22"/>
  <c r="KN84" i="22"/>
  <c r="KF84" i="22"/>
  <c r="JX84" i="22"/>
  <c r="JP84" i="22"/>
  <c r="JH84" i="22"/>
  <c r="IZ84" i="22"/>
  <c r="IR84" i="22"/>
  <c r="IJ84" i="22"/>
  <c r="IB84" i="22"/>
  <c r="HP84" i="22"/>
  <c r="HH84" i="22"/>
  <c r="HD84" i="22"/>
  <c r="GV84" i="22"/>
  <c r="GJ84" i="22"/>
  <c r="GB84" i="22"/>
  <c r="FT84" i="22"/>
  <c r="FL84" i="22"/>
  <c r="FH84" i="22"/>
  <c r="EZ84" i="22"/>
  <c r="ER84" i="22"/>
  <c r="EJ84" i="22"/>
  <c r="EB84" i="22"/>
  <c r="DT84" i="22"/>
  <c r="DL84" i="22"/>
  <c r="DD84" i="22"/>
  <c r="CR84" i="22"/>
  <c r="CJ84" i="22"/>
  <c r="CB84" i="22"/>
  <c r="BT84" i="22"/>
  <c r="BP84" i="22"/>
  <c r="BH84" i="22"/>
  <c r="AZ84" i="22"/>
  <c r="AR84" i="22"/>
  <c r="AJ84" i="22"/>
  <c r="AB84" i="22"/>
  <c r="T84" i="22"/>
  <c r="L84" i="22"/>
  <c r="H84" i="22"/>
  <c r="NA82" i="22"/>
  <c r="MW82" i="22"/>
  <c r="MO82" i="22"/>
  <c r="MG82" i="22"/>
  <c r="LY82" i="22"/>
  <c r="LQ82" i="22"/>
  <c r="LM82" i="22"/>
  <c r="LE82" i="22"/>
  <c r="KW82" i="22"/>
  <c r="KO82" i="22"/>
  <c r="KG82" i="22"/>
  <c r="JY82" i="22"/>
  <c r="JQ82" i="22"/>
  <c r="JI82" i="22"/>
  <c r="JA82" i="22"/>
  <c r="IS82" i="22"/>
  <c r="IK82" i="22"/>
  <c r="IC82" i="22"/>
  <c r="HU82" i="22"/>
  <c r="HM82" i="22"/>
  <c r="HE82" i="22"/>
  <c r="GW82" i="22"/>
  <c r="GO82" i="22"/>
  <c r="GG82" i="22"/>
  <c r="FY82" i="22"/>
  <c r="FQ82" i="22"/>
  <c r="FI82" i="22"/>
  <c r="FA82" i="22"/>
  <c r="ES82" i="22"/>
  <c r="EK82" i="22"/>
  <c r="EC82" i="22"/>
  <c r="DU82" i="22"/>
  <c r="DI82" i="22"/>
  <c r="DA82" i="22"/>
  <c r="CS82" i="22"/>
  <c r="CO82" i="22"/>
  <c r="CG82" i="22"/>
  <c r="BU82" i="22"/>
  <c r="BM82" i="22"/>
  <c r="BE82" i="22"/>
  <c r="AW82" i="22"/>
  <c r="AO82" i="22"/>
  <c r="AG82" i="22"/>
  <c r="Y82" i="22"/>
  <c r="Q82" i="22"/>
  <c r="I82" i="22"/>
  <c r="MV81" i="22"/>
  <c r="MN81" i="22"/>
  <c r="MF81" i="22"/>
  <c r="LX81" i="22"/>
  <c r="LP81" i="22"/>
  <c r="LH81" i="22"/>
  <c r="KZ81" i="22"/>
  <c r="KR81" i="22"/>
  <c r="KJ81" i="22"/>
  <c r="KB81" i="22"/>
  <c r="JT81" i="22"/>
  <c r="JL81" i="22"/>
  <c r="JD81" i="22"/>
  <c r="IV81" i="22"/>
  <c r="IN81" i="22"/>
  <c r="IB81" i="22"/>
  <c r="HX81" i="22"/>
  <c r="HP81" i="22"/>
  <c r="HH81" i="22"/>
  <c r="GZ81" i="22"/>
  <c r="GR81" i="22"/>
  <c r="GJ81" i="22"/>
  <c r="GB81" i="22"/>
  <c r="FT81" i="22"/>
  <c r="FL81" i="22"/>
  <c r="FD81" i="22"/>
  <c r="EV81" i="22"/>
  <c r="EN81" i="22"/>
  <c r="EF81" i="22"/>
  <c r="DX81" i="22"/>
  <c r="DP81" i="22"/>
  <c r="DH81" i="22"/>
  <c r="CZ81" i="22"/>
  <c r="CR81" i="22"/>
  <c r="CJ81" i="22"/>
  <c r="CB81" i="22"/>
  <c r="BT81" i="22"/>
  <c r="BL81" i="22"/>
  <c r="BD81" i="22"/>
  <c r="AV81" i="22"/>
  <c r="AN81" i="22"/>
  <c r="AF81" i="22"/>
  <c r="X81" i="22"/>
  <c r="P81" i="22"/>
  <c r="H81" i="22"/>
  <c r="NB80" i="22"/>
  <c r="MT80" i="22"/>
  <c r="ML80" i="22"/>
  <c r="MD80" i="22"/>
  <c r="LV80" i="22"/>
  <c r="LN80" i="22"/>
  <c r="LF80" i="22"/>
  <c r="KX80" i="22"/>
  <c r="KP80" i="22"/>
  <c r="KH80" i="22"/>
  <c r="JZ80" i="22"/>
  <c r="JR80" i="22"/>
  <c r="JJ80" i="22"/>
  <c r="JB80" i="22"/>
  <c r="IX80" i="22"/>
  <c r="IP80" i="22"/>
  <c r="IH80" i="22"/>
  <c r="HZ80" i="22"/>
  <c r="HR80" i="22"/>
  <c r="HJ80" i="22"/>
  <c r="GX80" i="22"/>
  <c r="GT80" i="22"/>
  <c r="GL80" i="22"/>
  <c r="GD80" i="22"/>
  <c r="FV80" i="22"/>
  <c r="FN80" i="22"/>
  <c r="FF80" i="22"/>
  <c r="EX80" i="22"/>
  <c r="EP80" i="22"/>
  <c r="EH80" i="22"/>
  <c r="DZ80" i="22"/>
  <c r="DR80" i="22"/>
  <c r="DJ80" i="22"/>
  <c r="DB80" i="22"/>
  <c r="CT80" i="22"/>
  <c r="CL80" i="22"/>
  <c r="CD80" i="22"/>
  <c r="BV80" i="22"/>
  <c r="BN80" i="22"/>
  <c r="BB80" i="22"/>
  <c r="AT80" i="22"/>
  <c r="AL80" i="22"/>
  <c r="AD80" i="22"/>
  <c r="V80" i="22"/>
  <c r="J80" i="22"/>
  <c r="B80" i="22"/>
  <c r="NW9" i="22"/>
  <c r="NZ15" i="22"/>
  <c r="NN75" i="22"/>
  <c r="BX75" i="22"/>
  <c r="BX76" i="22" s="1"/>
  <c r="BX77" i="22" s="1"/>
  <c r="DD75" i="22"/>
  <c r="DD76" i="22" s="1"/>
  <c r="DD77" i="22" s="1"/>
  <c r="FP75" i="22"/>
  <c r="FP76" i="22" s="1"/>
  <c r="FP77" i="22" s="1"/>
  <c r="IV86" i="22"/>
  <c r="JT71" i="22"/>
  <c r="KZ73" i="22"/>
  <c r="CL71" i="22"/>
  <c r="DV79" i="22"/>
  <c r="EX88" i="22"/>
  <c r="GH79" i="22"/>
  <c r="HR86" i="22"/>
  <c r="IL75" i="22"/>
  <c r="IL76" i="22" s="1"/>
  <c r="IL77" i="22" s="1"/>
  <c r="JV88" i="22"/>
  <c r="MH88" i="22"/>
  <c r="ND79" i="22"/>
  <c r="AM75" i="22"/>
  <c r="AM76" i="22" s="1"/>
  <c r="AM77" i="22" s="1"/>
  <c r="NS85" i="22"/>
  <c r="MW89" i="22"/>
  <c r="MK89" i="22"/>
  <c r="MC89" i="22"/>
  <c r="LY89" i="22"/>
  <c r="LQ89" i="22"/>
  <c r="LI89" i="22"/>
  <c r="LA89" i="22"/>
  <c r="KS89" i="22"/>
  <c r="KK89" i="22"/>
  <c r="KC89" i="22"/>
  <c r="JU89" i="22"/>
  <c r="JM89" i="22"/>
  <c r="JE89" i="22"/>
  <c r="IW89" i="22"/>
  <c r="IO89" i="22"/>
  <c r="IG89" i="22"/>
  <c r="HY89" i="22"/>
  <c r="HQ89" i="22"/>
  <c r="HI89" i="22"/>
  <c r="HA89" i="22"/>
  <c r="GS89" i="22"/>
  <c r="GK89" i="22"/>
  <c r="GC89" i="22"/>
  <c r="FU89" i="22"/>
  <c r="FM89" i="22"/>
  <c r="FE89" i="22"/>
  <c r="EW89" i="22"/>
  <c r="EO89" i="22"/>
  <c r="EG89" i="22"/>
  <c r="DY89" i="22"/>
  <c r="DQ89" i="22"/>
  <c r="DI89" i="22"/>
  <c r="DA89" i="22"/>
  <c r="CS89" i="22"/>
  <c r="CK89" i="22"/>
  <c r="CC89" i="22"/>
  <c r="BU89" i="22"/>
  <c r="BM89" i="22"/>
  <c r="BE89" i="22"/>
  <c r="AW89" i="22"/>
  <c r="AO89" i="22"/>
  <c r="AG89" i="22"/>
  <c r="Y89" i="22"/>
  <c r="Q89" i="22"/>
  <c r="E89" i="22"/>
  <c r="MW84" i="22"/>
  <c r="MO84" i="22"/>
  <c r="MG84" i="22"/>
  <c r="LY84" i="22"/>
  <c r="LQ84" i="22"/>
  <c r="LM84" i="22"/>
  <c r="LE84" i="22"/>
  <c r="KS84" i="22"/>
  <c r="KK84" i="22"/>
  <c r="KC84" i="22"/>
  <c r="JU84" i="22"/>
  <c r="JM84" i="22"/>
  <c r="JE84" i="22"/>
  <c r="IW84" i="22"/>
  <c r="IO84" i="22"/>
  <c r="IG84" i="22"/>
  <c r="HY84" i="22"/>
  <c r="HQ84" i="22"/>
  <c r="HI84" i="22"/>
  <c r="HA84" i="22"/>
  <c r="GS84" i="22"/>
  <c r="GG84" i="22"/>
  <c r="FY84" i="22"/>
  <c r="FQ84" i="22"/>
  <c r="FM84" i="22"/>
  <c r="FE84" i="22"/>
  <c r="ES84" i="22"/>
  <c r="EK84" i="22"/>
  <c r="EC84" i="22"/>
  <c r="DU84" i="22"/>
  <c r="DM84" i="22"/>
  <c r="DI84" i="22"/>
  <c r="DA84" i="22"/>
  <c r="CS84" i="22"/>
  <c r="CK84" i="22"/>
  <c r="CC84" i="22"/>
  <c r="BU84" i="22"/>
  <c r="BM84" i="22"/>
  <c r="BE84" i="22"/>
  <c r="AW84" i="22"/>
  <c r="AO84" i="22"/>
  <c r="AG84" i="22"/>
  <c r="Y84" i="22"/>
  <c r="Q84" i="22"/>
  <c r="I84" i="22"/>
  <c r="MX82" i="22"/>
  <c r="MT82" i="22"/>
  <c r="MH82" i="22"/>
  <c r="LZ82" i="22"/>
  <c r="LR82" i="22"/>
  <c r="LJ82" i="22"/>
  <c r="LF82" i="22"/>
  <c r="KX82" i="22"/>
  <c r="KP82" i="22"/>
  <c r="KH82" i="22"/>
  <c r="JZ82" i="22"/>
  <c r="JR82" i="22"/>
  <c r="JJ82" i="22"/>
  <c r="JB82" i="22"/>
  <c r="IP82" i="22"/>
  <c r="IH82" i="22"/>
  <c r="HZ82" i="22"/>
  <c r="HR82" i="22"/>
  <c r="HJ82" i="22"/>
  <c r="HB82" i="22"/>
  <c r="GT82" i="22"/>
  <c r="GH82" i="22"/>
  <c r="FZ82" i="22"/>
  <c r="FV82" i="22"/>
  <c r="FJ82" i="22"/>
  <c r="FB82" i="22"/>
  <c r="ET82" i="22"/>
  <c r="EL82" i="22"/>
  <c r="ED82" i="22"/>
  <c r="DV82" i="22"/>
  <c r="DN82" i="22"/>
  <c r="DB82" i="22"/>
  <c r="CT82" i="22"/>
  <c r="CL82" i="22"/>
  <c r="CD82" i="22"/>
  <c r="BV82" i="22"/>
  <c r="BN82" i="22"/>
  <c r="BJ82" i="22"/>
  <c r="AX82" i="22"/>
  <c r="AP82" i="22"/>
  <c r="AH82" i="22"/>
  <c r="Z82" i="22"/>
  <c r="V82" i="22"/>
  <c r="N82" i="22"/>
  <c r="F82" i="22"/>
  <c r="NA81" i="22"/>
  <c r="MS81" i="22"/>
  <c r="MK81" i="22"/>
  <c r="MG81" i="22"/>
  <c r="LY81" i="22"/>
  <c r="LM81" i="22"/>
  <c r="LE81" i="22"/>
  <c r="KW81" i="22"/>
  <c r="KO81" i="22"/>
  <c r="KG81" i="22"/>
  <c r="JY81" i="22"/>
  <c r="JQ81" i="22"/>
  <c r="JI81" i="22"/>
  <c r="JA81" i="22"/>
  <c r="IS81" i="22"/>
  <c r="IG81" i="22"/>
  <c r="IC81" i="22"/>
  <c r="HU81" i="22"/>
  <c r="HM81" i="22"/>
  <c r="HE81" i="22"/>
  <c r="GS81" i="22"/>
  <c r="GK81" i="22"/>
  <c r="GC81" i="22"/>
  <c r="FY81" i="22"/>
  <c r="FQ81" i="22"/>
  <c r="FI81" i="22"/>
  <c r="FA81" i="22"/>
  <c r="ES81" i="22"/>
  <c r="EK81" i="22"/>
  <c r="EC81" i="22"/>
  <c r="DU81" i="22"/>
  <c r="DI81" i="22"/>
  <c r="DA81" i="22"/>
  <c r="CS81" i="22"/>
  <c r="CK81" i="22"/>
  <c r="CC81" i="22"/>
  <c r="BU81" i="22"/>
  <c r="BM81" i="22"/>
  <c r="BE81" i="22"/>
  <c r="AW81" i="22"/>
  <c r="AO81" i="22"/>
  <c r="AC81" i="22"/>
  <c r="U81" i="22"/>
  <c r="M81" i="22"/>
  <c r="E81" i="22"/>
  <c r="NS80" i="22"/>
  <c r="MU80" i="22"/>
  <c r="MM80" i="22"/>
  <c r="ME80" i="22"/>
  <c r="LW80" i="22"/>
  <c r="LO80" i="22"/>
  <c r="LG80" i="22"/>
  <c r="KY80" i="22"/>
  <c r="KM80" i="22"/>
  <c r="KE80" i="22"/>
  <c r="JW80" i="22"/>
  <c r="JO80" i="22"/>
  <c r="JG80" i="22"/>
  <c r="IY80" i="22"/>
  <c r="IQ80" i="22"/>
  <c r="II80" i="22"/>
  <c r="IA80" i="22"/>
  <c r="HS80" i="22"/>
  <c r="HK80" i="22"/>
  <c r="HC80" i="22"/>
  <c r="GU80" i="22"/>
  <c r="GM80" i="22"/>
  <c r="GE80" i="22"/>
  <c r="FW80" i="22"/>
  <c r="FO80" i="22"/>
  <c r="FG80" i="22"/>
  <c r="EY80" i="22"/>
  <c r="EQ80" i="22"/>
  <c r="EI80" i="22"/>
  <c r="EA80" i="22"/>
  <c r="DS80" i="22"/>
  <c r="DK80" i="22"/>
  <c r="DC80" i="22"/>
  <c r="CU80" i="22"/>
  <c r="CM80" i="22"/>
  <c r="CE80" i="22"/>
  <c r="BW80" i="22"/>
  <c r="BO80" i="22"/>
  <c r="BG80" i="22"/>
  <c r="AY80" i="22"/>
  <c r="AQ80" i="22"/>
  <c r="AI80" i="22"/>
  <c r="AA80" i="22"/>
  <c r="S80" i="22"/>
  <c r="K80" i="22"/>
  <c r="C80" i="22"/>
  <c r="NY9" i="22"/>
  <c r="NE80" i="22"/>
  <c r="NY18" i="22"/>
  <c r="NW19" i="22"/>
  <c r="NK81" i="22"/>
  <c r="NY30" i="22"/>
  <c r="NZ30" i="22" s="1"/>
  <c r="NW31" i="22"/>
  <c r="NM82" i="22"/>
  <c r="NW35" i="22"/>
  <c r="NY38" i="22"/>
  <c r="NZ38" i="22" s="1"/>
  <c r="NW43" i="22"/>
  <c r="NW47" i="22"/>
  <c r="NW51" i="22"/>
  <c r="NM84" i="22"/>
  <c r="NK89" i="22"/>
  <c r="NY62" i="22"/>
  <c r="NW63" i="22"/>
  <c r="NG85" i="22"/>
  <c r="NK85" i="22"/>
  <c r="NY66" i="22"/>
  <c r="AS73" i="22"/>
  <c r="BA88" i="22"/>
  <c r="BU88" i="22"/>
  <c r="DU75" i="22"/>
  <c r="DU76" i="22" s="1"/>
  <c r="DU77" i="22" s="1"/>
  <c r="FI71" i="22"/>
  <c r="GK79" i="22"/>
  <c r="HE75" i="22"/>
  <c r="HE76" i="22" s="1"/>
  <c r="HE77" i="22" s="1"/>
  <c r="KW88" i="22"/>
  <c r="LQ88" i="22"/>
  <c r="AN88" i="22"/>
  <c r="BT88" i="22"/>
  <c r="DL79" i="22"/>
  <c r="EF88" i="22"/>
  <c r="GR88" i="22"/>
  <c r="HP75" i="22"/>
  <c r="HP76" i="22" s="1"/>
  <c r="HP77" i="22" s="1"/>
  <c r="JD88" i="22"/>
  <c r="KB75" i="22"/>
  <c r="KB76" i="22" s="1"/>
  <c r="KB77" i="22" s="1"/>
  <c r="LH71" i="22"/>
  <c r="MB79" i="22"/>
  <c r="MV88" i="22"/>
  <c r="BJ73" i="22"/>
  <c r="CT71" i="22"/>
  <c r="FF71" i="22"/>
  <c r="FZ71" i="22"/>
  <c r="HJ73" i="22"/>
  <c r="IT73" i="22"/>
  <c r="K79" i="22"/>
  <c r="MZ85" i="22"/>
  <c r="MV85" i="22"/>
  <c r="MR85" i="22"/>
  <c r="MN85" i="22"/>
  <c r="MJ85" i="22"/>
  <c r="MF85" i="22"/>
  <c r="MB85" i="22"/>
  <c r="LX85" i="22"/>
  <c r="LT85" i="22"/>
  <c r="LP85" i="22"/>
  <c r="LL85" i="22"/>
  <c r="LH85" i="22"/>
  <c r="LD85" i="22"/>
  <c r="KZ85" i="22"/>
  <c r="KV85" i="22"/>
  <c r="KR85" i="22"/>
  <c r="KN85" i="22"/>
  <c r="KJ85" i="22"/>
  <c r="KF85" i="22"/>
  <c r="KB85" i="22"/>
  <c r="JX85" i="22"/>
  <c r="JT85" i="22"/>
  <c r="JP85" i="22"/>
  <c r="JL85" i="22"/>
  <c r="JH85" i="22"/>
  <c r="JD85" i="22"/>
  <c r="IZ85" i="22"/>
  <c r="IV85" i="22"/>
  <c r="IR85" i="22"/>
  <c r="IN85" i="22"/>
  <c r="IJ85" i="22"/>
  <c r="IF85" i="22"/>
  <c r="IB85" i="22"/>
  <c r="HX85" i="22"/>
  <c r="HT85" i="22"/>
  <c r="HP85" i="22"/>
  <c r="HL85" i="22"/>
  <c r="HH85" i="22"/>
  <c r="HD85" i="22"/>
  <c r="GZ85" i="22"/>
  <c r="GV85" i="22"/>
  <c r="GR85" i="22"/>
  <c r="GN85" i="22"/>
  <c r="GJ85" i="22"/>
  <c r="GF85" i="22"/>
  <c r="GB85" i="22"/>
  <c r="FX85" i="22"/>
  <c r="FT85" i="22"/>
  <c r="FP85" i="22"/>
  <c r="FL85" i="22"/>
  <c r="FH85" i="22"/>
  <c r="FD85" i="22"/>
  <c r="EZ85" i="22"/>
  <c r="EV85" i="22"/>
  <c r="ER85" i="22"/>
  <c r="EN85" i="22"/>
  <c r="EJ85" i="22"/>
  <c r="EF85" i="22"/>
  <c r="EB85" i="22"/>
  <c r="DX85" i="22"/>
  <c r="DT85" i="22"/>
  <c r="DP85" i="22"/>
  <c r="DL85" i="22"/>
  <c r="DH85" i="22"/>
  <c r="DD85" i="22"/>
  <c r="CZ85" i="22"/>
  <c r="CV85" i="22"/>
  <c r="CR85" i="22"/>
  <c r="CN85" i="22"/>
  <c r="CJ85" i="22"/>
  <c r="CF85" i="22"/>
  <c r="CB85" i="22"/>
  <c r="BX85" i="22"/>
  <c r="BT85" i="22"/>
  <c r="BP85" i="22"/>
  <c r="BL85" i="22"/>
  <c r="BH85" i="22"/>
  <c r="BD85" i="22"/>
  <c r="AZ85" i="22"/>
  <c r="AV85" i="22"/>
  <c r="AR85" i="22"/>
  <c r="AN85" i="22"/>
  <c r="AJ85" i="22"/>
  <c r="AF85" i="22"/>
  <c r="AB85" i="22"/>
  <c r="X85" i="22"/>
  <c r="T85" i="22"/>
  <c r="P85" i="22"/>
  <c r="L85" i="22"/>
  <c r="H85" i="22"/>
  <c r="D85" i="22"/>
  <c r="NB89" i="22"/>
  <c r="MX89" i="22"/>
  <c r="MT89" i="22"/>
  <c r="MP89" i="22"/>
  <c r="ML89" i="22"/>
  <c r="MH89" i="22"/>
  <c r="MD89" i="22"/>
  <c r="LZ89" i="22"/>
  <c r="LV89" i="22"/>
  <c r="LR89" i="22"/>
  <c r="LN89" i="22"/>
  <c r="LJ89" i="22"/>
  <c r="LF89" i="22"/>
  <c r="LB89" i="22"/>
  <c r="KX89" i="22"/>
  <c r="KT89" i="22"/>
  <c r="KP89" i="22"/>
  <c r="KL89" i="22"/>
  <c r="KH89" i="22"/>
  <c r="KD89" i="22"/>
  <c r="JZ89" i="22"/>
  <c r="JV89" i="22"/>
  <c r="JR89" i="22"/>
  <c r="JN89" i="22"/>
  <c r="JJ89" i="22"/>
  <c r="JF89" i="22"/>
  <c r="JB89" i="22"/>
  <c r="IX89" i="22"/>
  <c r="IT89" i="22"/>
  <c r="IP89" i="22"/>
  <c r="IL89" i="22"/>
  <c r="IH89" i="22"/>
  <c r="ID89" i="22"/>
  <c r="HZ89" i="22"/>
  <c r="HV89" i="22"/>
  <c r="HR89" i="22"/>
  <c r="HN89" i="22"/>
  <c r="HJ89" i="22"/>
  <c r="HF89" i="22"/>
  <c r="HB89" i="22"/>
  <c r="GX89" i="22"/>
  <c r="GT89" i="22"/>
  <c r="GP89" i="22"/>
  <c r="GL89" i="22"/>
  <c r="GH89" i="22"/>
  <c r="GD89" i="22"/>
  <c r="FZ89" i="22"/>
  <c r="FV89" i="22"/>
  <c r="FR89" i="22"/>
  <c r="FN89" i="22"/>
  <c r="FJ89" i="22"/>
  <c r="FF89" i="22"/>
  <c r="FB89" i="22"/>
  <c r="EX89" i="22"/>
  <c r="ET89" i="22"/>
  <c r="EP89" i="22"/>
  <c r="EL89" i="22"/>
  <c r="EH89" i="22"/>
  <c r="ED89" i="22"/>
  <c r="DZ89" i="22"/>
  <c r="DV89" i="22"/>
  <c r="DR89" i="22"/>
  <c r="DN89" i="22"/>
  <c r="DJ89" i="22"/>
  <c r="DF89" i="22"/>
  <c r="DB89" i="22"/>
  <c r="CX89" i="22"/>
  <c r="CT89" i="22"/>
  <c r="CP89" i="22"/>
  <c r="CL89" i="22"/>
  <c r="CH89" i="22"/>
  <c r="CD89" i="22"/>
  <c r="BZ89" i="22"/>
  <c r="BV89" i="22"/>
  <c r="BR89" i="22"/>
  <c r="BN89" i="22"/>
  <c r="BJ89" i="22"/>
  <c r="BF89" i="22"/>
  <c r="BB89" i="22"/>
  <c r="AX89" i="22"/>
  <c r="AT89" i="22"/>
  <c r="AP89" i="22"/>
  <c r="AL89" i="22"/>
  <c r="AH89" i="22"/>
  <c r="AD89" i="22"/>
  <c r="Z89" i="22"/>
  <c r="V89" i="22"/>
  <c r="R89" i="22"/>
  <c r="N89" i="22"/>
  <c r="J89" i="22"/>
  <c r="F89" i="22"/>
  <c r="B89" i="22"/>
  <c r="NB84" i="22"/>
  <c r="MX84" i="22"/>
  <c r="MT84" i="22"/>
  <c r="MP84" i="22"/>
  <c r="ML84" i="22"/>
  <c r="MH84" i="22"/>
  <c r="MD84" i="22"/>
  <c r="LZ84" i="22"/>
  <c r="LV84" i="22"/>
  <c r="LR84" i="22"/>
  <c r="LN84" i="22"/>
  <c r="LJ84" i="22"/>
  <c r="LF84" i="22"/>
  <c r="LB84" i="22"/>
  <c r="KX84" i="22"/>
  <c r="KT84" i="22"/>
  <c r="KP84" i="22"/>
  <c r="KL84" i="22"/>
  <c r="KH84" i="22"/>
  <c r="KD84" i="22"/>
  <c r="JZ84" i="22"/>
  <c r="JV84" i="22"/>
  <c r="JR84" i="22"/>
  <c r="JN84" i="22"/>
  <c r="JJ84" i="22"/>
  <c r="JF84" i="22"/>
  <c r="JB84" i="22"/>
  <c r="IX84" i="22"/>
  <c r="IT84" i="22"/>
  <c r="IP84" i="22"/>
  <c r="IL84" i="22"/>
  <c r="IH84" i="22"/>
  <c r="ID84" i="22"/>
  <c r="HZ84" i="22"/>
  <c r="HV84" i="22"/>
  <c r="HR84" i="22"/>
  <c r="HN84" i="22"/>
  <c r="HJ84" i="22"/>
  <c r="HF84" i="22"/>
  <c r="HB84" i="22"/>
  <c r="GX84" i="22"/>
  <c r="GT84" i="22"/>
  <c r="GP84" i="22"/>
  <c r="GL84" i="22"/>
  <c r="GH84" i="22"/>
  <c r="GD84" i="22"/>
  <c r="FZ84" i="22"/>
  <c r="FV84" i="22"/>
  <c r="FR84" i="22"/>
  <c r="FN84" i="22"/>
  <c r="FJ84" i="22"/>
  <c r="FF84" i="22"/>
  <c r="FB84" i="22"/>
  <c r="EX84" i="22"/>
  <c r="ET84" i="22"/>
  <c r="EP84" i="22"/>
  <c r="EL84" i="22"/>
  <c r="EH84" i="22"/>
  <c r="ED84" i="22"/>
  <c r="DZ84" i="22"/>
  <c r="DV84" i="22"/>
  <c r="DR84" i="22"/>
  <c r="DN84" i="22"/>
  <c r="DJ84" i="22"/>
  <c r="DF84" i="22"/>
  <c r="DB84" i="22"/>
  <c r="CX84" i="22"/>
  <c r="CT84" i="22"/>
  <c r="CP84" i="22"/>
  <c r="CL84" i="22"/>
  <c r="CH84" i="22"/>
  <c r="CD84" i="22"/>
  <c r="BZ84" i="22"/>
  <c r="BV84" i="22"/>
  <c r="BR84" i="22"/>
  <c r="BN84" i="22"/>
  <c r="BJ84" i="22"/>
  <c r="BF84" i="22"/>
  <c r="BB84" i="22"/>
  <c r="AX84" i="22"/>
  <c r="AT84" i="22"/>
  <c r="AP84" i="22"/>
  <c r="AL84" i="22"/>
  <c r="AH84" i="22"/>
  <c r="AD84" i="22"/>
  <c r="Z84" i="22"/>
  <c r="V84" i="22"/>
  <c r="R84" i="22"/>
  <c r="N84" i="22"/>
  <c r="J84" i="22"/>
  <c r="F84" i="22"/>
  <c r="B84" i="22"/>
  <c r="NS82" i="22"/>
  <c r="MY82" i="22"/>
  <c r="MU82" i="22"/>
  <c r="MQ82" i="22"/>
  <c r="MM82" i="22"/>
  <c r="MI82" i="22"/>
  <c r="ME82" i="22"/>
  <c r="MA82" i="22"/>
  <c r="LW82" i="22"/>
  <c r="LS82" i="22"/>
  <c r="LO82" i="22"/>
  <c r="LK82" i="22"/>
  <c r="LG82" i="22"/>
  <c r="LC82" i="22"/>
  <c r="KY82" i="22"/>
  <c r="KU82" i="22"/>
  <c r="KQ82" i="22"/>
  <c r="KM82" i="22"/>
  <c r="KI82" i="22"/>
  <c r="KE82" i="22"/>
  <c r="KA82" i="22"/>
  <c r="JW82" i="22"/>
  <c r="JS82" i="22"/>
  <c r="JO82" i="22"/>
  <c r="JK82" i="22"/>
  <c r="JG82" i="22"/>
  <c r="JC82" i="22"/>
  <c r="IY82" i="22"/>
  <c r="IU82" i="22"/>
  <c r="IQ82" i="22"/>
  <c r="IM82" i="22"/>
  <c r="II82" i="22"/>
  <c r="IE82" i="22"/>
  <c r="IA82" i="22"/>
  <c r="HW82" i="22"/>
  <c r="HS82" i="22"/>
  <c r="HO82" i="22"/>
  <c r="HK82" i="22"/>
  <c r="HG82" i="22"/>
  <c r="HC82" i="22"/>
  <c r="GY82" i="22"/>
  <c r="GU82" i="22"/>
  <c r="GQ82" i="22"/>
  <c r="GM82" i="22"/>
  <c r="GI82" i="22"/>
  <c r="GE82" i="22"/>
  <c r="GA82" i="22"/>
  <c r="FW82" i="22"/>
  <c r="FS82" i="22"/>
  <c r="FO82" i="22"/>
  <c r="FK82" i="22"/>
  <c r="FG82" i="22"/>
  <c r="FC82" i="22"/>
  <c r="EY82" i="22"/>
  <c r="EU82" i="22"/>
  <c r="EQ82" i="22"/>
  <c r="EM82" i="22"/>
  <c r="EI82" i="22"/>
  <c r="EE82" i="22"/>
  <c r="EA82" i="22"/>
  <c r="DW82" i="22"/>
  <c r="DS82" i="22"/>
  <c r="DO82" i="22"/>
  <c r="DK82" i="22"/>
  <c r="DG82" i="22"/>
  <c r="DC82" i="22"/>
  <c r="CY82" i="22"/>
  <c r="CU82" i="22"/>
  <c r="CQ82" i="22"/>
  <c r="CM82" i="22"/>
  <c r="CI82" i="22"/>
  <c r="CE82" i="22"/>
  <c r="CA82" i="22"/>
  <c r="BW82" i="22"/>
  <c r="BS82" i="22"/>
  <c r="BO82" i="22"/>
  <c r="BK82" i="22"/>
  <c r="BG82" i="22"/>
  <c r="BC82" i="22"/>
  <c r="AY82" i="22"/>
  <c r="AU82" i="22"/>
  <c r="AQ82" i="22"/>
  <c r="AM82" i="22"/>
  <c r="AI82" i="22"/>
  <c r="AE82" i="22"/>
  <c r="AA82" i="22"/>
  <c r="W82" i="22"/>
  <c r="S82" i="22"/>
  <c r="O82" i="22"/>
  <c r="K82" i="22"/>
  <c r="G82" i="22"/>
  <c r="C82" i="22"/>
  <c r="NB81" i="22"/>
  <c r="MX81" i="22"/>
  <c r="MT81" i="22"/>
  <c r="MP81" i="22"/>
  <c r="ML81" i="22"/>
  <c r="MH81" i="22"/>
  <c r="MD81" i="22"/>
  <c r="LZ81" i="22"/>
  <c r="LV81" i="22"/>
  <c r="LR81" i="22"/>
  <c r="LN81" i="22"/>
  <c r="LJ81" i="22"/>
  <c r="LF81" i="22"/>
  <c r="LB81" i="22"/>
  <c r="KX81" i="22"/>
  <c r="KT81" i="22"/>
  <c r="KP81" i="22"/>
  <c r="KL81" i="22"/>
  <c r="KH81" i="22"/>
  <c r="KD81" i="22"/>
  <c r="JZ81" i="22"/>
  <c r="JV81" i="22"/>
  <c r="JR81" i="22"/>
  <c r="JN81" i="22"/>
  <c r="JJ81" i="22"/>
  <c r="JF81" i="22"/>
  <c r="JB81" i="22"/>
  <c r="IX81" i="22"/>
  <c r="IT81" i="22"/>
  <c r="IP81" i="22"/>
  <c r="IL81" i="22"/>
  <c r="IH81" i="22"/>
  <c r="ID81" i="22"/>
  <c r="HZ81" i="22"/>
  <c r="HV81" i="22"/>
  <c r="HR81" i="22"/>
  <c r="HN81" i="22"/>
  <c r="HJ81" i="22"/>
  <c r="HF81" i="22"/>
  <c r="HB81" i="22"/>
  <c r="GX81" i="22"/>
  <c r="GT81" i="22"/>
  <c r="GP81" i="22"/>
  <c r="GL81" i="22"/>
  <c r="GH81" i="22"/>
  <c r="GD81" i="22"/>
  <c r="FZ81" i="22"/>
  <c r="FV81" i="22"/>
  <c r="FR81" i="22"/>
  <c r="FN81" i="22"/>
  <c r="FJ81" i="22"/>
  <c r="FF81" i="22"/>
  <c r="FB81" i="22"/>
  <c r="EX81" i="22"/>
  <c r="ET81" i="22"/>
  <c r="EP81" i="22"/>
  <c r="EL81" i="22"/>
  <c r="EH81" i="22"/>
  <c r="ED81" i="22"/>
  <c r="DZ81" i="22"/>
  <c r="DV81" i="22"/>
  <c r="DR81" i="22"/>
  <c r="DN81" i="22"/>
  <c r="DJ81" i="22"/>
  <c r="DF81" i="22"/>
  <c r="DB81" i="22"/>
  <c r="CX81" i="22"/>
  <c r="CT81" i="22"/>
  <c r="CP81" i="22"/>
  <c r="CL81" i="22"/>
  <c r="CH81" i="22"/>
  <c r="CD81" i="22"/>
  <c r="BZ81" i="22"/>
  <c r="BV81" i="22"/>
  <c r="BR81" i="22"/>
  <c r="BN81" i="22"/>
  <c r="BJ81" i="22"/>
  <c r="BF81" i="22"/>
  <c r="BB81" i="22"/>
  <c r="AX81" i="22"/>
  <c r="AT81" i="22"/>
  <c r="AP81" i="22"/>
  <c r="AL81" i="22"/>
  <c r="AH81" i="22"/>
  <c r="AD81" i="22"/>
  <c r="Z81" i="22"/>
  <c r="V81" i="22"/>
  <c r="R81" i="22"/>
  <c r="N81" i="22"/>
  <c r="J81" i="22"/>
  <c r="F81" i="22"/>
  <c r="B81" i="22"/>
  <c r="MZ80" i="22"/>
  <c r="MV80" i="22"/>
  <c r="MR80" i="22"/>
  <c r="MN80" i="22"/>
  <c r="MJ80" i="22"/>
  <c r="MF80" i="22"/>
  <c r="MB80" i="22"/>
  <c r="LX80" i="22"/>
  <c r="LT80" i="22"/>
  <c r="LP80" i="22"/>
  <c r="LL80" i="22"/>
  <c r="LH80" i="22"/>
  <c r="LD80" i="22"/>
  <c r="KZ80" i="22"/>
  <c r="KV80" i="22"/>
  <c r="KR80" i="22"/>
  <c r="KN80" i="22"/>
  <c r="KJ80" i="22"/>
  <c r="KF80" i="22"/>
  <c r="KB80" i="22"/>
  <c r="JX80" i="22"/>
  <c r="JT80" i="22"/>
  <c r="JP80" i="22"/>
  <c r="JL80" i="22"/>
  <c r="JH80" i="22"/>
  <c r="JD80" i="22"/>
  <c r="IZ80" i="22"/>
  <c r="IV80" i="22"/>
  <c r="IR80" i="22"/>
  <c r="IN80" i="22"/>
  <c r="IJ80" i="22"/>
  <c r="IF80" i="22"/>
  <c r="IB80" i="22"/>
  <c r="HX80" i="22"/>
  <c r="HT80" i="22"/>
  <c r="HP80" i="22"/>
  <c r="HL80" i="22"/>
  <c r="HH80" i="22"/>
  <c r="HD80" i="22"/>
  <c r="GZ80" i="22"/>
  <c r="GV80" i="22"/>
  <c r="GR80" i="22"/>
  <c r="GN80" i="22"/>
  <c r="GJ80" i="22"/>
  <c r="GF80" i="22"/>
  <c r="GB80" i="22"/>
  <c r="FX80" i="22"/>
  <c r="FT80" i="22"/>
  <c r="FP80" i="22"/>
  <c r="FL80" i="22"/>
  <c r="FH80" i="22"/>
  <c r="FD80" i="22"/>
  <c r="EZ80" i="22"/>
  <c r="EV80" i="22"/>
  <c r="ER80" i="22"/>
  <c r="EN80" i="22"/>
  <c r="EJ80" i="22"/>
  <c r="EF80" i="22"/>
  <c r="EB80" i="22"/>
  <c r="DX80" i="22"/>
  <c r="DT80" i="22"/>
  <c r="DP80" i="22"/>
  <c r="DL80" i="22"/>
  <c r="DH80" i="22"/>
  <c r="DD80" i="22"/>
  <c r="CZ80" i="22"/>
  <c r="CV80" i="22"/>
  <c r="CR80" i="22"/>
  <c r="CN80" i="22"/>
  <c r="CJ80" i="22"/>
  <c r="CF80" i="22"/>
  <c r="CB80" i="22"/>
  <c r="BX80" i="22"/>
  <c r="BT80" i="22"/>
  <c r="BP80" i="22"/>
  <c r="BL80" i="22"/>
  <c r="BH80" i="22"/>
  <c r="BD80" i="22"/>
  <c r="AZ80" i="22"/>
  <c r="AV80" i="22"/>
  <c r="AR80" i="22"/>
  <c r="AN80" i="22"/>
  <c r="AJ80" i="22"/>
  <c r="AF80" i="22"/>
  <c r="AB80" i="22"/>
  <c r="X80" i="22"/>
  <c r="T80" i="22"/>
  <c r="P80" i="22"/>
  <c r="L80" i="22"/>
  <c r="H80" i="22"/>
  <c r="D80" i="22"/>
  <c r="NY10" i="22"/>
  <c r="NY11" i="22"/>
  <c r="NY12" i="22"/>
  <c r="NY13" i="22"/>
  <c r="NL80" i="22"/>
  <c r="NQ80" i="22"/>
  <c r="NY17" i="22"/>
  <c r="NW18" i="22"/>
  <c r="NY21" i="22"/>
  <c r="NW22" i="22"/>
  <c r="NF81" i="22"/>
  <c r="NJ81" i="22"/>
  <c r="NN81" i="22"/>
  <c r="NY25" i="22"/>
  <c r="NW26" i="22"/>
  <c r="NX26" i="22" s="1"/>
  <c r="NY29" i="22"/>
  <c r="NW30" i="22"/>
  <c r="NX30" i="22" s="1"/>
  <c r="NY33" i="22"/>
  <c r="NL82" i="22"/>
  <c r="NQ82" i="22"/>
  <c r="NY37" i="22"/>
  <c r="NW38" i="22"/>
  <c r="NX38" i="22" s="1"/>
  <c r="NY41" i="22"/>
  <c r="NW42" i="22"/>
  <c r="NY45" i="22"/>
  <c r="NW46" i="22"/>
  <c r="NY49" i="22"/>
  <c r="NW50" i="22"/>
  <c r="NY53" i="22"/>
  <c r="NL84" i="22"/>
  <c r="NQ84" i="22"/>
  <c r="NF89" i="22"/>
  <c r="NJ89" i="22"/>
  <c r="NN89" i="22"/>
  <c r="NY57" i="22"/>
  <c r="NW58" i="22"/>
  <c r="NX58" i="22" s="1"/>
  <c r="NY61" i="22"/>
  <c r="NW62" i="22"/>
  <c r="NF85" i="22"/>
  <c r="NJ85" i="22"/>
  <c r="NN85" i="22"/>
  <c r="NY65" i="22"/>
  <c r="NW66" i="22"/>
  <c r="NX66" i="22" s="1"/>
  <c r="E71" i="22"/>
  <c r="M86" i="22"/>
  <c r="AS71" i="22"/>
  <c r="BA73" i="22"/>
  <c r="BU71" i="22"/>
  <c r="CC88" i="22"/>
  <c r="CO75" i="22"/>
  <c r="CO76" i="22" s="1"/>
  <c r="CO77" i="22" s="1"/>
  <c r="CW86" i="22"/>
  <c r="EC79" i="22"/>
  <c r="EK86" i="22"/>
  <c r="FQ71" i="22"/>
  <c r="FY73" i="22"/>
  <c r="HM79" i="22"/>
  <c r="HU86" i="22"/>
  <c r="IG71" i="22"/>
  <c r="IO86" i="22"/>
  <c r="JI86" i="22"/>
  <c r="JU75" i="22"/>
  <c r="JU76" i="22" s="1"/>
  <c r="JU77" i="22" s="1"/>
  <c r="LI75" i="22"/>
  <c r="LI76" i="22" s="1"/>
  <c r="LI77" i="22" s="1"/>
  <c r="LQ73" i="22"/>
  <c r="LY88" i="22"/>
  <c r="MK79" i="22"/>
  <c r="MS86" i="22"/>
  <c r="NI73" i="22"/>
  <c r="H71" i="22"/>
  <c r="P86" i="22"/>
  <c r="AN71" i="22"/>
  <c r="BH75" i="22"/>
  <c r="BH76" i="22" s="1"/>
  <c r="BH77" i="22" s="1"/>
  <c r="CN75" i="22"/>
  <c r="CN76" i="22" s="1"/>
  <c r="CN77" i="22" s="1"/>
  <c r="DT75" i="22"/>
  <c r="DT76" i="22" s="1"/>
  <c r="DT77" i="22" s="1"/>
  <c r="EZ75" i="22"/>
  <c r="EZ76" i="22" s="1"/>
  <c r="EZ77" i="22" s="1"/>
  <c r="FT86" i="22"/>
  <c r="GF75" i="22"/>
  <c r="GF76" i="22" s="1"/>
  <c r="GF77" i="22" s="1"/>
  <c r="HL75" i="22"/>
  <c r="HL76" i="22" s="1"/>
  <c r="HL77" i="22" s="1"/>
  <c r="HX71" i="22"/>
  <c r="IF86" i="22"/>
  <c r="JD71" i="22"/>
  <c r="JL86" i="22"/>
  <c r="KJ73" i="22"/>
  <c r="KR86" i="22"/>
  <c r="LP73" i="22"/>
  <c r="MJ75" i="22"/>
  <c r="MJ76" i="22" s="1"/>
  <c r="MJ77" i="22" s="1"/>
  <c r="MV71" i="22"/>
  <c r="AX79" i="22"/>
  <c r="BN86" i="22"/>
  <c r="BZ73" i="22"/>
  <c r="CP86" i="22"/>
  <c r="DB75" i="22"/>
  <c r="DB76" i="22" s="1"/>
  <c r="DB77" i="22" s="1"/>
  <c r="DJ71" i="22"/>
  <c r="DR88" i="22"/>
  <c r="DZ86" i="22"/>
  <c r="ET75" i="22"/>
  <c r="ET76" i="22" s="1"/>
  <c r="ET77" i="22" s="1"/>
  <c r="FB79" i="22"/>
  <c r="FN75" i="22"/>
  <c r="FN76" i="22" s="1"/>
  <c r="FN77" i="22" s="1"/>
  <c r="FV71" i="22"/>
  <c r="GD88" i="22"/>
  <c r="GL86" i="22"/>
  <c r="GX73" i="22"/>
  <c r="HN79" i="22"/>
  <c r="HZ75" i="22"/>
  <c r="HZ76" i="22" s="1"/>
  <c r="HZ77" i="22" s="1"/>
  <c r="JJ73" i="22"/>
  <c r="KL75" i="22"/>
  <c r="KL76" i="22" s="1"/>
  <c r="KL77" i="22" s="1"/>
  <c r="KT73" i="22"/>
  <c r="LB88" i="22"/>
  <c r="LJ86" i="22"/>
  <c r="MX73" i="22"/>
  <c r="AA75" i="22"/>
  <c r="AA76" i="22" s="1"/>
  <c r="AA77" i="22" s="1"/>
  <c r="NW68" i="22"/>
  <c r="NX68" i="22" s="1"/>
  <c r="C88" i="22"/>
  <c r="AI75" i="22"/>
  <c r="AI76" i="22" s="1"/>
  <c r="AI77" i="22" s="1"/>
  <c r="AM73" i="22"/>
  <c r="AM71" i="22"/>
  <c r="AM88" i="22"/>
  <c r="AM86" i="22"/>
  <c r="AE75" i="22"/>
  <c r="AE76" i="22" s="1"/>
  <c r="AE77" i="22" s="1"/>
  <c r="AE88" i="22"/>
  <c r="AE86" i="22"/>
  <c r="AE79" i="22"/>
  <c r="W73" i="22"/>
  <c r="W86" i="22"/>
  <c r="W71" i="22"/>
  <c r="W75" i="22"/>
  <c r="W76" i="22" s="1"/>
  <c r="W77" i="22" s="1"/>
  <c r="O75" i="22"/>
  <c r="O76" i="22" s="1"/>
  <c r="O77" i="22" s="1"/>
  <c r="O79" i="22"/>
  <c r="O86" i="22"/>
  <c r="O88" i="22"/>
  <c r="O73" i="22"/>
  <c r="O71" i="22"/>
  <c r="G75" i="22"/>
  <c r="G76" i="22" s="1"/>
  <c r="G77" i="22" s="1"/>
  <c r="G86" i="22"/>
  <c r="G79" i="22"/>
  <c r="G88" i="22"/>
  <c r="G73" i="22"/>
  <c r="MZ86" i="22"/>
  <c r="MZ73" i="22"/>
  <c r="MZ88" i="22"/>
  <c r="MZ71" i="22"/>
  <c r="MZ79" i="22"/>
  <c r="MN75" i="22"/>
  <c r="MN76" i="22" s="1"/>
  <c r="MN77" i="22" s="1"/>
  <c r="MN79" i="22"/>
  <c r="MN88" i="22"/>
  <c r="MN73" i="22"/>
  <c r="MF75" i="22"/>
  <c r="MF76" i="22" s="1"/>
  <c r="MF77" i="22" s="1"/>
  <c r="MF79" i="22"/>
  <c r="MF71" i="22"/>
  <c r="MF86" i="22"/>
  <c r="LX75" i="22"/>
  <c r="LX76" i="22" s="1"/>
  <c r="LX77" i="22" s="1"/>
  <c r="LX79" i="22"/>
  <c r="LX88" i="22"/>
  <c r="LX73" i="22"/>
  <c r="LT86" i="22"/>
  <c r="LT71" i="22"/>
  <c r="LT88" i="22"/>
  <c r="LT75" i="22"/>
  <c r="LT76" i="22" s="1"/>
  <c r="LT77" i="22" s="1"/>
  <c r="LT79" i="22"/>
  <c r="LL86" i="22"/>
  <c r="LL71" i="22"/>
  <c r="LL88" i="22"/>
  <c r="LL75" i="22"/>
  <c r="LL76" i="22" s="1"/>
  <c r="LL77" i="22" s="1"/>
  <c r="LL73" i="22"/>
  <c r="LD86" i="22"/>
  <c r="LD71" i="22"/>
  <c r="LD88" i="22"/>
  <c r="LD75" i="22"/>
  <c r="LD76" i="22" s="1"/>
  <c r="LD77" i="22" s="1"/>
  <c r="LD79" i="22"/>
  <c r="KV86" i="22"/>
  <c r="KV71" i="22"/>
  <c r="KV88" i="22"/>
  <c r="KV75" i="22"/>
  <c r="KV76" i="22" s="1"/>
  <c r="KV77" i="22" s="1"/>
  <c r="KV73" i="22"/>
  <c r="KN86" i="22"/>
  <c r="KN71" i="22"/>
  <c r="KN88" i="22"/>
  <c r="KN75" i="22"/>
  <c r="KN76" i="22" s="1"/>
  <c r="KN77" i="22" s="1"/>
  <c r="KN79" i="22"/>
  <c r="KF86" i="22"/>
  <c r="KF71" i="22"/>
  <c r="KF88" i="22"/>
  <c r="KF75" i="22"/>
  <c r="KF76" i="22" s="1"/>
  <c r="KF77" i="22" s="1"/>
  <c r="KF73" i="22"/>
  <c r="JX86" i="22"/>
  <c r="JX73" i="22"/>
  <c r="JX88" i="22"/>
  <c r="JX71" i="22"/>
  <c r="JX79" i="22"/>
  <c r="JP86" i="22"/>
  <c r="JP73" i="22"/>
  <c r="JP88" i="22"/>
  <c r="JP71" i="22"/>
  <c r="JP75" i="22"/>
  <c r="JP76" i="22" s="1"/>
  <c r="JP77" i="22" s="1"/>
  <c r="JH86" i="22"/>
  <c r="JH73" i="22"/>
  <c r="JH88" i="22"/>
  <c r="JH71" i="22"/>
  <c r="JH79" i="22"/>
  <c r="IZ86" i="22"/>
  <c r="IZ73" i="22"/>
  <c r="IZ88" i="22"/>
  <c r="IZ71" i="22"/>
  <c r="IZ75" i="22"/>
  <c r="IZ76" i="22" s="1"/>
  <c r="IZ77" i="22" s="1"/>
  <c r="IR86" i="22"/>
  <c r="IR73" i="22"/>
  <c r="IR88" i="22"/>
  <c r="IR71" i="22"/>
  <c r="IR79" i="22"/>
  <c r="IJ86" i="22"/>
  <c r="IJ73" i="22"/>
  <c r="IJ88" i="22"/>
  <c r="IJ71" i="22"/>
  <c r="IJ75" i="22"/>
  <c r="IJ76" i="22" s="1"/>
  <c r="IJ77" i="22" s="1"/>
  <c r="IB86" i="22"/>
  <c r="IB73" i="22"/>
  <c r="IB88" i="22"/>
  <c r="IB71" i="22"/>
  <c r="IB79" i="22"/>
  <c r="HT86" i="22"/>
  <c r="HT73" i="22"/>
  <c r="HT88" i="22"/>
  <c r="HT71" i="22"/>
  <c r="HT75" i="22"/>
  <c r="HT76" i="22" s="1"/>
  <c r="HT77" i="22" s="1"/>
  <c r="HH73" i="22"/>
  <c r="HH79" i="22"/>
  <c r="HH75" i="22"/>
  <c r="HH76" i="22" s="1"/>
  <c r="HH77" i="22" s="1"/>
  <c r="HH86" i="22"/>
  <c r="GZ73" i="22"/>
  <c r="GZ79" i="22"/>
  <c r="GZ88" i="22"/>
  <c r="GZ71" i="22"/>
  <c r="GR73" i="22"/>
  <c r="GR79" i="22"/>
  <c r="GR75" i="22"/>
  <c r="GR76" i="22" s="1"/>
  <c r="GR77" i="22" s="1"/>
  <c r="GR86" i="22"/>
  <c r="GJ73" i="22"/>
  <c r="GJ79" i="22"/>
  <c r="GJ88" i="22"/>
  <c r="GJ71" i="22"/>
  <c r="FX86" i="22"/>
  <c r="FX73" i="22"/>
  <c r="FX88" i="22"/>
  <c r="FX71" i="22"/>
  <c r="FX75" i="22"/>
  <c r="FX76" i="22" s="1"/>
  <c r="FX77" i="22" s="1"/>
  <c r="FL73" i="22"/>
  <c r="FL79" i="22"/>
  <c r="FL75" i="22"/>
  <c r="FL76" i="22" s="1"/>
  <c r="FL77" i="22" s="1"/>
  <c r="FL86" i="22"/>
  <c r="FD73" i="22"/>
  <c r="FD79" i="22"/>
  <c r="FD88" i="22"/>
  <c r="FD71" i="22"/>
  <c r="EV73" i="22"/>
  <c r="EV79" i="22"/>
  <c r="EV75" i="22"/>
  <c r="EV76" i="22" s="1"/>
  <c r="EV77" i="22" s="1"/>
  <c r="EV86" i="22"/>
  <c r="EN73" i="22"/>
  <c r="EN79" i="22"/>
  <c r="EN88" i="22"/>
  <c r="EN71" i="22"/>
  <c r="EF73" i="22"/>
  <c r="EF79" i="22"/>
  <c r="EF75" i="22"/>
  <c r="EF76" i="22" s="1"/>
  <c r="EF77" i="22" s="1"/>
  <c r="EF86" i="22"/>
  <c r="DX73" i="22"/>
  <c r="DX79" i="22"/>
  <c r="DX88" i="22"/>
  <c r="DX71" i="22"/>
  <c r="DP73" i="22"/>
  <c r="DP79" i="22"/>
  <c r="DP75" i="22"/>
  <c r="DP76" i="22" s="1"/>
  <c r="DP77" i="22" s="1"/>
  <c r="DP86" i="22"/>
  <c r="DH73" i="22"/>
  <c r="DH79" i="22"/>
  <c r="DH88" i="22"/>
  <c r="DH71" i="22"/>
  <c r="CZ73" i="22"/>
  <c r="CZ79" i="22"/>
  <c r="CZ75" i="22"/>
  <c r="CZ76" i="22" s="1"/>
  <c r="CZ77" i="22" s="1"/>
  <c r="CZ86" i="22"/>
  <c r="CR73" i="22"/>
  <c r="CR79" i="22"/>
  <c r="CR88" i="22"/>
  <c r="CR71" i="22"/>
  <c r="CJ73" i="22"/>
  <c r="CJ79" i="22"/>
  <c r="CJ75" i="22"/>
  <c r="CJ76" i="22" s="1"/>
  <c r="CJ77" i="22" s="1"/>
  <c r="CJ86" i="22"/>
  <c r="CB73" i="22"/>
  <c r="CB79" i="22"/>
  <c r="CB88" i="22"/>
  <c r="CB71" i="22"/>
  <c r="BT73" i="22"/>
  <c r="BT79" i="22"/>
  <c r="BT75" i="22"/>
  <c r="BT76" i="22" s="1"/>
  <c r="BT77" i="22" s="1"/>
  <c r="BT86" i="22"/>
  <c r="BL73" i="22"/>
  <c r="BL79" i="22"/>
  <c r="BL88" i="22"/>
  <c r="BL71" i="22"/>
  <c r="BD73" i="22"/>
  <c r="BD79" i="22"/>
  <c r="BD75" i="22"/>
  <c r="BD76" i="22" s="1"/>
  <c r="BD77" i="22" s="1"/>
  <c r="BD86" i="22"/>
  <c r="AV73" i="22"/>
  <c r="AV79" i="22"/>
  <c r="AV88" i="22"/>
  <c r="AV71" i="22"/>
  <c r="MU87" i="22"/>
  <c r="MU83" i="22"/>
  <c r="MM87" i="22"/>
  <c r="MM83" i="22"/>
  <c r="ME87" i="22"/>
  <c r="ME83" i="22"/>
  <c r="LW87" i="22"/>
  <c r="LW83" i="22"/>
  <c r="LO87" i="22"/>
  <c r="LO83" i="22"/>
  <c r="LG87" i="22"/>
  <c r="LG83" i="22"/>
  <c r="KY87" i="22"/>
  <c r="KY83" i="22"/>
  <c r="KU87" i="22"/>
  <c r="KU83" i="22"/>
  <c r="KM87" i="22"/>
  <c r="KM83" i="22"/>
  <c r="KE87" i="22"/>
  <c r="KE83" i="22"/>
  <c r="JW87" i="22"/>
  <c r="JW83" i="22"/>
  <c r="JO87" i="22"/>
  <c r="JO83" i="22"/>
  <c r="JK87" i="22"/>
  <c r="JK83" i="22"/>
  <c r="JC87" i="22"/>
  <c r="JC83" i="22"/>
  <c r="IY87" i="22"/>
  <c r="IY83" i="22"/>
  <c r="IM87" i="22"/>
  <c r="IM83" i="22"/>
  <c r="IE87" i="22"/>
  <c r="IE83" i="22"/>
  <c r="HW87" i="22"/>
  <c r="HW83" i="22"/>
  <c r="HO87" i="22"/>
  <c r="HO83" i="22"/>
  <c r="HG87" i="22"/>
  <c r="HG83" i="22"/>
  <c r="GY87" i="22"/>
  <c r="GY83" i="22"/>
  <c r="GU87" i="22"/>
  <c r="GU83" i="22"/>
  <c r="GM87" i="22"/>
  <c r="GM83" i="22"/>
  <c r="GE87" i="22"/>
  <c r="GE83" i="22"/>
  <c r="FW87" i="22"/>
  <c r="FW83" i="22"/>
  <c r="FS87" i="22"/>
  <c r="FS83" i="22"/>
  <c r="FK87" i="22"/>
  <c r="FK83" i="22"/>
  <c r="FC87" i="22"/>
  <c r="FC83" i="22"/>
  <c r="EU87" i="22"/>
  <c r="EU83" i="22"/>
  <c r="EM87" i="22"/>
  <c r="EM83" i="22"/>
  <c r="EE87" i="22"/>
  <c r="EE83" i="22"/>
  <c r="DW87" i="22"/>
  <c r="DW83" i="22"/>
  <c r="DO87" i="22"/>
  <c r="DO83" i="22"/>
  <c r="DG87" i="22"/>
  <c r="DG83" i="22"/>
  <c r="CY87" i="22"/>
  <c r="CY83" i="22"/>
  <c r="CQ87" i="22"/>
  <c r="CQ83" i="22"/>
  <c r="CI87" i="22"/>
  <c r="CI83" i="22"/>
  <c r="CA87" i="22"/>
  <c r="CA83" i="22"/>
  <c r="BS87" i="22"/>
  <c r="BS83" i="22"/>
  <c r="BK87" i="22"/>
  <c r="BK83" i="22"/>
  <c r="BC87" i="22"/>
  <c r="BC83" i="22"/>
  <c r="AU87" i="22"/>
  <c r="AU83" i="22"/>
  <c r="AQ87" i="22"/>
  <c r="AQ83" i="22"/>
  <c r="AI87" i="22"/>
  <c r="AI83" i="22"/>
  <c r="AA87" i="22"/>
  <c r="AA83" i="22"/>
  <c r="S87" i="22"/>
  <c r="S83" i="22"/>
  <c r="K87" i="22"/>
  <c r="K83" i="22"/>
  <c r="C87" i="22"/>
  <c r="C83" i="22"/>
  <c r="NW8" i="22"/>
  <c r="NX8" i="22" s="1"/>
  <c r="NH86" i="22"/>
  <c r="NH73" i="22"/>
  <c r="NH88" i="22"/>
  <c r="NH71" i="22"/>
  <c r="NH75" i="22"/>
  <c r="NH79" i="22"/>
  <c r="OC9" i="22"/>
  <c r="NP9" i="22"/>
  <c r="NP16" i="22"/>
  <c r="NX16" i="22" s="1"/>
  <c r="OC16" i="22"/>
  <c r="NH81" i="22"/>
  <c r="NW24" i="22"/>
  <c r="OC28" i="22"/>
  <c r="NP28" i="22"/>
  <c r="NP32" i="22"/>
  <c r="OC32" i="22"/>
  <c r="NP40" i="22"/>
  <c r="NX40" i="22" s="1"/>
  <c r="OC40" i="22"/>
  <c r="NH87" i="22"/>
  <c r="NH83" i="22"/>
  <c r="NW44" i="22"/>
  <c r="NQ83" i="22"/>
  <c r="NQ87" i="22"/>
  <c r="NP48" i="22"/>
  <c r="OC48" i="22"/>
  <c r="ND89" i="22"/>
  <c r="NP56" i="22"/>
  <c r="OC56" i="22"/>
  <c r="OC60" i="22"/>
  <c r="NP60" i="22"/>
  <c r="ND85" i="22"/>
  <c r="NP64" i="22"/>
  <c r="OC64" i="22"/>
  <c r="AR86" i="22"/>
  <c r="AR73" i="22"/>
  <c r="AR88" i="22"/>
  <c r="AR71" i="22"/>
  <c r="AR79" i="22"/>
  <c r="AJ86" i="22"/>
  <c r="AJ73" i="22"/>
  <c r="AJ88" i="22"/>
  <c r="AJ71" i="22"/>
  <c r="AJ75" i="22"/>
  <c r="AJ76" i="22" s="1"/>
  <c r="AJ77" i="22" s="1"/>
  <c r="AB86" i="22"/>
  <c r="AB73" i="22"/>
  <c r="AB88" i="22"/>
  <c r="AB71" i="22"/>
  <c r="AB79" i="22"/>
  <c r="T86" i="22"/>
  <c r="T73" i="22"/>
  <c r="T88" i="22"/>
  <c r="T71" i="22"/>
  <c r="T75" i="22"/>
  <c r="T76" i="22" s="1"/>
  <c r="T77" i="22" s="1"/>
  <c r="L86" i="22"/>
  <c r="L73" i="22"/>
  <c r="L88" i="22"/>
  <c r="L71" i="22"/>
  <c r="L79" i="22"/>
  <c r="D86" i="22"/>
  <c r="D73" i="22"/>
  <c r="D88" i="22"/>
  <c r="D71" i="22"/>
  <c r="D75" i="22"/>
  <c r="D76" i="22" s="1"/>
  <c r="D77" i="22" s="1"/>
  <c r="MW79" i="22"/>
  <c r="MW86" i="22"/>
  <c r="MW71" i="22"/>
  <c r="MW73" i="22"/>
  <c r="MW88" i="22"/>
  <c r="MO86" i="22"/>
  <c r="MO73" i="22"/>
  <c r="MO88" i="22"/>
  <c r="MO75" i="22"/>
  <c r="MO76" i="22" s="1"/>
  <c r="MO77" i="22" s="1"/>
  <c r="MO71" i="22"/>
  <c r="MO79" i="22"/>
  <c r="MG88" i="22"/>
  <c r="MG71" i="22"/>
  <c r="MG73" i="22"/>
  <c r="MG86" i="22"/>
  <c r="MC71" i="22"/>
  <c r="MC86" i="22"/>
  <c r="MC79" i="22"/>
  <c r="MC73" i="22"/>
  <c r="MC88" i="22"/>
  <c r="LU88" i="22"/>
  <c r="LU75" i="22"/>
  <c r="LU76" i="22" s="1"/>
  <c r="LU77" i="22" s="1"/>
  <c r="LU79" i="22"/>
  <c r="LU71" i="22"/>
  <c r="LU73" i="22"/>
  <c r="LM88" i="22"/>
  <c r="LM79" i="22"/>
  <c r="LM75" i="22"/>
  <c r="LM76" i="22" s="1"/>
  <c r="LM77" i="22" s="1"/>
  <c r="LM86" i="22"/>
  <c r="LE73" i="22"/>
  <c r="LE86" i="22"/>
  <c r="LE71" i="22"/>
  <c r="LE79" i="22"/>
  <c r="LE88" i="22"/>
  <c r="KW71" i="22"/>
  <c r="KW86" i="22"/>
  <c r="KW79" i="22"/>
  <c r="KW75" i="22"/>
  <c r="KW76" i="22" s="1"/>
  <c r="KW77" i="22" s="1"/>
  <c r="KO88" i="22"/>
  <c r="KO75" i="22"/>
  <c r="KO76" i="22" s="1"/>
  <c r="KO77" i="22" s="1"/>
  <c r="KO79" i="22"/>
  <c r="KO86" i="22"/>
  <c r="KG88" i="22"/>
  <c r="KG75" i="22"/>
  <c r="KG76" i="22" s="1"/>
  <c r="KG77" i="22" s="1"/>
  <c r="KG79" i="22"/>
  <c r="KG73" i="22"/>
  <c r="JY73" i="22"/>
  <c r="JY86" i="22"/>
  <c r="JY71" i="22"/>
  <c r="JY75" i="22"/>
  <c r="JY76" i="22" s="1"/>
  <c r="JY77" i="22" s="1"/>
  <c r="JQ71" i="22"/>
  <c r="JQ86" i="22"/>
  <c r="JQ79" i="22"/>
  <c r="JQ73" i="22"/>
  <c r="JQ88" i="22"/>
  <c r="JM79" i="22"/>
  <c r="JM75" i="22"/>
  <c r="JM76" i="22" s="1"/>
  <c r="JM77" i="22" s="1"/>
  <c r="JM73" i="22"/>
  <c r="JM86" i="22"/>
  <c r="JE79" i="22"/>
  <c r="JE86" i="22"/>
  <c r="JE75" i="22"/>
  <c r="JE76" i="22" s="1"/>
  <c r="JE77" i="22" s="1"/>
  <c r="JE71" i="22"/>
  <c r="JA88" i="22"/>
  <c r="JA75" i="22"/>
  <c r="JA76" i="22" s="1"/>
  <c r="JA77" i="22" s="1"/>
  <c r="JA86" i="22"/>
  <c r="JA71" i="22"/>
  <c r="IS73" i="22"/>
  <c r="IS86" i="22"/>
  <c r="IS71" i="22"/>
  <c r="IS79" i="22"/>
  <c r="IS88" i="22"/>
  <c r="IK71" i="22"/>
  <c r="IK86" i="22"/>
  <c r="IK79" i="22"/>
  <c r="IK75" i="22"/>
  <c r="IK76" i="22" s="1"/>
  <c r="IK77" i="22" s="1"/>
  <c r="HY79" i="22"/>
  <c r="HY86" i="22"/>
  <c r="HY75" i="22"/>
  <c r="HY76" i="22" s="1"/>
  <c r="HY77" i="22" s="1"/>
  <c r="HY73" i="22"/>
  <c r="HY88" i="22"/>
  <c r="HQ86" i="22"/>
  <c r="HQ71" i="22"/>
  <c r="HQ88" i="22"/>
  <c r="HQ73" i="22"/>
  <c r="HQ75" i="22"/>
  <c r="HQ76" i="22" s="1"/>
  <c r="HQ77" i="22" s="1"/>
  <c r="HQ79" i="22"/>
  <c r="HI88" i="22"/>
  <c r="HI71" i="22"/>
  <c r="HI73" i="22"/>
  <c r="HI86" i="22"/>
  <c r="HA73" i="22"/>
  <c r="HA79" i="22"/>
  <c r="HA75" i="22"/>
  <c r="HA76" i="22" s="1"/>
  <c r="HA77" i="22" s="1"/>
  <c r="HA86" i="22"/>
  <c r="GS79" i="22"/>
  <c r="GS86" i="22"/>
  <c r="GS75" i="22"/>
  <c r="GS76" i="22" s="1"/>
  <c r="GS77" i="22" s="1"/>
  <c r="GS71" i="22"/>
  <c r="GK86" i="22"/>
  <c r="GK71" i="22"/>
  <c r="GK88" i="22"/>
  <c r="GK73" i="22"/>
  <c r="GK76" i="22"/>
  <c r="GK77" i="22" s="1"/>
  <c r="GG73" i="22"/>
  <c r="GG86" i="22"/>
  <c r="GG71" i="22"/>
  <c r="GG79" i="22"/>
  <c r="GG88" i="22"/>
  <c r="FU73" i="22"/>
  <c r="FU79" i="22"/>
  <c r="FU75" i="22"/>
  <c r="FU76" i="22" s="1"/>
  <c r="FU77" i="22" s="1"/>
  <c r="FU88" i="22"/>
  <c r="FM79" i="22"/>
  <c r="FM86" i="22"/>
  <c r="FM75" i="22"/>
  <c r="FM76" i="22" s="1"/>
  <c r="FM77" i="22" s="1"/>
  <c r="FM73" i="22"/>
  <c r="FM88" i="22"/>
  <c r="FE86" i="22"/>
  <c r="FE71" i="22"/>
  <c r="FE88" i="22"/>
  <c r="FE73" i="22"/>
  <c r="FE75" i="22"/>
  <c r="FE76" i="22" s="1"/>
  <c r="FE77" i="22" s="1"/>
  <c r="FE79" i="22"/>
  <c r="EW88" i="22"/>
  <c r="EW71" i="22"/>
  <c r="EW73" i="22"/>
  <c r="EW86" i="22"/>
  <c r="EO79" i="22"/>
  <c r="EO75" i="22"/>
  <c r="EO76" i="22" s="1"/>
  <c r="EO77" i="22" s="1"/>
  <c r="EO73" i="22"/>
  <c r="EO86" i="22"/>
  <c r="EG79" i="22"/>
  <c r="EG86" i="22"/>
  <c r="EG75" i="22"/>
  <c r="EG76" i="22" s="1"/>
  <c r="EG77" i="22" s="1"/>
  <c r="EG71" i="22"/>
  <c r="DY86" i="22"/>
  <c r="DY71" i="22"/>
  <c r="DY88" i="22"/>
  <c r="DY73" i="22"/>
  <c r="DQ88" i="22"/>
  <c r="DQ71" i="22"/>
  <c r="DQ73" i="22"/>
  <c r="DQ75" i="22"/>
  <c r="DQ76" i="22" s="1"/>
  <c r="DQ77" i="22" s="1"/>
  <c r="DQ79" i="22"/>
  <c r="DI73" i="22"/>
  <c r="DI79" i="22"/>
  <c r="DI88" i="22"/>
  <c r="DI75" i="22"/>
  <c r="DI76" i="22" s="1"/>
  <c r="DI77" i="22" s="1"/>
  <c r="DA73" i="22"/>
  <c r="DA86" i="22"/>
  <c r="DA75" i="22"/>
  <c r="DA76" i="22" s="1"/>
  <c r="DA77" i="22" s="1"/>
  <c r="DA71" i="22"/>
  <c r="DA88" i="22"/>
  <c r="CS86" i="22"/>
  <c r="CS71" i="22"/>
  <c r="CS88" i="22"/>
  <c r="CS73" i="22"/>
  <c r="CS75" i="22"/>
  <c r="CS76" i="22" s="1"/>
  <c r="CS77" i="22" s="1"/>
  <c r="CS79" i="22"/>
  <c r="CK88" i="22"/>
  <c r="CK71" i="22"/>
  <c r="CK79" i="22"/>
  <c r="CK86" i="22"/>
  <c r="CG71" i="22"/>
  <c r="CG86" i="22"/>
  <c r="CG79" i="22"/>
  <c r="CG73" i="22"/>
  <c r="CG88" i="22"/>
  <c r="BY88" i="22"/>
  <c r="BY79" i="22"/>
  <c r="BY75" i="22"/>
  <c r="BY76" i="22" s="1"/>
  <c r="BY77" i="22" s="1"/>
  <c r="BY71" i="22"/>
  <c r="BY73" i="22"/>
  <c r="BQ88" i="22"/>
  <c r="BQ71" i="22"/>
  <c r="BQ75" i="22"/>
  <c r="BQ76" i="22" s="1"/>
  <c r="BQ77" i="22" s="1"/>
  <c r="BQ86" i="22"/>
  <c r="BM86" i="22"/>
  <c r="BM71" i="22"/>
  <c r="BM88" i="22"/>
  <c r="BM73" i="22"/>
  <c r="BE88" i="22"/>
  <c r="BE71" i="22"/>
  <c r="BE79" i="22"/>
  <c r="BE75" i="22"/>
  <c r="BE76" i="22" s="1"/>
  <c r="BE77" i="22" s="1"/>
  <c r="BE73" i="22"/>
  <c r="AW73" i="22"/>
  <c r="AW79" i="22"/>
  <c r="AW75" i="22"/>
  <c r="AW76" i="22" s="1"/>
  <c r="AW77" i="22" s="1"/>
  <c r="AW88" i="22"/>
  <c r="MV87" i="22"/>
  <c r="MV83" i="22"/>
  <c r="MR87" i="22"/>
  <c r="MR83" i="22"/>
  <c r="MJ87" i="22"/>
  <c r="MJ83" i="22"/>
  <c r="MB87" i="22"/>
  <c r="MB83" i="22"/>
  <c r="LT87" i="22"/>
  <c r="LT83" i="22"/>
  <c r="LL87" i="22"/>
  <c r="LL83" i="22"/>
  <c r="LD87" i="22"/>
  <c r="LD83" i="22"/>
  <c r="KV87" i="22"/>
  <c r="KV83" i="22"/>
  <c r="KN87" i="22"/>
  <c r="KN83" i="22"/>
  <c r="KF87" i="22"/>
  <c r="KF83" i="22"/>
  <c r="JX87" i="22"/>
  <c r="JX83" i="22"/>
  <c r="JP87" i="22"/>
  <c r="JP83" i="22"/>
  <c r="JD87" i="22"/>
  <c r="JD83" i="22"/>
  <c r="IV87" i="22"/>
  <c r="IV83" i="22"/>
  <c r="IN87" i="22"/>
  <c r="IN83" i="22"/>
  <c r="IF87" i="22"/>
  <c r="IF83" i="22"/>
  <c r="HX87" i="22"/>
  <c r="HX83" i="22"/>
  <c r="HP87" i="22"/>
  <c r="HP83" i="22"/>
  <c r="HH87" i="22"/>
  <c r="HH83" i="22"/>
  <c r="GZ87" i="22"/>
  <c r="GZ83" i="22"/>
  <c r="GV87" i="22"/>
  <c r="GV83" i="22"/>
  <c r="GN87" i="22"/>
  <c r="GN83" i="22"/>
  <c r="GF87" i="22"/>
  <c r="GF83" i="22"/>
  <c r="FX87" i="22"/>
  <c r="FX83" i="22"/>
  <c r="FP87" i="22"/>
  <c r="FP83" i="22"/>
  <c r="FH87" i="22"/>
  <c r="FH83" i="22"/>
  <c r="EZ87" i="22"/>
  <c r="EZ83" i="22"/>
  <c r="ER87" i="22"/>
  <c r="ER83" i="22"/>
  <c r="EJ87" i="22"/>
  <c r="EJ83" i="22"/>
  <c r="EB87" i="22"/>
  <c r="EB83" i="22"/>
  <c r="DT87" i="22"/>
  <c r="DT83" i="22"/>
  <c r="DL87" i="22"/>
  <c r="DL83" i="22"/>
  <c r="CZ87" i="22"/>
  <c r="CZ83" i="22"/>
  <c r="CR87" i="22"/>
  <c r="CR83" i="22"/>
  <c r="CJ87" i="22"/>
  <c r="CJ83" i="22"/>
  <c r="CB87" i="22"/>
  <c r="CB83" i="22"/>
  <c r="BT87" i="22"/>
  <c r="BT83" i="22"/>
  <c r="BL87" i="22"/>
  <c r="BL83" i="22"/>
  <c r="BD87" i="22"/>
  <c r="BD83" i="22"/>
  <c r="AV87" i="22"/>
  <c r="AV83" i="22"/>
  <c r="AN87" i="22"/>
  <c r="AN83" i="22"/>
  <c r="AJ87" i="22"/>
  <c r="AJ83" i="22"/>
  <c r="AB87" i="22"/>
  <c r="AB83" i="22"/>
  <c r="T87" i="22"/>
  <c r="T83" i="22"/>
  <c r="L87" i="22"/>
  <c r="L83" i="22"/>
  <c r="D87" i="22"/>
  <c r="D83" i="22"/>
  <c r="NF88" i="22"/>
  <c r="NF73" i="22"/>
  <c r="NF71" i="22"/>
  <c r="NF79" i="22"/>
  <c r="NL79" i="22"/>
  <c r="NL86" i="22"/>
  <c r="NL71" i="22"/>
  <c r="NL75" i="22"/>
  <c r="NP19" i="22"/>
  <c r="OC19" i="22"/>
  <c r="NP31" i="22"/>
  <c r="NZ31" i="22" s="1"/>
  <c r="OC31" i="22"/>
  <c r="NI82" i="22"/>
  <c r="NY34" i="22"/>
  <c r="NP35" i="22"/>
  <c r="OC35" i="22"/>
  <c r="NP43" i="22"/>
  <c r="OC43" i="22"/>
  <c r="NG87" i="22"/>
  <c r="NG83" i="22"/>
  <c r="NO87" i="22"/>
  <c r="NO83" i="22"/>
  <c r="NP47" i="22"/>
  <c r="OC47" i="22"/>
  <c r="NP51" i="22"/>
  <c r="OC51" i="22"/>
  <c r="NI84" i="22"/>
  <c r="NY54" i="22"/>
  <c r="NP63" i="22"/>
  <c r="OC63" i="22"/>
  <c r="AO73" i="22"/>
  <c r="AO86" i="22"/>
  <c r="AO75" i="22"/>
  <c r="AO76" i="22" s="1"/>
  <c r="AO77" i="22" s="1"/>
  <c r="AO71" i="22"/>
  <c r="AO88" i="22"/>
  <c r="AG86" i="22"/>
  <c r="AG71" i="22"/>
  <c r="AG88" i="22"/>
  <c r="AG73" i="22"/>
  <c r="AG75" i="22"/>
  <c r="AG76" i="22" s="1"/>
  <c r="AG77" i="22" s="1"/>
  <c r="AG79" i="22"/>
  <c r="Y88" i="22"/>
  <c r="Y71" i="22"/>
  <c r="Y79" i="22"/>
  <c r="Y86" i="22"/>
  <c r="Q79" i="22"/>
  <c r="Q75" i="22"/>
  <c r="Q76" i="22" s="1"/>
  <c r="Q77" i="22" s="1"/>
  <c r="Q73" i="22"/>
  <c r="Q86" i="22"/>
  <c r="I73" i="22"/>
  <c r="I86" i="22"/>
  <c r="I75" i="22"/>
  <c r="I76" i="22" s="1"/>
  <c r="I77" i="22" s="1"/>
  <c r="I79" i="22"/>
  <c r="NB73" i="22"/>
  <c r="NB86" i="22"/>
  <c r="NB71" i="22"/>
  <c r="NB76" i="22"/>
  <c r="NB77" i="22" s="1"/>
  <c r="NB79" i="22"/>
  <c r="MT79" i="22"/>
  <c r="MT73" i="22"/>
  <c r="MT88" i="22"/>
  <c r="MT71" i="22"/>
  <c r="MT75" i="22"/>
  <c r="MT76" i="22" s="1"/>
  <c r="MT77" i="22" s="1"/>
  <c r="ML86" i="22"/>
  <c r="ML71" i="22"/>
  <c r="ML88" i="22"/>
  <c r="ML73" i="22"/>
  <c r="MD79" i="22"/>
  <c r="MD73" i="22"/>
  <c r="MD88" i="22"/>
  <c r="MD75" i="22"/>
  <c r="MD76" i="22" s="1"/>
  <c r="MD77" i="22" s="1"/>
  <c r="MD86" i="22"/>
  <c r="LV75" i="22"/>
  <c r="LV76" i="22" s="1"/>
  <c r="LV77" i="22" s="1"/>
  <c r="LV86" i="22"/>
  <c r="LV71" i="22"/>
  <c r="LV79" i="22"/>
  <c r="LN79" i="22"/>
  <c r="LN73" i="22"/>
  <c r="LN88" i="22"/>
  <c r="LN75" i="22"/>
  <c r="LN76" i="22" s="1"/>
  <c r="LN77" i="22" s="1"/>
  <c r="LN71" i="22"/>
  <c r="LF75" i="22"/>
  <c r="LF76" i="22" s="1"/>
  <c r="LF77" i="22" s="1"/>
  <c r="LF86" i="22"/>
  <c r="LF71" i="22"/>
  <c r="LF88" i="22"/>
  <c r="LF73" i="22"/>
  <c r="KX79" i="22"/>
  <c r="KX73" i="22"/>
  <c r="KX88" i="22"/>
  <c r="KX75" i="22"/>
  <c r="KX76" i="22" s="1"/>
  <c r="KX77" i="22" s="1"/>
  <c r="KX86" i="22"/>
  <c r="KP86" i="22"/>
  <c r="KP71" i="22"/>
  <c r="KP75" i="22"/>
  <c r="KP76" i="22" s="1"/>
  <c r="KP77" i="22" s="1"/>
  <c r="KP79" i="22"/>
  <c r="KH79" i="22"/>
  <c r="KH88" i="22"/>
  <c r="KH73" i="22"/>
  <c r="KH71" i="22"/>
  <c r="KH75" i="22"/>
  <c r="KH76" i="22" s="1"/>
  <c r="KH77" i="22" s="1"/>
  <c r="JZ86" i="22"/>
  <c r="JZ71" i="22"/>
  <c r="JZ88" i="22"/>
  <c r="JZ73" i="22"/>
  <c r="JR79" i="22"/>
  <c r="JR88" i="22"/>
  <c r="JR73" i="22"/>
  <c r="JR86" i="22"/>
  <c r="JN88" i="22"/>
  <c r="JN75" i="22"/>
  <c r="JN76" i="22" s="1"/>
  <c r="JN77" i="22" s="1"/>
  <c r="JN79" i="22"/>
  <c r="JN73" i="22"/>
  <c r="JN71" i="22"/>
  <c r="JN86" i="22"/>
  <c r="JF86" i="22"/>
  <c r="JF71" i="22"/>
  <c r="JF73" i="22"/>
  <c r="JF88" i="22"/>
  <c r="IX88" i="22"/>
  <c r="IX75" i="22"/>
  <c r="IX76" i="22" s="1"/>
  <c r="IX77" i="22" s="1"/>
  <c r="IX79" i="22"/>
  <c r="IX73" i="22"/>
  <c r="IX71" i="22"/>
  <c r="IP86" i="22"/>
  <c r="IP73" i="22"/>
  <c r="IP71" i="22"/>
  <c r="IP79" i="22"/>
  <c r="IP75" i="22"/>
  <c r="IP76" i="22" s="1"/>
  <c r="IP77" i="22" s="1"/>
  <c r="IH88" i="22"/>
  <c r="IH75" i="22"/>
  <c r="IH76" i="22" s="1"/>
  <c r="IH77" i="22" s="1"/>
  <c r="IH79" i="22"/>
  <c r="IH73" i="22"/>
  <c r="IH86" i="22"/>
  <c r="HR88" i="22"/>
  <c r="HR75" i="22"/>
  <c r="HR76" i="22" s="1"/>
  <c r="HR77" i="22" s="1"/>
  <c r="HR79" i="22"/>
  <c r="HR73" i="22"/>
  <c r="AP86" i="22"/>
  <c r="AP71" i="22"/>
  <c r="AP79" i="22"/>
  <c r="AP73" i="22"/>
  <c r="AL86" i="22"/>
  <c r="AL88" i="22"/>
  <c r="AL73" i="22"/>
  <c r="AL71" i="22"/>
  <c r="AL75" i="22"/>
  <c r="AL76" i="22" s="1"/>
  <c r="AL77" i="22" s="1"/>
  <c r="AH71" i="22"/>
  <c r="AH75" i="22"/>
  <c r="AH76" i="22" s="1"/>
  <c r="AH77" i="22" s="1"/>
  <c r="AH88" i="22"/>
  <c r="AH73" i="22"/>
  <c r="AD75" i="22"/>
  <c r="AD76" i="22" s="1"/>
  <c r="AD77" i="22" s="1"/>
  <c r="AD71" i="22"/>
  <c r="AD88" i="22"/>
  <c r="AD79" i="22"/>
  <c r="Z86" i="22"/>
  <c r="Z73" i="22"/>
  <c r="Z71" i="22"/>
  <c r="Z88" i="22"/>
  <c r="Z75" i="22"/>
  <c r="Z76" i="22" s="1"/>
  <c r="Z77" i="22" s="1"/>
  <c r="V86" i="22"/>
  <c r="V73" i="22"/>
  <c r="V88" i="22"/>
  <c r="V75" i="22"/>
  <c r="V76" i="22" s="1"/>
  <c r="V77" i="22" s="1"/>
  <c r="V79" i="22"/>
  <c r="R71" i="22"/>
  <c r="R75" i="22"/>
  <c r="R76" i="22" s="1"/>
  <c r="R77" i="22" s="1"/>
  <c r="R88" i="22"/>
  <c r="R73" i="22"/>
  <c r="R79" i="22"/>
  <c r="R86" i="22"/>
  <c r="N75" i="22"/>
  <c r="N76" i="22" s="1"/>
  <c r="N77" i="22" s="1"/>
  <c r="N79" i="22"/>
  <c r="N71" i="22"/>
  <c r="N73" i="22"/>
  <c r="N86" i="22"/>
  <c r="J86" i="22"/>
  <c r="J71" i="22"/>
  <c r="J79" i="22"/>
  <c r="J73" i="22"/>
  <c r="F86" i="22"/>
  <c r="F88" i="22"/>
  <c r="F73" i="22"/>
  <c r="F71" i="22"/>
  <c r="F75" i="22"/>
  <c r="F76" i="22" s="1"/>
  <c r="F77" i="22" s="1"/>
  <c r="NQ79" i="22"/>
  <c r="NQ73" i="22"/>
  <c r="NQ86" i="22"/>
  <c r="NQ88" i="22"/>
  <c r="MY75" i="22"/>
  <c r="MY76" i="22" s="1"/>
  <c r="MY77" i="22" s="1"/>
  <c r="MY86" i="22"/>
  <c r="MY73" i="22"/>
  <c r="MY79" i="22"/>
  <c r="MY71" i="22"/>
  <c r="MU73" i="22"/>
  <c r="MU86" i="22"/>
  <c r="MU88" i="22"/>
  <c r="MU79" i="22"/>
  <c r="MQ86" i="22"/>
  <c r="MQ71" i="22"/>
  <c r="MQ73" i="22"/>
  <c r="MQ88" i="22"/>
  <c r="MM86" i="22"/>
  <c r="MM79" i="22"/>
  <c r="MM75" i="22"/>
  <c r="MM76" i="22" s="1"/>
  <c r="MM77" i="22" s="1"/>
  <c r="MM88" i="22"/>
  <c r="MI75" i="22"/>
  <c r="MI76" i="22" s="1"/>
  <c r="MI77" i="22" s="1"/>
  <c r="MI73" i="22"/>
  <c r="MI79" i="22"/>
  <c r="MI88" i="22"/>
  <c r="ME88" i="22"/>
  <c r="ME73" i="22"/>
  <c r="ME71" i="22"/>
  <c r="ME75" i="22"/>
  <c r="ME76" i="22" s="1"/>
  <c r="ME77" i="22" s="1"/>
  <c r="MA88" i="22"/>
  <c r="MA71" i="22"/>
  <c r="MA73" i="22"/>
  <c r="MA86" i="22"/>
  <c r="MA75" i="22"/>
  <c r="MA76" i="22" s="1"/>
  <c r="MA77" i="22" s="1"/>
  <c r="LW75" i="22"/>
  <c r="LW76" i="22" s="1"/>
  <c r="LW77" i="22" s="1"/>
  <c r="LW79" i="22"/>
  <c r="LW86" i="22"/>
  <c r="LW88" i="22"/>
  <c r="LW73" i="22"/>
  <c r="LW71" i="22"/>
  <c r="LS88" i="22"/>
  <c r="LS79" i="22"/>
  <c r="LS86" i="22"/>
  <c r="LS73" i="22"/>
  <c r="LS71" i="22"/>
  <c r="LO73" i="22"/>
  <c r="LO86" i="22"/>
  <c r="LO88" i="22"/>
  <c r="LO79" i="22"/>
  <c r="LK86" i="22"/>
  <c r="LK71" i="22"/>
  <c r="LK73" i="22"/>
  <c r="LK88" i="22"/>
  <c r="LG75" i="22"/>
  <c r="LG76" i="22" s="1"/>
  <c r="LG77" i="22" s="1"/>
  <c r="LG79" i="22"/>
  <c r="LG86" i="22"/>
  <c r="LG88" i="22"/>
  <c r="LC88" i="22"/>
  <c r="LC73" i="22"/>
  <c r="LC79" i="22"/>
  <c r="LC75" i="22"/>
  <c r="LC76" i="22" s="1"/>
  <c r="LC77" i="22" s="1"/>
  <c r="KY88" i="22"/>
  <c r="KY73" i="22"/>
  <c r="KY71" i="22"/>
  <c r="KY75" i="22"/>
  <c r="KY76" i="22" s="1"/>
  <c r="KY77" i="22" s="1"/>
  <c r="KU88" i="22"/>
  <c r="KU71" i="22"/>
  <c r="KU73" i="22"/>
  <c r="KU86" i="22"/>
  <c r="KU75" i="22"/>
  <c r="KU76" i="22" s="1"/>
  <c r="KU77" i="22" s="1"/>
  <c r="KQ75" i="22"/>
  <c r="KQ76" i="22" s="1"/>
  <c r="KQ77" i="22" s="1"/>
  <c r="KQ79" i="22"/>
  <c r="KQ86" i="22"/>
  <c r="KQ88" i="22"/>
  <c r="KQ73" i="22"/>
  <c r="KQ71" i="22"/>
  <c r="KM88" i="22"/>
  <c r="KM79" i="22"/>
  <c r="KM86" i="22"/>
  <c r="KM73" i="22"/>
  <c r="KM71" i="22"/>
  <c r="KI79" i="22"/>
  <c r="KI73" i="22"/>
  <c r="KI88" i="22"/>
  <c r="KI86" i="22"/>
  <c r="KE86" i="22"/>
  <c r="KE71" i="22"/>
  <c r="KE73" i="22"/>
  <c r="KE88" i="22"/>
  <c r="KA75" i="22"/>
  <c r="KA76" i="22" s="1"/>
  <c r="KA77" i="22" s="1"/>
  <c r="KA79" i="22"/>
  <c r="KA86" i="22"/>
  <c r="KA88" i="22"/>
  <c r="JW88" i="22"/>
  <c r="JW73" i="22"/>
  <c r="JW79" i="22"/>
  <c r="JW75" i="22"/>
  <c r="JW76" i="22" s="1"/>
  <c r="JW77" i="22" s="1"/>
  <c r="JS73" i="22"/>
  <c r="JS86" i="22"/>
  <c r="JS71" i="22"/>
  <c r="JS75" i="22"/>
  <c r="JS76" i="22" s="1"/>
  <c r="JS77" i="22" s="1"/>
  <c r="JO88" i="22"/>
  <c r="JO71" i="22"/>
  <c r="JO73" i="22"/>
  <c r="JO86" i="22"/>
  <c r="JO75" i="22"/>
  <c r="JO76" i="22" s="1"/>
  <c r="JO77" i="22" s="1"/>
  <c r="JK75" i="22"/>
  <c r="JK76" i="22" s="1"/>
  <c r="JK77" i="22" s="1"/>
  <c r="JK79" i="22"/>
  <c r="JK86" i="22"/>
  <c r="JK88" i="22"/>
  <c r="JK73" i="22"/>
  <c r="JK71" i="22"/>
  <c r="JG88" i="22"/>
  <c r="JG79" i="22"/>
  <c r="JG86" i="22"/>
  <c r="JG73" i="22"/>
  <c r="JG71" i="22"/>
  <c r="JC79" i="22"/>
  <c r="JC73" i="22"/>
  <c r="JC88" i="22"/>
  <c r="JC86" i="22"/>
  <c r="IY86" i="22"/>
  <c r="IY71" i="22"/>
  <c r="IY73" i="22"/>
  <c r="IY88" i="22"/>
  <c r="IU75" i="22"/>
  <c r="IU76" i="22" s="1"/>
  <c r="IU77" i="22" s="1"/>
  <c r="IU79" i="22"/>
  <c r="IU86" i="22"/>
  <c r="IU88" i="22"/>
  <c r="IQ88" i="22"/>
  <c r="IQ73" i="22"/>
  <c r="IQ79" i="22"/>
  <c r="IQ75" i="22"/>
  <c r="IQ76" i="22" s="1"/>
  <c r="IQ77" i="22" s="1"/>
  <c r="IM73" i="22"/>
  <c r="IM86" i="22"/>
  <c r="IM71" i="22"/>
  <c r="IM75" i="22"/>
  <c r="IM76" i="22" s="1"/>
  <c r="IM77" i="22" s="1"/>
  <c r="II88" i="22"/>
  <c r="II71" i="22"/>
  <c r="II73" i="22"/>
  <c r="II86" i="22"/>
  <c r="II75" i="22"/>
  <c r="II76" i="22" s="1"/>
  <c r="II77" i="22" s="1"/>
  <c r="IE75" i="22"/>
  <c r="IE76" i="22" s="1"/>
  <c r="IE77" i="22" s="1"/>
  <c r="IE79" i="22"/>
  <c r="IE86" i="22"/>
  <c r="IE88" i="22"/>
  <c r="IE73" i="22"/>
  <c r="IE71" i="22"/>
  <c r="IA88" i="22"/>
  <c r="IA79" i="22"/>
  <c r="IA86" i="22"/>
  <c r="IA73" i="22"/>
  <c r="IA71" i="22"/>
  <c r="HW79" i="22"/>
  <c r="HW73" i="22"/>
  <c r="HW88" i="22"/>
  <c r="HW86" i="22"/>
  <c r="HS86" i="22"/>
  <c r="HS71" i="22"/>
  <c r="HS73" i="22"/>
  <c r="HS88" i="22"/>
  <c r="HO75" i="22"/>
  <c r="HO76" i="22" s="1"/>
  <c r="HO77" i="22" s="1"/>
  <c r="HO79" i="22"/>
  <c r="HO86" i="22"/>
  <c r="HO88" i="22"/>
  <c r="HK88" i="22"/>
  <c r="HK73" i="22"/>
  <c r="HK79" i="22"/>
  <c r="HK75" i="22"/>
  <c r="HK76" i="22" s="1"/>
  <c r="HK77" i="22" s="1"/>
  <c r="HG73" i="22"/>
  <c r="HG86" i="22"/>
  <c r="HG71" i="22"/>
  <c r="HG75" i="22"/>
  <c r="HG76" i="22" s="1"/>
  <c r="HG77" i="22" s="1"/>
  <c r="HC88" i="22"/>
  <c r="HC71" i="22"/>
  <c r="HC73" i="22"/>
  <c r="HC86" i="22"/>
  <c r="HC75" i="22"/>
  <c r="HC76" i="22" s="1"/>
  <c r="HC77" i="22" s="1"/>
  <c r="GY75" i="22"/>
  <c r="GY76" i="22" s="1"/>
  <c r="GY77" i="22" s="1"/>
  <c r="GY79" i="22"/>
  <c r="GY86" i="22"/>
  <c r="GY88" i="22"/>
  <c r="GY73" i="22"/>
  <c r="GY71" i="22"/>
  <c r="GU88" i="22"/>
  <c r="GU79" i="22"/>
  <c r="GU86" i="22"/>
  <c r="GU73" i="22"/>
  <c r="GU71" i="22"/>
  <c r="GQ79" i="22"/>
  <c r="GQ73" i="22"/>
  <c r="GQ88" i="22"/>
  <c r="GQ86" i="22"/>
  <c r="GM88" i="22"/>
  <c r="GM71" i="22"/>
  <c r="GM73" i="22"/>
  <c r="GM79" i="22"/>
  <c r="GI75" i="22"/>
  <c r="GI76" i="22" s="1"/>
  <c r="GI77" i="22" s="1"/>
  <c r="GI79" i="22"/>
  <c r="GI86" i="22"/>
  <c r="GI88" i="22"/>
  <c r="GE79" i="22"/>
  <c r="GE71" i="22"/>
  <c r="GE75" i="22"/>
  <c r="GE76" i="22" s="1"/>
  <c r="GE77" i="22" s="1"/>
  <c r="GE88" i="22"/>
  <c r="GA75" i="22"/>
  <c r="GA76" i="22" s="1"/>
  <c r="GA77" i="22" s="1"/>
  <c r="GA88" i="22"/>
  <c r="GA73" i="22"/>
  <c r="GA71" i="22"/>
  <c r="FW71" i="22"/>
  <c r="FW73" i="22"/>
  <c r="FW75" i="22"/>
  <c r="FW76" i="22" s="1"/>
  <c r="FW77" i="22" s="1"/>
  <c r="FW88" i="22"/>
  <c r="FW79" i="22"/>
  <c r="FW86" i="22"/>
  <c r="FS71" i="22"/>
  <c r="FS75" i="22"/>
  <c r="FS76" i="22" s="1"/>
  <c r="FS77" i="22" s="1"/>
  <c r="FS79" i="22"/>
  <c r="FS73" i="22"/>
  <c r="FS86" i="22"/>
  <c r="FO86" i="22"/>
  <c r="FO71" i="22"/>
  <c r="FO73" i="22"/>
  <c r="FO79" i="22"/>
  <c r="FK75" i="22"/>
  <c r="FK76" i="22" s="1"/>
  <c r="FK77" i="22" s="1"/>
  <c r="FK86" i="22"/>
  <c r="FK79" i="22"/>
  <c r="FK88" i="22"/>
  <c r="FK73" i="22"/>
  <c r="FG71" i="22"/>
  <c r="FG73" i="22"/>
  <c r="FG75" i="22"/>
  <c r="FG76" i="22" s="1"/>
  <c r="FG77" i="22" s="1"/>
  <c r="FG79" i="22"/>
  <c r="FC71" i="22"/>
  <c r="FC75" i="22"/>
  <c r="FC76" i="22" s="1"/>
  <c r="FC77" i="22" s="1"/>
  <c r="FC79" i="22"/>
  <c r="FC88" i="22"/>
  <c r="EY88" i="22"/>
  <c r="EY73" i="22"/>
  <c r="EY79" i="22"/>
  <c r="EY75" i="22"/>
  <c r="EY76" i="22" s="1"/>
  <c r="EY77" i="22" s="1"/>
  <c r="EU73" i="22"/>
  <c r="EU86" i="22"/>
  <c r="EU71" i="22"/>
  <c r="EU75" i="22"/>
  <c r="EU76" i="22" s="1"/>
  <c r="EU77" i="22" s="1"/>
  <c r="EQ86" i="22"/>
  <c r="EQ71" i="22"/>
  <c r="EQ73" i="22"/>
  <c r="EQ79" i="22"/>
  <c r="EQ75" i="22"/>
  <c r="EQ76" i="22" s="1"/>
  <c r="EQ77" i="22" s="1"/>
  <c r="EM75" i="22"/>
  <c r="EM76" i="22" s="1"/>
  <c r="EM77" i="22" s="1"/>
  <c r="EM79" i="22"/>
  <c r="EM86" i="22"/>
  <c r="EM88" i="22"/>
  <c r="EM73" i="22"/>
  <c r="EM71" i="22"/>
  <c r="EI88" i="22"/>
  <c r="EI79" i="22"/>
  <c r="EI86" i="22"/>
  <c r="EI73" i="22"/>
  <c r="EI71" i="22"/>
  <c r="EE79" i="22"/>
  <c r="EE73" i="22"/>
  <c r="EE88" i="22"/>
  <c r="EE86" i="22"/>
  <c r="EA88" i="22"/>
  <c r="EA71" i="22"/>
  <c r="EA73" i="22"/>
  <c r="EA79" i="22"/>
  <c r="DW75" i="22"/>
  <c r="DW76" i="22" s="1"/>
  <c r="DW77" i="22" s="1"/>
  <c r="DW79" i="22"/>
  <c r="DW86" i="22"/>
  <c r="DW88" i="22"/>
  <c r="DS88" i="22"/>
  <c r="DS73" i="22"/>
  <c r="DS79" i="22"/>
  <c r="DS75" i="22"/>
  <c r="DS76" i="22" s="1"/>
  <c r="DS77" i="22" s="1"/>
  <c r="DO73" i="22"/>
  <c r="DO86" i="22"/>
  <c r="DO71" i="22"/>
  <c r="DO75" i="22"/>
  <c r="DO76" i="22" s="1"/>
  <c r="DO77" i="22" s="1"/>
  <c r="DK86" i="22"/>
  <c r="DK71" i="22"/>
  <c r="DK73" i="22"/>
  <c r="DK79" i="22"/>
  <c r="DK75" i="22"/>
  <c r="DK76" i="22" s="1"/>
  <c r="DK77" i="22" s="1"/>
  <c r="DG75" i="22"/>
  <c r="DG76" i="22" s="1"/>
  <c r="DG77" i="22" s="1"/>
  <c r="DG79" i="22"/>
  <c r="DG86" i="22"/>
  <c r="DG88" i="22"/>
  <c r="DG73" i="22"/>
  <c r="DG71" i="22"/>
  <c r="DC88" i="22"/>
  <c r="DC86" i="22"/>
  <c r="DC71" i="22"/>
  <c r="DC73" i="22"/>
  <c r="DC75" i="22"/>
  <c r="DC76" i="22" s="1"/>
  <c r="DC77" i="22" s="1"/>
  <c r="CY79" i="22"/>
  <c r="CY73" i="22"/>
  <c r="CY88" i="22"/>
  <c r="CY86" i="22"/>
  <c r="CU88" i="22"/>
  <c r="CU71" i="22"/>
  <c r="CU73" i="22"/>
  <c r="CU86" i="22"/>
  <c r="CQ75" i="22"/>
  <c r="CQ76" i="22" s="1"/>
  <c r="CQ77" i="22" s="1"/>
  <c r="CQ88" i="22"/>
  <c r="CQ86" i="22"/>
  <c r="CQ79" i="22"/>
  <c r="CM88" i="22"/>
  <c r="CM73" i="22"/>
  <c r="CM71" i="22"/>
  <c r="CM79" i="22"/>
  <c r="CI73" i="22"/>
  <c r="CI86" i="22"/>
  <c r="CI71" i="22"/>
  <c r="CI75" i="22"/>
  <c r="CI76" i="22" s="1"/>
  <c r="CI77" i="22" s="1"/>
  <c r="CE86" i="22"/>
  <c r="CE71" i="22"/>
  <c r="CE73" i="22"/>
  <c r="CE88" i="22"/>
  <c r="CE75" i="22"/>
  <c r="CE76" i="22" s="1"/>
  <c r="CE77" i="22" s="1"/>
  <c r="CA75" i="22"/>
  <c r="CA76" i="22" s="1"/>
  <c r="CA77" i="22" s="1"/>
  <c r="CA79" i="22"/>
  <c r="CA86" i="22"/>
  <c r="CA88" i="22"/>
  <c r="CA73" i="22"/>
  <c r="CA71" i="22"/>
  <c r="BW88" i="22"/>
  <c r="BW86" i="22"/>
  <c r="BW71" i="22"/>
  <c r="BW73" i="22"/>
  <c r="BW75" i="22"/>
  <c r="BW76" i="22" s="1"/>
  <c r="BW77" i="22" s="1"/>
  <c r="BS73" i="22"/>
  <c r="BS71" i="22"/>
  <c r="BS88" i="22"/>
  <c r="BS86" i="22"/>
  <c r="BO79" i="22"/>
  <c r="BO88" i="22"/>
  <c r="BO73" i="22"/>
  <c r="BO86" i="22"/>
  <c r="BK86" i="22"/>
  <c r="BK79" i="22"/>
  <c r="BK73" i="22"/>
  <c r="BK75" i="22"/>
  <c r="BK76" i="22" s="1"/>
  <c r="BK77" i="22" s="1"/>
  <c r="BG79" i="22"/>
  <c r="BG86" i="22"/>
  <c r="BG88" i="22"/>
  <c r="BG73" i="22"/>
  <c r="BC86" i="22"/>
  <c r="BC71" i="22"/>
  <c r="BC79" i="22"/>
  <c r="BC73" i="22"/>
  <c r="BC75" i="22"/>
  <c r="BC76" i="22" s="1"/>
  <c r="BC77" i="22" s="1"/>
  <c r="AY88" i="22"/>
  <c r="AY86" i="22"/>
  <c r="AY71" i="22"/>
  <c r="AY75" i="22"/>
  <c r="AY76" i="22" s="1"/>
  <c r="AY77" i="22" s="1"/>
  <c r="AU86" i="22"/>
  <c r="AU88" i="22"/>
  <c r="AU73" i="22"/>
  <c r="AU79" i="22"/>
  <c r="AU71" i="22"/>
  <c r="NB87" i="22"/>
  <c r="NB83" i="22"/>
  <c r="MX87" i="22"/>
  <c r="MX83" i="22"/>
  <c r="MT87" i="22"/>
  <c r="MT83" i="22"/>
  <c r="MP87" i="22"/>
  <c r="MP83" i="22"/>
  <c r="ML87" i="22"/>
  <c r="ML83" i="22"/>
  <c r="MH87" i="22"/>
  <c r="MH83" i="22"/>
  <c r="MD87" i="22"/>
  <c r="MD83" i="22"/>
  <c r="LZ87" i="22"/>
  <c r="LZ83" i="22"/>
  <c r="LV87" i="22"/>
  <c r="LV83" i="22"/>
  <c r="LR87" i="22"/>
  <c r="LR83" i="22"/>
  <c r="LN87" i="22"/>
  <c r="LN83" i="22"/>
  <c r="LJ87" i="22"/>
  <c r="LJ83" i="22"/>
  <c r="LF87" i="22"/>
  <c r="LF83" i="22"/>
  <c r="LB87" i="22"/>
  <c r="LB83" i="22"/>
  <c r="KX87" i="22"/>
  <c r="KX83" i="22"/>
  <c r="KT87" i="22"/>
  <c r="KT83" i="22"/>
  <c r="KP87" i="22"/>
  <c r="KP83" i="22"/>
  <c r="KL87" i="22"/>
  <c r="KL83" i="22"/>
  <c r="KH87" i="22"/>
  <c r="KH83" i="22"/>
  <c r="KD87" i="22"/>
  <c r="KD83" i="22"/>
  <c r="JZ87" i="22"/>
  <c r="JZ83" i="22"/>
  <c r="JV87" i="22"/>
  <c r="JV83" i="22"/>
  <c r="JR87" i="22"/>
  <c r="JR83" i="22"/>
  <c r="JN87" i="22"/>
  <c r="JN83" i="22"/>
  <c r="JJ87" i="22"/>
  <c r="JJ83" i="22"/>
  <c r="JF87" i="22"/>
  <c r="JF83" i="22"/>
  <c r="JB87" i="22"/>
  <c r="JB83" i="22"/>
  <c r="IX87" i="22"/>
  <c r="IX83" i="22"/>
  <c r="IT87" i="22"/>
  <c r="IT83" i="22"/>
  <c r="IP87" i="22"/>
  <c r="IP83" i="22"/>
  <c r="IL87" i="22"/>
  <c r="IL83" i="22"/>
  <c r="IH87" i="22"/>
  <c r="IH83" i="22"/>
  <c r="ID87" i="22"/>
  <c r="ID83" i="22"/>
  <c r="HZ87" i="22"/>
  <c r="HZ83" i="22"/>
  <c r="HV87" i="22"/>
  <c r="HV83" i="22"/>
  <c r="HR87" i="22"/>
  <c r="HR83" i="22"/>
  <c r="HN87" i="22"/>
  <c r="HN83" i="22"/>
  <c r="HJ87" i="22"/>
  <c r="HJ83" i="22"/>
  <c r="HF87" i="22"/>
  <c r="HF83" i="22"/>
  <c r="HB87" i="22"/>
  <c r="HB83" i="22"/>
  <c r="GX87" i="22"/>
  <c r="GX83" i="22"/>
  <c r="GT87" i="22"/>
  <c r="GT83" i="22"/>
  <c r="GP87" i="22"/>
  <c r="GP83" i="22"/>
  <c r="GL87" i="22"/>
  <c r="GL83" i="22"/>
  <c r="GH87" i="22"/>
  <c r="GH83" i="22"/>
  <c r="GD87" i="22"/>
  <c r="GD83" i="22"/>
  <c r="FZ87" i="22"/>
  <c r="FZ83" i="22"/>
  <c r="FV87" i="22"/>
  <c r="FV83" i="22"/>
  <c r="FR87" i="22"/>
  <c r="FR83" i="22"/>
  <c r="FN87" i="22"/>
  <c r="FN83" i="22"/>
  <c r="FJ87" i="22"/>
  <c r="FJ83" i="22"/>
  <c r="FF87" i="22"/>
  <c r="FF83" i="22"/>
  <c r="FB87" i="22"/>
  <c r="FB83" i="22"/>
  <c r="EX87" i="22"/>
  <c r="EX83" i="22"/>
  <c r="ET87" i="22"/>
  <c r="ET83" i="22"/>
  <c r="EP87" i="22"/>
  <c r="EP83" i="22"/>
  <c r="EL87" i="22"/>
  <c r="EL83" i="22"/>
  <c r="EH87" i="22"/>
  <c r="EH83" i="22"/>
  <c r="ED87" i="22"/>
  <c r="ED83" i="22"/>
  <c r="DZ87" i="22"/>
  <c r="DZ83" i="22"/>
  <c r="DV87" i="22"/>
  <c r="DV83" i="22"/>
  <c r="DR87" i="22"/>
  <c r="DR83" i="22"/>
  <c r="DN87" i="22"/>
  <c r="DN83" i="22"/>
  <c r="DJ87" i="22"/>
  <c r="DJ83" i="22"/>
  <c r="DF87" i="22"/>
  <c r="DF83" i="22"/>
  <c r="DB87" i="22"/>
  <c r="DB83" i="22"/>
  <c r="CX87" i="22"/>
  <c r="CX83" i="22"/>
  <c r="CT87" i="22"/>
  <c r="CT83" i="22"/>
  <c r="CP87" i="22"/>
  <c r="CP83" i="22"/>
  <c r="CL87" i="22"/>
  <c r="CL83" i="22"/>
  <c r="CH87" i="22"/>
  <c r="CH83" i="22"/>
  <c r="CD87" i="22"/>
  <c r="CD83" i="22"/>
  <c r="BZ87" i="22"/>
  <c r="BZ83" i="22"/>
  <c r="BV87" i="22"/>
  <c r="BV83" i="22"/>
  <c r="BR87" i="22"/>
  <c r="BR83" i="22"/>
  <c r="BN87" i="22"/>
  <c r="BN83" i="22"/>
  <c r="BJ87" i="22"/>
  <c r="BJ83" i="22"/>
  <c r="BF87" i="22"/>
  <c r="BF83" i="22"/>
  <c r="BB87" i="22"/>
  <c r="BB83" i="22"/>
  <c r="AX87" i="22"/>
  <c r="AX83" i="22"/>
  <c r="AT87" i="22"/>
  <c r="AT83" i="22"/>
  <c r="AP87" i="22"/>
  <c r="AP83" i="22"/>
  <c r="AL87" i="22"/>
  <c r="AL83" i="22"/>
  <c r="AH87" i="22"/>
  <c r="AH83" i="22"/>
  <c r="AD87" i="22"/>
  <c r="AD83" i="22"/>
  <c r="Z87" i="22"/>
  <c r="Z83" i="22"/>
  <c r="V87" i="22"/>
  <c r="V83" i="22"/>
  <c r="R87" i="22"/>
  <c r="R83" i="22"/>
  <c r="N87" i="22"/>
  <c r="N83" i="22"/>
  <c r="J87" i="22"/>
  <c r="J83" i="22"/>
  <c r="F87" i="22"/>
  <c r="F83" i="22"/>
  <c r="B87" i="22"/>
  <c r="B83" i="22"/>
  <c r="NS75" i="22"/>
  <c r="NS76" i="22" s="1"/>
  <c r="NS77" i="22" s="1"/>
  <c r="NS73" i="22"/>
  <c r="NS88" i="22"/>
  <c r="NS79" i="22"/>
  <c r="NS71" i="22"/>
  <c r="NE79" i="22"/>
  <c r="NE86" i="22"/>
  <c r="NE71" i="22"/>
  <c r="NE75" i="22"/>
  <c r="NE88" i="22"/>
  <c r="NM73" i="22"/>
  <c r="NM79" i="22"/>
  <c r="NM88" i="22"/>
  <c r="NM75" i="22"/>
  <c r="NG75" i="22"/>
  <c r="NG86" i="22"/>
  <c r="NG73" i="22"/>
  <c r="NG79" i="22"/>
  <c r="OC10" i="22"/>
  <c r="NP10" i="22"/>
  <c r="NP11" i="22"/>
  <c r="OC11" i="22"/>
  <c r="OC12" i="22"/>
  <c r="NP12" i="22"/>
  <c r="NP13" i="22"/>
  <c r="OC13" i="22"/>
  <c r="NP17" i="22"/>
  <c r="OC17" i="22"/>
  <c r="NP21" i="22"/>
  <c r="OC21" i="22"/>
  <c r="NI81" i="22"/>
  <c r="NY24" i="22"/>
  <c r="NP25" i="22"/>
  <c r="OC25" i="22"/>
  <c r="NP29" i="22"/>
  <c r="OC29" i="22"/>
  <c r="NP33" i="22"/>
  <c r="OC33" i="22"/>
  <c r="NP37" i="22"/>
  <c r="OC37" i="22"/>
  <c r="NP41" i="22"/>
  <c r="OC41" i="22"/>
  <c r="NE83" i="22"/>
  <c r="NE87" i="22"/>
  <c r="NI87" i="22"/>
  <c r="NI83" i="22"/>
  <c r="NY44" i="22"/>
  <c r="NM83" i="22"/>
  <c r="NM87" i="22"/>
  <c r="NP45" i="22"/>
  <c r="OC45" i="22"/>
  <c r="NP49" i="22"/>
  <c r="OC49" i="22"/>
  <c r="NP53" i="22"/>
  <c r="OC53" i="22"/>
  <c r="NI89" i="22"/>
  <c r="NY56" i="22"/>
  <c r="NP57" i="22"/>
  <c r="OC57" i="22"/>
  <c r="NP61" i="22"/>
  <c r="OC61" i="22"/>
  <c r="NI85" i="22"/>
  <c r="NY64" i="22"/>
  <c r="NP65" i="22"/>
  <c r="OC65" i="22"/>
  <c r="MV89" i="22"/>
  <c r="MN89" i="22"/>
  <c r="MF89" i="22"/>
  <c r="LX89" i="22"/>
  <c r="LP89" i="22"/>
  <c r="LH89" i="22"/>
  <c r="KZ89" i="22"/>
  <c r="KR89" i="22"/>
  <c r="KJ89" i="22"/>
  <c r="KB89" i="22"/>
  <c r="JT89" i="22"/>
  <c r="JL89" i="22"/>
  <c r="JD89" i="22"/>
  <c r="IV89" i="22"/>
  <c r="IN89" i="22"/>
  <c r="IB89" i="22"/>
  <c r="HT89" i="22"/>
  <c r="HL89" i="22"/>
  <c r="HD89" i="22"/>
  <c r="GV89" i="22"/>
  <c r="GN89" i="22"/>
  <c r="GF89" i="22"/>
  <c r="FX89" i="22"/>
  <c r="FP89" i="22"/>
  <c r="FH89" i="22"/>
  <c r="EZ89" i="22"/>
  <c r="ER89" i="22"/>
  <c r="EJ89" i="22"/>
  <c r="EB89" i="22"/>
  <c r="DT89" i="22"/>
  <c r="DL89" i="22"/>
  <c r="DH89" i="22"/>
  <c r="CZ89" i="22"/>
  <c r="CN89" i="22"/>
  <c r="CF89" i="22"/>
  <c r="BX89" i="22"/>
  <c r="BP89" i="22"/>
  <c r="BH89" i="22"/>
  <c r="AZ89" i="22"/>
  <c r="AR89" i="22"/>
  <c r="AJ89" i="22"/>
  <c r="AB89" i="22"/>
  <c r="T89" i="22"/>
  <c r="L89" i="22"/>
  <c r="D89" i="22"/>
  <c r="MZ84" i="22"/>
  <c r="MR84" i="22"/>
  <c r="MJ84" i="22"/>
  <c r="MB84" i="22"/>
  <c r="LT84" i="22"/>
  <c r="LL84" i="22"/>
  <c r="LD84" i="22"/>
  <c r="KR84" i="22"/>
  <c r="KJ84" i="22"/>
  <c r="KB84" i="22"/>
  <c r="JT84" i="22"/>
  <c r="JL84" i="22"/>
  <c r="JD84" i="22"/>
  <c r="IV84" i="22"/>
  <c r="IN84" i="22"/>
  <c r="IF84" i="22"/>
  <c r="HX84" i="22"/>
  <c r="HT84" i="22"/>
  <c r="HL84" i="22"/>
  <c r="GZ84" i="22"/>
  <c r="GR84" i="22"/>
  <c r="GN84" i="22"/>
  <c r="GF84" i="22"/>
  <c r="FX84" i="22"/>
  <c r="FP84" i="22"/>
  <c r="FD84" i="22"/>
  <c r="EV84" i="22"/>
  <c r="EN84" i="22"/>
  <c r="EF84" i="22"/>
  <c r="DX84" i="22"/>
  <c r="DP84" i="22"/>
  <c r="DH84" i="22"/>
  <c r="CZ84" i="22"/>
  <c r="CV84" i="22"/>
  <c r="CN84" i="22"/>
  <c r="CF84" i="22"/>
  <c r="BX84" i="22"/>
  <c r="BL84" i="22"/>
  <c r="BD84" i="22"/>
  <c r="AV84" i="22"/>
  <c r="AN84" i="22"/>
  <c r="AF84" i="22"/>
  <c r="X84" i="22"/>
  <c r="P84" i="22"/>
  <c r="D84" i="22"/>
  <c r="MS82" i="22"/>
  <c r="MK82" i="22"/>
  <c r="MC82" i="22"/>
  <c r="LU82" i="22"/>
  <c r="LI82" i="22"/>
  <c r="LA82" i="22"/>
  <c r="KS82" i="22"/>
  <c r="KK82" i="22"/>
  <c r="KC82" i="22"/>
  <c r="JU82" i="22"/>
  <c r="JM82" i="22"/>
  <c r="JE82" i="22"/>
  <c r="IW82" i="22"/>
  <c r="IO82" i="22"/>
  <c r="IG82" i="22"/>
  <c r="HY82" i="22"/>
  <c r="HQ82" i="22"/>
  <c r="HI82" i="22"/>
  <c r="HA82" i="22"/>
  <c r="GS82" i="22"/>
  <c r="GK82" i="22"/>
  <c r="GC82" i="22"/>
  <c r="FU82" i="22"/>
  <c r="FM82" i="22"/>
  <c r="FE82" i="22"/>
  <c r="EW82" i="22"/>
  <c r="EO82" i="22"/>
  <c r="EG82" i="22"/>
  <c r="DY82" i="22"/>
  <c r="DQ82" i="22"/>
  <c r="DM82" i="22"/>
  <c r="DE82" i="22"/>
  <c r="CW82" i="22"/>
  <c r="CK82" i="22"/>
  <c r="CC82" i="22"/>
  <c r="BY82" i="22"/>
  <c r="BQ82" i="22"/>
  <c r="BI82" i="22"/>
  <c r="BA82" i="22"/>
  <c r="AS82" i="22"/>
  <c r="AK82" i="22"/>
  <c r="AC82" i="22"/>
  <c r="U82" i="22"/>
  <c r="M82" i="22"/>
  <c r="E82" i="22"/>
  <c r="MZ81" i="22"/>
  <c r="MR81" i="22"/>
  <c r="MJ81" i="22"/>
  <c r="MB81" i="22"/>
  <c r="LT81" i="22"/>
  <c r="LL81" i="22"/>
  <c r="LD81" i="22"/>
  <c r="KV81" i="22"/>
  <c r="KN81" i="22"/>
  <c r="KF81" i="22"/>
  <c r="JX81" i="22"/>
  <c r="JP81" i="22"/>
  <c r="JH81" i="22"/>
  <c r="IZ81" i="22"/>
  <c r="IR81" i="22"/>
  <c r="IJ81" i="22"/>
  <c r="IF81" i="22"/>
  <c r="HT81" i="22"/>
  <c r="HL81" i="22"/>
  <c r="HD81" i="22"/>
  <c r="GV81" i="22"/>
  <c r="GN81" i="22"/>
  <c r="GF81" i="22"/>
  <c r="FX81" i="22"/>
  <c r="FP81" i="22"/>
  <c r="FH81" i="22"/>
  <c r="EZ81" i="22"/>
  <c r="ER81" i="22"/>
  <c r="EJ81" i="22"/>
  <c r="EB81" i="22"/>
  <c r="DT81" i="22"/>
  <c r="DL81" i="22"/>
  <c r="DD81" i="22"/>
  <c r="CV81" i="22"/>
  <c r="CN81" i="22"/>
  <c r="CF81" i="22"/>
  <c r="BX81" i="22"/>
  <c r="BP81" i="22"/>
  <c r="BH81" i="22"/>
  <c r="AZ81" i="22"/>
  <c r="AR81" i="22"/>
  <c r="AJ81" i="22"/>
  <c r="AB81" i="22"/>
  <c r="T81" i="22"/>
  <c r="L81" i="22"/>
  <c r="D81" i="22"/>
  <c r="MX80" i="22"/>
  <c r="MP80" i="22"/>
  <c r="MH80" i="22"/>
  <c r="LZ80" i="22"/>
  <c r="LR80" i="22"/>
  <c r="LJ80" i="22"/>
  <c r="LB80" i="22"/>
  <c r="KT80" i="22"/>
  <c r="KL80" i="22"/>
  <c r="KD80" i="22"/>
  <c r="JV80" i="22"/>
  <c r="JN80" i="22"/>
  <c r="JF80" i="22"/>
  <c r="IT80" i="22"/>
  <c r="IL80" i="22"/>
  <c r="ID80" i="22"/>
  <c r="HV80" i="22"/>
  <c r="HN80" i="22"/>
  <c r="HF80" i="22"/>
  <c r="HB80" i="22"/>
  <c r="GP80" i="22"/>
  <c r="GH80" i="22"/>
  <c r="FZ80" i="22"/>
  <c r="FR80" i="22"/>
  <c r="FJ80" i="22"/>
  <c r="FB80" i="22"/>
  <c r="ET80" i="22"/>
  <c r="EL80" i="22"/>
  <c r="ED80" i="22"/>
  <c r="DV80" i="22"/>
  <c r="DN80" i="22"/>
  <c r="DF80" i="22"/>
  <c r="CX80" i="22"/>
  <c r="CP80" i="22"/>
  <c r="CH80" i="22"/>
  <c r="BZ80" i="22"/>
  <c r="BR80" i="22"/>
  <c r="BJ80" i="22"/>
  <c r="BF80" i="22"/>
  <c r="AX80" i="22"/>
  <c r="AP80" i="22"/>
  <c r="AH80" i="22"/>
  <c r="Z80" i="22"/>
  <c r="R80" i="22"/>
  <c r="N80" i="22"/>
  <c r="F80" i="22"/>
  <c r="NZ19" i="22"/>
  <c r="NZ43" i="22"/>
  <c r="BL86" i="22"/>
  <c r="CJ71" i="22"/>
  <c r="CR86" i="22"/>
  <c r="DP71" i="22"/>
  <c r="EJ75" i="22"/>
  <c r="EJ76" i="22" s="1"/>
  <c r="EJ77" i="22" s="1"/>
  <c r="FD86" i="22"/>
  <c r="GB71" i="22"/>
  <c r="GV75" i="22"/>
  <c r="GV76" i="22" s="1"/>
  <c r="GV77" i="22" s="1"/>
  <c r="HP86" i="22"/>
  <c r="IN71" i="22"/>
  <c r="JH75" i="22"/>
  <c r="JH76" i="22" s="1"/>
  <c r="JH77" i="22" s="1"/>
  <c r="KB86" i="22"/>
  <c r="LH86" i="22"/>
  <c r="NO86" i="22"/>
  <c r="AH86" i="22"/>
  <c r="DN75" i="22"/>
  <c r="DN76" i="22" s="1"/>
  <c r="DN77" i="22" s="1"/>
  <c r="KD86" i="22"/>
  <c r="MP86" i="22"/>
  <c r="S79" i="22"/>
  <c r="K88" i="22"/>
  <c r="AE71" i="22"/>
  <c r="NA89" i="22"/>
  <c r="MS89" i="22"/>
  <c r="MO89" i="22"/>
  <c r="MG89" i="22"/>
  <c r="LU89" i="22"/>
  <c r="LM89" i="22"/>
  <c r="LE89" i="22"/>
  <c r="KW89" i="22"/>
  <c r="KO89" i="22"/>
  <c r="KG89" i="22"/>
  <c r="JY89" i="22"/>
  <c r="JQ89" i="22"/>
  <c r="JI89" i="22"/>
  <c r="JA89" i="22"/>
  <c r="IS89" i="22"/>
  <c r="IK89" i="22"/>
  <c r="IC89" i="22"/>
  <c r="HU89" i="22"/>
  <c r="HM89" i="22"/>
  <c r="HE89" i="22"/>
  <c r="GW89" i="22"/>
  <c r="GO89" i="22"/>
  <c r="GG89" i="22"/>
  <c r="FY89" i="22"/>
  <c r="FQ89" i="22"/>
  <c r="FI89" i="22"/>
  <c r="FA89" i="22"/>
  <c r="ES89" i="22"/>
  <c r="EK89" i="22"/>
  <c r="EC89" i="22"/>
  <c r="DU89" i="22"/>
  <c r="DM89" i="22"/>
  <c r="DE89" i="22"/>
  <c r="CW89" i="22"/>
  <c r="CO89" i="22"/>
  <c r="CG89" i="22"/>
  <c r="BY89" i="22"/>
  <c r="BQ89" i="22"/>
  <c r="BI89" i="22"/>
  <c r="BA89" i="22"/>
  <c r="AS89" i="22"/>
  <c r="AK89" i="22"/>
  <c r="AC89" i="22"/>
  <c r="U89" i="22"/>
  <c r="M89" i="22"/>
  <c r="I89" i="22"/>
  <c r="NA84" i="22"/>
  <c r="MS84" i="22"/>
  <c r="MK84" i="22"/>
  <c r="MC84" i="22"/>
  <c r="LU84" i="22"/>
  <c r="LI84" i="22"/>
  <c r="LA84" i="22"/>
  <c r="KW84" i="22"/>
  <c r="KO84" i="22"/>
  <c r="KG84" i="22"/>
  <c r="JY84" i="22"/>
  <c r="JQ84" i="22"/>
  <c r="JI84" i="22"/>
  <c r="JA84" i="22"/>
  <c r="IS84" i="22"/>
  <c r="IK84" i="22"/>
  <c r="IC84" i="22"/>
  <c r="HU84" i="22"/>
  <c r="HM84" i="22"/>
  <c r="HE84" i="22"/>
  <c r="GW84" i="22"/>
  <c r="GO84" i="22"/>
  <c r="GK84" i="22"/>
  <c r="GC84" i="22"/>
  <c r="FU84" i="22"/>
  <c r="FI84" i="22"/>
  <c r="FA84" i="22"/>
  <c r="EW84" i="22"/>
  <c r="EO84" i="22"/>
  <c r="EG84" i="22"/>
  <c r="DY84" i="22"/>
  <c r="DQ84" i="22"/>
  <c r="DE84" i="22"/>
  <c r="CW84" i="22"/>
  <c r="CO84" i="22"/>
  <c r="CG84" i="22"/>
  <c r="BY84" i="22"/>
  <c r="BQ84" i="22"/>
  <c r="BI84" i="22"/>
  <c r="BA84" i="22"/>
  <c r="AS84" i="22"/>
  <c r="AK84" i="22"/>
  <c r="AC84" i="22"/>
  <c r="U84" i="22"/>
  <c r="M84" i="22"/>
  <c r="E84" i="22"/>
  <c r="NB82" i="22"/>
  <c r="MP82" i="22"/>
  <c r="ML82" i="22"/>
  <c r="MD82" i="22"/>
  <c r="LV82" i="22"/>
  <c r="LN82" i="22"/>
  <c r="LB82" i="22"/>
  <c r="KT82" i="22"/>
  <c r="KL82" i="22"/>
  <c r="KD82" i="22"/>
  <c r="JV82" i="22"/>
  <c r="JN82" i="22"/>
  <c r="JF82" i="22"/>
  <c r="IX82" i="22"/>
  <c r="IT82" i="22"/>
  <c r="IL82" i="22"/>
  <c r="ID82" i="22"/>
  <c r="HV82" i="22"/>
  <c r="HN82" i="22"/>
  <c r="HF82" i="22"/>
  <c r="GX82" i="22"/>
  <c r="GP82" i="22"/>
  <c r="GL82" i="22"/>
  <c r="GD82" i="22"/>
  <c r="FR82" i="22"/>
  <c r="FN82" i="22"/>
  <c r="FF82" i="22"/>
  <c r="EX82" i="22"/>
  <c r="EP82" i="22"/>
  <c r="EH82" i="22"/>
  <c r="DZ82" i="22"/>
  <c r="DR82" i="22"/>
  <c r="DJ82" i="22"/>
  <c r="DF82" i="22"/>
  <c r="CX82" i="22"/>
  <c r="CP82" i="22"/>
  <c r="CH82" i="22"/>
  <c r="BZ82" i="22"/>
  <c r="BR82" i="22"/>
  <c r="BF82" i="22"/>
  <c r="BB82" i="22"/>
  <c r="AT82" i="22"/>
  <c r="AL82" i="22"/>
  <c r="AD82" i="22"/>
  <c r="R82" i="22"/>
  <c r="J82" i="22"/>
  <c r="B82" i="22"/>
  <c r="MW81" i="22"/>
  <c r="MO81" i="22"/>
  <c r="MC81" i="22"/>
  <c r="LU81" i="22"/>
  <c r="LQ81" i="22"/>
  <c r="LI81" i="22"/>
  <c r="LA81" i="22"/>
  <c r="KS81" i="22"/>
  <c r="KK81" i="22"/>
  <c r="KC81" i="22"/>
  <c r="JU81" i="22"/>
  <c r="JM81" i="22"/>
  <c r="JE81" i="22"/>
  <c r="IW81" i="22"/>
  <c r="IO81" i="22"/>
  <c r="IK81" i="22"/>
  <c r="HY81" i="22"/>
  <c r="HQ81" i="22"/>
  <c r="HI81" i="22"/>
  <c r="HA81" i="22"/>
  <c r="GW81" i="22"/>
  <c r="GO81" i="22"/>
  <c r="GG81" i="22"/>
  <c r="FU81" i="22"/>
  <c r="FM81" i="22"/>
  <c r="FE81" i="22"/>
  <c r="EW81" i="22"/>
  <c r="EO81" i="22"/>
  <c r="EG81" i="22"/>
  <c r="DY81" i="22"/>
  <c r="DQ81" i="22"/>
  <c r="DM81" i="22"/>
  <c r="DE81" i="22"/>
  <c r="CW81" i="22"/>
  <c r="CO81" i="22"/>
  <c r="CG81" i="22"/>
  <c r="BY81" i="22"/>
  <c r="BQ81" i="22"/>
  <c r="BI81" i="22"/>
  <c r="BA81" i="22"/>
  <c r="AS81" i="22"/>
  <c r="AK81" i="22"/>
  <c r="AG81" i="22"/>
  <c r="Y81" i="22"/>
  <c r="Q81" i="22"/>
  <c r="I81" i="22"/>
  <c r="MY80" i="22"/>
  <c r="MQ80" i="22"/>
  <c r="MI80" i="22"/>
  <c r="MA80" i="22"/>
  <c r="LS80" i="22"/>
  <c r="LK80" i="22"/>
  <c r="LC80" i="22"/>
  <c r="KU80" i="22"/>
  <c r="KQ80" i="22"/>
  <c r="KI80" i="22"/>
  <c r="KA80" i="22"/>
  <c r="JS80" i="22"/>
  <c r="JK80" i="22"/>
  <c r="JC80" i="22"/>
  <c r="IU80" i="22"/>
  <c r="IM80" i="22"/>
  <c r="IE80" i="22"/>
  <c r="HW80" i="22"/>
  <c r="HO80" i="22"/>
  <c r="HG80" i="22"/>
  <c r="GY80" i="22"/>
  <c r="GQ80" i="22"/>
  <c r="GI80" i="22"/>
  <c r="GA80" i="22"/>
  <c r="FS80" i="22"/>
  <c r="FK80" i="22"/>
  <c r="FC80" i="22"/>
  <c r="EU80" i="22"/>
  <c r="EM80" i="22"/>
  <c r="EE80" i="22"/>
  <c r="DW80" i="22"/>
  <c r="DO80" i="22"/>
  <c r="DG80" i="22"/>
  <c r="CY80" i="22"/>
  <c r="CQ80" i="22"/>
  <c r="CI80" i="22"/>
  <c r="CA80" i="22"/>
  <c r="BS80" i="22"/>
  <c r="BK80" i="22"/>
  <c r="BC80" i="22"/>
  <c r="AU80" i="22"/>
  <c r="AM80" i="22"/>
  <c r="AE80" i="22"/>
  <c r="W80" i="22"/>
  <c r="O80" i="22"/>
  <c r="G80" i="22"/>
  <c r="NM80" i="22"/>
  <c r="NW15" i="22"/>
  <c r="NX15" i="22" s="1"/>
  <c r="NY22" i="22"/>
  <c r="NW23" i="22"/>
  <c r="NG81" i="22"/>
  <c r="NO81" i="22"/>
  <c r="NY26" i="22"/>
  <c r="NZ26" i="22" s="1"/>
  <c r="NW27" i="22"/>
  <c r="NE82" i="22"/>
  <c r="NW39" i="22"/>
  <c r="NY42" i="22"/>
  <c r="NY46" i="22"/>
  <c r="NZ46" i="22" s="1"/>
  <c r="NY50" i="22"/>
  <c r="NE84" i="22"/>
  <c r="NW55" i="22"/>
  <c r="NG89" i="22"/>
  <c r="NO89" i="22"/>
  <c r="NY58" i="22"/>
  <c r="NW59" i="22"/>
  <c r="NO85" i="22"/>
  <c r="BM79" i="22"/>
  <c r="CO88" i="22"/>
  <c r="DI86" i="22"/>
  <c r="EC73" i="22"/>
  <c r="EW79" i="22"/>
  <c r="FQ73" i="22"/>
  <c r="FY88" i="22"/>
  <c r="GS88" i="22"/>
  <c r="HM88" i="22"/>
  <c r="IG86" i="22"/>
  <c r="JA73" i="22"/>
  <c r="JU79" i="22"/>
  <c r="KO73" i="22"/>
  <c r="LI79" i="22"/>
  <c r="MK88" i="22"/>
  <c r="MW75" i="22"/>
  <c r="MW76" i="22" s="1"/>
  <c r="MW77" i="22" s="1"/>
  <c r="H88" i="22"/>
  <c r="AF75" i="22"/>
  <c r="AF76" i="22" s="1"/>
  <c r="AF77" i="22" s="1"/>
  <c r="AZ79" i="22"/>
  <c r="CF79" i="22"/>
  <c r="CZ88" i="22"/>
  <c r="DX75" i="22"/>
  <c r="DX76" i="22" s="1"/>
  <c r="DX77" i="22" s="1"/>
  <c r="ER79" i="22"/>
  <c r="FL88" i="22"/>
  <c r="GJ75" i="22"/>
  <c r="GJ76" i="22" s="1"/>
  <c r="GJ77" i="22" s="1"/>
  <c r="HD79" i="22"/>
  <c r="HX88" i="22"/>
  <c r="IV75" i="22"/>
  <c r="IV76" i="22" s="1"/>
  <c r="IV77" i="22" s="1"/>
  <c r="JP79" i="22"/>
  <c r="KJ88" i="22"/>
  <c r="KV79" i="22"/>
  <c r="LP88" i="22"/>
  <c r="MN71" i="22"/>
  <c r="G71" i="22"/>
  <c r="AE73" i="22"/>
  <c r="NA85" i="22"/>
  <c r="MW85" i="22"/>
  <c r="MS85" i="22"/>
  <c r="MO85" i="22"/>
  <c r="MK85" i="22"/>
  <c r="MG85" i="22"/>
  <c r="MC85" i="22"/>
  <c r="LY85" i="22"/>
  <c r="LU85" i="22"/>
  <c r="LQ85" i="22"/>
  <c r="LM85" i="22"/>
  <c r="LI85" i="22"/>
  <c r="LE85" i="22"/>
  <c r="LA85" i="22"/>
  <c r="KW85" i="22"/>
  <c r="KS85" i="22"/>
  <c r="KO85" i="22"/>
  <c r="KK85" i="22"/>
  <c r="KG85" i="22"/>
  <c r="KC85" i="22"/>
  <c r="JY85" i="22"/>
  <c r="JU85" i="22"/>
  <c r="JQ85" i="22"/>
  <c r="JM85" i="22"/>
  <c r="JI85" i="22"/>
  <c r="JE85" i="22"/>
  <c r="JA85" i="22"/>
  <c r="IW85" i="22"/>
  <c r="IS85" i="22"/>
  <c r="IO85" i="22"/>
  <c r="IK85" i="22"/>
  <c r="IG85" i="22"/>
  <c r="IC85" i="22"/>
  <c r="HY85" i="22"/>
  <c r="HU85" i="22"/>
  <c r="HQ85" i="22"/>
  <c r="HM85" i="22"/>
  <c r="HI85" i="22"/>
  <c r="HE85" i="22"/>
  <c r="HA85" i="22"/>
  <c r="GW85" i="22"/>
  <c r="GS85" i="22"/>
  <c r="GO85" i="22"/>
  <c r="GK85" i="22"/>
  <c r="GG85" i="22"/>
  <c r="GC85" i="22"/>
  <c r="FY85" i="22"/>
  <c r="FU85" i="22"/>
  <c r="FQ85" i="22"/>
  <c r="FM85" i="22"/>
  <c r="FI85" i="22"/>
  <c r="FE85" i="22"/>
  <c r="FA85" i="22"/>
  <c r="EW85" i="22"/>
  <c r="ES85" i="22"/>
  <c r="EO85" i="22"/>
  <c r="EK85" i="22"/>
  <c r="EG85" i="22"/>
  <c r="EC85" i="22"/>
  <c r="DY85" i="22"/>
  <c r="DU85" i="22"/>
  <c r="DQ85" i="22"/>
  <c r="DM85" i="22"/>
  <c r="DI85" i="22"/>
  <c r="DE85" i="22"/>
  <c r="DA85" i="22"/>
  <c r="CW85" i="22"/>
  <c r="CS85" i="22"/>
  <c r="CO85" i="22"/>
  <c r="CK85" i="22"/>
  <c r="CG85" i="22"/>
  <c r="CC85" i="22"/>
  <c r="BY85" i="22"/>
  <c r="BU85" i="22"/>
  <c r="BQ85" i="22"/>
  <c r="BM85" i="22"/>
  <c r="BI85" i="22"/>
  <c r="BE85" i="22"/>
  <c r="BA85" i="22"/>
  <c r="AW85" i="22"/>
  <c r="AS85" i="22"/>
  <c r="AO85" i="22"/>
  <c r="AK85" i="22"/>
  <c r="AG85" i="22"/>
  <c r="AC85" i="22"/>
  <c r="Y85" i="22"/>
  <c r="U85" i="22"/>
  <c r="Q85" i="22"/>
  <c r="M85" i="22"/>
  <c r="I85" i="22"/>
  <c r="E85" i="22"/>
  <c r="NS89" i="22"/>
  <c r="MY89" i="22"/>
  <c r="MU89" i="22"/>
  <c r="MQ89" i="22"/>
  <c r="MM89" i="22"/>
  <c r="MI89" i="22"/>
  <c r="ME89" i="22"/>
  <c r="MA89" i="22"/>
  <c r="LW89" i="22"/>
  <c r="LS89" i="22"/>
  <c r="LO89" i="22"/>
  <c r="LK89" i="22"/>
  <c r="LG89" i="22"/>
  <c r="LC89" i="22"/>
  <c r="KY89" i="22"/>
  <c r="KU89" i="22"/>
  <c r="KQ89" i="22"/>
  <c r="KM89" i="22"/>
  <c r="KI89" i="22"/>
  <c r="KE89" i="22"/>
  <c r="KA89" i="22"/>
  <c r="JW89" i="22"/>
  <c r="JS89" i="22"/>
  <c r="JO89" i="22"/>
  <c r="JK89" i="22"/>
  <c r="JG89" i="22"/>
  <c r="JC89" i="22"/>
  <c r="IY89" i="22"/>
  <c r="IU89" i="22"/>
  <c r="IQ89" i="22"/>
  <c r="IM89" i="22"/>
  <c r="II89" i="22"/>
  <c r="IE89" i="22"/>
  <c r="IA89" i="22"/>
  <c r="HW89" i="22"/>
  <c r="HS89" i="22"/>
  <c r="HO89" i="22"/>
  <c r="HK89" i="22"/>
  <c r="HG89" i="22"/>
  <c r="HC89" i="22"/>
  <c r="GY89" i="22"/>
  <c r="GU89" i="22"/>
  <c r="GQ89" i="22"/>
  <c r="GM89" i="22"/>
  <c r="GI89" i="22"/>
  <c r="GE89" i="22"/>
  <c r="GA89" i="22"/>
  <c r="FW89" i="22"/>
  <c r="FS89" i="22"/>
  <c r="FO89" i="22"/>
  <c r="FK89" i="22"/>
  <c r="FG89" i="22"/>
  <c r="FC89" i="22"/>
  <c r="EY89" i="22"/>
  <c r="EU89" i="22"/>
  <c r="EQ89" i="22"/>
  <c r="EM89" i="22"/>
  <c r="EI89" i="22"/>
  <c r="EE89" i="22"/>
  <c r="EA89" i="22"/>
  <c r="DW89" i="22"/>
  <c r="DS89" i="22"/>
  <c r="DO89" i="22"/>
  <c r="DK89" i="22"/>
  <c r="DG89" i="22"/>
  <c r="DC89" i="22"/>
  <c r="CY89" i="22"/>
  <c r="CU89" i="22"/>
  <c r="CQ89" i="22"/>
  <c r="CM89" i="22"/>
  <c r="CI89" i="22"/>
  <c r="CE89" i="22"/>
  <c r="CA89" i="22"/>
  <c r="BW89" i="22"/>
  <c r="BS89" i="22"/>
  <c r="BO89" i="22"/>
  <c r="BK89" i="22"/>
  <c r="BG89" i="22"/>
  <c r="BC89" i="22"/>
  <c r="AY89" i="22"/>
  <c r="AU89" i="22"/>
  <c r="AQ89" i="22"/>
  <c r="AM89" i="22"/>
  <c r="AI89" i="22"/>
  <c r="AE89" i="22"/>
  <c r="AA89" i="22"/>
  <c r="W89" i="22"/>
  <c r="S89" i="22"/>
  <c r="O89" i="22"/>
  <c r="K89" i="22"/>
  <c r="G89" i="22"/>
  <c r="C89" i="22"/>
  <c r="NS84" i="22"/>
  <c r="MY84" i="22"/>
  <c r="MU84" i="22"/>
  <c r="MQ84" i="22"/>
  <c r="MM84" i="22"/>
  <c r="MI84" i="22"/>
  <c r="ME84" i="22"/>
  <c r="MA84" i="22"/>
  <c r="LW84" i="22"/>
  <c r="LS84" i="22"/>
  <c r="LO84" i="22"/>
  <c r="LK84" i="22"/>
  <c r="LG84" i="22"/>
  <c r="LC84" i="22"/>
  <c r="KY84" i="22"/>
  <c r="KU84" i="22"/>
  <c r="KQ84" i="22"/>
  <c r="KM84" i="22"/>
  <c r="KI84" i="22"/>
  <c r="KE84" i="22"/>
  <c r="KA84" i="22"/>
  <c r="JW84" i="22"/>
  <c r="JS84" i="22"/>
  <c r="JO84" i="22"/>
  <c r="JK84" i="22"/>
  <c r="JG84" i="22"/>
  <c r="JC84" i="22"/>
  <c r="IY84" i="22"/>
  <c r="IU84" i="22"/>
  <c r="IQ84" i="22"/>
  <c r="IM84" i="22"/>
  <c r="II84" i="22"/>
  <c r="IE84" i="22"/>
  <c r="IA84" i="22"/>
  <c r="HW84" i="22"/>
  <c r="HS84" i="22"/>
  <c r="HO84" i="22"/>
  <c r="HK84" i="22"/>
  <c r="HG84" i="22"/>
  <c r="HC84" i="22"/>
  <c r="GY84" i="22"/>
  <c r="GU84" i="22"/>
  <c r="GQ84" i="22"/>
  <c r="GM84" i="22"/>
  <c r="GI84" i="22"/>
  <c r="GE84" i="22"/>
  <c r="GA84" i="22"/>
  <c r="FW84" i="22"/>
  <c r="FS84" i="22"/>
  <c r="FO84" i="22"/>
  <c r="FK84" i="22"/>
  <c r="FG84" i="22"/>
  <c r="FC84" i="22"/>
  <c r="EY84" i="22"/>
  <c r="EU84" i="22"/>
  <c r="EQ84" i="22"/>
  <c r="EM84" i="22"/>
  <c r="EI84" i="22"/>
  <c r="EE84" i="22"/>
  <c r="EA84" i="22"/>
  <c r="DW84" i="22"/>
  <c r="DS84" i="22"/>
  <c r="DO84" i="22"/>
  <c r="DK84" i="22"/>
  <c r="DG84" i="22"/>
  <c r="DC84" i="22"/>
  <c r="CY84" i="22"/>
  <c r="CU84" i="22"/>
  <c r="CQ84" i="22"/>
  <c r="CM84" i="22"/>
  <c r="CI84" i="22"/>
  <c r="CE84" i="22"/>
  <c r="CA84" i="22"/>
  <c r="BW84" i="22"/>
  <c r="BS84" i="22"/>
  <c r="BO84" i="22"/>
  <c r="BK84" i="22"/>
  <c r="BG84" i="22"/>
  <c r="BC84" i="22"/>
  <c r="AY84" i="22"/>
  <c r="AU84" i="22"/>
  <c r="AQ84" i="22"/>
  <c r="AM84" i="22"/>
  <c r="AI84" i="22"/>
  <c r="AE84" i="22"/>
  <c r="AA84" i="22"/>
  <c r="W84" i="22"/>
  <c r="S84" i="22"/>
  <c r="O84" i="22"/>
  <c r="K84" i="22"/>
  <c r="G84" i="22"/>
  <c r="C84" i="22"/>
  <c r="MZ82" i="22"/>
  <c r="MV82" i="22"/>
  <c r="MR82" i="22"/>
  <c r="MN82" i="22"/>
  <c r="MJ82" i="22"/>
  <c r="MF82" i="22"/>
  <c r="MB82" i="22"/>
  <c r="LX82" i="22"/>
  <c r="LT82" i="22"/>
  <c r="LP82" i="22"/>
  <c r="LL82" i="22"/>
  <c r="LH82" i="22"/>
  <c r="LD82" i="22"/>
  <c r="KZ82" i="22"/>
  <c r="KV82" i="22"/>
  <c r="KR82" i="22"/>
  <c r="KN82" i="22"/>
  <c r="KJ82" i="22"/>
  <c r="KF82" i="22"/>
  <c r="KB82" i="22"/>
  <c r="JX82" i="22"/>
  <c r="JT82" i="22"/>
  <c r="JP82" i="22"/>
  <c r="JL82" i="22"/>
  <c r="JH82" i="22"/>
  <c r="JD82" i="22"/>
  <c r="IZ82" i="22"/>
  <c r="IV82" i="22"/>
  <c r="IR82" i="22"/>
  <c r="IN82" i="22"/>
  <c r="IJ82" i="22"/>
  <c r="IF82" i="22"/>
  <c r="IB82" i="22"/>
  <c r="HX82" i="22"/>
  <c r="HT82" i="22"/>
  <c r="HP82" i="22"/>
  <c r="HL82" i="22"/>
  <c r="HH82" i="22"/>
  <c r="HD82" i="22"/>
  <c r="GZ82" i="22"/>
  <c r="GV82" i="22"/>
  <c r="GR82" i="22"/>
  <c r="GN82" i="22"/>
  <c r="GJ82" i="22"/>
  <c r="GF82" i="22"/>
  <c r="GB82" i="22"/>
  <c r="FX82" i="22"/>
  <c r="FT82" i="22"/>
  <c r="FP82" i="22"/>
  <c r="FL82" i="22"/>
  <c r="FH82" i="22"/>
  <c r="FD82" i="22"/>
  <c r="EZ82" i="22"/>
  <c r="EV82" i="22"/>
  <c r="ER82" i="22"/>
  <c r="EN82" i="22"/>
  <c r="EJ82" i="22"/>
  <c r="EF82" i="22"/>
  <c r="EB82" i="22"/>
  <c r="DX82" i="22"/>
  <c r="DT82" i="22"/>
  <c r="DP82" i="22"/>
  <c r="DL82" i="22"/>
  <c r="DH82" i="22"/>
  <c r="DD82" i="22"/>
  <c r="CZ82" i="22"/>
  <c r="CV82" i="22"/>
  <c r="CR82" i="22"/>
  <c r="CN82" i="22"/>
  <c r="CJ82" i="22"/>
  <c r="CF82" i="22"/>
  <c r="CB82" i="22"/>
  <c r="BX82" i="22"/>
  <c r="BT82" i="22"/>
  <c r="BP82" i="22"/>
  <c r="BL82" i="22"/>
  <c r="BH82" i="22"/>
  <c r="BD82" i="22"/>
  <c r="AZ82" i="22"/>
  <c r="AV82" i="22"/>
  <c r="AR82" i="22"/>
  <c r="AN82" i="22"/>
  <c r="AJ82" i="22"/>
  <c r="AF82" i="22"/>
  <c r="AB82" i="22"/>
  <c r="X82" i="22"/>
  <c r="T82" i="22"/>
  <c r="P82" i="22"/>
  <c r="L82" i="22"/>
  <c r="H82" i="22"/>
  <c r="D82" i="22"/>
  <c r="NS81" i="22"/>
  <c r="MY81" i="22"/>
  <c r="MU81" i="22"/>
  <c r="MQ81" i="22"/>
  <c r="MM81" i="22"/>
  <c r="MI81" i="22"/>
  <c r="ME81" i="22"/>
  <c r="MA81" i="22"/>
  <c r="LW81" i="22"/>
  <c r="LS81" i="22"/>
  <c r="LO81" i="22"/>
  <c r="LK81" i="22"/>
  <c r="LG81" i="22"/>
  <c r="LC81" i="22"/>
  <c r="KY81" i="22"/>
  <c r="KU81" i="22"/>
  <c r="KQ81" i="22"/>
  <c r="KM81" i="22"/>
  <c r="KI81" i="22"/>
  <c r="KE81" i="22"/>
  <c r="KA81" i="22"/>
  <c r="JW81" i="22"/>
  <c r="JS81" i="22"/>
  <c r="JO81" i="22"/>
  <c r="JK81" i="22"/>
  <c r="JG81" i="22"/>
  <c r="JC81" i="22"/>
  <c r="IY81" i="22"/>
  <c r="IU81" i="22"/>
  <c r="IQ81" i="22"/>
  <c r="IM81" i="22"/>
  <c r="II81" i="22"/>
  <c r="IE81" i="22"/>
  <c r="IA81" i="22"/>
  <c r="HW81" i="22"/>
  <c r="HS81" i="22"/>
  <c r="HO81" i="22"/>
  <c r="HK81" i="22"/>
  <c r="HG81" i="22"/>
  <c r="HC81" i="22"/>
  <c r="GY81" i="22"/>
  <c r="GU81" i="22"/>
  <c r="GQ81" i="22"/>
  <c r="GM81" i="22"/>
  <c r="GI81" i="22"/>
  <c r="GE81" i="22"/>
  <c r="GA81" i="22"/>
  <c r="FW81" i="22"/>
  <c r="FS81" i="22"/>
  <c r="FO81" i="22"/>
  <c r="FK81" i="22"/>
  <c r="FG81" i="22"/>
  <c r="FC81" i="22"/>
  <c r="EY81" i="22"/>
  <c r="EU81" i="22"/>
  <c r="EQ81" i="22"/>
  <c r="EM81" i="22"/>
  <c r="EI81" i="22"/>
  <c r="EE81" i="22"/>
  <c r="EA81" i="22"/>
  <c r="DW81" i="22"/>
  <c r="DS81" i="22"/>
  <c r="DO81" i="22"/>
  <c r="DK81" i="22"/>
  <c r="DG81" i="22"/>
  <c r="DC81" i="22"/>
  <c r="CY81" i="22"/>
  <c r="CU81" i="22"/>
  <c r="CQ81" i="22"/>
  <c r="CM81" i="22"/>
  <c r="CI81" i="22"/>
  <c r="CE81" i="22"/>
  <c r="CA81" i="22"/>
  <c r="BW81" i="22"/>
  <c r="BS81" i="22"/>
  <c r="BO81" i="22"/>
  <c r="BK81" i="22"/>
  <c r="BG81" i="22"/>
  <c r="BC81" i="22"/>
  <c r="AY81" i="22"/>
  <c r="AU81" i="22"/>
  <c r="AQ81" i="22"/>
  <c r="AM81" i="22"/>
  <c r="AI81" i="22"/>
  <c r="AE81" i="22"/>
  <c r="AA81" i="22"/>
  <c r="W81" i="22"/>
  <c r="S81" i="22"/>
  <c r="O81" i="22"/>
  <c r="K81" i="22"/>
  <c r="G81" i="22"/>
  <c r="C81" i="22"/>
  <c r="NC80" i="22"/>
  <c r="NA80" i="22"/>
  <c r="MW80" i="22"/>
  <c r="MS80" i="22"/>
  <c r="MO80" i="22"/>
  <c r="MK80" i="22"/>
  <c r="MG80" i="22"/>
  <c r="MC80" i="22"/>
  <c r="LY80" i="22"/>
  <c r="LU80" i="22"/>
  <c r="LQ80" i="22"/>
  <c r="LM80" i="22"/>
  <c r="LI80" i="22"/>
  <c r="LE80" i="22"/>
  <c r="LA80" i="22"/>
  <c r="KW80" i="22"/>
  <c r="KS80" i="22"/>
  <c r="KO80" i="22"/>
  <c r="KK80" i="22"/>
  <c r="KG80" i="22"/>
  <c r="KC80" i="22"/>
  <c r="JY80" i="22"/>
  <c r="JU80" i="22"/>
  <c r="JQ80" i="22"/>
  <c r="JM80" i="22"/>
  <c r="JI80" i="22"/>
  <c r="JE80" i="22"/>
  <c r="JA80" i="22"/>
  <c r="IW80" i="22"/>
  <c r="IS80" i="22"/>
  <c r="IO80" i="22"/>
  <c r="IK80" i="22"/>
  <c r="IG80" i="22"/>
  <c r="IC80" i="22"/>
  <c r="HY80" i="22"/>
  <c r="HU80" i="22"/>
  <c r="HQ80" i="22"/>
  <c r="HM80" i="22"/>
  <c r="HI80" i="22"/>
  <c r="HE80" i="22"/>
  <c r="HA80" i="22"/>
  <c r="GW80" i="22"/>
  <c r="GS80" i="22"/>
  <c r="GO80" i="22"/>
  <c r="GK80" i="22"/>
  <c r="GG80" i="22"/>
  <c r="GC80" i="22"/>
  <c r="FY80" i="22"/>
  <c r="FU80" i="22"/>
  <c r="FQ80" i="22"/>
  <c r="FM80" i="22"/>
  <c r="FI80" i="22"/>
  <c r="FE80" i="22"/>
  <c r="FA80" i="22"/>
  <c r="EW80" i="22"/>
  <c r="ES80" i="22"/>
  <c r="EO80" i="22"/>
  <c r="EK80" i="22"/>
  <c r="EG80" i="22"/>
  <c r="EC80" i="22"/>
  <c r="DY80" i="22"/>
  <c r="DU80" i="22"/>
  <c r="DQ80" i="22"/>
  <c r="DM80" i="22"/>
  <c r="DI80" i="22"/>
  <c r="DE80" i="22"/>
  <c r="DA80" i="22"/>
  <c r="CW80" i="22"/>
  <c r="CS80" i="22"/>
  <c r="CO80" i="22"/>
  <c r="CK80" i="22"/>
  <c r="CG80" i="22"/>
  <c r="CC80" i="22"/>
  <c r="BY80" i="22"/>
  <c r="BU80" i="22"/>
  <c r="BQ80" i="22"/>
  <c r="BM80" i="22"/>
  <c r="BI80" i="22"/>
  <c r="BE80" i="22"/>
  <c r="BA80" i="22"/>
  <c r="AW80" i="22"/>
  <c r="AS80" i="22"/>
  <c r="AO80" i="22"/>
  <c r="AK80" i="22"/>
  <c r="AG80" i="22"/>
  <c r="AC80" i="22"/>
  <c r="Y80" i="22"/>
  <c r="U80" i="22"/>
  <c r="Q80" i="22"/>
  <c r="M80" i="22"/>
  <c r="I80" i="22"/>
  <c r="E80" i="22"/>
  <c r="NW10" i="22"/>
  <c r="NW11" i="22"/>
  <c r="NW12" i="22"/>
  <c r="NX12" i="22" s="1"/>
  <c r="NW13" i="22"/>
  <c r="NG80" i="22"/>
  <c r="NK80" i="22"/>
  <c r="NO80" i="22"/>
  <c r="NY16" i="22"/>
  <c r="NZ16" i="22" s="1"/>
  <c r="NW17" i="22"/>
  <c r="NY20" i="22"/>
  <c r="NW21" i="22"/>
  <c r="NE81" i="22"/>
  <c r="NM81" i="22"/>
  <c r="NW25" i="22"/>
  <c r="NY28" i="22"/>
  <c r="NZ28" i="22" s="1"/>
  <c r="NW29" i="22"/>
  <c r="NY32" i="22"/>
  <c r="NW33" i="22"/>
  <c r="NG82" i="22"/>
  <c r="NK82" i="22"/>
  <c r="NO82" i="22"/>
  <c r="NY36" i="22"/>
  <c r="NZ36" i="22" s="1"/>
  <c r="NW37" i="22"/>
  <c r="NY40" i="22"/>
  <c r="NZ40" i="22" s="1"/>
  <c r="NW41" i="22"/>
  <c r="NW45" i="22"/>
  <c r="NX45" i="22" s="1"/>
  <c r="NY48" i="22"/>
  <c r="NW49" i="22"/>
  <c r="NY52" i="22"/>
  <c r="NZ52" i="22" s="1"/>
  <c r="NW53" i="22"/>
  <c r="NG84" i="22"/>
  <c r="NK84" i="22"/>
  <c r="NO84" i="22"/>
  <c r="NE89" i="22"/>
  <c r="NM89" i="22"/>
  <c r="NW57" i="22"/>
  <c r="NX57" i="22" s="1"/>
  <c r="NY60" i="22"/>
  <c r="NZ60" i="22" s="1"/>
  <c r="NW61" i="22"/>
  <c r="NE85" i="22"/>
  <c r="NM85" i="22"/>
  <c r="NW65" i="22"/>
  <c r="NX65" i="22" s="1"/>
  <c r="NF75" i="22"/>
  <c r="NN76" i="22"/>
  <c r="NN77" i="22" s="1"/>
  <c r="I88" i="22"/>
  <c r="U75" i="22"/>
  <c r="U76" i="22" s="1"/>
  <c r="U77" i="22" s="1"/>
  <c r="AC88" i="22"/>
  <c r="AO79" i="22"/>
  <c r="AW86" i="22"/>
  <c r="BI79" i="22"/>
  <c r="BQ73" i="22"/>
  <c r="CC71" i="22"/>
  <c r="CK73" i="22"/>
  <c r="CW79" i="22"/>
  <c r="DE73" i="22"/>
  <c r="DM88" i="22"/>
  <c r="DY79" i="22"/>
  <c r="EG88" i="22"/>
  <c r="ES75" i="22"/>
  <c r="ES76" i="22" s="1"/>
  <c r="ES77" i="22" s="1"/>
  <c r="FA88" i="22"/>
  <c r="FM71" i="22"/>
  <c r="FU86" i="22"/>
  <c r="GG75" i="22"/>
  <c r="GG76" i="22" s="1"/>
  <c r="GG77" i="22" s="1"/>
  <c r="GO73" i="22"/>
  <c r="HA71" i="22"/>
  <c r="HI79" i="22"/>
  <c r="HU71" i="22"/>
  <c r="IC73" i="22"/>
  <c r="IK88" i="22"/>
  <c r="IW79" i="22"/>
  <c r="JE88" i="22"/>
  <c r="JQ75" i="22"/>
  <c r="JQ76" i="22" s="1"/>
  <c r="JQ77" i="22" s="1"/>
  <c r="JY88" i="22"/>
  <c r="KK71" i="22"/>
  <c r="KS86" i="22"/>
  <c r="LE75" i="22"/>
  <c r="LE76" i="22" s="1"/>
  <c r="LE77" i="22" s="1"/>
  <c r="LM73" i="22"/>
  <c r="MG79" i="22"/>
  <c r="MS75" i="22"/>
  <c r="MS76" i="22" s="1"/>
  <c r="MS77" i="22" s="1"/>
  <c r="NA73" i="22"/>
  <c r="NI71" i="22"/>
  <c r="D79" i="22"/>
  <c r="P75" i="22"/>
  <c r="P76" i="22" s="1"/>
  <c r="P77" i="22" s="1"/>
  <c r="X88" i="22"/>
  <c r="AJ79" i="22"/>
  <c r="AV75" i="22"/>
  <c r="AV76" i="22" s="1"/>
  <c r="AV77" i="22" s="1"/>
  <c r="BD88" i="22"/>
  <c r="BP79" i="22"/>
  <c r="CB75" i="22"/>
  <c r="CB76" i="22" s="1"/>
  <c r="CB77" i="22" s="1"/>
  <c r="CJ88" i="22"/>
  <c r="CV79" i="22"/>
  <c r="DH75" i="22"/>
  <c r="DH76" i="22" s="1"/>
  <c r="DH77" i="22" s="1"/>
  <c r="DP88" i="22"/>
  <c r="EB79" i="22"/>
  <c r="EN75" i="22"/>
  <c r="EN76" i="22" s="1"/>
  <c r="EN77" i="22" s="1"/>
  <c r="EV88" i="22"/>
  <c r="FH79" i="22"/>
  <c r="FT75" i="22"/>
  <c r="FT76" i="22" s="1"/>
  <c r="FT77" i="22" s="1"/>
  <c r="GB88" i="22"/>
  <c r="GN79" i="22"/>
  <c r="GZ75" i="22"/>
  <c r="GZ76" i="22" s="1"/>
  <c r="GZ77" i="22" s="1"/>
  <c r="HH88" i="22"/>
  <c r="HT79" i="22"/>
  <c r="IF75" i="22"/>
  <c r="IF76" i="22" s="1"/>
  <c r="IF77" i="22" s="1"/>
  <c r="IN88" i="22"/>
  <c r="IZ79" i="22"/>
  <c r="JL75" i="22"/>
  <c r="JL76" i="22" s="1"/>
  <c r="JL77" i="22" s="1"/>
  <c r="JT88" i="22"/>
  <c r="KF79" i="22"/>
  <c r="KR71" i="22"/>
  <c r="KZ88" i="22"/>
  <c r="LL79" i="22"/>
  <c r="LX71" i="22"/>
  <c r="MF88" i="22"/>
  <c r="MR79" i="22"/>
  <c r="B73" i="22"/>
  <c r="NG88" i="22"/>
  <c r="J88" i="22"/>
  <c r="V71" i="22"/>
  <c r="AD73" i="22"/>
  <c r="AL79" i="22"/>
  <c r="AT88" i="22"/>
  <c r="BF79" i="22"/>
  <c r="BN79" i="22"/>
  <c r="BV88" i="22"/>
  <c r="CH71" i="22"/>
  <c r="CP79" i="22"/>
  <c r="CX79" i="22"/>
  <c r="DF88" i="22"/>
  <c r="EH79" i="22"/>
  <c r="ET71" i="22"/>
  <c r="FB75" i="22"/>
  <c r="FB76" i="22" s="1"/>
  <c r="FB77" i="22" s="1"/>
  <c r="FJ86" i="22"/>
  <c r="FR88" i="22"/>
  <c r="GD73" i="22"/>
  <c r="GL71" i="22"/>
  <c r="GT79" i="22"/>
  <c r="HF71" i="22"/>
  <c r="HN73" i="22"/>
  <c r="HV86" i="22"/>
  <c r="ID88" i="22"/>
  <c r="JF79" i="22"/>
  <c r="JR71" i="22"/>
  <c r="JZ75" i="22"/>
  <c r="JZ76" i="22" s="1"/>
  <c r="JZ77" i="22" s="1"/>
  <c r="KH86" i="22"/>
  <c r="KP88" i="22"/>
  <c r="LB73" i="22"/>
  <c r="LR79" i="22"/>
  <c r="MD71" i="22"/>
  <c r="ML75" i="22"/>
  <c r="ML76" i="22" s="1"/>
  <c r="ML77" i="22" s="1"/>
  <c r="MT86" i="22"/>
  <c r="NB88" i="22"/>
  <c r="NL73" i="22"/>
  <c r="AA86" i="22"/>
  <c r="AU75" i="22"/>
  <c r="AU76" i="22" s="1"/>
  <c r="AU77" i="22" s="1"/>
  <c r="BS79" i="22"/>
  <c r="CM86" i="22"/>
  <c r="DC79" i="22"/>
  <c r="EA86" i="22"/>
  <c r="EY86" i="22"/>
  <c r="FK71" i="22"/>
  <c r="GM86" i="22"/>
  <c r="HK86" i="22"/>
  <c r="IA75" i="22"/>
  <c r="IA76" i="22" s="1"/>
  <c r="IA77" i="22" s="1"/>
  <c r="IY79" i="22"/>
  <c r="JW86" i="22"/>
  <c r="KM75" i="22"/>
  <c r="KM76" i="22" s="1"/>
  <c r="KM77" i="22" s="1"/>
  <c r="LK79" i="22"/>
  <c r="MI86" i="22"/>
  <c r="MY88" i="22"/>
  <c r="C79" i="22"/>
  <c r="W79" i="22"/>
  <c r="AI71" i="22"/>
  <c r="BG71" i="22"/>
  <c r="CI79" i="22"/>
  <c r="CY71" i="22"/>
  <c r="DW73" i="22"/>
  <c r="EU79" i="22"/>
  <c r="FO75" i="22"/>
  <c r="FO76" i="22" s="1"/>
  <c r="FO77" i="22" s="1"/>
  <c r="GI73" i="22"/>
  <c r="HG79" i="22"/>
  <c r="HW71" i="22"/>
  <c r="IU73" i="22"/>
  <c r="JS79" i="22"/>
  <c r="KI71" i="22"/>
  <c r="LG73" i="22"/>
  <c r="ME86" i="22"/>
  <c r="MU71" i="22"/>
  <c r="OF6" i="22"/>
  <c r="OA6" i="22"/>
  <c r="OB6" i="22" s="1"/>
  <c r="OD6" i="22"/>
  <c r="NZ6" i="22"/>
  <c r="OE5" i="22"/>
  <c r="OA5" i="22"/>
  <c r="OB5" i="22" s="1"/>
  <c r="OD5" i="22"/>
  <c r="NX7" i="22"/>
  <c r="OF7" i="22"/>
  <c r="OE69" i="22"/>
  <c r="OA69" i="22"/>
  <c r="OB69" i="22" s="1"/>
  <c r="OF69" i="22"/>
  <c r="NZ69" i="22"/>
  <c r="NZ59" i="22" l="1"/>
  <c r="NZ51" i="22"/>
  <c r="NW79" i="22"/>
  <c r="NX36" i="22"/>
  <c r="NX52" i="22"/>
  <c r="NZ35" i="22"/>
  <c r="NZ63" i="22"/>
  <c r="NZ27" i="22"/>
  <c r="NZ50" i="22"/>
  <c r="NX61" i="22"/>
  <c r="NX60" i="22"/>
  <c r="NX50" i="22"/>
  <c r="NX49" i="22"/>
  <c r="NX59" i="22"/>
  <c r="NZ42" i="22"/>
  <c r="NZ22" i="22"/>
  <c r="NZ58" i="22"/>
  <c r="NX46" i="22"/>
  <c r="NZ39" i="22"/>
  <c r="NZ20" i="22"/>
  <c r="NX10" i="22"/>
  <c r="NX27" i="22"/>
  <c r="NX42" i="22"/>
  <c r="NX18" i="22"/>
  <c r="OD68" i="22"/>
  <c r="NZ66" i="22"/>
  <c r="OD66" i="22"/>
  <c r="OD65" i="22"/>
  <c r="NX62" i="22"/>
  <c r="NZ62" i="22"/>
  <c r="OD61" i="22"/>
  <c r="OD58" i="22"/>
  <c r="OD57" i="22"/>
  <c r="NX53" i="22"/>
  <c r="OD53" i="22"/>
  <c r="OD49" i="22"/>
  <c r="NZ48" i="22"/>
  <c r="OD45" i="22"/>
  <c r="OD40" i="22"/>
  <c r="NY73" i="22"/>
  <c r="NY75" i="22"/>
  <c r="NY76" i="22" s="1"/>
  <c r="NY77" i="22" s="1"/>
  <c r="NZ32" i="22"/>
  <c r="OD32" i="22"/>
  <c r="OD26" i="22"/>
  <c r="NP75" i="22"/>
  <c r="NK91" i="22" s="1"/>
  <c r="NX22" i="22"/>
  <c r="NW73" i="22"/>
  <c r="OD16" i="22"/>
  <c r="OD12" i="22"/>
  <c r="OD67" i="22"/>
  <c r="NZ68" i="22"/>
  <c r="OD62" i="22"/>
  <c r="OD30" i="22"/>
  <c r="OD22" i="22"/>
  <c r="OD8" i="22"/>
  <c r="OD52" i="22"/>
  <c r="OD36" i="22"/>
  <c r="OD59" i="22"/>
  <c r="OD27" i="22"/>
  <c r="OD15" i="22"/>
  <c r="OC75" i="22"/>
  <c r="OC76" i="22" s="1"/>
  <c r="OC77" i="22" s="1"/>
  <c r="NZ65" i="22"/>
  <c r="NY89" i="22"/>
  <c r="NZ56" i="22"/>
  <c r="OF41" i="22"/>
  <c r="OA41" i="22"/>
  <c r="OB41" i="22" s="1"/>
  <c r="OE41" i="22"/>
  <c r="OA33" i="22"/>
  <c r="OB33" i="22" s="1"/>
  <c r="OF33" i="22"/>
  <c r="OE33" i="22"/>
  <c r="OF25" i="22"/>
  <c r="OA25" i="22"/>
  <c r="OB25" i="22" s="1"/>
  <c r="OE25" i="22"/>
  <c r="OE21" i="22"/>
  <c r="OA21" i="22"/>
  <c r="OB21" i="22" s="1"/>
  <c r="OF21" i="22"/>
  <c r="OE13" i="22"/>
  <c r="OF13" i="22"/>
  <c r="OA13" i="22"/>
  <c r="OB13" i="22" s="1"/>
  <c r="OE11" i="22"/>
  <c r="OA11" i="22"/>
  <c r="OB11" i="22" s="1"/>
  <c r="OF11" i="22"/>
  <c r="NP88" i="22"/>
  <c r="NP71" i="22"/>
  <c r="NP79" i="22"/>
  <c r="NE76" i="22"/>
  <c r="NE77" i="22" s="1"/>
  <c r="NZ11" i="22"/>
  <c r="NY79" i="22"/>
  <c r="NY86" i="22"/>
  <c r="NY71" i="22"/>
  <c r="OA55" i="22"/>
  <c r="OB55" i="22" s="1"/>
  <c r="OF55" i="22"/>
  <c r="OE55" i="22"/>
  <c r="NZ55" i="22"/>
  <c r="OA39" i="22"/>
  <c r="OB39" i="22" s="1"/>
  <c r="OF39" i="22"/>
  <c r="OE39" i="22"/>
  <c r="OA23" i="22"/>
  <c r="OB23" i="22" s="1"/>
  <c r="OF23" i="22"/>
  <c r="OE23" i="22"/>
  <c r="NZ23" i="22"/>
  <c r="NY80" i="22"/>
  <c r="NZ14" i="22"/>
  <c r="NZ33" i="22"/>
  <c r="NZ25" i="22"/>
  <c r="NW75" i="22"/>
  <c r="NW76" i="22" s="1"/>
  <c r="NW77" i="22" s="1"/>
  <c r="NP86" i="22"/>
  <c r="NX29" i="22"/>
  <c r="NX13" i="22"/>
  <c r="NY85" i="22"/>
  <c r="NZ64" i="22"/>
  <c r="NZ85" i="22" s="1"/>
  <c r="NY87" i="22"/>
  <c r="NY83" i="22"/>
  <c r="NZ44" i="22"/>
  <c r="OE37" i="22"/>
  <c r="OA37" i="22"/>
  <c r="OB37" i="22" s="1"/>
  <c r="OF37" i="22"/>
  <c r="OE29" i="22"/>
  <c r="OF29" i="22"/>
  <c r="OA29" i="22"/>
  <c r="OB29" i="22" s="1"/>
  <c r="OA17" i="22"/>
  <c r="OB17" i="22" s="1"/>
  <c r="OF17" i="22"/>
  <c r="OE17" i="22"/>
  <c r="OD10" i="22"/>
  <c r="OC79" i="22"/>
  <c r="OC71" i="22"/>
  <c r="OC88" i="22"/>
  <c r="OC73" i="22"/>
  <c r="NG76" i="22"/>
  <c r="NG77" i="22" s="1"/>
  <c r="NX11" i="22"/>
  <c r="NW71" i="22"/>
  <c r="NW88" i="22"/>
  <c r="NW86" i="22"/>
  <c r="NZ29" i="22"/>
  <c r="NZ13" i="22"/>
  <c r="NY88" i="22"/>
  <c r="NP73" i="22"/>
  <c r="OC86" i="22"/>
  <c r="NX33" i="22"/>
  <c r="NX25" i="22"/>
  <c r="NX55" i="22"/>
  <c r="OD44" i="22"/>
  <c r="OC87" i="22"/>
  <c r="OC83" i="22"/>
  <c r="OF20" i="22"/>
  <c r="OA20" i="22"/>
  <c r="OB20" i="22" s="1"/>
  <c r="OE20" i="22"/>
  <c r="OF57" i="22"/>
  <c r="OA57" i="22"/>
  <c r="OB57" i="22" s="1"/>
  <c r="OE57" i="22"/>
  <c r="OE53" i="22"/>
  <c r="OA53" i="22"/>
  <c r="OB53" i="22" s="1"/>
  <c r="OF53" i="22"/>
  <c r="OF45" i="22"/>
  <c r="OE45" i="22"/>
  <c r="OA45" i="22"/>
  <c r="OB45" i="22" s="1"/>
  <c r="NM76" i="22"/>
  <c r="NM77" i="22" s="1"/>
  <c r="OF63" i="22"/>
  <c r="OA63" i="22"/>
  <c r="OB63" i="22" s="1"/>
  <c r="OE63" i="22"/>
  <c r="OF51" i="22"/>
  <c r="OE51" i="22"/>
  <c r="OA51" i="22"/>
  <c r="OB51" i="22" s="1"/>
  <c r="OE43" i="22"/>
  <c r="OA43" i="22"/>
  <c r="OB43" i="22" s="1"/>
  <c r="OF43" i="22"/>
  <c r="OF19" i="22"/>
  <c r="OE19" i="22"/>
  <c r="OA19" i="22"/>
  <c r="OB19" i="22" s="1"/>
  <c r="NP85" i="22"/>
  <c r="OE64" i="22"/>
  <c r="OA64" i="22"/>
  <c r="OF64" i="22"/>
  <c r="OD56" i="22"/>
  <c r="OC89" i="22"/>
  <c r="OE48" i="22"/>
  <c r="OA48" i="22"/>
  <c r="OB48" i="22" s="1"/>
  <c r="OF48" i="22"/>
  <c r="NX48" i="22"/>
  <c r="NW81" i="22"/>
  <c r="NX24" i="22"/>
  <c r="OA9" i="22"/>
  <c r="OB9" i="22" s="1"/>
  <c r="OF9" i="22"/>
  <c r="OE9" i="22"/>
  <c r="OC84" i="22"/>
  <c r="OD54" i="22"/>
  <c r="OA46" i="22"/>
  <c r="OB46" i="22" s="1"/>
  <c r="OF46" i="22"/>
  <c r="OE46" i="22"/>
  <c r="OA42" i="22"/>
  <c r="OB42" i="22" s="1"/>
  <c r="OF42" i="22"/>
  <c r="OE42" i="22"/>
  <c r="NW82" i="22"/>
  <c r="NX34" i="22"/>
  <c r="OA18" i="22"/>
  <c r="OB18" i="22" s="1"/>
  <c r="OF18" i="22"/>
  <c r="OE18" i="22"/>
  <c r="OC80" i="22"/>
  <c r="OD14" i="22"/>
  <c r="NX37" i="22"/>
  <c r="NX21" i="22"/>
  <c r="NX23" i="22"/>
  <c r="NX20" i="22"/>
  <c r="OD41" i="22"/>
  <c r="OD33" i="22"/>
  <c r="OD25" i="22"/>
  <c r="OD21" i="22"/>
  <c r="OD13" i="22"/>
  <c r="OD11" i="22"/>
  <c r="NX9" i="22"/>
  <c r="NP81" i="22"/>
  <c r="OF24" i="22"/>
  <c r="OE24" i="22"/>
  <c r="OA24" i="22"/>
  <c r="NF76" i="22"/>
  <c r="NF77" i="22" s="1"/>
  <c r="OA65" i="22"/>
  <c r="OB65" i="22" s="1"/>
  <c r="OF65" i="22"/>
  <c r="OE65" i="22"/>
  <c r="OF61" i="22"/>
  <c r="OE61" i="22"/>
  <c r="OA61" i="22"/>
  <c r="OB61" i="22" s="1"/>
  <c r="OA49" i="22"/>
  <c r="OB49" i="22" s="1"/>
  <c r="OF49" i="22"/>
  <c r="OE49" i="22"/>
  <c r="NY81" i="22"/>
  <c r="NZ24" i="22"/>
  <c r="OA12" i="22"/>
  <c r="OB12" i="22" s="1"/>
  <c r="OF12" i="22"/>
  <c r="OE12" i="22"/>
  <c r="OA10" i="22"/>
  <c r="OB10" i="22" s="1"/>
  <c r="OF10" i="22"/>
  <c r="OE10" i="22"/>
  <c r="OF47" i="22"/>
  <c r="OA47" i="22"/>
  <c r="OB47" i="22" s="1"/>
  <c r="OE47" i="22"/>
  <c r="OF35" i="22"/>
  <c r="OE35" i="22"/>
  <c r="OA35" i="22"/>
  <c r="OB35" i="22" s="1"/>
  <c r="OF31" i="22"/>
  <c r="OA31" i="22"/>
  <c r="OB31" i="22" s="1"/>
  <c r="OE31" i="22"/>
  <c r="OA60" i="22"/>
  <c r="OB60" i="22" s="1"/>
  <c r="OF60" i="22"/>
  <c r="OE60" i="22"/>
  <c r="OA28" i="22"/>
  <c r="OB28" i="22" s="1"/>
  <c r="OF28" i="22"/>
  <c r="OE28" i="22"/>
  <c r="NX28" i="22"/>
  <c r="OA50" i="22"/>
  <c r="OB50" i="22" s="1"/>
  <c r="OF50" i="22"/>
  <c r="OE50" i="22"/>
  <c r="OA38" i="22"/>
  <c r="OB38" i="22" s="1"/>
  <c r="OF38" i="22"/>
  <c r="OE38" i="22"/>
  <c r="OC82" i="22"/>
  <c r="OD34" i="22"/>
  <c r="NX41" i="22"/>
  <c r="NX17" i="22"/>
  <c r="NX39" i="22"/>
  <c r="OD37" i="22"/>
  <c r="OD29" i="22"/>
  <c r="OD17" i="22"/>
  <c r="NX47" i="22"/>
  <c r="NX19" i="22"/>
  <c r="NZ47" i="22"/>
  <c r="NY84" i="22"/>
  <c r="NZ54" i="22"/>
  <c r="NL76" i="22"/>
  <c r="NL77" i="22" s="1"/>
  <c r="NP89" i="22"/>
  <c r="OE56" i="22"/>
  <c r="OF56" i="22"/>
  <c r="OA56" i="22"/>
  <c r="OE32" i="22"/>
  <c r="OA32" i="22"/>
  <c r="OB32" i="22" s="1"/>
  <c r="OF32" i="22"/>
  <c r="OA66" i="22"/>
  <c r="OB66" i="22" s="1"/>
  <c r="OF66" i="22"/>
  <c r="OE66" i="22"/>
  <c r="OA58" i="22"/>
  <c r="OB58" i="22" s="1"/>
  <c r="OF58" i="22"/>
  <c r="OE58" i="22"/>
  <c r="OA54" i="22"/>
  <c r="NP84" i="22"/>
  <c r="OF54" i="22"/>
  <c r="OE54" i="22"/>
  <c r="OA34" i="22"/>
  <c r="NP82" i="22"/>
  <c r="OF34" i="22"/>
  <c r="OE34" i="22"/>
  <c r="OA26" i="22"/>
  <c r="OB26" i="22" s="1"/>
  <c r="OF26" i="22"/>
  <c r="OE26" i="22"/>
  <c r="OA14" i="22"/>
  <c r="NP80" i="22"/>
  <c r="OF14" i="22"/>
  <c r="OE14" i="22"/>
  <c r="NW89" i="22"/>
  <c r="NX56" i="22"/>
  <c r="OD24" i="22"/>
  <c r="OC81" i="22"/>
  <c r="OD47" i="22"/>
  <c r="OD35" i="22"/>
  <c r="OD31" i="22"/>
  <c r="OD9" i="22"/>
  <c r="NZ61" i="22"/>
  <c r="NZ53" i="22"/>
  <c r="NZ45" i="22"/>
  <c r="NZ37" i="22"/>
  <c r="NZ21" i="22"/>
  <c r="NZ10" i="22"/>
  <c r="NX43" i="22"/>
  <c r="NX31" i="22"/>
  <c r="NZ18" i="22"/>
  <c r="OD50" i="22"/>
  <c r="OD38" i="22"/>
  <c r="OD18" i="22"/>
  <c r="NZ8" i="22"/>
  <c r="NX67" i="22"/>
  <c r="OD55" i="22"/>
  <c r="OD39" i="22"/>
  <c r="OD23" i="22"/>
  <c r="OD20" i="22"/>
  <c r="NY82" i="22"/>
  <c r="NZ34" i="22"/>
  <c r="OD64" i="22"/>
  <c r="OC85" i="22"/>
  <c r="NW87" i="22"/>
  <c r="NW83" i="22"/>
  <c r="NX44" i="22"/>
  <c r="OF40" i="22"/>
  <c r="OE40" i="22"/>
  <c r="OA40" i="22"/>
  <c r="OB40" i="22" s="1"/>
  <c r="OE16" i="22"/>
  <c r="OA16" i="22"/>
  <c r="OB16" i="22" s="1"/>
  <c r="OF16" i="22"/>
  <c r="NH76" i="22"/>
  <c r="NH77" i="22" s="1"/>
  <c r="OF68" i="22"/>
  <c r="OA68" i="22"/>
  <c r="OB68" i="22" s="1"/>
  <c r="OE68" i="22"/>
  <c r="OA62" i="22"/>
  <c r="OB62" i="22" s="1"/>
  <c r="OF62" i="22"/>
  <c r="OE62" i="22"/>
  <c r="NW84" i="22"/>
  <c r="NX54" i="22"/>
  <c r="OA30" i="22"/>
  <c r="OB30" i="22" s="1"/>
  <c r="OF30" i="22"/>
  <c r="OE30" i="22"/>
  <c r="OA22" i="22"/>
  <c r="OB22" i="22" s="1"/>
  <c r="OF22" i="22"/>
  <c r="OE22" i="22"/>
  <c r="NW80" i="22"/>
  <c r="NX14" i="22"/>
  <c r="OA8" i="22"/>
  <c r="OB8" i="22" s="1"/>
  <c r="OE8" i="22"/>
  <c r="OF8" i="22"/>
  <c r="OF67" i="22"/>
  <c r="OE67" i="22"/>
  <c r="OA67" i="22"/>
  <c r="OB67" i="22" s="1"/>
  <c r="OE59" i="22"/>
  <c r="OA59" i="22"/>
  <c r="OB59" i="22" s="1"/>
  <c r="OF59" i="22"/>
  <c r="OE27" i="22"/>
  <c r="OA27" i="22"/>
  <c r="OB27" i="22" s="1"/>
  <c r="OF27" i="22"/>
  <c r="OF15" i="22"/>
  <c r="OA15" i="22"/>
  <c r="OB15" i="22" s="1"/>
  <c r="OE15" i="22"/>
  <c r="NW85" i="22"/>
  <c r="NX64" i="22"/>
  <c r="OF52" i="22"/>
  <c r="OA52" i="22"/>
  <c r="OB52" i="22" s="1"/>
  <c r="OE52" i="22"/>
  <c r="NP87" i="22"/>
  <c r="NP83" i="22"/>
  <c r="OA44" i="22"/>
  <c r="OF44" i="22"/>
  <c r="OE44" i="22"/>
  <c r="OF36" i="22"/>
  <c r="OA36" i="22"/>
  <c r="OB36" i="22" s="1"/>
  <c r="OE36" i="22"/>
  <c r="NO76" i="22"/>
  <c r="NO77" i="22" s="1"/>
  <c r="OD63" i="22"/>
  <c r="OD51" i="22"/>
  <c r="OD43" i="22"/>
  <c r="OD19" i="22"/>
  <c r="OD60" i="22"/>
  <c r="OD48" i="22"/>
  <c r="OD28" i="22"/>
  <c r="NZ57" i="22"/>
  <c r="NZ49" i="22"/>
  <c r="NZ41" i="22"/>
  <c r="NZ17" i="22"/>
  <c r="NZ12" i="22"/>
  <c r="NX63" i="22"/>
  <c r="NX51" i="22"/>
  <c r="NX35" i="22"/>
  <c r="NZ9" i="22"/>
  <c r="NX32" i="22"/>
  <c r="OD46" i="22"/>
  <c r="OD42" i="22"/>
  <c r="OD88" i="22" l="1"/>
  <c r="NZ88" i="22"/>
  <c r="NX71" i="22"/>
  <c r="OD85" i="22"/>
  <c r="NZ75" i="22"/>
  <c r="NZ76" i="22" s="1"/>
  <c r="NZ77" i="22" s="1"/>
  <c r="OD73" i="22"/>
  <c r="OD79" i="22"/>
  <c r="NX79" i="22"/>
  <c r="NZ86" i="22"/>
  <c r="OD71" i="22"/>
  <c r="OD86" i="22"/>
  <c r="NX73" i="22"/>
  <c r="NX86" i="22"/>
  <c r="NZ71" i="22"/>
  <c r="NZ79" i="22"/>
  <c r="OD75" i="22"/>
  <c r="OD76" i="22" s="1"/>
  <c r="NX75" i="22"/>
  <c r="NX76" i="22" s="1"/>
  <c r="NX77" i="22" s="1"/>
  <c r="NX88" i="22"/>
  <c r="NZ73" i="22"/>
  <c r="NX85" i="22"/>
  <c r="NI91" i="22"/>
  <c r="NO91" i="22"/>
  <c r="NL91" i="22"/>
  <c r="NM91" i="22"/>
  <c r="NJ91" i="22"/>
  <c r="NH91" i="22"/>
  <c r="NP76" i="22"/>
  <c r="NP77" i="22" s="1"/>
  <c r="ND91" i="22"/>
  <c r="NN91" i="22"/>
  <c r="NE91" i="22"/>
  <c r="NF91" i="22"/>
  <c r="NG91" i="22"/>
  <c r="NZ82" i="22"/>
  <c r="OE75" i="22"/>
  <c r="OE76" i="22" s="1"/>
  <c r="OE77" i="22" s="1"/>
  <c r="OE71" i="22"/>
  <c r="OF86" i="22"/>
  <c r="OE82" i="22"/>
  <c r="OE88" i="22"/>
  <c r="OB44" i="22"/>
  <c r="OA87" i="22"/>
  <c r="OA83" i="22"/>
  <c r="OB14" i="22"/>
  <c r="OB80" i="22" s="1"/>
  <c r="OA80" i="22"/>
  <c r="OE87" i="22"/>
  <c r="OE83" i="22"/>
  <c r="OB64" i="22"/>
  <c r="OB85" i="22" s="1"/>
  <c r="OA85" i="22"/>
  <c r="OB79" i="22"/>
  <c r="OD87" i="22"/>
  <c r="OD83" i="22"/>
  <c r="OB56" i="22"/>
  <c r="OA89" i="22"/>
  <c r="OB24" i="22"/>
  <c r="OB81" i="22" s="1"/>
  <c r="OA81" i="22"/>
  <c r="NZ87" i="22"/>
  <c r="NZ83" i="22"/>
  <c r="OD81" i="22"/>
  <c r="OF80" i="22"/>
  <c r="OF89" i="22"/>
  <c r="OE81" i="22"/>
  <c r="OA79" i="22"/>
  <c r="OD77" i="22"/>
  <c r="OF79" i="22"/>
  <c r="OF71" i="22"/>
  <c r="OE80" i="22"/>
  <c r="OF82" i="22"/>
  <c r="OF84" i="22"/>
  <c r="NZ81" i="22"/>
  <c r="NX81" i="22"/>
  <c r="OF85" i="22"/>
  <c r="OA73" i="22"/>
  <c r="OA75" i="22"/>
  <c r="OA76" i="22" s="1"/>
  <c r="OA77" i="22" s="1"/>
  <c r="OE73" i="22"/>
  <c r="OF73" i="22"/>
  <c r="OF88" i="22"/>
  <c r="OF83" i="22"/>
  <c r="OF87" i="22"/>
  <c r="NX87" i="22"/>
  <c r="NX83" i="22"/>
  <c r="OB34" i="22"/>
  <c r="OB82" i="22" s="1"/>
  <c r="OA82" i="22"/>
  <c r="OB54" i="22"/>
  <c r="OB84" i="22" s="1"/>
  <c r="OA84" i="22"/>
  <c r="OE84" i="22"/>
  <c r="NX82" i="22"/>
  <c r="OD84" i="22"/>
  <c r="OD89" i="22"/>
  <c r="OA88" i="22"/>
  <c r="OA71" i="22"/>
  <c r="OE86" i="22"/>
  <c r="OF75" i="22"/>
  <c r="OF76" i="22" s="1"/>
  <c r="OF77" i="22" s="1"/>
  <c r="NZ89" i="22"/>
  <c r="NX80" i="22"/>
  <c r="NX84" i="22"/>
  <c r="NX89" i="22"/>
  <c r="OE89" i="22"/>
  <c r="NZ84" i="22"/>
  <c r="OD82" i="22"/>
  <c r="OF81" i="22"/>
  <c r="OD80" i="22"/>
  <c r="OE85" i="22"/>
  <c r="OA86" i="22"/>
  <c r="OE79" i="22"/>
  <c r="NZ80" i="22"/>
  <c r="OB86" i="22" l="1"/>
  <c r="OB73" i="22"/>
  <c r="OB71" i="22"/>
  <c r="OB75" i="22"/>
  <c r="OB76" i="22" s="1"/>
  <c r="OB77" i="22" s="1"/>
  <c r="OB88" i="22"/>
  <c r="OB87" i="22"/>
  <c r="OB83" i="22"/>
  <c r="OB89" i="22"/>
  <c r="DI72" i="22"/>
  <c r="KZ72" i="23"/>
  <c r="NO72" i="22"/>
  <c r="GW74" i="22"/>
  <c r="CN74" i="22"/>
  <c r="N74" i="23"/>
  <c r="LR74" i="22"/>
  <c r="KE72" i="23"/>
  <c r="K74" i="23"/>
  <c r="AB74" i="22"/>
  <c r="D72" i="22"/>
  <c r="DP72" i="23"/>
  <c r="AR72" i="22"/>
  <c r="EP72" i="22"/>
  <c r="ER72" i="23"/>
  <c r="CF74" i="22"/>
  <c r="LG74" i="22"/>
  <c r="KX72" i="23"/>
  <c r="CD72" i="23"/>
  <c r="HV74" i="22"/>
  <c r="FU72" i="22"/>
  <c r="FG72" i="22"/>
  <c r="KD74" i="23"/>
  <c r="HJ72" i="23"/>
  <c r="LC72" i="22"/>
  <c r="KD72" i="23"/>
  <c r="MR74" i="23"/>
  <c r="LM74" i="23"/>
  <c r="KQ74" i="22"/>
  <c r="LB74" i="23"/>
  <c r="HZ74" i="22"/>
  <c r="DO72" i="23"/>
  <c r="FV74" i="23"/>
  <c r="JS72" i="22"/>
  <c r="HM72" i="23"/>
  <c r="BM74" i="22"/>
  <c r="IS74" i="22"/>
  <c r="AI72" i="22"/>
  <c r="M74" i="23"/>
  <c r="AF72" i="22"/>
  <c r="CU72" i="23"/>
  <c r="JI72" i="22"/>
  <c r="R74" i="22"/>
  <c r="AC72" i="22"/>
  <c r="GT72" i="22"/>
  <c r="HW72" i="23"/>
  <c r="LE74" i="22"/>
  <c r="LW74" i="23"/>
  <c r="NG72" i="23"/>
  <c r="LZ72" i="22"/>
  <c r="AL74" i="22"/>
  <c r="BG74" i="22"/>
  <c r="CC74" i="22"/>
  <c r="MF74" i="23"/>
  <c r="EG72" i="23"/>
  <c r="JY72" i="23"/>
  <c r="IY74" i="22"/>
  <c r="AU72" i="23"/>
  <c r="BF72" i="23"/>
  <c r="DL74" i="22"/>
  <c r="EG74" i="23"/>
  <c r="JR74" i="22"/>
  <c r="HS74" i="23"/>
  <c r="KM72" i="23"/>
  <c r="NN72" i="22"/>
  <c r="LQ74" i="22"/>
  <c r="V74" i="23"/>
  <c r="JG74" i="23"/>
  <c r="LV72" i="22"/>
  <c r="EP74" i="22"/>
  <c r="R72" i="22"/>
  <c r="II74" i="23"/>
  <c r="HY74" i="22"/>
  <c r="CI72" i="23"/>
  <c r="MN72" i="23"/>
  <c r="DK74" i="22"/>
  <c r="AR74" i="23"/>
  <c r="GL72" i="22"/>
  <c r="IR72" i="23"/>
  <c r="ER72" i="22"/>
  <c r="NK72" i="23"/>
  <c r="MV72" i="23"/>
  <c r="GM74" i="22"/>
  <c r="NL74" i="23"/>
  <c r="EA72" i="23"/>
  <c r="LH74" i="22"/>
  <c r="DC72" i="23"/>
  <c r="KV74" i="23"/>
  <c r="JG74" i="22"/>
  <c r="FA74" i="22"/>
  <c r="T74" i="22"/>
  <c r="KM74" i="22"/>
  <c r="JY74" i="22"/>
  <c r="FI72" i="22"/>
  <c r="FW72" i="22"/>
  <c r="IK74" i="23"/>
  <c r="IB74" i="22"/>
  <c r="Q74" i="22"/>
  <c r="KG74" i="23"/>
  <c r="LC74" i="23"/>
  <c r="I72" i="22"/>
  <c r="HQ74" i="23"/>
  <c r="AX72" i="22"/>
  <c r="HM74" i="23"/>
  <c r="FI74" i="22"/>
  <c r="U72" i="23"/>
  <c r="CR74" i="22"/>
  <c r="MO74" i="23"/>
  <c r="EQ74" i="23"/>
  <c r="AK72" i="22"/>
  <c r="FL74" i="22"/>
  <c r="BT74" i="23"/>
  <c r="EU74" i="22"/>
  <c r="AW72" i="23"/>
  <c r="CN74" i="23"/>
  <c r="EK72" i="23"/>
  <c r="L74" i="23"/>
  <c r="FT74" i="22"/>
  <c r="EB74" i="23"/>
  <c r="DB74" i="23"/>
  <c r="BV72" i="23"/>
  <c r="CC74" i="23"/>
  <c r="NF72" i="23"/>
  <c r="JI74" i="22"/>
  <c r="LE74" i="23"/>
  <c r="ET72" i="23"/>
  <c r="AO74" i="22"/>
  <c r="NE72" i="23"/>
  <c r="IT72" i="23"/>
  <c r="AY72" i="22"/>
  <c r="DF72" i="23"/>
  <c r="EA74" i="22"/>
  <c r="AS74" i="23"/>
  <c r="FY72" i="23"/>
  <c r="NH74" i="22"/>
  <c r="MV72" i="22"/>
  <c r="JE74" i="22"/>
  <c r="FV72" i="22"/>
  <c r="GR72" i="22"/>
  <c r="EC74" i="23"/>
  <c r="HD74" i="22"/>
  <c r="BG72" i="23"/>
  <c r="KL72" i="23"/>
  <c r="LZ72" i="23"/>
  <c r="HI74" i="23"/>
  <c r="DW72" i="22"/>
  <c r="CW72" i="23"/>
  <c r="JJ72" i="22"/>
  <c r="FJ72" i="23"/>
  <c r="AD74" i="22"/>
  <c r="KZ72" i="22"/>
  <c r="HO72" i="22"/>
  <c r="IU72" i="22"/>
  <c r="HE74" i="23"/>
  <c r="HT72" i="22"/>
  <c r="DR74" i="22"/>
  <c r="GH74" i="22"/>
  <c r="EQ74" i="22"/>
  <c r="AQ72" i="23"/>
  <c r="BP74" i="23"/>
  <c r="LV74" i="22"/>
  <c r="IL74" i="22"/>
  <c r="KR74" i="22"/>
  <c r="JB74" i="22"/>
  <c r="IT74" i="22"/>
  <c r="KT72" i="23"/>
  <c r="CK72" i="23"/>
  <c r="IP72" i="22"/>
  <c r="ES72" i="23"/>
  <c r="NL72" i="23"/>
  <c r="JN74" i="22"/>
  <c r="JG72" i="23"/>
  <c r="EJ72" i="22"/>
  <c r="DA72" i="22"/>
  <c r="GZ72" i="22"/>
  <c r="FQ72" i="22"/>
  <c r="GQ72" i="22"/>
  <c r="GK72" i="22"/>
  <c r="V72" i="22"/>
  <c r="NF72" i="22"/>
  <c r="MG72" i="23"/>
  <c r="LS72" i="22"/>
  <c r="GH72" i="22"/>
  <c r="BH74" i="22"/>
  <c r="BV74" i="22"/>
  <c r="KN72" i="22"/>
  <c r="FG72" i="23"/>
  <c r="LB72" i="22"/>
  <c r="NR72" i="22"/>
  <c r="N74" i="22"/>
  <c r="KU74" i="23"/>
  <c r="CO74" i="23"/>
  <c r="KT72" i="22"/>
  <c r="GR72" i="23"/>
  <c r="MA72" i="22"/>
  <c r="KJ74" i="22"/>
  <c r="JF74" i="22"/>
  <c r="L72" i="23"/>
  <c r="AY74" i="23"/>
  <c r="CD74" i="23"/>
  <c r="FA72" i="23"/>
  <c r="KI74" i="22"/>
  <c r="LO72" i="22"/>
  <c r="AO74" i="23"/>
  <c r="IW74" i="23"/>
  <c r="KH72" i="22"/>
  <c r="IH74" i="23"/>
  <c r="GU72" i="23"/>
  <c r="FM74" i="22"/>
  <c r="J72" i="22"/>
  <c r="DZ74" i="23"/>
  <c r="DM72" i="23"/>
  <c r="JH74" i="23"/>
  <c r="BM72" i="22"/>
  <c r="MU72" i="22"/>
  <c r="LZ74" i="23"/>
  <c r="BX74" i="23"/>
  <c r="Z74" i="23"/>
  <c r="CO72" i="23"/>
  <c r="CV72" i="22"/>
  <c r="LK74" i="23"/>
  <c r="DV74" i="22"/>
  <c r="MX72" i="22"/>
  <c r="HM72" i="22"/>
  <c r="EU74" i="23"/>
  <c r="CY72" i="23"/>
  <c r="HW74" i="23"/>
  <c r="HU72" i="22"/>
  <c r="CI72" i="22"/>
  <c r="KA74" i="23"/>
  <c r="CO74" i="22"/>
  <c r="FH74" i="23"/>
  <c r="LZ74" i="22"/>
  <c r="OD74" i="22"/>
  <c r="IZ72" i="22"/>
  <c r="FP74" i="22"/>
  <c r="MH74" i="22"/>
  <c r="T74" i="23"/>
  <c r="MY72" i="22"/>
  <c r="FB72" i="22"/>
  <c r="IE72" i="22"/>
  <c r="LS72" i="23"/>
  <c r="FZ72" i="23"/>
  <c r="IH72" i="23"/>
  <c r="FK74" i="23"/>
  <c r="JM72" i="23"/>
  <c r="D72" i="23"/>
  <c r="CJ72" i="23"/>
  <c r="NM74" i="22"/>
  <c r="BF74" i="23"/>
  <c r="IG72" i="23"/>
  <c r="EV74" i="23"/>
  <c r="MZ74" i="22"/>
  <c r="CS72" i="22"/>
  <c r="MK74" i="22"/>
  <c r="EW74" i="22"/>
  <c r="AK74" i="22"/>
  <c r="FI74" i="23"/>
  <c r="BJ72" i="23"/>
  <c r="LM72" i="22"/>
  <c r="AG74" i="23"/>
  <c r="MG74" i="23"/>
  <c r="FO72" i="23"/>
  <c r="ND74" i="22"/>
  <c r="CF74" i="23"/>
  <c r="BJ74" i="23"/>
  <c r="EL74" i="23"/>
  <c r="NM72" i="23"/>
  <c r="HH74" i="22"/>
  <c r="LW72" i="22"/>
  <c r="JB74" i="23"/>
  <c r="BC74" i="22"/>
  <c r="BE74" i="23"/>
  <c r="HE72" i="22"/>
  <c r="BW72" i="23"/>
  <c r="FU72" i="23"/>
  <c r="FY72" i="22"/>
  <c r="HZ72" i="23"/>
  <c r="BF74" i="22"/>
  <c r="GE72" i="23"/>
  <c r="JK72" i="22"/>
  <c r="FM74" i="23"/>
  <c r="NB72" i="23"/>
  <c r="AQ74" i="23"/>
  <c r="BH72" i="23"/>
  <c r="MK72" i="22"/>
  <c r="AJ72" i="22"/>
  <c r="HE74" i="22"/>
  <c r="GM72" i="23"/>
  <c r="I74" i="22"/>
  <c r="V72" i="23"/>
  <c r="EI74" i="22"/>
  <c r="LF74" i="22"/>
  <c r="DF74" i="22"/>
  <c r="IB72" i="22"/>
  <c r="NN74" i="22"/>
  <c r="AY74" i="22"/>
  <c r="LH74" i="23"/>
  <c r="KT74" i="22"/>
  <c r="GL72" i="23"/>
  <c r="JA74" i="22"/>
  <c r="EB74" i="22"/>
  <c r="MN74" i="23"/>
  <c r="EC74" i="22"/>
  <c r="HC72" i="22"/>
  <c r="EX72" i="23"/>
  <c r="LA74" i="23"/>
  <c r="CD74" i="22"/>
  <c r="GW72" i="22"/>
  <c r="FC74" i="23"/>
  <c r="GV72" i="22"/>
  <c r="MP74" i="23"/>
  <c r="IX74" i="23"/>
  <c r="AA74" i="23"/>
  <c r="E74" i="22"/>
  <c r="BW74" i="23"/>
  <c r="DH72" i="23"/>
  <c r="BH74" i="23"/>
  <c r="EE74" i="23"/>
  <c r="FA72" i="22"/>
  <c r="FK72" i="23"/>
  <c r="S74" i="23"/>
  <c r="HJ74" i="23"/>
  <c r="BL72" i="23"/>
  <c r="GI72" i="23"/>
  <c r="KL72" i="22"/>
  <c r="JF74" i="23"/>
  <c r="IV74" i="23"/>
  <c r="BA72" i="23"/>
  <c r="LO74" i="22"/>
  <c r="KR74" i="23"/>
  <c r="KP74" i="22"/>
  <c r="EQ72" i="23"/>
  <c r="KF72" i="22"/>
  <c r="JN74" i="23"/>
  <c r="FL74" i="23"/>
  <c r="FW72" i="23"/>
  <c r="CG74" i="22"/>
  <c r="GO74" i="22"/>
  <c r="LQ72" i="23"/>
  <c r="KS74" i="23"/>
  <c r="GQ74" i="22"/>
  <c r="OC74" i="22"/>
  <c r="KL74" i="23"/>
  <c r="HY72" i="22"/>
  <c r="LX72" i="22"/>
  <c r="KU74" i="22"/>
  <c r="II72" i="23"/>
  <c r="FF72" i="22"/>
  <c r="IJ74" i="22"/>
  <c r="GM72" i="22"/>
  <c r="FD72" i="22"/>
  <c r="DZ72" i="22"/>
  <c r="MX74" i="22"/>
  <c r="CN72" i="22"/>
  <c r="CM72" i="22"/>
  <c r="FD74" i="23"/>
  <c r="KR72" i="22"/>
  <c r="II72" i="22"/>
  <c r="D74" i="23"/>
  <c r="EW72" i="23"/>
  <c r="JC74" i="23"/>
  <c r="DN74" i="23"/>
  <c r="DA74" i="23"/>
  <c r="JU72" i="22"/>
  <c r="IF74" i="22"/>
  <c r="HF74" i="22"/>
  <c r="FW74" i="23"/>
  <c r="CI74" i="23"/>
  <c r="GN72" i="22"/>
  <c r="BT72" i="23"/>
  <c r="AE72" i="23"/>
  <c r="IE74" i="23"/>
  <c r="GI74" i="22"/>
  <c r="FO72" i="22"/>
  <c r="KC74" i="23"/>
  <c r="HR72" i="22"/>
  <c r="IM72" i="22"/>
  <c r="NH72" i="23"/>
  <c r="CL72" i="22"/>
  <c r="EZ72" i="23"/>
  <c r="ID72" i="22"/>
  <c r="JD72" i="23"/>
  <c r="JD74" i="23"/>
  <c r="FF74" i="22"/>
  <c r="MT74" i="22"/>
  <c r="HJ74" i="22"/>
  <c r="JA74" i="23"/>
  <c r="HX72" i="22"/>
  <c r="BO74" i="23"/>
  <c r="AF74" i="22"/>
  <c r="HT74" i="22"/>
  <c r="MN72" i="22"/>
  <c r="EK74" i="22"/>
  <c r="KE74" i="22"/>
  <c r="BK74" i="23"/>
  <c r="NO74" i="22"/>
  <c r="HB74" i="22"/>
  <c r="W74" i="22"/>
  <c r="HC74" i="22"/>
  <c r="HU74" i="23"/>
  <c r="JP74" i="22"/>
  <c r="MI72" i="23"/>
  <c r="JV72" i="23"/>
  <c r="HF72" i="22"/>
  <c r="MR74" i="22"/>
  <c r="HI72" i="22"/>
  <c r="NJ72" i="23"/>
  <c r="KP74" i="23"/>
  <c r="AW74" i="22"/>
  <c r="AV74" i="22"/>
  <c r="KM72" i="22"/>
  <c r="K74" i="22"/>
  <c r="DU72" i="23"/>
  <c r="KK72" i="22"/>
  <c r="JU74" i="22"/>
  <c r="NO72" i="23"/>
  <c r="HW72" i="22"/>
  <c r="FH74" i="22"/>
  <c r="JX74" i="22"/>
  <c r="GZ74" i="23"/>
  <c r="KT74" i="23"/>
  <c r="JW72" i="22"/>
  <c r="JL72" i="22"/>
  <c r="GT74" i="23"/>
  <c r="P74" i="22"/>
  <c r="R72" i="23"/>
  <c r="HA74" i="23"/>
  <c r="S74" i="22"/>
  <c r="KG72" i="23"/>
  <c r="IA74" i="22"/>
  <c r="GY72" i="22"/>
  <c r="JR72" i="22"/>
  <c r="MA74" i="22"/>
  <c r="ET72" i="22"/>
  <c r="GU74" i="22"/>
  <c r="IV72" i="22"/>
  <c r="HB72" i="23"/>
  <c r="DY74" i="23"/>
  <c r="EJ74" i="23"/>
  <c r="DE74" i="23"/>
  <c r="MX74" i="23"/>
  <c r="MY74" i="23"/>
  <c r="HD72" i="22"/>
  <c r="W74" i="23"/>
  <c r="IX72" i="22"/>
  <c r="FL72" i="23"/>
  <c r="EX74" i="23"/>
  <c r="AB72" i="22"/>
  <c r="JO72" i="23"/>
  <c r="KH72" i="23"/>
  <c r="MB72" i="22"/>
  <c r="BR74" i="22"/>
  <c r="MH72" i="23"/>
  <c r="O72" i="23"/>
  <c r="HK72" i="22"/>
  <c r="FZ72" i="22"/>
  <c r="ID74" i="22"/>
  <c r="NW72" i="22"/>
  <c r="HV72" i="22"/>
  <c r="NI72" i="23"/>
  <c r="CP72" i="22"/>
  <c r="AT74" i="23"/>
  <c r="GB72" i="23"/>
  <c r="HY72" i="23"/>
  <c r="JO74" i="23"/>
  <c r="LD74" i="22"/>
  <c r="NT74" i="23"/>
  <c r="MS72" i="23"/>
  <c r="DD74" i="22"/>
  <c r="GA74" i="23"/>
  <c r="FM72" i="23"/>
  <c r="FG74" i="23"/>
  <c r="IL72" i="22"/>
  <c r="B74" i="23"/>
  <c r="JQ74" i="23"/>
  <c r="IW74" i="22"/>
  <c r="AD74" i="23"/>
  <c r="JL74" i="23"/>
  <c r="JX72" i="23"/>
  <c r="AK72" i="23"/>
  <c r="E72" i="22"/>
  <c r="BK72" i="22"/>
  <c r="DI74" i="23"/>
  <c r="JM72" i="22"/>
  <c r="HL74" i="22"/>
  <c r="GD72" i="23"/>
  <c r="DX72" i="22"/>
  <c r="GL74" i="23"/>
  <c r="FS74" i="23"/>
  <c r="MW72" i="22"/>
  <c r="KA74" i="22"/>
  <c r="GW72" i="23"/>
  <c r="MC74" i="22"/>
  <c r="JS74" i="22"/>
  <c r="FN74" i="22"/>
  <c r="JW74" i="22"/>
  <c r="BR72" i="22"/>
  <c r="DW74" i="22"/>
  <c r="HO72" i="23"/>
  <c r="MX72" i="23"/>
  <c r="AF72" i="23"/>
  <c r="MM72" i="22"/>
  <c r="CQ74" i="22"/>
  <c r="LC74" i="22"/>
  <c r="DJ72" i="23"/>
  <c r="HB72" i="22"/>
  <c r="IV74" i="22"/>
  <c r="AA74" i="22"/>
  <c r="GJ74" i="22"/>
  <c r="KQ72" i="23"/>
  <c r="ND72" i="22"/>
  <c r="JI72" i="23"/>
  <c r="IO72" i="23"/>
  <c r="BJ72" i="22"/>
  <c r="OC72" i="22"/>
  <c r="BA72" i="22"/>
  <c r="EU72" i="22"/>
  <c r="JN72" i="22"/>
  <c r="KH74" i="23"/>
  <c r="BX72" i="22"/>
  <c r="JF72" i="23"/>
  <c r="FF74" i="23"/>
  <c r="IU72" i="23"/>
  <c r="GP72" i="23"/>
  <c r="DH72" i="22"/>
  <c r="ED72" i="23"/>
  <c r="EH72" i="22"/>
  <c r="C74" i="23"/>
  <c r="AR74" i="22"/>
  <c r="CQ74" i="23"/>
  <c r="MF74" i="22"/>
  <c r="DW72" i="23"/>
  <c r="AE74" i="23"/>
  <c r="JY74" i="23"/>
  <c r="LF74" i="23"/>
  <c r="NR74" i="23"/>
  <c r="MP74" i="22"/>
  <c r="GN72" i="23"/>
  <c r="MU74" i="23"/>
  <c r="GY72" i="23"/>
  <c r="HQ72" i="22"/>
  <c r="HF72" i="23"/>
  <c r="FE72" i="23"/>
  <c r="KU72" i="23"/>
  <c r="CE74" i="22"/>
  <c r="FL72" i="22"/>
  <c r="FX74" i="22"/>
  <c r="LA72" i="23"/>
  <c r="Y72" i="22"/>
  <c r="BD74" i="22"/>
  <c r="HN72" i="23"/>
  <c r="KO72" i="23"/>
  <c r="DL72" i="22"/>
  <c r="L72" i="22"/>
  <c r="HR74" i="22"/>
  <c r="KO74" i="22"/>
  <c r="IP74" i="22"/>
  <c r="FH72" i="22"/>
  <c r="HD74" i="23"/>
  <c r="MJ74" i="22"/>
  <c r="FB74" i="22"/>
  <c r="FQ74" i="22"/>
  <c r="CM72" i="23"/>
  <c r="GC74" i="23"/>
  <c r="KZ74" i="23"/>
  <c r="DQ74" i="22"/>
  <c r="LY74" i="22"/>
  <c r="HD72" i="23"/>
  <c r="KB74" i="23"/>
  <c r="GP74" i="22"/>
  <c r="W72" i="23"/>
  <c r="CG74" i="23"/>
  <c r="FP74" i="23"/>
  <c r="EF72" i="23"/>
  <c r="IW72" i="23"/>
  <c r="NY74" i="22"/>
  <c r="CJ72" i="22"/>
  <c r="KI72" i="23"/>
  <c r="EV74" i="22"/>
  <c r="BB74" i="22"/>
  <c r="NS74" i="23"/>
  <c r="NB74" i="23"/>
  <c r="FO74" i="23"/>
  <c r="KW74" i="23"/>
  <c r="DU74" i="23"/>
  <c r="LI74" i="23"/>
  <c r="EV72" i="23"/>
  <c r="EE72" i="22"/>
  <c r="LT72" i="23"/>
  <c r="LG74" i="23"/>
  <c r="CS74" i="23"/>
  <c r="LC72" i="23"/>
  <c r="GR74" i="22"/>
  <c r="DY72" i="22"/>
  <c r="DD74" i="23"/>
  <c r="MH74" i="23"/>
  <c r="Q72" i="22"/>
  <c r="IU74" i="23"/>
  <c r="IC72" i="22"/>
  <c r="MW74" i="22"/>
  <c r="X72" i="22"/>
  <c r="MF72" i="23"/>
  <c r="BA74" i="23"/>
  <c r="DB72" i="22"/>
  <c r="LP74" i="23"/>
  <c r="NZ74" i="22"/>
  <c r="CB74" i="23"/>
  <c r="CK74" i="22"/>
  <c r="JA72" i="22"/>
  <c r="JS74" i="23"/>
  <c r="KC72" i="23"/>
  <c r="BM72" i="23"/>
  <c r="JD74" i="22"/>
  <c r="EO72" i="23"/>
  <c r="HX72" i="23"/>
  <c r="I74" i="23"/>
  <c r="BP74" i="22"/>
  <c r="GT72" i="23"/>
  <c r="FB74" i="23"/>
  <c r="FS74" i="22"/>
  <c r="OD72" i="22"/>
  <c r="LX74" i="23"/>
  <c r="AW72" i="22"/>
  <c r="NJ74" i="23"/>
  <c r="DV74" i="23"/>
  <c r="HW74" i="22"/>
  <c r="EN74" i="23"/>
  <c r="AO72" i="23"/>
  <c r="HR74" i="23"/>
  <c r="GB74" i="22"/>
  <c r="KW74" i="22"/>
  <c r="BS74" i="23"/>
  <c r="OF74" i="22"/>
  <c r="CU74" i="23"/>
  <c r="KG74" i="22"/>
  <c r="LI72" i="23"/>
  <c r="EC72" i="22"/>
  <c r="MY74" i="22"/>
  <c r="DE72" i="22"/>
  <c r="GE74" i="22"/>
  <c r="CF72" i="23"/>
  <c r="GN74" i="22"/>
  <c r="FC72" i="23"/>
  <c r="BQ72" i="22"/>
  <c r="MC72" i="23"/>
  <c r="AN74" i="22"/>
  <c r="BN74" i="23"/>
  <c r="MQ72" i="23"/>
  <c r="HE72" i="23"/>
  <c r="LK72" i="22"/>
  <c r="JH74" i="22"/>
  <c r="EG72" i="22"/>
  <c r="GR74" i="23"/>
  <c r="IB74" i="23"/>
  <c r="GB72" i="22"/>
  <c r="HB74" i="23"/>
  <c r="GK74" i="22"/>
  <c r="ND74" i="23"/>
  <c r="ME72" i="23"/>
  <c r="JY72" i="22"/>
  <c r="DB72" i="23"/>
  <c r="DS74" i="22"/>
  <c r="LX72" i="23"/>
  <c r="FJ72" i="22"/>
  <c r="NB72" i="22"/>
  <c r="CL72" i="23"/>
  <c r="GU72" i="22"/>
  <c r="MD74" i="22"/>
  <c r="MP72" i="23"/>
  <c r="U72" i="22"/>
  <c r="NA72" i="22"/>
  <c r="FC72" i="22"/>
  <c r="LM74" i="22"/>
  <c r="BR72" i="23"/>
  <c r="AR72" i="23"/>
  <c r="LA72" i="22"/>
  <c r="GC72" i="23"/>
  <c r="MK74" i="23"/>
  <c r="EF74" i="23"/>
  <c r="DR74" i="23"/>
  <c r="AS72" i="22"/>
  <c r="KQ74" i="23"/>
  <c r="HL72" i="22"/>
  <c r="DL72" i="23"/>
  <c r="GG72" i="22"/>
  <c r="IO74" i="22"/>
  <c r="IO72" i="22"/>
  <c r="KJ74" i="23"/>
  <c r="IG74" i="23"/>
  <c r="IJ72" i="23"/>
  <c r="EJ72" i="23"/>
  <c r="MU74" i="22"/>
  <c r="AF74" i="23"/>
  <c r="AE74" i="22"/>
  <c r="KJ72" i="23"/>
  <c r="AD72" i="23"/>
  <c r="CA72" i="23"/>
  <c r="DU74" i="22"/>
  <c r="EL74" i="22"/>
  <c r="H74" i="23"/>
  <c r="CD72" i="22"/>
  <c r="NW74" i="22"/>
  <c r="EF72" i="22"/>
  <c r="EW72" i="22"/>
  <c r="IU74" i="22"/>
  <c r="MM74" i="23"/>
  <c r="BS74" i="22"/>
  <c r="HS72" i="22"/>
  <c r="O72" i="22"/>
  <c r="MQ72" i="22"/>
  <c r="FR74" i="22"/>
  <c r="DU72" i="22"/>
  <c r="DG74" i="23"/>
  <c r="BN74" i="22"/>
  <c r="ME72" i="22"/>
  <c r="GQ72" i="23"/>
  <c r="AH72" i="23"/>
  <c r="CV74" i="23"/>
  <c r="BB74" i="23"/>
  <c r="GS74" i="23"/>
  <c r="MJ72" i="22"/>
  <c r="LL74" i="22"/>
  <c r="HJ72" i="22"/>
  <c r="JR72" i="23"/>
  <c r="X74" i="22"/>
  <c r="BZ72" i="22"/>
  <c r="LJ74" i="22"/>
  <c r="FD74" i="22"/>
  <c r="FV74" i="22"/>
  <c r="HO74" i="23"/>
  <c r="BK74" i="22"/>
  <c r="JO72" i="22"/>
  <c r="IF72" i="22"/>
  <c r="NJ72" i="22"/>
  <c r="ED74" i="22"/>
  <c r="AB72" i="23"/>
  <c r="KX72" i="22"/>
  <c r="BU72" i="22"/>
  <c r="AN72" i="22"/>
  <c r="MP72" i="22"/>
  <c r="FP72" i="23"/>
  <c r="JB72" i="22"/>
  <c r="DZ72" i="23"/>
  <c r="AA72" i="22"/>
  <c r="JM74" i="22"/>
  <c r="DN72" i="22"/>
  <c r="LQ72" i="22"/>
  <c r="J72" i="23"/>
  <c r="LJ72" i="22"/>
  <c r="HL72" i="23"/>
  <c r="BY74" i="22"/>
  <c r="HQ72" i="23"/>
  <c r="CC72" i="23"/>
  <c r="I72" i="23"/>
  <c r="JE74" i="23"/>
  <c r="IR72" i="22"/>
  <c r="FU74" i="22"/>
  <c r="LH72" i="23"/>
  <c r="FE74" i="22"/>
  <c r="NG72" i="22"/>
  <c r="HU74" i="22"/>
  <c r="CZ74" i="23"/>
  <c r="N72" i="22"/>
  <c r="BW74" i="22"/>
  <c r="CO72" i="22"/>
  <c r="CW72" i="22"/>
  <c r="GC72" i="22"/>
  <c r="MW74" i="23"/>
  <c r="CB72" i="22"/>
  <c r="DC74" i="23"/>
  <c r="AC74" i="22"/>
  <c r="CT74" i="23"/>
  <c r="HX74" i="22"/>
  <c r="HI74" i="22"/>
  <c r="KD74" i="22"/>
  <c r="F72" i="23"/>
  <c r="KI72" i="22"/>
  <c r="HU72" i="23"/>
  <c r="AT72" i="22"/>
  <c r="NX74" i="22"/>
  <c r="CJ74" i="23"/>
  <c r="JT72" i="22"/>
  <c r="DP72" i="22"/>
  <c r="HQ74" i="22"/>
  <c r="CA74" i="23"/>
  <c r="DH74" i="23"/>
  <c r="EB72" i="22"/>
  <c r="CR74" i="23"/>
  <c r="GJ72" i="23"/>
  <c r="JK74" i="23"/>
  <c r="ME74" i="23"/>
  <c r="AJ74" i="22"/>
  <c r="GO74" i="23"/>
  <c r="EG74" i="22"/>
  <c r="Y74" i="22"/>
  <c r="DS74" i="23"/>
  <c r="DQ72" i="22"/>
  <c r="IS72" i="22"/>
  <c r="FJ74" i="23"/>
  <c r="CM74" i="22"/>
  <c r="EZ74" i="22"/>
  <c r="AC74" i="23"/>
  <c r="CM74" i="23"/>
  <c r="HT74" i="23"/>
  <c r="MB74" i="23"/>
  <c r="NM72" i="22"/>
  <c r="GB74" i="23"/>
  <c r="GX72" i="23"/>
  <c r="BW72" i="22"/>
  <c r="DE74" i="22"/>
  <c r="V74" i="22"/>
  <c r="DR72" i="22"/>
  <c r="EF74" i="22"/>
  <c r="BH72" i="22"/>
  <c r="GF72" i="23"/>
  <c r="EI72" i="23"/>
  <c r="EL72" i="22"/>
  <c r="IA72" i="23"/>
  <c r="GH72" i="23"/>
  <c r="HS72" i="23"/>
  <c r="JC74" i="22"/>
  <c r="NT74" i="22"/>
  <c r="CA72" i="22"/>
  <c r="LB72" i="23"/>
  <c r="KY74" i="23"/>
  <c r="CP74" i="23"/>
  <c r="JL74" i="22"/>
  <c r="BC72" i="22"/>
  <c r="GK72" i="23"/>
  <c r="ER74" i="22"/>
  <c r="NP72" i="22"/>
  <c r="AD72" i="22"/>
  <c r="NQ74" i="23"/>
  <c r="KB74" i="22"/>
  <c r="IG72" i="22"/>
  <c r="ED74" i="23"/>
  <c r="DL74" i="23"/>
  <c r="B72" i="23"/>
  <c r="NQ72" i="22"/>
  <c r="BV72" i="22"/>
  <c r="LV74" i="23"/>
  <c r="MT74" i="23"/>
  <c r="OA72" i="22"/>
  <c r="EY74" i="22"/>
  <c r="AT74" i="22"/>
  <c r="IE74" i="22"/>
  <c r="IC72" i="23"/>
  <c r="JV74" i="23"/>
  <c r="BQ72" i="23"/>
  <c r="BB72" i="23"/>
  <c r="T72" i="22"/>
  <c r="CP72" i="23"/>
  <c r="NE74" i="22"/>
  <c r="NJ74" i="22"/>
  <c r="BU74" i="22"/>
  <c r="ER74" i="23"/>
  <c r="IP72" i="23"/>
  <c r="GS72" i="22"/>
  <c r="JK74" i="22"/>
  <c r="JG72" i="22"/>
  <c r="MI74" i="22"/>
  <c r="G72" i="22"/>
  <c r="LU72" i="23"/>
  <c r="DA72" i="23"/>
  <c r="LE72" i="23"/>
  <c r="GX74" i="23"/>
  <c r="JF72" i="22"/>
  <c r="IJ74" i="23"/>
  <c r="AS74" i="22"/>
  <c r="ES72" i="22"/>
  <c r="JP74" i="23"/>
  <c r="EO74" i="22"/>
  <c r="DX72" i="23"/>
  <c r="EI74" i="23"/>
  <c r="KX74" i="22"/>
  <c r="IF72" i="23"/>
  <c r="KS72" i="22"/>
  <c r="EX72" i="22"/>
  <c r="NM74" i="23"/>
  <c r="IN74" i="22"/>
  <c r="BC72" i="23"/>
  <c r="KL74" i="22"/>
  <c r="O74" i="23"/>
  <c r="EA74" i="23"/>
  <c r="LD72" i="23"/>
  <c r="ED72" i="22"/>
  <c r="JL72" i="23"/>
  <c r="CZ72" i="23"/>
  <c r="ML74" i="23"/>
  <c r="BE74" i="22"/>
  <c r="T72" i="23"/>
  <c r="IN74" i="23"/>
  <c r="LN74" i="22"/>
  <c r="DK72" i="22"/>
  <c r="DY74" i="22"/>
  <c r="CZ74" i="22"/>
  <c r="GP74" i="23"/>
  <c r="S72" i="22"/>
  <c r="NI72" i="22"/>
  <c r="N72" i="23"/>
  <c r="AX74" i="22"/>
  <c r="W72" i="22"/>
  <c r="IW72" i="22"/>
  <c r="BM74" i="23"/>
  <c r="DD72" i="23"/>
  <c r="ET74" i="22"/>
  <c r="EZ72" i="22"/>
  <c r="JQ72" i="22"/>
  <c r="EM74" i="23"/>
  <c r="CH74" i="23"/>
  <c r="HL74" i="23"/>
  <c r="D74" i="22"/>
  <c r="IM74" i="23"/>
  <c r="CE72" i="22"/>
  <c r="GW74" i="23"/>
  <c r="AM72" i="22"/>
  <c r="BY74" i="23"/>
  <c r="FN72" i="22"/>
  <c r="BX74" i="22"/>
  <c r="EP74" i="23"/>
  <c r="AP74" i="22"/>
  <c r="MD74" i="23"/>
  <c r="GK74" i="23"/>
  <c r="AN74" i="23"/>
  <c r="HS74" i="22"/>
  <c r="CL74" i="22"/>
  <c r="AU74" i="22"/>
  <c r="NU74" i="22"/>
  <c r="CT72" i="23"/>
  <c r="DM74" i="23"/>
  <c r="JQ74" i="22"/>
  <c r="ML72" i="22"/>
  <c r="DT74" i="22"/>
  <c r="MQ74" i="23"/>
  <c r="EN72" i="22"/>
  <c r="BO72" i="23"/>
  <c r="EZ74" i="23"/>
  <c r="AU74" i="23"/>
  <c r="EH74" i="23"/>
  <c r="KS72" i="23"/>
  <c r="HZ72" i="22"/>
  <c r="HZ74" i="23"/>
  <c r="KW72" i="22"/>
  <c r="AO72" i="22"/>
  <c r="GO72" i="22"/>
  <c r="FT72" i="22"/>
  <c r="DC72" i="22"/>
  <c r="FV72" i="23"/>
  <c r="ES74" i="23"/>
  <c r="BZ74" i="22"/>
  <c r="CE72" i="23"/>
  <c r="CA74" i="22"/>
  <c r="BZ74" i="23"/>
  <c r="GX72" i="22"/>
  <c r="IT72" i="22"/>
  <c r="LP72" i="22"/>
  <c r="KQ72" i="22"/>
  <c r="C72" i="23"/>
  <c r="IQ72" i="23"/>
  <c r="ME74" i="22"/>
  <c r="EQ72" i="22"/>
  <c r="FA74" i="23"/>
  <c r="BI74" i="23"/>
  <c r="NT72" i="22"/>
  <c r="IH74" i="22"/>
  <c r="IM72" i="23"/>
  <c r="KU72" i="22"/>
  <c r="IN72" i="22"/>
  <c r="EO74" i="23"/>
  <c r="NP72" i="23"/>
  <c r="B72" i="22"/>
  <c r="BY72" i="22"/>
  <c r="NG74" i="23"/>
  <c r="MN74" i="22"/>
  <c r="JV74" i="22"/>
  <c r="FZ74" i="22"/>
  <c r="BX72" i="23"/>
  <c r="LN72" i="23"/>
  <c r="AJ74" i="23"/>
  <c r="LX74" i="22"/>
  <c r="JD72" i="22"/>
  <c r="JZ72" i="22"/>
  <c r="AT72" i="23"/>
  <c r="LT74" i="23"/>
  <c r="IM74" i="22"/>
  <c r="FX74" i="23"/>
  <c r="MR72" i="23"/>
  <c r="AP74" i="23"/>
  <c r="MG72" i="22"/>
  <c r="GG74" i="22"/>
  <c r="BE72" i="22"/>
  <c r="HM74" i="22"/>
  <c r="GT74" i="22"/>
  <c r="GD72" i="22"/>
  <c r="EM74" i="22"/>
  <c r="BO72" i="22"/>
  <c r="DA74" i="22"/>
  <c r="DM74" i="22"/>
  <c r="DJ74" i="22"/>
  <c r="CW74" i="23"/>
  <c r="GE72" i="22"/>
  <c r="AI74" i="23"/>
  <c r="FI72" i="23"/>
  <c r="IO74" i="23"/>
  <c r="HK72" i="23"/>
  <c r="MI72" i="22"/>
  <c r="HI72" i="23"/>
  <c r="LY72" i="22"/>
  <c r="CC72" i="22"/>
  <c r="EA72" i="22"/>
  <c r="EP72" i="23"/>
  <c r="KP72" i="22"/>
  <c r="IV72" i="23"/>
  <c r="MZ72" i="23"/>
  <c r="M72" i="22"/>
  <c r="BA74" i="22"/>
  <c r="E72" i="23"/>
  <c r="CV72" i="23"/>
  <c r="JC72" i="22"/>
  <c r="FQ72" i="23"/>
  <c r="CV74" i="22"/>
  <c r="AG72" i="23"/>
  <c r="ET74" i="23"/>
  <c r="OB74" i="22"/>
  <c r="LH72" i="22"/>
  <c r="KX74" i="23"/>
  <c r="CR72" i="22"/>
  <c r="BP72" i="22"/>
  <c r="DD72" i="22"/>
  <c r="LR72" i="23"/>
  <c r="MA74" i="23"/>
  <c r="J74" i="23"/>
  <c r="AI72" i="23"/>
  <c r="KP72" i="23"/>
  <c r="GF72" i="22"/>
  <c r="AG74" i="22"/>
  <c r="G74" i="22"/>
  <c r="P74" i="23"/>
  <c r="KN74" i="22"/>
  <c r="CX72" i="23"/>
  <c r="HF74" i="23"/>
  <c r="HO74" i="22"/>
  <c r="CS72" i="23"/>
  <c r="LE72" i="22"/>
  <c r="GV72" i="23"/>
  <c r="DS72" i="23"/>
  <c r="BN72" i="22"/>
  <c r="FK72" i="22"/>
  <c r="GM74" i="23"/>
  <c r="CG72" i="23"/>
  <c r="AQ72" i="22"/>
  <c r="JZ74" i="23"/>
  <c r="MU72" i="23"/>
  <c r="B74" i="22"/>
  <c r="HP74" i="23"/>
  <c r="NU72" i="22"/>
  <c r="GS74" i="22"/>
  <c r="GX74" i="22"/>
  <c r="AL74" i="23"/>
  <c r="JI74" i="23"/>
  <c r="JW74" i="23"/>
  <c r="GI72" i="22"/>
  <c r="MV74" i="23"/>
  <c r="HN74" i="22"/>
  <c r="DP74" i="22"/>
  <c r="ML74" i="22"/>
  <c r="HN74" i="23"/>
  <c r="LR72" i="22"/>
  <c r="KK74" i="22"/>
  <c r="KV72" i="23"/>
  <c r="HV72" i="23"/>
  <c r="LR74" i="23"/>
  <c r="DS72" i="22"/>
  <c r="KO74" i="23"/>
  <c r="K72" i="22"/>
  <c r="KR72" i="23"/>
  <c r="JP72" i="23"/>
  <c r="LD72" i="22"/>
  <c r="KG72" i="22"/>
  <c r="MO72" i="22"/>
  <c r="MO74" i="22"/>
  <c r="BQ74" i="22"/>
  <c r="LJ74" i="23"/>
  <c r="KC74" i="22"/>
  <c r="DC74" i="22"/>
  <c r="BQ74" i="23"/>
  <c r="NS74" i="22"/>
  <c r="CX72" i="22"/>
  <c r="IL74" i="23"/>
  <c r="BG74" i="23"/>
  <c r="JJ74" i="22"/>
  <c r="DV72" i="22"/>
  <c r="FB72" i="23"/>
  <c r="GF74" i="22"/>
  <c r="GD74" i="22"/>
  <c r="CK72" i="22"/>
  <c r="G72" i="23"/>
  <c r="EX74" i="22"/>
  <c r="DO74" i="22"/>
  <c r="BO74" i="22"/>
  <c r="AV72" i="23"/>
  <c r="FT72" i="23"/>
  <c r="CT74" i="22"/>
  <c r="DJ72" i="22"/>
  <c r="P72" i="22"/>
  <c r="X72" i="23"/>
  <c r="BI72" i="23"/>
  <c r="EU72" i="23"/>
  <c r="F74" i="22"/>
  <c r="J74" i="22"/>
  <c r="MD72" i="23"/>
  <c r="JQ72" i="23"/>
  <c r="AW74" i="23"/>
  <c r="BD72" i="22"/>
  <c r="FY74" i="22"/>
  <c r="GE74" i="23"/>
  <c r="BD72" i="23"/>
  <c r="LL72" i="23"/>
  <c r="MJ72" i="23"/>
  <c r="DP74" i="23"/>
  <c r="NR74" i="22"/>
  <c r="LV72" i="23"/>
  <c r="AM74" i="22"/>
  <c r="BI74" i="22"/>
  <c r="NP74" i="22"/>
  <c r="LP74" i="22"/>
  <c r="BS72" i="22"/>
  <c r="HH74" i="23"/>
  <c r="AQ74" i="22"/>
  <c r="BK72" i="23"/>
  <c r="IP74" i="23"/>
  <c r="IR74" i="22"/>
  <c r="DN74" i="22"/>
  <c r="HG74" i="23"/>
  <c r="CP74" i="22"/>
  <c r="GO72" i="23"/>
  <c r="MO72" i="23"/>
  <c r="HX74" i="23"/>
  <c r="KA72" i="23"/>
  <c r="EM72" i="23"/>
  <c r="FE74" i="23"/>
  <c r="MB72" i="23"/>
  <c r="KI74" i="23"/>
  <c r="S72" i="23"/>
  <c r="CT72" i="22"/>
  <c r="JM74" i="23"/>
  <c r="IC74" i="22"/>
  <c r="NC72" i="22"/>
  <c r="HV74" i="23"/>
  <c r="MG74" i="22"/>
  <c r="LJ72" i="23"/>
  <c r="DH74" i="22"/>
  <c r="BC74" i="23"/>
  <c r="DI74" i="22"/>
  <c r="IK74" i="22"/>
  <c r="MY72" i="23"/>
  <c r="LY74" i="23"/>
  <c r="FX72" i="23"/>
  <c r="EN72" i="23"/>
  <c r="GG74" i="23"/>
  <c r="IA72" i="22"/>
  <c r="HH72" i="23"/>
  <c r="IX74" i="22"/>
  <c r="AZ72" i="23"/>
  <c r="IS74" i="23"/>
  <c r="OB72" i="22"/>
  <c r="NB74" i="22"/>
  <c r="CG72" i="22"/>
  <c r="HP72" i="22"/>
  <c r="NR72" i="23"/>
  <c r="MS74" i="23"/>
  <c r="MK72" i="23"/>
  <c r="KN74" i="23"/>
  <c r="KY74" i="22"/>
  <c r="KF74" i="22"/>
  <c r="KE74" i="23"/>
  <c r="IY72" i="23"/>
  <c r="P72" i="23"/>
  <c r="CH74" i="22"/>
  <c r="NC74" i="23"/>
  <c r="GJ74" i="23"/>
  <c r="DR72" i="23"/>
  <c r="DJ74" i="23"/>
  <c r="FQ74" i="23"/>
  <c r="KF74" i="23"/>
  <c r="DT72" i="22"/>
  <c r="IL72" i="23"/>
  <c r="CU72" i="22"/>
  <c r="U74" i="23"/>
  <c r="LF72" i="23"/>
  <c r="AP72" i="22"/>
  <c r="GS72" i="23"/>
  <c r="DK74" i="23"/>
  <c r="HG72" i="23"/>
  <c r="BL74" i="23"/>
  <c r="EB72" i="23"/>
  <c r="NI74" i="22"/>
  <c r="NZ72" i="22"/>
  <c r="DZ74" i="22"/>
  <c r="EH74" i="22"/>
  <c r="KS74" i="22"/>
  <c r="H74" i="22"/>
  <c r="Q74" i="23"/>
  <c r="AA72" i="23"/>
  <c r="NA74" i="23"/>
  <c r="GH74" i="23"/>
  <c r="MH72" i="22"/>
  <c r="BS72" i="23"/>
  <c r="JZ72" i="23"/>
  <c r="EE72" i="23"/>
  <c r="NS72" i="23"/>
  <c r="EW74" i="23"/>
  <c r="NE74" i="23"/>
  <c r="JE72" i="22"/>
  <c r="HY74" i="23"/>
  <c r="AL72" i="22"/>
  <c r="NQ72" i="23"/>
  <c r="AS72" i="23"/>
  <c r="DO74" i="23"/>
  <c r="HC74" i="23"/>
  <c r="NA74" i="22"/>
  <c r="NC74" i="22"/>
  <c r="EI72" i="22"/>
  <c r="JU72" i="23"/>
  <c r="BL72" i="22"/>
  <c r="AL72" i="23"/>
  <c r="GN74" i="23"/>
  <c r="IH72" i="22"/>
  <c r="EO72" i="22"/>
  <c r="GI74" i="23"/>
  <c r="AH74" i="23"/>
  <c r="DI72" i="23"/>
  <c r="DQ74" i="23"/>
  <c r="AZ74" i="23"/>
  <c r="LL74" i="23"/>
  <c r="MZ72" i="22"/>
  <c r="FR72" i="23"/>
  <c r="LW74" i="22"/>
  <c r="DW74" i="23"/>
  <c r="BE72" i="23"/>
  <c r="FK74" i="22"/>
  <c r="EY74" i="23"/>
  <c r="DB74" i="22"/>
  <c r="IT74" i="23"/>
  <c r="GQ74" i="23"/>
  <c r="LK74" i="22"/>
  <c r="NH74" i="23"/>
  <c r="LM72" i="23"/>
  <c r="CX74" i="23"/>
  <c r="DG72" i="23"/>
  <c r="CY74" i="22"/>
  <c r="BF72" i="22"/>
  <c r="EJ74" i="22"/>
  <c r="MA72" i="23"/>
  <c r="GA74" i="22"/>
  <c r="FC74" i="22"/>
  <c r="EY72" i="22"/>
  <c r="BI72" i="22"/>
  <c r="DF74" i="23"/>
  <c r="LT74" i="22"/>
  <c r="OE74" i="22"/>
  <c r="CY72" i="22"/>
  <c r="AX72" i="23"/>
  <c r="CJ74" i="22"/>
  <c r="KE72" i="22"/>
  <c r="NK74" i="23"/>
  <c r="DF72" i="22"/>
  <c r="H72" i="22"/>
  <c r="DQ72" i="23"/>
  <c r="EC72" i="23"/>
  <c r="DT72" i="23"/>
  <c r="BU74" i="23"/>
  <c r="JH72" i="23"/>
  <c r="AM72" i="23"/>
  <c r="HA72" i="23"/>
  <c r="IE72" i="23"/>
  <c r="MT72" i="22"/>
  <c r="AJ72" i="23"/>
  <c r="GY74" i="23"/>
  <c r="EK74" i="23"/>
  <c r="FM72" i="22"/>
  <c r="HK74" i="23"/>
  <c r="GZ74" i="22"/>
  <c r="LU72" i="22"/>
  <c r="DG74" i="22"/>
  <c r="CY74" i="23"/>
  <c r="ES74" i="22"/>
  <c r="JO74" i="22"/>
  <c r="FW74" i="22"/>
  <c r="BT72" i="22"/>
  <c r="FR72" i="22"/>
  <c r="LF72" i="22"/>
  <c r="BD74" i="23"/>
  <c r="CB74" i="22"/>
  <c r="HH72" i="22"/>
  <c r="KM74" i="23"/>
  <c r="FZ74" i="23"/>
  <c r="MF72" i="22"/>
  <c r="L74" i="22"/>
  <c r="FX72" i="22"/>
  <c r="GF74" i="23"/>
  <c r="KN72" i="23"/>
  <c r="NF74" i="23"/>
  <c r="GD74" i="23"/>
  <c r="JK72" i="23"/>
  <c r="C74" i="22"/>
  <c r="JZ74" i="22"/>
  <c r="NX72" i="22"/>
  <c r="NP74" i="23"/>
  <c r="NQ74" i="22"/>
  <c r="HK74" i="22"/>
  <c r="JX72" i="22"/>
  <c r="KK72" i="23"/>
  <c r="NK74" i="22"/>
  <c r="CK74" i="23"/>
  <c r="LG72" i="23"/>
  <c r="KJ72" i="22"/>
  <c r="AZ72" i="22"/>
  <c r="BV74" i="23"/>
  <c r="IA74" i="23"/>
  <c r="BY72" i="23"/>
  <c r="DE72" i="23"/>
  <c r="JS72" i="23"/>
  <c r="IQ72" i="22"/>
  <c r="IZ74" i="22"/>
  <c r="KF72" i="23"/>
  <c r="FS72" i="22"/>
  <c r="JV72" i="22"/>
  <c r="NE72" i="22"/>
  <c r="DX74" i="22"/>
  <c r="EV72" i="22"/>
  <c r="KW72" i="23"/>
  <c r="CU74" i="22"/>
  <c r="HT72" i="23"/>
  <c r="GC74" i="22"/>
  <c r="HA72" i="22"/>
  <c r="FN72" i="23"/>
  <c r="IQ74" i="23"/>
  <c r="AV72" i="22"/>
  <c r="FD72" i="23"/>
  <c r="IN72" i="23"/>
  <c r="NN74" i="23"/>
  <c r="CN72" i="23"/>
  <c r="DV72" i="23"/>
  <c r="MC72" i="22"/>
  <c r="DM72" i="22"/>
  <c r="IZ72" i="23"/>
  <c r="OE72" i="22"/>
  <c r="CQ72" i="23"/>
  <c r="BL74" i="22"/>
  <c r="LS74" i="23"/>
  <c r="KZ74" i="22"/>
  <c r="CX74" i="22"/>
  <c r="IQ74" i="22"/>
  <c r="NO74" i="23"/>
  <c r="DG72" i="22"/>
  <c r="O74" i="22"/>
  <c r="IG74" i="22"/>
  <c r="LO74" i="23"/>
  <c r="KD72" i="22"/>
  <c r="CQ72" i="22"/>
  <c r="CL74" i="23"/>
  <c r="KY72" i="23"/>
  <c r="GA72" i="23"/>
  <c r="C72" i="22"/>
  <c r="JJ74" i="23"/>
  <c r="KO72" i="22"/>
  <c r="DK72" i="23"/>
  <c r="LS74" i="22"/>
  <c r="AV74" i="23"/>
  <c r="E74" i="23"/>
  <c r="NL72" i="22"/>
  <c r="LP72" i="23"/>
  <c r="EY72" i="23"/>
  <c r="GZ72" i="23"/>
  <c r="BU72" i="23"/>
  <c r="EE74" i="22"/>
  <c r="F74" i="23"/>
  <c r="LG72" i="22"/>
  <c r="AY72" i="23"/>
  <c r="H72" i="23"/>
  <c r="LQ74" i="23"/>
  <c r="JT72" i="23"/>
  <c r="AC72" i="23"/>
  <c r="GA72" i="22"/>
  <c r="IF74" i="23"/>
  <c r="FG74" i="22"/>
  <c r="DY72" i="23"/>
  <c r="NS72" i="22"/>
  <c r="LA74" i="22"/>
  <c r="CE74" i="23"/>
  <c r="AN72" i="23"/>
  <c r="NC72" i="23"/>
  <c r="AU72" i="22"/>
  <c r="JA72" i="23"/>
  <c r="HR72" i="23"/>
  <c r="NY72" i="22"/>
  <c r="NI74" i="23"/>
  <c r="FR74" i="23"/>
  <c r="EN74" i="22"/>
  <c r="GV74" i="23"/>
  <c r="JJ72" i="23"/>
  <c r="FH72" i="23"/>
  <c r="M72" i="23"/>
  <c r="KA72" i="22"/>
  <c r="X74" i="23"/>
  <c r="MQ74" i="22"/>
  <c r="FU74" i="23"/>
  <c r="FN74" i="23"/>
  <c r="IZ74" i="23"/>
  <c r="LY72" i="23"/>
  <c r="NH72" i="22"/>
  <c r="NG74" i="22"/>
  <c r="AK74" i="23"/>
  <c r="IX72" i="23"/>
  <c r="FF72" i="23"/>
  <c r="DT74" i="23"/>
  <c r="AB74" i="23"/>
  <c r="MD72" i="22"/>
  <c r="MS74" i="22"/>
  <c r="IC74" i="23"/>
  <c r="HN72" i="22"/>
  <c r="HA74" i="22"/>
  <c r="FP72" i="22"/>
  <c r="EM72" i="22"/>
  <c r="KC72" i="22"/>
  <c r="CH72" i="22"/>
  <c r="FS72" i="23"/>
  <c r="CR72" i="23"/>
  <c r="JB72" i="23"/>
  <c r="BZ72" i="23"/>
  <c r="BB72" i="22"/>
  <c r="JR74" i="23"/>
  <c r="CF72" i="22"/>
  <c r="LI72" i="22"/>
  <c r="BP72" i="23"/>
  <c r="BG72" i="22"/>
  <c r="BR74" i="23"/>
  <c r="GV74" i="22"/>
  <c r="IK72" i="23"/>
  <c r="FO74" i="22"/>
  <c r="NL74" i="22"/>
  <c r="Z72" i="22"/>
  <c r="LI74" i="22"/>
  <c r="BN72" i="23"/>
  <c r="GU74" i="23"/>
  <c r="LN74" i="23"/>
  <c r="OA74" i="22"/>
  <c r="Z74" i="22"/>
  <c r="MR72" i="22"/>
  <c r="NF74" i="22"/>
  <c r="FE72" i="22"/>
  <c r="AM74" i="23"/>
  <c r="NA72" i="23"/>
  <c r="MJ74" i="23"/>
  <c r="HG72" i="22"/>
  <c r="KH74" i="22"/>
  <c r="K72" i="23"/>
  <c r="EL72" i="23"/>
  <c r="IB72" i="23"/>
  <c r="OF72" i="22"/>
  <c r="LU74" i="22"/>
  <c r="ML72" i="23"/>
  <c r="ID72" i="23"/>
  <c r="JP72" i="22"/>
  <c r="NN72" i="23"/>
  <c r="MM74" i="22"/>
  <c r="JE72" i="23"/>
  <c r="AH74" i="22"/>
  <c r="MV74" i="22"/>
  <c r="NK72" i="22"/>
  <c r="IS72" i="23"/>
  <c r="GG72" i="23"/>
  <c r="FT74" i="23"/>
  <c r="FY74" i="23"/>
  <c r="AH72" i="22"/>
  <c r="IR74" i="23"/>
  <c r="MI74" i="23"/>
  <c r="BJ74" i="22"/>
  <c r="JC72" i="23"/>
  <c r="AG72" i="22"/>
  <c r="Q72" i="23"/>
  <c r="AI74" i="22"/>
  <c r="JT74" i="22"/>
  <c r="GL74" i="22"/>
  <c r="R74" i="23"/>
  <c r="JW72" i="23"/>
  <c r="ID74" i="23"/>
  <c r="ND72" i="23"/>
  <c r="NT72" i="23"/>
  <c r="MS72" i="22"/>
  <c r="F72" i="22"/>
  <c r="CW74" i="22"/>
  <c r="CB72" i="23"/>
  <c r="HG74" i="22"/>
  <c r="U74" i="22"/>
  <c r="MW72" i="23"/>
  <c r="HC72" i="23"/>
  <c r="II74" i="22"/>
  <c r="KB72" i="23"/>
  <c r="LO72" i="23"/>
  <c r="KY72" i="22"/>
  <c r="M74" i="22"/>
  <c r="MC74" i="23"/>
  <c r="GP72" i="22"/>
  <c r="DO72" i="22"/>
  <c r="AE72" i="22"/>
  <c r="GJ72" i="22"/>
  <c r="KB72" i="22"/>
  <c r="LN72" i="22"/>
  <c r="AX74" i="23"/>
  <c r="CZ72" i="22"/>
  <c r="CS74" i="22"/>
  <c r="EH72" i="23"/>
  <c r="LW72" i="23"/>
  <c r="LB74" i="22"/>
  <c r="CI74" i="22"/>
  <c r="IK72" i="22"/>
  <c r="MM72" i="23"/>
  <c r="LL72" i="22"/>
  <c r="JT74" i="23"/>
  <c r="MB74" i="22"/>
  <c r="LU74" i="23"/>
  <c r="Y74" i="23"/>
  <c r="Y72" i="23"/>
  <c r="JH72" i="22"/>
  <c r="EK72" i="22"/>
  <c r="LK72" i="23"/>
  <c r="CH72" i="23"/>
  <c r="IY72" i="22"/>
  <c r="JU74" i="23"/>
  <c r="MT72" i="23"/>
  <c r="KV74" i="22"/>
  <c r="DX74" i="23"/>
  <c r="FJ74" i="22"/>
  <c r="LD74" i="23"/>
  <c r="Z72" i="23"/>
  <c r="IY74" i="23"/>
  <c r="LT72" i="22"/>
  <c r="KK74" i="23"/>
  <c r="JX74" i="23"/>
  <c r="BT74" i="22"/>
  <c r="G74" i="23"/>
  <c r="HP72" i="23"/>
  <c r="GY74" i="22"/>
  <c r="AZ74" i="22"/>
  <c r="HP74" i="22"/>
  <c r="AP72" i="23"/>
  <c r="KV72" i="22"/>
  <c r="MZ74" i="23"/>
  <c r="JN72" i="23"/>
  <c r="IJ72" i="22"/>
  <c r="DN72" i="23"/>
</calcChain>
</file>

<file path=xl/sharedStrings.xml><?xml version="1.0" encoding="utf-8"?>
<sst xmlns="http://schemas.openxmlformats.org/spreadsheetml/2006/main" count="93" uniqueCount="55">
  <si>
    <t>年份</t>
  </si>
  <si>
    <t>1月均值</t>
  </si>
  <si>
    <t>2月均值</t>
  </si>
  <si>
    <t>3月均值</t>
  </si>
  <si>
    <t>4月均值</t>
  </si>
  <si>
    <t>5月均值</t>
  </si>
  <si>
    <t>6月均值</t>
  </si>
  <si>
    <t>7月均值</t>
  </si>
  <si>
    <t>8月均值</t>
  </si>
  <si>
    <t>9月均值</t>
  </si>
  <si>
    <t>10月均值</t>
  </si>
  <si>
    <t>11月均值</t>
  </si>
  <si>
    <t>12月均值</t>
  </si>
  <si>
    <t>年均值</t>
  </si>
  <si>
    <t>年最大值</t>
  </si>
  <si>
    <t>最大值日期</t>
  </si>
  <si>
    <t>年最小值</t>
  </si>
  <si>
    <t>最小值日期</t>
  </si>
  <si>
    <t>年径流量</t>
  </si>
  <si>
    <t>计算</t>
    <phoneticPr fontId="3" type="noConversion"/>
  </si>
  <si>
    <t>年鉴</t>
    <phoneticPr fontId="3" type="noConversion"/>
  </si>
  <si>
    <t>年径流深</t>
    <phoneticPr fontId="3" type="noConversion"/>
  </si>
  <si>
    <t>年径流模数</t>
    <phoneticPr fontId="3" type="noConversion"/>
  </si>
  <si>
    <t>日期</t>
    <phoneticPr fontId="3" type="noConversion"/>
  </si>
  <si>
    <t>日期</t>
    <phoneticPr fontId="3" type="noConversion"/>
  </si>
  <si>
    <t>年均流量</t>
    <phoneticPr fontId="3" type="noConversion"/>
  </si>
  <si>
    <t>汛期</t>
  </si>
  <si>
    <t>%</t>
    <phoneticPr fontId="3" type="noConversion"/>
  </si>
  <si>
    <t>主汛期</t>
  </si>
  <si>
    <t>非汛期</t>
  </si>
  <si>
    <t>最大月</t>
  </si>
  <si>
    <t>5-10月</t>
    <phoneticPr fontId="3" type="noConversion"/>
  </si>
  <si>
    <t>6-9月</t>
    <phoneticPr fontId="3" type="noConversion"/>
  </si>
  <si>
    <t>控制面积</t>
    <phoneticPr fontId="3" type="noConversion"/>
  </si>
  <si>
    <t>L/(s*km2)</t>
  </si>
  <si>
    <t>mm</t>
    <phoneticPr fontId="3" type="noConversion"/>
  </si>
  <si>
    <r>
      <t>m</t>
    </r>
    <r>
      <rPr>
        <sz val="11"/>
        <color theme="1"/>
        <rFont val="宋体"/>
        <family val="3"/>
        <charset val="134"/>
        <scheme val="minor"/>
      </rPr>
      <t>ax</t>
    </r>
    <phoneticPr fontId="2" type="noConversion"/>
  </si>
  <si>
    <r>
      <t>m</t>
    </r>
    <r>
      <rPr>
        <sz val="11"/>
        <color theme="1"/>
        <rFont val="宋体"/>
        <family val="3"/>
        <charset val="134"/>
        <scheme val="minor"/>
      </rPr>
      <t>in</t>
    </r>
    <phoneticPr fontId="2" type="noConversion"/>
  </si>
  <si>
    <r>
      <t>m</t>
    </r>
    <r>
      <rPr>
        <sz val="11"/>
        <color theme="1"/>
        <rFont val="宋体"/>
        <family val="3"/>
        <charset val="134"/>
        <scheme val="minor"/>
      </rPr>
      <t>ean</t>
    </r>
    <phoneticPr fontId="2" type="noConversion"/>
  </si>
  <si>
    <t>max年</t>
    <phoneticPr fontId="2" type="noConversion"/>
  </si>
  <si>
    <t>min年</t>
    <phoneticPr fontId="2" type="noConversion"/>
  </si>
  <si>
    <t>1950-1960</t>
    <phoneticPr fontId="2" type="noConversion"/>
  </si>
  <si>
    <t>1961-1970</t>
    <phoneticPr fontId="2" type="noConversion"/>
  </si>
  <si>
    <t>1971-1980</t>
    <phoneticPr fontId="2" type="noConversion"/>
  </si>
  <si>
    <t>1981-1990</t>
    <phoneticPr fontId="2" type="noConversion"/>
  </si>
  <si>
    <t>1991-2000</t>
    <phoneticPr fontId="2" type="noConversion"/>
  </si>
  <si>
    <t>2001-2010</t>
    <phoneticPr fontId="2" type="noConversion"/>
  </si>
  <si>
    <t>2011-2016</t>
    <phoneticPr fontId="2" type="noConversion"/>
  </si>
  <si>
    <t>1950-2002</t>
    <phoneticPr fontId="2" type="noConversion"/>
  </si>
  <si>
    <t>2003-2016</t>
    <phoneticPr fontId="2" type="noConversion"/>
  </si>
  <si>
    <t>1950-1990</t>
    <phoneticPr fontId="2" type="noConversion"/>
  </si>
  <si>
    <t>1991-2016</t>
    <phoneticPr fontId="2" type="noConversion"/>
  </si>
  <si>
    <t>cv</t>
    <phoneticPr fontId="1" type="noConversion"/>
  </si>
  <si>
    <t>cs</t>
    <phoneticPr fontId="1" type="noConversion"/>
  </si>
  <si>
    <r>
      <t>m</t>
    </r>
    <r>
      <rPr>
        <sz val="11"/>
        <color theme="1"/>
        <rFont val="宋体"/>
        <family val="3"/>
        <charset val="134"/>
        <scheme val="minor"/>
      </rPr>
      <t>ean%</t>
    </r>
    <phoneticPr fontId="3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</si>
</sst>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5">
    <numFmt numFmtId="176" formatCode="0_ "/>
    <numFmt numFmtId="177" formatCode="0.00_ "/>
    <numFmt numFmtId="178" formatCode="0.0_ "/>
    <numFmt numFmtId="179" formatCode="0.0000000_);\(0.0000000\)"/>
    <numFmt numFmtId="180" formatCode="m&quot;月&quot;d&quot;日&quot;;@"/>
  </numFmts>
  <fonts count="6" x14ac:knownFonts="1">
    <font>
      <sz val="11"/>
      <color theme="1"/>
      <name val="宋体"/>
      <charset val="134"/>
      <scheme val="minor"/>
    </font>
    <font>
      <sz val="9"/>
      <name val="宋体"/>
      <family val="3"/>
      <charset val="134"/>
    </font>
    <font>
      <sz val="9"/>
      <name val="宋体"/>
      <family val="3"/>
      <charset val="134"/>
      <scheme val="minor"/>
    </font>
    <font>
      <sz val="9"/>
      <name val="宋体"/>
      <family val="3"/>
      <charset val="134"/>
      <scheme val="minor"/>
    </font>
    <font>
      <sz val="11"/>
      <color theme="1"/>
      <name val="宋体"/>
      <family val="3"/>
      <charset val="134"/>
      <scheme val="minor"/>
    </font>
    <font>
      <sz val="12"/>
      <name val="Times New Roman"/>
      <family val="1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>
      <alignment vertical="center"/>
    </xf>
  </cellStyleXfs>
  <cellXfs count="21">
    <xf numFmtId="0" fontId="0" fillId="0" borderId="0" xfId="0">
      <alignment vertical="center"/>
    </xf>
    <xf numFmtId="0" fontId="0" fillId="0" borderId="0" xfId="0" applyAlignment="1"/>
    <xf numFmtId="0" fontId="0" fillId="0" borderId="0" xfId="0" applyAlignment="1">
      <alignment vertical="center"/>
    </xf>
    <xf numFmtId="58" fontId="0" fillId="0" borderId="0" xfId="0" applyNumberFormat="1" applyAlignment="1">
      <alignment vertical="center"/>
    </xf>
    <xf numFmtId="22" fontId="0" fillId="0" borderId="0" xfId="0" applyNumberFormat="1" applyAlignment="1">
      <alignment vertical="center"/>
    </xf>
    <xf numFmtId="177" fontId="0" fillId="0" borderId="0" xfId="0" applyNumberFormat="1">
      <alignment vertical="center"/>
    </xf>
    <xf numFmtId="177" fontId="0" fillId="0" borderId="0" xfId="0" applyNumberFormat="1" applyAlignment="1">
      <alignment vertical="center"/>
    </xf>
    <xf numFmtId="176" fontId="0" fillId="0" borderId="0" xfId="0" applyNumberFormat="1" applyAlignment="1">
      <alignment vertical="center"/>
    </xf>
    <xf numFmtId="0" fontId="4" fillId="0" borderId="0" xfId="0" applyFont="1" applyAlignment="1">
      <alignment vertical="center"/>
    </xf>
    <xf numFmtId="0" fontId="4" fillId="0" borderId="0" xfId="0" applyFont="1" applyAlignment="1"/>
    <xf numFmtId="0" fontId="0" fillId="0" borderId="0" xfId="0" applyFont="1" applyAlignment="1">
      <alignment vertical="center"/>
    </xf>
    <xf numFmtId="177" fontId="0" fillId="0" borderId="0" xfId="0" applyNumberFormat="1" applyAlignment="1"/>
    <xf numFmtId="178" fontId="0" fillId="0" borderId="0" xfId="0" applyNumberFormat="1" applyAlignment="1"/>
    <xf numFmtId="176" fontId="0" fillId="0" borderId="0" xfId="0" applyNumberFormat="1" applyAlignment="1"/>
    <xf numFmtId="176" fontId="4" fillId="0" borderId="0" xfId="0" applyNumberFormat="1" applyFont="1" applyAlignment="1">
      <alignment vertical="center"/>
    </xf>
    <xf numFmtId="0" fontId="0" fillId="0" borderId="0" xfId="0" applyFont="1" applyAlignment="1"/>
    <xf numFmtId="0" fontId="5" fillId="0" borderId="0" xfId="0" applyFont="1" applyAlignment="1" applyProtection="1">
      <protection locked="0"/>
    </xf>
    <xf numFmtId="2" fontId="0" fillId="0" borderId="0" xfId="0" applyNumberFormat="1" applyAlignment="1"/>
    <xf numFmtId="179" fontId="0" fillId="0" borderId="0" xfId="0" applyNumberFormat="1" applyAlignment="1"/>
    <xf numFmtId="180" fontId="0" fillId="0" borderId="0" xfId="0" applyNumberFormat="1" applyAlignment="1"/>
    <xf numFmtId="0" fontId="4" fillId="0" borderId="0" xfId="0" applyFont="1" applyAlignment="1">
      <alignment horizontal="center" vertical="center"/>
    </xf>
  </cellXfs>
  <cellStyles count="1">
    <cellStyle name="常规" xfId="0" builtinId="0"/>
  </cellStyles>
  <dxfs count="2">
    <dxf>
      <font>
        <b/>
        <i val="0"/>
      </font>
      <fill>
        <patternFill>
          <bgColor rgb="FFD7D7D7"/>
        </patternFill>
      </fill>
    </dxf>
    <dxf>
      <font>
        <b val="0"/>
        <i val="0"/>
      </font>
      <fill>
        <patternFill patternType="none">
          <bgColor indexed="65"/>
        </patternFill>
      </fill>
    </dxf>
  </dxfs>
  <tableStyles count="1" defaultTableStyle="TableStyleMedium2" defaultPivotStyle="PivotStyleLight16">
    <tableStyle name="MySqlDefault" pivot="0" table="0" count="2" xr9:uid="{00000000-0011-0000-FFFF-FFFF00000000}">
      <tableStyleElement type="wholeTable" dxfId="1"/>
      <tableStyleElement type="headerRow" dxfId="0"/>
    </tableStyle>
  </tableStyles>
  <colors>
    <mruColors>
      <color rgb="FF2304B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OE89"/>
  <sheetViews>
    <sheetView zoomScale="85" zoomScaleNormal="85" workbookViewId="0">
      <pane xSplit="1" ySplit="2" topLeftCell="MY3" activePane="bottomRight" state="frozen"/>
      <selection pane="topRight" activeCell="B1" sqref="B1"/>
      <selection pane="bottomLeft" activeCell="A3" sqref="A3"/>
      <selection pane="bottomRight" activeCell="ND3" sqref="ND3:NP69"/>
    </sheetView>
  </sheetViews>
  <sheetFormatPr defaultColWidth="8.75" defaultRowHeight="13.5" x14ac:dyDescent="0.15"/>
  <cols>
    <col min="1" max="16384" width="8.75" style="1"/>
  </cols>
  <sheetData>
    <row r="1" spans="1:385" x14ac:dyDescent="0.15">
      <c r="A1" s="2" t="s">
        <v>0</v>
      </c>
      <c r="B1" s="3">
        <v>42370</v>
      </c>
      <c r="C1" s="3">
        <v>42371</v>
      </c>
      <c r="D1" s="3">
        <v>42372</v>
      </c>
      <c r="E1" s="3">
        <v>42373</v>
      </c>
      <c r="F1" s="3">
        <v>42374</v>
      </c>
      <c r="G1" s="3">
        <v>42375</v>
      </c>
      <c r="H1" s="3">
        <v>42376</v>
      </c>
      <c r="I1" s="3">
        <v>42377</v>
      </c>
      <c r="J1" s="3">
        <v>42378</v>
      </c>
      <c r="K1" s="3">
        <v>42379</v>
      </c>
      <c r="L1" s="3">
        <v>42380</v>
      </c>
      <c r="M1" s="3">
        <v>42381</v>
      </c>
      <c r="N1" s="3">
        <v>42382</v>
      </c>
      <c r="O1" s="3">
        <v>42383</v>
      </c>
      <c r="P1" s="3">
        <v>42384</v>
      </c>
      <c r="Q1" s="3">
        <v>42385</v>
      </c>
      <c r="R1" s="3">
        <v>42386</v>
      </c>
      <c r="S1" s="3">
        <v>42387</v>
      </c>
      <c r="T1" s="3">
        <v>42388</v>
      </c>
      <c r="U1" s="3">
        <v>42389</v>
      </c>
      <c r="V1" s="3">
        <v>42390</v>
      </c>
      <c r="W1" s="3">
        <v>42391</v>
      </c>
      <c r="X1" s="3">
        <v>42392</v>
      </c>
      <c r="Y1" s="3">
        <v>42393</v>
      </c>
      <c r="Z1" s="3">
        <v>42394</v>
      </c>
      <c r="AA1" s="3">
        <v>42395</v>
      </c>
      <c r="AB1" s="3">
        <v>42396</v>
      </c>
      <c r="AC1" s="3">
        <v>42397</v>
      </c>
      <c r="AD1" s="3">
        <v>42398</v>
      </c>
      <c r="AE1" s="3">
        <v>42399</v>
      </c>
      <c r="AF1" s="3">
        <v>42400</v>
      </c>
      <c r="AG1" s="3">
        <v>42401</v>
      </c>
      <c r="AH1" s="3">
        <v>42402</v>
      </c>
      <c r="AI1" s="3">
        <v>42403</v>
      </c>
      <c r="AJ1" s="3">
        <v>42404</v>
      </c>
      <c r="AK1" s="3">
        <v>42405</v>
      </c>
      <c r="AL1" s="3">
        <v>42406</v>
      </c>
      <c r="AM1" s="3">
        <v>42407</v>
      </c>
      <c r="AN1" s="3">
        <v>42408</v>
      </c>
      <c r="AO1" s="3">
        <v>42409</v>
      </c>
      <c r="AP1" s="3">
        <v>42410</v>
      </c>
      <c r="AQ1" s="3">
        <v>42411</v>
      </c>
      <c r="AR1" s="3">
        <v>42412</v>
      </c>
      <c r="AS1" s="3">
        <v>42413</v>
      </c>
      <c r="AT1" s="3">
        <v>42414</v>
      </c>
      <c r="AU1" s="3">
        <v>42415</v>
      </c>
      <c r="AV1" s="3">
        <v>42416</v>
      </c>
      <c r="AW1" s="3">
        <v>42417</v>
      </c>
      <c r="AX1" s="3">
        <v>42418</v>
      </c>
      <c r="AY1" s="3">
        <v>42419</v>
      </c>
      <c r="AZ1" s="3">
        <v>42420</v>
      </c>
      <c r="BA1" s="3">
        <v>42421</v>
      </c>
      <c r="BB1" s="3">
        <v>42422</v>
      </c>
      <c r="BC1" s="3">
        <v>42423</v>
      </c>
      <c r="BD1" s="3">
        <v>42424</v>
      </c>
      <c r="BE1" s="3">
        <v>42425</v>
      </c>
      <c r="BF1" s="3">
        <v>42426</v>
      </c>
      <c r="BG1" s="3">
        <v>42427</v>
      </c>
      <c r="BH1" s="3">
        <v>42428</v>
      </c>
      <c r="BI1" s="3">
        <v>42429</v>
      </c>
      <c r="BJ1" s="3">
        <v>42430</v>
      </c>
      <c r="BK1" s="3">
        <v>42431</v>
      </c>
      <c r="BL1" s="3">
        <v>42432</v>
      </c>
      <c r="BM1" s="3">
        <v>42433</v>
      </c>
      <c r="BN1" s="3">
        <v>42434</v>
      </c>
      <c r="BO1" s="3">
        <v>42435</v>
      </c>
      <c r="BP1" s="3">
        <v>42436</v>
      </c>
      <c r="BQ1" s="3">
        <v>42437</v>
      </c>
      <c r="BR1" s="3">
        <v>42438</v>
      </c>
      <c r="BS1" s="3">
        <v>42439</v>
      </c>
      <c r="BT1" s="3">
        <v>42440</v>
      </c>
      <c r="BU1" s="3">
        <v>42441</v>
      </c>
      <c r="BV1" s="3">
        <v>42442</v>
      </c>
      <c r="BW1" s="3">
        <v>42443</v>
      </c>
      <c r="BX1" s="3">
        <v>42444</v>
      </c>
      <c r="BY1" s="3">
        <v>42445</v>
      </c>
      <c r="BZ1" s="3">
        <v>42446</v>
      </c>
      <c r="CA1" s="3">
        <v>42447</v>
      </c>
      <c r="CB1" s="3">
        <v>42448</v>
      </c>
      <c r="CC1" s="3">
        <v>42449</v>
      </c>
      <c r="CD1" s="3">
        <v>42450</v>
      </c>
      <c r="CE1" s="3">
        <v>42451</v>
      </c>
      <c r="CF1" s="3">
        <v>42452</v>
      </c>
      <c r="CG1" s="3">
        <v>42453</v>
      </c>
      <c r="CH1" s="3">
        <v>42454</v>
      </c>
      <c r="CI1" s="3">
        <v>42455</v>
      </c>
      <c r="CJ1" s="3">
        <v>42456</v>
      </c>
      <c r="CK1" s="3">
        <v>42457</v>
      </c>
      <c r="CL1" s="3">
        <v>42458</v>
      </c>
      <c r="CM1" s="3">
        <v>42459</v>
      </c>
      <c r="CN1" s="3">
        <v>42460</v>
      </c>
      <c r="CO1" s="3">
        <v>42461</v>
      </c>
      <c r="CP1" s="3">
        <v>42462</v>
      </c>
      <c r="CQ1" s="3">
        <v>42463</v>
      </c>
      <c r="CR1" s="3">
        <v>42464</v>
      </c>
      <c r="CS1" s="3">
        <v>42465</v>
      </c>
      <c r="CT1" s="3">
        <v>42466</v>
      </c>
      <c r="CU1" s="3">
        <v>42467</v>
      </c>
      <c r="CV1" s="3">
        <v>42468</v>
      </c>
      <c r="CW1" s="3">
        <v>42469</v>
      </c>
      <c r="CX1" s="3">
        <v>42470</v>
      </c>
      <c r="CY1" s="3">
        <v>42471</v>
      </c>
      <c r="CZ1" s="3">
        <v>42472</v>
      </c>
      <c r="DA1" s="3">
        <v>42473</v>
      </c>
      <c r="DB1" s="3">
        <v>42474</v>
      </c>
      <c r="DC1" s="3">
        <v>42475</v>
      </c>
      <c r="DD1" s="3">
        <v>42476</v>
      </c>
      <c r="DE1" s="3">
        <v>42477</v>
      </c>
      <c r="DF1" s="3">
        <v>42478</v>
      </c>
      <c r="DG1" s="3">
        <v>42479</v>
      </c>
      <c r="DH1" s="3">
        <v>42480</v>
      </c>
      <c r="DI1" s="3">
        <v>42481</v>
      </c>
      <c r="DJ1" s="3">
        <v>42482</v>
      </c>
      <c r="DK1" s="3">
        <v>42483</v>
      </c>
      <c r="DL1" s="3">
        <v>42484</v>
      </c>
      <c r="DM1" s="3">
        <v>42485</v>
      </c>
      <c r="DN1" s="3">
        <v>42486</v>
      </c>
      <c r="DO1" s="3">
        <v>42487</v>
      </c>
      <c r="DP1" s="3">
        <v>42488</v>
      </c>
      <c r="DQ1" s="3">
        <v>42489</v>
      </c>
      <c r="DR1" s="3">
        <v>42490</v>
      </c>
      <c r="DS1" s="3">
        <v>42491</v>
      </c>
      <c r="DT1" s="3">
        <v>42492</v>
      </c>
      <c r="DU1" s="3">
        <v>42493</v>
      </c>
      <c r="DV1" s="3">
        <v>42494</v>
      </c>
      <c r="DW1" s="3">
        <v>42495</v>
      </c>
      <c r="DX1" s="3">
        <v>42496</v>
      </c>
      <c r="DY1" s="3">
        <v>42497</v>
      </c>
      <c r="DZ1" s="3">
        <v>42498</v>
      </c>
      <c r="EA1" s="3">
        <v>42499</v>
      </c>
      <c r="EB1" s="3">
        <v>42500</v>
      </c>
      <c r="EC1" s="3">
        <v>42501</v>
      </c>
      <c r="ED1" s="3">
        <v>42502</v>
      </c>
      <c r="EE1" s="3">
        <v>42503</v>
      </c>
      <c r="EF1" s="3">
        <v>42504</v>
      </c>
      <c r="EG1" s="3">
        <v>42505</v>
      </c>
      <c r="EH1" s="3">
        <v>42506</v>
      </c>
      <c r="EI1" s="3">
        <v>42507</v>
      </c>
      <c r="EJ1" s="3">
        <v>42508</v>
      </c>
      <c r="EK1" s="3">
        <v>42509</v>
      </c>
      <c r="EL1" s="3">
        <v>42510</v>
      </c>
      <c r="EM1" s="3">
        <v>42511</v>
      </c>
      <c r="EN1" s="3">
        <v>42512</v>
      </c>
      <c r="EO1" s="3">
        <v>42513</v>
      </c>
      <c r="EP1" s="3">
        <v>42514</v>
      </c>
      <c r="EQ1" s="3">
        <v>42515</v>
      </c>
      <c r="ER1" s="3">
        <v>42516</v>
      </c>
      <c r="ES1" s="3">
        <v>42517</v>
      </c>
      <c r="ET1" s="3">
        <v>42518</v>
      </c>
      <c r="EU1" s="3">
        <v>42519</v>
      </c>
      <c r="EV1" s="3">
        <v>42520</v>
      </c>
      <c r="EW1" s="3">
        <v>42521</v>
      </c>
      <c r="EX1" s="3">
        <v>42522</v>
      </c>
      <c r="EY1" s="3">
        <v>42523</v>
      </c>
      <c r="EZ1" s="3">
        <v>42524</v>
      </c>
      <c r="FA1" s="3">
        <v>42525</v>
      </c>
      <c r="FB1" s="3">
        <v>42526</v>
      </c>
      <c r="FC1" s="3">
        <v>42527</v>
      </c>
      <c r="FD1" s="3">
        <v>42528</v>
      </c>
      <c r="FE1" s="3">
        <v>42529</v>
      </c>
      <c r="FF1" s="3">
        <v>42530</v>
      </c>
      <c r="FG1" s="3">
        <v>42531</v>
      </c>
      <c r="FH1" s="3">
        <v>42532</v>
      </c>
      <c r="FI1" s="3">
        <v>42533</v>
      </c>
      <c r="FJ1" s="3">
        <v>42534</v>
      </c>
      <c r="FK1" s="3">
        <v>42535</v>
      </c>
      <c r="FL1" s="3">
        <v>42536</v>
      </c>
      <c r="FM1" s="3">
        <v>42537</v>
      </c>
      <c r="FN1" s="3">
        <v>42538</v>
      </c>
      <c r="FO1" s="3">
        <v>42539</v>
      </c>
      <c r="FP1" s="3">
        <v>42540</v>
      </c>
      <c r="FQ1" s="3">
        <v>42541</v>
      </c>
      <c r="FR1" s="3">
        <v>42542</v>
      </c>
      <c r="FS1" s="3">
        <v>42543</v>
      </c>
      <c r="FT1" s="3">
        <v>42544</v>
      </c>
      <c r="FU1" s="3">
        <v>42545</v>
      </c>
      <c r="FV1" s="3">
        <v>42546</v>
      </c>
      <c r="FW1" s="3">
        <v>42547</v>
      </c>
      <c r="FX1" s="3">
        <v>42548</v>
      </c>
      <c r="FY1" s="3">
        <v>42549</v>
      </c>
      <c r="FZ1" s="3">
        <v>42550</v>
      </c>
      <c r="GA1" s="3">
        <v>42551</v>
      </c>
      <c r="GB1" s="3">
        <v>42552</v>
      </c>
      <c r="GC1" s="3">
        <v>42553</v>
      </c>
      <c r="GD1" s="3">
        <v>42554</v>
      </c>
      <c r="GE1" s="3">
        <v>42555</v>
      </c>
      <c r="GF1" s="3">
        <v>42556</v>
      </c>
      <c r="GG1" s="3">
        <v>42557</v>
      </c>
      <c r="GH1" s="3">
        <v>42558</v>
      </c>
      <c r="GI1" s="3">
        <v>42559</v>
      </c>
      <c r="GJ1" s="3">
        <v>42560</v>
      </c>
      <c r="GK1" s="3">
        <v>42561</v>
      </c>
      <c r="GL1" s="3">
        <v>42562</v>
      </c>
      <c r="GM1" s="3">
        <v>42563</v>
      </c>
      <c r="GN1" s="3">
        <v>42564</v>
      </c>
      <c r="GO1" s="3">
        <v>42565</v>
      </c>
      <c r="GP1" s="3">
        <v>42566</v>
      </c>
      <c r="GQ1" s="3">
        <v>42567</v>
      </c>
      <c r="GR1" s="3">
        <v>42568</v>
      </c>
      <c r="GS1" s="3">
        <v>42569</v>
      </c>
      <c r="GT1" s="3">
        <v>42570</v>
      </c>
      <c r="GU1" s="3">
        <v>42571</v>
      </c>
      <c r="GV1" s="3">
        <v>42572</v>
      </c>
      <c r="GW1" s="3">
        <v>42573</v>
      </c>
      <c r="GX1" s="3">
        <v>42574</v>
      </c>
      <c r="GY1" s="3">
        <v>42575</v>
      </c>
      <c r="GZ1" s="3">
        <v>42576</v>
      </c>
      <c r="HA1" s="3">
        <v>42577</v>
      </c>
      <c r="HB1" s="3">
        <v>42578</v>
      </c>
      <c r="HC1" s="3">
        <v>42579</v>
      </c>
      <c r="HD1" s="3">
        <v>42580</v>
      </c>
      <c r="HE1" s="3">
        <v>42581</v>
      </c>
      <c r="HF1" s="3">
        <v>42582</v>
      </c>
      <c r="HG1" s="3">
        <v>42583</v>
      </c>
      <c r="HH1" s="3">
        <v>42584</v>
      </c>
      <c r="HI1" s="3">
        <v>42585</v>
      </c>
      <c r="HJ1" s="3">
        <v>42586</v>
      </c>
      <c r="HK1" s="3">
        <v>42587</v>
      </c>
      <c r="HL1" s="3">
        <v>42588</v>
      </c>
      <c r="HM1" s="3">
        <v>42589</v>
      </c>
      <c r="HN1" s="3">
        <v>42590</v>
      </c>
      <c r="HO1" s="3">
        <v>42591</v>
      </c>
      <c r="HP1" s="3">
        <v>42592</v>
      </c>
      <c r="HQ1" s="3">
        <v>42593</v>
      </c>
      <c r="HR1" s="3">
        <v>42594</v>
      </c>
      <c r="HS1" s="3">
        <v>42595</v>
      </c>
      <c r="HT1" s="3">
        <v>42596</v>
      </c>
      <c r="HU1" s="3">
        <v>42597</v>
      </c>
      <c r="HV1" s="3">
        <v>42598</v>
      </c>
      <c r="HW1" s="3">
        <v>42599</v>
      </c>
      <c r="HX1" s="3">
        <v>42600</v>
      </c>
      <c r="HY1" s="3">
        <v>42601</v>
      </c>
      <c r="HZ1" s="3">
        <v>42602</v>
      </c>
      <c r="IA1" s="3">
        <v>42603</v>
      </c>
      <c r="IB1" s="3">
        <v>42604</v>
      </c>
      <c r="IC1" s="3">
        <v>42605</v>
      </c>
      <c r="ID1" s="3">
        <v>42606</v>
      </c>
      <c r="IE1" s="3">
        <v>42607</v>
      </c>
      <c r="IF1" s="3">
        <v>42608</v>
      </c>
      <c r="IG1" s="3">
        <v>42609</v>
      </c>
      <c r="IH1" s="3">
        <v>42610</v>
      </c>
      <c r="II1" s="3">
        <v>42611</v>
      </c>
      <c r="IJ1" s="3">
        <v>42612</v>
      </c>
      <c r="IK1" s="3">
        <v>42613</v>
      </c>
      <c r="IL1" s="3">
        <v>42614</v>
      </c>
      <c r="IM1" s="3">
        <v>42615</v>
      </c>
      <c r="IN1" s="3">
        <v>42616</v>
      </c>
      <c r="IO1" s="3">
        <v>42617</v>
      </c>
      <c r="IP1" s="3">
        <v>42618</v>
      </c>
      <c r="IQ1" s="3">
        <v>42619</v>
      </c>
      <c r="IR1" s="3">
        <v>42620</v>
      </c>
      <c r="IS1" s="3">
        <v>42621</v>
      </c>
      <c r="IT1" s="3">
        <v>42622</v>
      </c>
      <c r="IU1" s="3">
        <v>42623</v>
      </c>
      <c r="IV1" s="3">
        <v>42624</v>
      </c>
      <c r="IW1" s="3">
        <v>42625</v>
      </c>
      <c r="IX1" s="3">
        <v>42626</v>
      </c>
      <c r="IY1" s="3">
        <v>42627</v>
      </c>
      <c r="IZ1" s="3">
        <v>42628</v>
      </c>
      <c r="JA1" s="3">
        <v>42629</v>
      </c>
      <c r="JB1" s="3">
        <v>42630</v>
      </c>
      <c r="JC1" s="3">
        <v>42631</v>
      </c>
      <c r="JD1" s="3">
        <v>42632</v>
      </c>
      <c r="JE1" s="3">
        <v>42633</v>
      </c>
      <c r="JF1" s="3">
        <v>42634</v>
      </c>
      <c r="JG1" s="3">
        <v>42635</v>
      </c>
      <c r="JH1" s="3">
        <v>42636</v>
      </c>
      <c r="JI1" s="3">
        <v>42637</v>
      </c>
      <c r="JJ1" s="3">
        <v>42638</v>
      </c>
      <c r="JK1" s="3">
        <v>42639</v>
      </c>
      <c r="JL1" s="3">
        <v>42640</v>
      </c>
      <c r="JM1" s="3">
        <v>42641</v>
      </c>
      <c r="JN1" s="3">
        <v>42642</v>
      </c>
      <c r="JO1" s="3">
        <v>42643</v>
      </c>
      <c r="JP1" s="3">
        <v>42644</v>
      </c>
      <c r="JQ1" s="3">
        <v>42645</v>
      </c>
      <c r="JR1" s="3">
        <v>42646</v>
      </c>
      <c r="JS1" s="3">
        <v>42647</v>
      </c>
      <c r="JT1" s="3">
        <v>42648</v>
      </c>
      <c r="JU1" s="3">
        <v>42649</v>
      </c>
      <c r="JV1" s="3">
        <v>42650</v>
      </c>
      <c r="JW1" s="3">
        <v>42651</v>
      </c>
      <c r="JX1" s="3">
        <v>42652</v>
      </c>
      <c r="JY1" s="3">
        <v>42653</v>
      </c>
      <c r="JZ1" s="3">
        <v>42654</v>
      </c>
      <c r="KA1" s="3">
        <v>42655</v>
      </c>
      <c r="KB1" s="3">
        <v>42656</v>
      </c>
      <c r="KC1" s="3">
        <v>42657</v>
      </c>
      <c r="KD1" s="3">
        <v>42658</v>
      </c>
      <c r="KE1" s="3">
        <v>42659</v>
      </c>
      <c r="KF1" s="3">
        <v>42660</v>
      </c>
      <c r="KG1" s="3">
        <v>42661</v>
      </c>
      <c r="KH1" s="3">
        <v>42662</v>
      </c>
      <c r="KI1" s="3">
        <v>42663</v>
      </c>
      <c r="KJ1" s="3">
        <v>42664</v>
      </c>
      <c r="KK1" s="3">
        <v>42665</v>
      </c>
      <c r="KL1" s="3">
        <v>42666</v>
      </c>
      <c r="KM1" s="3">
        <v>42667</v>
      </c>
      <c r="KN1" s="3">
        <v>42668</v>
      </c>
      <c r="KO1" s="3">
        <v>42669</v>
      </c>
      <c r="KP1" s="3">
        <v>42670</v>
      </c>
      <c r="KQ1" s="3">
        <v>42671</v>
      </c>
      <c r="KR1" s="3">
        <v>42672</v>
      </c>
      <c r="KS1" s="3">
        <v>42673</v>
      </c>
      <c r="KT1" s="3">
        <v>42674</v>
      </c>
      <c r="KU1" s="3">
        <v>42675</v>
      </c>
      <c r="KV1" s="3">
        <v>42676</v>
      </c>
      <c r="KW1" s="3">
        <v>42677</v>
      </c>
      <c r="KX1" s="3">
        <v>42678</v>
      </c>
      <c r="KY1" s="3">
        <v>42679</v>
      </c>
      <c r="KZ1" s="3">
        <v>42680</v>
      </c>
      <c r="LA1" s="3">
        <v>42681</v>
      </c>
      <c r="LB1" s="3">
        <v>42682</v>
      </c>
      <c r="LC1" s="3">
        <v>42683</v>
      </c>
      <c r="LD1" s="3">
        <v>42684</v>
      </c>
      <c r="LE1" s="3">
        <v>42685</v>
      </c>
      <c r="LF1" s="3">
        <v>42686</v>
      </c>
      <c r="LG1" s="3">
        <v>42687</v>
      </c>
      <c r="LH1" s="3">
        <v>42688</v>
      </c>
      <c r="LI1" s="3">
        <v>42689</v>
      </c>
      <c r="LJ1" s="3">
        <v>42690</v>
      </c>
      <c r="LK1" s="3">
        <v>42691</v>
      </c>
      <c r="LL1" s="3">
        <v>42692</v>
      </c>
      <c r="LM1" s="3">
        <v>42693</v>
      </c>
      <c r="LN1" s="3">
        <v>42694</v>
      </c>
      <c r="LO1" s="3">
        <v>42695</v>
      </c>
      <c r="LP1" s="3">
        <v>42696</v>
      </c>
      <c r="LQ1" s="3">
        <v>42697</v>
      </c>
      <c r="LR1" s="3">
        <v>42698</v>
      </c>
      <c r="LS1" s="3">
        <v>42699</v>
      </c>
      <c r="LT1" s="3">
        <v>42700</v>
      </c>
      <c r="LU1" s="3">
        <v>42701</v>
      </c>
      <c r="LV1" s="3">
        <v>42702</v>
      </c>
      <c r="LW1" s="3">
        <v>42703</v>
      </c>
      <c r="LX1" s="3">
        <v>42704</v>
      </c>
      <c r="LY1" s="3">
        <v>42705</v>
      </c>
      <c r="LZ1" s="3">
        <v>42706</v>
      </c>
      <c r="MA1" s="3">
        <v>42707</v>
      </c>
      <c r="MB1" s="3">
        <v>42708</v>
      </c>
      <c r="MC1" s="3">
        <v>42709</v>
      </c>
      <c r="MD1" s="3">
        <v>42710</v>
      </c>
      <c r="ME1" s="3">
        <v>42711</v>
      </c>
      <c r="MF1" s="3">
        <v>42712</v>
      </c>
      <c r="MG1" s="3">
        <v>42713</v>
      </c>
      <c r="MH1" s="3">
        <v>42714</v>
      </c>
      <c r="MI1" s="3">
        <v>42715</v>
      </c>
      <c r="MJ1" s="3">
        <v>42716</v>
      </c>
      <c r="MK1" s="3">
        <v>42717</v>
      </c>
      <c r="ML1" s="3">
        <v>42718</v>
      </c>
      <c r="MM1" s="3">
        <v>42719</v>
      </c>
      <c r="MN1" s="3">
        <v>42720</v>
      </c>
      <c r="MO1" s="3">
        <v>42721</v>
      </c>
      <c r="MP1" s="3">
        <v>42722</v>
      </c>
      <c r="MQ1" s="3">
        <v>42723</v>
      </c>
      <c r="MR1" s="3">
        <v>42724</v>
      </c>
      <c r="MS1" s="3">
        <v>42725</v>
      </c>
      <c r="MT1" s="3">
        <v>42726</v>
      </c>
      <c r="MU1" s="3">
        <v>42727</v>
      </c>
      <c r="MV1" s="3">
        <v>42728</v>
      </c>
      <c r="MW1" s="3">
        <v>42729</v>
      </c>
      <c r="MX1" s="3">
        <v>42730</v>
      </c>
      <c r="MY1" s="3">
        <v>42731</v>
      </c>
      <c r="MZ1" s="3">
        <v>42732</v>
      </c>
      <c r="NA1" s="3">
        <v>42733</v>
      </c>
      <c r="NB1" s="3">
        <v>42734</v>
      </c>
      <c r="NC1" s="3">
        <v>42735</v>
      </c>
      <c r="ND1" s="2" t="s">
        <v>1</v>
      </c>
      <c r="NE1" s="2" t="s">
        <v>2</v>
      </c>
      <c r="NF1" s="2" t="s">
        <v>3</v>
      </c>
      <c r="NG1" s="2" t="s">
        <v>4</v>
      </c>
      <c r="NH1" s="2" t="s">
        <v>5</v>
      </c>
      <c r="NI1" s="2" t="s">
        <v>6</v>
      </c>
      <c r="NJ1" s="2" t="s">
        <v>7</v>
      </c>
      <c r="NK1" s="2" t="s">
        <v>8</v>
      </c>
      <c r="NL1" s="2" t="s">
        <v>9</v>
      </c>
      <c r="NM1" s="2" t="s">
        <v>10</v>
      </c>
      <c r="NN1" s="2" t="s">
        <v>11</v>
      </c>
      <c r="NO1" s="2" t="s">
        <v>12</v>
      </c>
      <c r="NP1" s="2" t="s">
        <v>13</v>
      </c>
      <c r="NQ1" s="2" t="s">
        <v>14</v>
      </c>
      <c r="NR1" s="2" t="s">
        <v>15</v>
      </c>
      <c r="NS1" s="2" t="s">
        <v>16</v>
      </c>
      <c r="NT1" s="2" t="s">
        <v>17</v>
      </c>
      <c r="NU1" s="2" t="s">
        <v>18</v>
      </c>
    </row>
    <row r="2" spans="1:385" x14ac:dyDescent="0.15">
      <c r="A2" s="2"/>
      <c r="B2" s="3">
        <v>42370</v>
      </c>
      <c r="C2" s="3">
        <v>42371</v>
      </c>
      <c r="D2" s="3">
        <v>42372</v>
      </c>
      <c r="E2" s="3">
        <v>42373</v>
      </c>
      <c r="F2" s="3">
        <v>42374</v>
      </c>
      <c r="G2" s="3">
        <v>42375</v>
      </c>
      <c r="H2" s="3">
        <v>42376</v>
      </c>
      <c r="I2" s="3">
        <v>42377</v>
      </c>
      <c r="J2" s="3">
        <v>42378</v>
      </c>
      <c r="K2" s="3">
        <v>42379</v>
      </c>
      <c r="L2" s="3">
        <v>42380</v>
      </c>
      <c r="M2" s="3">
        <v>42381</v>
      </c>
      <c r="N2" s="3">
        <v>42382</v>
      </c>
      <c r="O2" s="3">
        <v>42383</v>
      </c>
      <c r="P2" s="3">
        <v>42384</v>
      </c>
      <c r="Q2" s="3">
        <v>42385</v>
      </c>
      <c r="R2" s="3">
        <v>42386</v>
      </c>
      <c r="S2" s="3">
        <v>42387</v>
      </c>
      <c r="T2" s="3">
        <v>42388</v>
      </c>
      <c r="U2" s="3">
        <v>42389</v>
      </c>
      <c r="V2" s="3">
        <v>42390</v>
      </c>
      <c r="W2" s="3">
        <v>42391</v>
      </c>
      <c r="X2" s="3">
        <v>42392</v>
      </c>
      <c r="Y2" s="3">
        <v>42393</v>
      </c>
      <c r="Z2" s="3">
        <v>42394</v>
      </c>
      <c r="AA2" s="3">
        <v>42395</v>
      </c>
      <c r="AB2" s="3">
        <v>42396</v>
      </c>
      <c r="AC2" s="3">
        <v>42397</v>
      </c>
      <c r="AD2" s="3">
        <v>42398</v>
      </c>
      <c r="AE2" s="3">
        <v>42399</v>
      </c>
      <c r="AF2" s="3">
        <v>42400</v>
      </c>
      <c r="AG2" s="3">
        <v>42401</v>
      </c>
      <c r="AH2" s="3">
        <v>42402</v>
      </c>
      <c r="AI2" s="3">
        <v>42403</v>
      </c>
      <c r="AJ2" s="3">
        <v>42404</v>
      </c>
      <c r="AK2" s="3">
        <v>42405</v>
      </c>
      <c r="AL2" s="3">
        <v>42406</v>
      </c>
      <c r="AM2" s="3">
        <v>42407</v>
      </c>
      <c r="AN2" s="3">
        <v>42408</v>
      </c>
      <c r="AO2" s="3">
        <v>42409</v>
      </c>
      <c r="AP2" s="3">
        <v>42410</v>
      </c>
      <c r="AQ2" s="3">
        <v>42411</v>
      </c>
      <c r="AR2" s="3">
        <v>42412</v>
      </c>
      <c r="AS2" s="3">
        <v>42413</v>
      </c>
      <c r="AT2" s="3">
        <v>42414</v>
      </c>
      <c r="AU2" s="3">
        <v>42415</v>
      </c>
      <c r="AV2" s="3">
        <v>42416</v>
      </c>
      <c r="AW2" s="3">
        <v>42417</v>
      </c>
      <c r="AX2" s="3">
        <v>42418</v>
      </c>
      <c r="AY2" s="3">
        <v>42419</v>
      </c>
      <c r="AZ2" s="3">
        <v>42420</v>
      </c>
      <c r="BA2" s="3">
        <v>42421</v>
      </c>
      <c r="BB2" s="3">
        <v>42422</v>
      </c>
      <c r="BC2" s="3">
        <v>42423</v>
      </c>
      <c r="BD2" s="3">
        <v>42424</v>
      </c>
      <c r="BE2" s="3">
        <v>42425</v>
      </c>
      <c r="BF2" s="3">
        <v>42426</v>
      </c>
      <c r="BG2" s="3">
        <v>42427</v>
      </c>
      <c r="BH2" s="3">
        <v>42428</v>
      </c>
      <c r="BI2" s="3">
        <v>42430</v>
      </c>
      <c r="BJ2" s="3">
        <v>42431</v>
      </c>
      <c r="BK2" s="3">
        <v>42432</v>
      </c>
      <c r="BL2" s="3">
        <v>42433</v>
      </c>
      <c r="BM2" s="3">
        <v>42434</v>
      </c>
      <c r="BN2" s="3">
        <v>42435</v>
      </c>
      <c r="BO2" s="3">
        <v>42436</v>
      </c>
      <c r="BP2" s="3">
        <v>42437</v>
      </c>
      <c r="BQ2" s="3">
        <v>42438</v>
      </c>
      <c r="BR2" s="3">
        <v>42439</v>
      </c>
      <c r="BS2" s="3">
        <v>42440</v>
      </c>
      <c r="BT2" s="3">
        <v>42441</v>
      </c>
      <c r="BU2" s="3">
        <v>42442</v>
      </c>
      <c r="BV2" s="3">
        <v>42443</v>
      </c>
      <c r="BW2" s="3">
        <v>42444</v>
      </c>
      <c r="BX2" s="3">
        <v>42445</v>
      </c>
      <c r="BY2" s="3">
        <v>42446</v>
      </c>
      <c r="BZ2" s="3">
        <v>42447</v>
      </c>
      <c r="CA2" s="3">
        <v>42448</v>
      </c>
      <c r="CB2" s="3">
        <v>42449</v>
      </c>
      <c r="CC2" s="3">
        <v>42450</v>
      </c>
      <c r="CD2" s="3">
        <v>42451</v>
      </c>
      <c r="CE2" s="3">
        <v>42452</v>
      </c>
      <c r="CF2" s="3">
        <v>42453</v>
      </c>
      <c r="CG2" s="3">
        <v>42454</v>
      </c>
      <c r="CH2" s="3">
        <v>42455</v>
      </c>
      <c r="CI2" s="3">
        <v>42456</v>
      </c>
      <c r="CJ2" s="3">
        <v>42457</v>
      </c>
      <c r="CK2" s="3">
        <v>42458</v>
      </c>
      <c r="CL2" s="3">
        <v>42459</v>
      </c>
      <c r="CM2" s="3">
        <v>42460</v>
      </c>
      <c r="CN2" s="3">
        <v>42461</v>
      </c>
      <c r="CO2" s="3">
        <v>42462</v>
      </c>
      <c r="CP2" s="3">
        <v>42463</v>
      </c>
      <c r="CQ2" s="3">
        <v>42464</v>
      </c>
      <c r="CR2" s="3">
        <v>42465</v>
      </c>
      <c r="CS2" s="3">
        <v>42466</v>
      </c>
      <c r="CT2" s="3">
        <v>42467</v>
      </c>
      <c r="CU2" s="3">
        <v>42468</v>
      </c>
      <c r="CV2" s="3">
        <v>42469</v>
      </c>
      <c r="CW2" s="3">
        <v>42470</v>
      </c>
      <c r="CX2" s="3">
        <v>42471</v>
      </c>
      <c r="CY2" s="3">
        <v>42472</v>
      </c>
      <c r="CZ2" s="3">
        <v>42473</v>
      </c>
      <c r="DA2" s="3">
        <v>42474</v>
      </c>
      <c r="DB2" s="3">
        <v>42475</v>
      </c>
      <c r="DC2" s="3">
        <v>42476</v>
      </c>
      <c r="DD2" s="3">
        <v>42477</v>
      </c>
      <c r="DE2" s="3">
        <v>42478</v>
      </c>
      <c r="DF2" s="3">
        <v>42479</v>
      </c>
      <c r="DG2" s="3">
        <v>42480</v>
      </c>
      <c r="DH2" s="3">
        <v>42481</v>
      </c>
      <c r="DI2" s="3">
        <v>42482</v>
      </c>
      <c r="DJ2" s="3">
        <v>42483</v>
      </c>
      <c r="DK2" s="3">
        <v>42484</v>
      </c>
      <c r="DL2" s="3">
        <v>42485</v>
      </c>
      <c r="DM2" s="3">
        <v>42486</v>
      </c>
      <c r="DN2" s="3">
        <v>42487</v>
      </c>
      <c r="DO2" s="3">
        <v>42488</v>
      </c>
      <c r="DP2" s="3">
        <v>42489</v>
      </c>
      <c r="DQ2" s="3">
        <v>42490</v>
      </c>
      <c r="DR2" s="3">
        <v>42491</v>
      </c>
      <c r="DS2" s="3">
        <v>42492</v>
      </c>
      <c r="DT2" s="3">
        <v>42493</v>
      </c>
      <c r="DU2" s="3">
        <v>42494</v>
      </c>
      <c r="DV2" s="3">
        <v>42495</v>
      </c>
      <c r="DW2" s="3">
        <v>42496</v>
      </c>
      <c r="DX2" s="3">
        <v>42497</v>
      </c>
      <c r="DY2" s="3">
        <v>42498</v>
      </c>
      <c r="DZ2" s="3">
        <v>42499</v>
      </c>
      <c r="EA2" s="3">
        <v>42500</v>
      </c>
      <c r="EB2" s="3">
        <v>42501</v>
      </c>
      <c r="EC2" s="3">
        <v>42502</v>
      </c>
      <c r="ED2" s="3">
        <v>42503</v>
      </c>
      <c r="EE2" s="3">
        <v>42504</v>
      </c>
      <c r="EF2" s="3">
        <v>42505</v>
      </c>
      <c r="EG2" s="3">
        <v>42506</v>
      </c>
      <c r="EH2" s="3">
        <v>42507</v>
      </c>
      <c r="EI2" s="3">
        <v>42508</v>
      </c>
      <c r="EJ2" s="3">
        <v>42509</v>
      </c>
      <c r="EK2" s="3">
        <v>42510</v>
      </c>
      <c r="EL2" s="3">
        <v>42511</v>
      </c>
      <c r="EM2" s="3">
        <v>42512</v>
      </c>
      <c r="EN2" s="3">
        <v>42513</v>
      </c>
      <c r="EO2" s="3">
        <v>42514</v>
      </c>
      <c r="EP2" s="3">
        <v>42515</v>
      </c>
      <c r="EQ2" s="3">
        <v>42516</v>
      </c>
      <c r="ER2" s="3">
        <v>42517</v>
      </c>
      <c r="ES2" s="3">
        <v>42518</v>
      </c>
      <c r="ET2" s="3">
        <v>42519</v>
      </c>
      <c r="EU2" s="3">
        <v>42520</v>
      </c>
      <c r="EV2" s="3">
        <v>42521</v>
      </c>
      <c r="EW2" s="3">
        <v>42522</v>
      </c>
      <c r="EX2" s="3">
        <v>42523</v>
      </c>
      <c r="EY2" s="3">
        <v>42524</v>
      </c>
      <c r="EZ2" s="3">
        <v>42525</v>
      </c>
      <c r="FA2" s="3">
        <v>42526</v>
      </c>
      <c r="FB2" s="3">
        <v>42527</v>
      </c>
      <c r="FC2" s="3">
        <v>42528</v>
      </c>
      <c r="FD2" s="3">
        <v>42529</v>
      </c>
      <c r="FE2" s="3">
        <v>42530</v>
      </c>
      <c r="FF2" s="3">
        <v>42531</v>
      </c>
      <c r="FG2" s="3">
        <v>42532</v>
      </c>
      <c r="FH2" s="3">
        <v>42533</v>
      </c>
      <c r="FI2" s="3">
        <v>42534</v>
      </c>
      <c r="FJ2" s="3">
        <v>42535</v>
      </c>
      <c r="FK2" s="3">
        <v>42536</v>
      </c>
      <c r="FL2" s="3">
        <v>42537</v>
      </c>
      <c r="FM2" s="3">
        <v>42538</v>
      </c>
      <c r="FN2" s="3">
        <v>42539</v>
      </c>
      <c r="FO2" s="3">
        <v>42540</v>
      </c>
      <c r="FP2" s="3">
        <v>42541</v>
      </c>
      <c r="FQ2" s="3">
        <v>42542</v>
      </c>
      <c r="FR2" s="3">
        <v>42543</v>
      </c>
      <c r="FS2" s="3">
        <v>42544</v>
      </c>
      <c r="FT2" s="3">
        <v>42545</v>
      </c>
      <c r="FU2" s="3">
        <v>42546</v>
      </c>
      <c r="FV2" s="3">
        <v>42547</v>
      </c>
      <c r="FW2" s="3">
        <v>42548</v>
      </c>
      <c r="FX2" s="3">
        <v>42549</v>
      </c>
      <c r="FY2" s="3">
        <v>42550</v>
      </c>
      <c r="FZ2" s="3">
        <v>42551</v>
      </c>
      <c r="GA2" s="3">
        <v>42552</v>
      </c>
      <c r="GB2" s="3">
        <v>42553</v>
      </c>
      <c r="GC2" s="3">
        <v>42554</v>
      </c>
      <c r="GD2" s="3">
        <v>42555</v>
      </c>
      <c r="GE2" s="3">
        <v>42556</v>
      </c>
      <c r="GF2" s="3">
        <v>42557</v>
      </c>
      <c r="GG2" s="3">
        <v>42558</v>
      </c>
      <c r="GH2" s="3">
        <v>42559</v>
      </c>
      <c r="GI2" s="3">
        <v>42560</v>
      </c>
      <c r="GJ2" s="3">
        <v>42561</v>
      </c>
      <c r="GK2" s="3">
        <v>42562</v>
      </c>
      <c r="GL2" s="3">
        <v>42563</v>
      </c>
      <c r="GM2" s="3">
        <v>42564</v>
      </c>
      <c r="GN2" s="3">
        <v>42565</v>
      </c>
      <c r="GO2" s="3">
        <v>42566</v>
      </c>
      <c r="GP2" s="3">
        <v>42567</v>
      </c>
      <c r="GQ2" s="3">
        <v>42568</v>
      </c>
      <c r="GR2" s="3">
        <v>42569</v>
      </c>
      <c r="GS2" s="3">
        <v>42570</v>
      </c>
      <c r="GT2" s="3">
        <v>42571</v>
      </c>
      <c r="GU2" s="3">
        <v>42572</v>
      </c>
      <c r="GV2" s="3">
        <v>42573</v>
      </c>
      <c r="GW2" s="3">
        <v>42574</v>
      </c>
      <c r="GX2" s="3">
        <v>42575</v>
      </c>
      <c r="GY2" s="3">
        <v>42576</v>
      </c>
      <c r="GZ2" s="3">
        <v>42577</v>
      </c>
      <c r="HA2" s="3">
        <v>42578</v>
      </c>
      <c r="HB2" s="3">
        <v>42579</v>
      </c>
      <c r="HC2" s="3">
        <v>42580</v>
      </c>
      <c r="HD2" s="3">
        <v>42581</v>
      </c>
      <c r="HE2" s="3">
        <v>42582</v>
      </c>
      <c r="HF2" s="3">
        <v>42583</v>
      </c>
      <c r="HG2" s="3">
        <v>42584</v>
      </c>
      <c r="HH2" s="3">
        <v>42585</v>
      </c>
      <c r="HI2" s="3">
        <v>42586</v>
      </c>
      <c r="HJ2" s="3">
        <v>42587</v>
      </c>
      <c r="HK2" s="3">
        <v>42588</v>
      </c>
      <c r="HL2" s="3">
        <v>42589</v>
      </c>
      <c r="HM2" s="3">
        <v>42590</v>
      </c>
      <c r="HN2" s="3">
        <v>42591</v>
      </c>
      <c r="HO2" s="3">
        <v>42592</v>
      </c>
      <c r="HP2" s="3">
        <v>42593</v>
      </c>
      <c r="HQ2" s="3">
        <v>42594</v>
      </c>
      <c r="HR2" s="3">
        <v>42595</v>
      </c>
      <c r="HS2" s="3">
        <v>42596</v>
      </c>
      <c r="HT2" s="3">
        <v>42597</v>
      </c>
      <c r="HU2" s="3">
        <v>42598</v>
      </c>
      <c r="HV2" s="3">
        <v>42599</v>
      </c>
      <c r="HW2" s="3">
        <v>42600</v>
      </c>
      <c r="HX2" s="3">
        <v>42601</v>
      </c>
      <c r="HY2" s="3">
        <v>42602</v>
      </c>
      <c r="HZ2" s="3">
        <v>42603</v>
      </c>
      <c r="IA2" s="3">
        <v>42604</v>
      </c>
      <c r="IB2" s="3">
        <v>42605</v>
      </c>
      <c r="IC2" s="3">
        <v>42606</v>
      </c>
      <c r="ID2" s="3">
        <v>42607</v>
      </c>
      <c r="IE2" s="3">
        <v>42608</v>
      </c>
      <c r="IF2" s="3">
        <v>42609</v>
      </c>
      <c r="IG2" s="3">
        <v>42610</v>
      </c>
      <c r="IH2" s="3">
        <v>42611</v>
      </c>
      <c r="II2" s="3">
        <v>42612</v>
      </c>
      <c r="IJ2" s="3">
        <v>42613</v>
      </c>
      <c r="IK2" s="3">
        <v>42614</v>
      </c>
      <c r="IL2" s="3">
        <v>42615</v>
      </c>
      <c r="IM2" s="3">
        <v>42616</v>
      </c>
      <c r="IN2" s="3">
        <v>42617</v>
      </c>
      <c r="IO2" s="3">
        <v>42618</v>
      </c>
      <c r="IP2" s="3">
        <v>42619</v>
      </c>
      <c r="IQ2" s="3">
        <v>42620</v>
      </c>
      <c r="IR2" s="3">
        <v>42621</v>
      </c>
      <c r="IS2" s="3">
        <v>42622</v>
      </c>
      <c r="IT2" s="3">
        <v>42623</v>
      </c>
      <c r="IU2" s="3">
        <v>42624</v>
      </c>
      <c r="IV2" s="3">
        <v>42625</v>
      </c>
      <c r="IW2" s="3">
        <v>42626</v>
      </c>
      <c r="IX2" s="3">
        <v>42627</v>
      </c>
      <c r="IY2" s="3">
        <v>42628</v>
      </c>
      <c r="IZ2" s="3">
        <v>42629</v>
      </c>
      <c r="JA2" s="3">
        <v>42630</v>
      </c>
      <c r="JB2" s="3">
        <v>42631</v>
      </c>
      <c r="JC2" s="3">
        <v>42632</v>
      </c>
      <c r="JD2" s="3">
        <v>42633</v>
      </c>
      <c r="JE2" s="3">
        <v>42634</v>
      </c>
      <c r="JF2" s="3">
        <v>42635</v>
      </c>
      <c r="JG2" s="3">
        <v>42636</v>
      </c>
      <c r="JH2" s="3">
        <v>42637</v>
      </c>
      <c r="JI2" s="3">
        <v>42638</v>
      </c>
      <c r="JJ2" s="3">
        <v>42639</v>
      </c>
      <c r="JK2" s="3">
        <v>42640</v>
      </c>
      <c r="JL2" s="3">
        <v>42641</v>
      </c>
      <c r="JM2" s="3">
        <v>42642</v>
      </c>
      <c r="JN2" s="3">
        <v>42643</v>
      </c>
      <c r="JO2" s="3">
        <v>42644</v>
      </c>
      <c r="JP2" s="3">
        <v>42645</v>
      </c>
      <c r="JQ2" s="3">
        <v>42646</v>
      </c>
      <c r="JR2" s="3">
        <v>42647</v>
      </c>
      <c r="JS2" s="3">
        <v>42648</v>
      </c>
      <c r="JT2" s="3">
        <v>42649</v>
      </c>
      <c r="JU2" s="3">
        <v>42650</v>
      </c>
      <c r="JV2" s="3">
        <v>42651</v>
      </c>
      <c r="JW2" s="3">
        <v>42652</v>
      </c>
      <c r="JX2" s="3">
        <v>42653</v>
      </c>
      <c r="JY2" s="3">
        <v>42654</v>
      </c>
      <c r="JZ2" s="3">
        <v>42655</v>
      </c>
      <c r="KA2" s="3">
        <v>42656</v>
      </c>
      <c r="KB2" s="3">
        <v>42657</v>
      </c>
      <c r="KC2" s="3">
        <v>42658</v>
      </c>
      <c r="KD2" s="3">
        <v>42659</v>
      </c>
      <c r="KE2" s="3">
        <v>42660</v>
      </c>
      <c r="KF2" s="3">
        <v>42661</v>
      </c>
      <c r="KG2" s="3">
        <v>42662</v>
      </c>
      <c r="KH2" s="3">
        <v>42663</v>
      </c>
      <c r="KI2" s="3">
        <v>42664</v>
      </c>
      <c r="KJ2" s="3">
        <v>42665</v>
      </c>
      <c r="KK2" s="3">
        <v>42666</v>
      </c>
      <c r="KL2" s="3">
        <v>42667</v>
      </c>
      <c r="KM2" s="3">
        <v>42668</v>
      </c>
      <c r="KN2" s="3">
        <v>42669</v>
      </c>
      <c r="KO2" s="3">
        <v>42670</v>
      </c>
      <c r="KP2" s="3">
        <v>42671</v>
      </c>
      <c r="KQ2" s="3">
        <v>42672</v>
      </c>
      <c r="KR2" s="3">
        <v>42673</v>
      </c>
      <c r="KS2" s="3">
        <v>42674</v>
      </c>
      <c r="KT2" s="3">
        <v>42675</v>
      </c>
      <c r="KU2" s="3">
        <v>42676</v>
      </c>
      <c r="KV2" s="3">
        <v>42677</v>
      </c>
      <c r="KW2" s="3">
        <v>42678</v>
      </c>
      <c r="KX2" s="3">
        <v>42679</v>
      </c>
      <c r="KY2" s="3">
        <v>42680</v>
      </c>
      <c r="KZ2" s="3">
        <v>42681</v>
      </c>
      <c r="LA2" s="3">
        <v>42682</v>
      </c>
      <c r="LB2" s="3">
        <v>42683</v>
      </c>
      <c r="LC2" s="3">
        <v>42684</v>
      </c>
      <c r="LD2" s="3">
        <v>42685</v>
      </c>
      <c r="LE2" s="3">
        <v>42686</v>
      </c>
      <c r="LF2" s="3">
        <v>42687</v>
      </c>
      <c r="LG2" s="3">
        <v>42688</v>
      </c>
      <c r="LH2" s="3">
        <v>42689</v>
      </c>
      <c r="LI2" s="3">
        <v>42690</v>
      </c>
      <c r="LJ2" s="3">
        <v>42691</v>
      </c>
      <c r="LK2" s="3">
        <v>42692</v>
      </c>
      <c r="LL2" s="3">
        <v>42693</v>
      </c>
      <c r="LM2" s="3">
        <v>42694</v>
      </c>
      <c r="LN2" s="3">
        <v>42695</v>
      </c>
      <c r="LO2" s="3">
        <v>42696</v>
      </c>
      <c r="LP2" s="3">
        <v>42697</v>
      </c>
      <c r="LQ2" s="3">
        <v>42698</v>
      </c>
      <c r="LR2" s="3">
        <v>42699</v>
      </c>
      <c r="LS2" s="3">
        <v>42700</v>
      </c>
      <c r="LT2" s="3">
        <v>42701</v>
      </c>
      <c r="LU2" s="3">
        <v>42702</v>
      </c>
      <c r="LV2" s="3">
        <v>42703</v>
      </c>
      <c r="LW2" s="3">
        <v>42704</v>
      </c>
      <c r="LX2" s="3">
        <v>42705</v>
      </c>
      <c r="LY2" s="3">
        <v>42706</v>
      </c>
      <c r="LZ2" s="3">
        <v>42707</v>
      </c>
      <c r="MA2" s="3">
        <v>42708</v>
      </c>
      <c r="MB2" s="3">
        <v>42709</v>
      </c>
      <c r="MC2" s="3">
        <v>42710</v>
      </c>
      <c r="MD2" s="3">
        <v>42711</v>
      </c>
      <c r="ME2" s="3">
        <v>42712</v>
      </c>
      <c r="MF2" s="3">
        <v>42713</v>
      </c>
      <c r="MG2" s="3">
        <v>42714</v>
      </c>
      <c r="MH2" s="3">
        <v>42715</v>
      </c>
      <c r="MI2" s="3">
        <v>42716</v>
      </c>
      <c r="MJ2" s="3">
        <v>42717</v>
      </c>
      <c r="MK2" s="3">
        <v>42718</v>
      </c>
      <c r="ML2" s="3">
        <v>42719</v>
      </c>
      <c r="MM2" s="3">
        <v>42720</v>
      </c>
      <c r="MN2" s="3">
        <v>42721</v>
      </c>
      <c r="MO2" s="3">
        <v>42722</v>
      </c>
      <c r="MP2" s="3">
        <v>42723</v>
      </c>
      <c r="MQ2" s="3">
        <v>42724</v>
      </c>
      <c r="MR2" s="3">
        <v>42725</v>
      </c>
      <c r="MS2" s="3">
        <v>42726</v>
      </c>
      <c r="MT2" s="3">
        <v>42727</v>
      </c>
      <c r="MU2" s="3">
        <v>42728</v>
      </c>
      <c r="MV2" s="3">
        <v>42729</v>
      </c>
      <c r="MW2" s="3">
        <v>42730</v>
      </c>
      <c r="MX2" s="3">
        <v>42731</v>
      </c>
      <c r="MY2" s="3">
        <v>42732</v>
      </c>
      <c r="MZ2" s="3">
        <v>42733</v>
      </c>
      <c r="NA2" s="3">
        <v>42734</v>
      </c>
      <c r="NB2" s="3">
        <v>42735</v>
      </c>
      <c r="NC2" s="2"/>
      <c r="ND2" s="2"/>
      <c r="NE2" s="2"/>
      <c r="NF2" s="2"/>
      <c r="NG2" s="2"/>
      <c r="NH2" s="2"/>
      <c r="NI2" s="2"/>
      <c r="NJ2" s="2"/>
      <c r="NK2" s="2"/>
      <c r="NL2" s="2"/>
      <c r="NM2" s="2"/>
      <c r="NN2" s="2"/>
      <c r="NO2" s="2"/>
      <c r="NP2" s="2"/>
      <c r="NQ2" s="4"/>
      <c r="NR2" s="2"/>
      <c r="NS2" s="4"/>
      <c r="NT2" s="2"/>
    </row>
    <row r="3" spans="1:385" x14ac:dyDescent="0.15">
      <c r="A3" s="1">
        <v>1950</v>
      </c>
      <c r="B3" s="18"/>
      <c r="C3" s="18"/>
      <c r="D3" s="18"/>
      <c r="E3" s="18"/>
      <c r="F3" s="18"/>
      <c r="G3" s="18"/>
      <c r="H3" s="18"/>
      <c r="I3" s="18"/>
      <c r="J3" s="18"/>
      <c r="K3" s="18"/>
      <c r="L3" s="18"/>
      <c r="M3" s="18"/>
      <c r="N3" s="18"/>
      <c r="O3" s="18"/>
      <c r="P3" s="18"/>
      <c r="Q3" s="18"/>
      <c r="R3" s="18"/>
      <c r="S3" s="18"/>
      <c r="T3" s="18"/>
      <c r="U3" s="18"/>
      <c r="V3" s="18"/>
      <c r="W3" s="18"/>
      <c r="X3" s="18"/>
      <c r="Y3" s="18"/>
      <c r="Z3" s="18"/>
      <c r="AA3" s="18"/>
      <c r="AB3" s="18"/>
      <c r="AC3" s="18"/>
      <c r="AD3" s="18"/>
      <c r="AE3" s="18"/>
      <c r="AF3" s="18"/>
      <c r="AG3" s="18"/>
      <c r="AH3" s="18"/>
      <c r="AI3" s="18"/>
      <c r="AJ3" s="18"/>
      <c r="AK3" s="18"/>
      <c r="AL3" s="18"/>
      <c r="AM3" s="18"/>
      <c r="AN3" s="18"/>
      <c r="AO3" s="18"/>
      <c r="AP3" s="18"/>
      <c r="AQ3" s="18"/>
      <c r="AR3" s="18"/>
      <c r="AS3" s="18"/>
      <c r="AT3" s="18"/>
      <c r="AU3" s="18"/>
      <c r="AV3" s="18"/>
      <c r="AW3" s="18"/>
      <c r="AX3" s="18"/>
      <c r="AY3" s="18"/>
      <c r="AZ3" s="18"/>
      <c r="BA3" s="18"/>
      <c r="BB3" s="18"/>
      <c r="BC3" s="18"/>
      <c r="BD3" s="18"/>
      <c r="BE3" s="18"/>
      <c r="BF3" s="18"/>
      <c r="BG3" s="18"/>
      <c r="BH3" s="18"/>
      <c r="BI3" s="18"/>
      <c r="BJ3" s="18"/>
      <c r="BK3" s="18"/>
      <c r="BL3" s="18"/>
      <c r="BM3" s="18"/>
      <c r="BN3" s="18"/>
      <c r="BO3" s="18"/>
      <c r="BP3" s="18"/>
      <c r="BQ3" s="18"/>
      <c r="BR3" s="18"/>
      <c r="BS3" s="18"/>
      <c r="BT3" s="18"/>
      <c r="BU3" s="18"/>
      <c r="BV3" s="18"/>
      <c r="BW3" s="18"/>
      <c r="BX3" s="18"/>
      <c r="BY3" s="18"/>
      <c r="BZ3" s="18"/>
      <c r="CA3" s="18"/>
      <c r="CB3" s="18"/>
      <c r="CC3" s="18"/>
      <c r="CD3" s="18"/>
      <c r="CE3" s="18"/>
      <c r="CF3" s="18"/>
      <c r="CG3" s="18"/>
      <c r="CH3" s="18"/>
      <c r="CI3" s="18"/>
      <c r="CJ3" s="18"/>
      <c r="CK3" s="18"/>
      <c r="CL3" s="18"/>
      <c r="CM3" s="18"/>
      <c r="CN3" s="18"/>
      <c r="CO3" s="18"/>
      <c r="CP3" s="18"/>
      <c r="CQ3" s="18"/>
      <c r="CR3" s="18"/>
      <c r="CS3" s="18"/>
      <c r="CT3" s="18"/>
      <c r="CU3" s="18"/>
      <c r="CV3" s="18"/>
      <c r="CW3" s="18"/>
      <c r="CX3" s="18"/>
      <c r="CY3" s="18"/>
      <c r="CZ3" s="18"/>
      <c r="DA3" s="18"/>
      <c r="DB3" s="18"/>
      <c r="DC3" s="18"/>
      <c r="DD3" s="18"/>
      <c r="DE3" s="18"/>
      <c r="DF3" s="18"/>
      <c r="DG3" s="18"/>
      <c r="DH3" s="18"/>
      <c r="DI3" s="18"/>
      <c r="DJ3" s="18"/>
      <c r="DK3" s="18"/>
      <c r="DL3" s="18"/>
      <c r="DM3" s="18"/>
      <c r="DN3" s="18"/>
      <c r="DO3" s="18"/>
      <c r="DP3" s="18"/>
      <c r="DQ3" s="18"/>
      <c r="DR3" s="18"/>
      <c r="DS3" s="18"/>
      <c r="DT3" s="18"/>
      <c r="DU3" s="18"/>
      <c r="DV3" s="18"/>
      <c r="DW3" s="18"/>
      <c r="DX3" s="18"/>
      <c r="DY3" s="18"/>
      <c r="DZ3" s="18"/>
      <c r="EA3" s="18"/>
      <c r="EB3" s="18"/>
      <c r="EC3" s="18"/>
      <c r="ED3" s="18"/>
      <c r="EE3" s="18"/>
      <c r="EF3" s="18"/>
      <c r="EG3" s="18"/>
      <c r="EH3" s="18"/>
      <c r="EI3" s="18"/>
      <c r="EJ3" s="18"/>
      <c r="EK3" s="18"/>
      <c r="EL3" s="18"/>
      <c r="EM3" s="18"/>
      <c r="EN3" s="18"/>
      <c r="EO3" s="18"/>
      <c r="EP3" s="18"/>
      <c r="EQ3" s="18"/>
      <c r="ER3" s="18"/>
      <c r="ES3" s="18"/>
      <c r="ET3" s="18"/>
      <c r="EU3" s="18"/>
      <c r="EV3" s="18"/>
      <c r="EW3" s="18"/>
      <c r="EX3" s="18"/>
      <c r="EY3" s="18"/>
      <c r="EZ3" s="18"/>
      <c r="FA3" s="18"/>
      <c r="FB3" s="18"/>
      <c r="FC3" s="18"/>
      <c r="FD3" s="18"/>
      <c r="FE3" s="18"/>
      <c r="FF3" s="18"/>
      <c r="FG3" s="18"/>
      <c r="FH3" s="18"/>
      <c r="FI3" s="18"/>
      <c r="FJ3" s="18"/>
      <c r="FK3" s="18"/>
      <c r="FL3" s="18"/>
      <c r="FM3" s="18"/>
      <c r="FN3" s="18"/>
      <c r="FO3" s="18"/>
      <c r="FP3" s="18"/>
      <c r="FQ3" s="18"/>
      <c r="FR3" s="18"/>
      <c r="FS3" s="18"/>
      <c r="FT3" s="18"/>
      <c r="FU3" s="18"/>
      <c r="FV3" s="18"/>
      <c r="FW3" s="18"/>
      <c r="FX3" s="18"/>
      <c r="FY3" s="18"/>
      <c r="FZ3" s="18"/>
      <c r="GA3" s="18"/>
      <c r="GB3" s="18"/>
      <c r="GC3" s="18"/>
      <c r="GD3" s="18"/>
      <c r="GE3" s="18"/>
      <c r="GF3" s="18"/>
      <c r="GG3" s="18"/>
      <c r="GH3" s="18"/>
      <c r="GI3" s="18"/>
      <c r="GJ3" s="18"/>
      <c r="GK3" s="18"/>
      <c r="GL3" s="18"/>
      <c r="GM3" s="18"/>
      <c r="GN3" s="18"/>
      <c r="GO3" s="18"/>
      <c r="GP3" s="18"/>
      <c r="GQ3" s="18"/>
      <c r="GR3" s="18"/>
      <c r="GS3" s="18"/>
      <c r="GT3" s="18"/>
      <c r="GU3" s="18"/>
      <c r="GV3" s="18"/>
      <c r="GW3" s="18"/>
      <c r="GX3" s="18"/>
      <c r="GY3" s="18"/>
      <c r="GZ3" s="18"/>
      <c r="HA3" s="18"/>
      <c r="HB3" s="18"/>
      <c r="HC3" s="18"/>
      <c r="HD3" s="18"/>
      <c r="HE3" s="18"/>
      <c r="HF3" s="18"/>
      <c r="HG3" s="18"/>
      <c r="HH3" s="18"/>
      <c r="HI3" s="18"/>
      <c r="HJ3" s="18"/>
      <c r="HK3" s="18"/>
      <c r="HL3" s="18"/>
      <c r="HM3" s="18"/>
      <c r="HN3" s="18"/>
      <c r="HO3" s="18"/>
      <c r="HP3" s="18"/>
      <c r="HQ3" s="18"/>
      <c r="HR3" s="18"/>
      <c r="HS3" s="18"/>
      <c r="HT3" s="18"/>
      <c r="HU3" s="18"/>
      <c r="HV3" s="18"/>
      <c r="HW3" s="18"/>
      <c r="HX3" s="18"/>
      <c r="HY3" s="18"/>
      <c r="HZ3" s="18"/>
      <c r="IA3" s="18"/>
      <c r="IB3" s="18"/>
      <c r="IC3" s="18"/>
      <c r="ID3" s="18"/>
      <c r="IE3" s="18"/>
      <c r="IF3" s="18"/>
      <c r="IG3" s="18"/>
      <c r="IH3" s="18"/>
      <c r="II3" s="18"/>
      <c r="IJ3" s="18"/>
      <c r="IK3" s="18"/>
      <c r="IL3" s="18"/>
      <c r="IM3" s="18"/>
      <c r="IN3" s="18"/>
      <c r="IO3" s="18"/>
      <c r="IP3" s="18"/>
      <c r="IQ3" s="18"/>
      <c r="IR3" s="18"/>
      <c r="IS3" s="18"/>
      <c r="IT3" s="18"/>
      <c r="IU3" s="18"/>
      <c r="IV3" s="18"/>
      <c r="IW3" s="18"/>
      <c r="IX3" s="18"/>
      <c r="IY3" s="18"/>
      <c r="IZ3" s="18"/>
      <c r="JA3" s="18"/>
      <c r="JB3" s="18"/>
      <c r="JC3" s="18"/>
      <c r="JD3" s="18"/>
      <c r="JE3" s="18"/>
      <c r="JF3" s="18"/>
      <c r="JG3" s="18"/>
      <c r="JH3" s="18"/>
      <c r="JI3" s="18"/>
      <c r="JJ3" s="18"/>
      <c r="JK3" s="18"/>
      <c r="JL3" s="18"/>
      <c r="JM3" s="18"/>
      <c r="JN3" s="18"/>
      <c r="JO3" s="18"/>
      <c r="JP3" s="18"/>
      <c r="JQ3" s="18"/>
      <c r="JR3" s="18"/>
      <c r="JS3" s="18"/>
      <c r="JT3" s="18"/>
      <c r="JU3" s="18"/>
      <c r="JV3" s="18"/>
      <c r="JW3" s="18"/>
      <c r="JX3" s="18"/>
      <c r="JY3" s="18"/>
      <c r="JZ3" s="18"/>
      <c r="KA3" s="18"/>
      <c r="KB3" s="18"/>
      <c r="KC3" s="18"/>
      <c r="KD3" s="18"/>
      <c r="KE3" s="18"/>
      <c r="KF3" s="18"/>
      <c r="KG3" s="18"/>
      <c r="KH3" s="18"/>
      <c r="KI3" s="18"/>
      <c r="KJ3" s="18"/>
      <c r="KK3" s="18"/>
      <c r="KL3" s="18"/>
      <c r="KM3" s="18"/>
      <c r="KN3" s="18"/>
      <c r="KO3" s="18"/>
      <c r="KP3" s="18"/>
      <c r="KQ3" s="18"/>
      <c r="KR3" s="18"/>
      <c r="KS3" s="18"/>
      <c r="KT3" s="18"/>
      <c r="KU3" s="18"/>
      <c r="KV3" s="18"/>
      <c r="KW3" s="18"/>
      <c r="KX3" s="18"/>
      <c r="KY3" s="18"/>
      <c r="KZ3" s="18"/>
      <c r="LA3" s="18"/>
      <c r="LB3" s="18"/>
      <c r="LC3" s="18"/>
      <c r="LD3" s="18"/>
      <c r="LE3" s="18"/>
      <c r="LF3" s="18"/>
      <c r="LG3" s="18"/>
      <c r="LH3" s="18"/>
      <c r="LI3" s="18"/>
      <c r="LJ3" s="18"/>
      <c r="LK3" s="18"/>
      <c r="LL3" s="18"/>
      <c r="LM3" s="18"/>
      <c r="LN3" s="18"/>
      <c r="LO3" s="18"/>
      <c r="LP3" s="18"/>
      <c r="LQ3" s="18"/>
      <c r="LR3" s="18"/>
      <c r="LS3" s="18"/>
      <c r="LT3" s="18"/>
      <c r="LU3" s="18"/>
      <c r="LV3" s="18"/>
      <c r="LW3" s="18"/>
      <c r="LX3" s="18"/>
      <c r="LY3" s="18"/>
      <c r="LZ3" s="18"/>
      <c r="MA3" s="18"/>
      <c r="MB3" s="18"/>
      <c r="MC3" s="18"/>
      <c r="MD3" s="18"/>
      <c r="ME3" s="18"/>
      <c r="MF3" s="18"/>
      <c r="MG3" s="18"/>
      <c r="MH3" s="18"/>
      <c r="MI3" s="18"/>
      <c r="MJ3" s="18"/>
      <c r="MK3" s="18"/>
      <c r="ML3" s="18"/>
      <c r="MM3" s="18"/>
      <c r="MN3" s="18"/>
      <c r="MO3" s="18"/>
      <c r="MP3" s="18"/>
      <c r="MQ3" s="18"/>
      <c r="MR3" s="18"/>
      <c r="MS3" s="18"/>
      <c r="MT3" s="18"/>
      <c r="MU3" s="18"/>
      <c r="MV3" s="18"/>
      <c r="MW3" s="18"/>
      <c r="MX3" s="18"/>
      <c r="MY3" s="18"/>
      <c r="MZ3" s="18"/>
      <c r="NA3" s="18"/>
      <c r="NB3" s="18"/>
      <c r="NC3" s="18"/>
      <c r="NR3" s="19"/>
      <c r="NT3" s="19"/>
    </row>
    <row r="4" spans="1:385" x14ac:dyDescent="0.15">
      <c r="A4" s="1">
        <v>1951</v>
      </c>
      <c r="B4" s="18"/>
      <c r="C4" s="18"/>
      <c r="D4" s="18"/>
      <c r="E4" s="18"/>
      <c r="F4" s="18"/>
      <c r="G4" s="18"/>
      <c r="H4" s="18"/>
      <c r="I4" s="18"/>
      <c r="J4" s="18"/>
      <c r="K4" s="18"/>
      <c r="L4" s="18"/>
      <c r="M4" s="18"/>
      <c r="N4" s="18"/>
      <c r="O4" s="18"/>
      <c r="P4" s="18"/>
      <c r="Q4" s="18"/>
      <c r="R4" s="18"/>
      <c r="S4" s="18"/>
      <c r="T4" s="18"/>
      <c r="U4" s="18"/>
      <c r="V4" s="18"/>
      <c r="W4" s="18"/>
      <c r="X4" s="18"/>
      <c r="Y4" s="18"/>
      <c r="Z4" s="18"/>
      <c r="AA4" s="18"/>
      <c r="AB4" s="18"/>
      <c r="AC4" s="18"/>
      <c r="AD4" s="18"/>
      <c r="AE4" s="18"/>
      <c r="AF4" s="18"/>
      <c r="AG4" s="18"/>
      <c r="AH4" s="18"/>
      <c r="AI4" s="18"/>
      <c r="AJ4" s="18"/>
      <c r="AK4" s="18"/>
      <c r="AL4" s="18"/>
      <c r="AM4" s="18"/>
      <c r="AN4" s="18"/>
      <c r="AO4" s="18"/>
      <c r="AP4" s="18"/>
      <c r="AQ4" s="18"/>
      <c r="AR4" s="18"/>
      <c r="AS4" s="18"/>
      <c r="AT4" s="18"/>
      <c r="AU4" s="18"/>
      <c r="AV4" s="18"/>
      <c r="AW4" s="18"/>
      <c r="AX4" s="18"/>
      <c r="AY4" s="18"/>
      <c r="AZ4" s="18"/>
      <c r="BA4" s="18"/>
      <c r="BB4" s="18"/>
      <c r="BC4" s="18"/>
      <c r="BD4" s="18"/>
      <c r="BE4" s="18"/>
      <c r="BF4" s="18"/>
      <c r="BG4" s="18"/>
      <c r="BH4" s="18"/>
      <c r="BI4" s="18"/>
      <c r="BJ4" s="18"/>
      <c r="BK4" s="18"/>
      <c r="BL4" s="18"/>
      <c r="BM4" s="18"/>
      <c r="BN4" s="18"/>
      <c r="BO4" s="18"/>
      <c r="BP4" s="18"/>
      <c r="BQ4" s="18"/>
      <c r="BR4" s="18"/>
      <c r="BS4" s="18"/>
      <c r="BT4" s="18"/>
      <c r="BU4" s="18"/>
      <c r="BV4" s="18"/>
      <c r="BW4" s="18"/>
      <c r="BX4" s="18"/>
      <c r="BY4" s="18"/>
      <c r="BZ4" s="18"/>
      <c r="CA4" s="18"/>
      <c r="CB4" s="18"/>
      <c r="CC4" s="18"/>
      <c r="CD4" s="18"/>
      <c r="CE4" s="18"/>
      <c r="CF4" s="18"/>
      <c r="CG4" s="18"/>
      <c r="CH4" s="18"/>
      <c r="CI4" s="18"/>
      <c r="CJ4" s="18"/>
      <c r="CK4" s="18"/>
      <c r="CL4" s="18"/>
      <c r="CM4" s="18"/>
      <c r="CN4" s="18"/>
      <c r="CO4" s="18"/>
      <c r="CP4" s="18"/>
      <c r="CQ4" s="18"/>
      <c r="CR4" s="18"/>
      <c r="CS4" s="18"/>
      <c r="CT4" s="18"/>
      <c r="CU4" s="18"/>
      <c r="CV4" s="18"/>
      <c r="CW4" s="18"/>
      <c r="CX4" s="18"/>
      <c r="CY4" s="18"/>
      <c r="CZ4" s="18"/>
      <c r="DA4" s="18"/>
      <c r="DB4" s="18"/>
      <c r="DC4" s="18"/>
      <c r="DD4" s="18"/>
      <c r="DE4" s="18"/>
      <c r="DF4" s="18"/>
      <c r="DG4" s="18"/>
      <c r="DH4" s="18"/>
      <c r="DI4" s="18"/>
      <c r="DJ4" s="18"/>
      <c r="DK4" s="18"/>
      <c r="DL4" s="18"/>
      <c r="DM4" s="18"/>
      <c r="DN4" s="18"/>
      <c r="DO4" s="18"/>
      <c r="DP4" s="18"/>
      <c r="DQ4" s="18"/>
      <c r="DR4" s="18"/>
      <c r="DS4" s="18"/>
      <c r="DT4" s="18"/>
      <c r="DU4" s="18"/>
      <c r="DV4" s="18"/>
      <c r="DW4" s="18"/>
      <c r="DX4" s="18"/>
      <c r="DY4" s="18"/>
      <c r="DZ4" s="18"/>
      <c r="EA4" s="18"/>
      <c r="EB4" s="18"/>
      <c r="EC4" s="18"/>
      <c r="ED4" s="18"/>
      <c r="EE4" s="18"/>
      <c r="EF4" s="18"/>
      <c r="EG4" s="18"/>
      <c r="EH4" s="18"/>
      <c r="EI4" s="18"/>
      <c r="EJ4" s="18"/>
      <c r="EK4" s="18"/>
      <c r="EL4" s="18"/>
      <c r="EM4" s="18"/>
      <c r="EN4" s="18"/>
      <c r="EO4" s="18"/>
      <c r="EP4" s="18"/>
      <c r="EQ4" s="18"/>
      <c r="ER4" s="18"/>
      <c r="ES4" s="18"/>
      <c r="ET4" s="18"/>
      <c r="EU4" s="18"/>
      <c r="EV4" s="18"/>
      <c r="EW4" s="18"/>
      <c r="EX4" s="18"/>
      <c r="EY4" s="18"/>
      <c r="EZ4" s="18"/>
      <c r="FA4" s="18"/>
      <c r="FB4" s="18"/>
      <c r="FC4" s="18"/>
      <c r="FD4" s="18"/>
      <c r="FE4" s="18"/>
      <c r="FF4" s="18"/>
      <c r="FG4" s="18"/>
      <c r="FH4" s="18"/>
      <c r="FI4" s="18"/>
      <c r="FJ4" s="18"/>
      <c r="FK4" s="18"/>
      <c r="FL4" s="18"/>
      <c r="FM4" s="18"/>
      <c r="FN4" s="18"/>
      <c r="FO4" s="18"/>
      <c r="FP4" s="18"/>
      <c r="FQ4" s="18"/>
      <c r="FR4" s="18"/>
      <c r="FS4" s="18"/>
      <c r="FT4" s="18"/>
      <c r="FU4" s="18"/>
      <c r="FV4" s="18"/>
      <c r="FW4" s="18"/>
      <c r="FX4" s="18"/>
      <c r="FY4" s="18"/>
      <c r="FZ4" s="18"/>
      <c r="GA4" s="18"/>
      <c r="GB4" s="18"/>
      <c r="GC4" s="18"/>
      <c r="GD4" s="18"/>
      <c r="GE4" s="18"/>
      <c r="GF4" s="18"/>
      <c r="GG4" s="18"/>
      <c r="GH4" s="18"/>
      <c r="GI4" s="18"/>
      <c r="GJ4" s="18"/>
      <c r="GK4" s="18"/>
      <c r="GL4" s="18"/>
      <c r="GM4" s="18"/>
      <c r="GN4" s="18"/>
      <c r="GO4" s="18"/>
      <c r="GP4" s="18"/>
      <c r="GQ4" s="18"/>
      <c r="GR4" s="18"/>
      <c r="GS4" s="18"/>
      <c r="GT4" s="18"/>
      <c r="GU4" s="18"/>
      <c r="GV4" s="18"/>
      <c r="GW4" s="18"/>
      <c r="GX4" s="18"/>
      <c r="GY4" s="18"/>
      <c r="GZ4" s="18"/>
      <c r="HA4" s="18"/>
      <c r="HB4" s="18"/>
      <c r="HC4" s="18"/>
      <c r="HD4" s="18"/>
      <c r="HE4" s="18"/>
      <c r="HF4" s="18"/>
      <c r="HG4" s="18"/>
      <c r="HH4" s="18"/>
      <c r="HI4" s="18"/>
      <c r="HJ4" s="18"/>
      <c r="HK4" s="18"/>
      <c r="HL4" s="18"/>
      <c r="HM4" s="18"/>
      <c r="HN4" s="18"/>
      <c r="HO4" s="18"/>
      <c r="HP4" s="18"/>
      <c r="HQ4" s="18"/>
      <c r="HR4" s="18"/>
      <c r="HS4" s="18"/>
      <c r="HT4" s="18"/>
      <c r="HU4" s="18"/>
      <c r="HV4" s="18"/>
      <c r="HW4" s="18"/>
      <c r="HX4" s="18"/>
      <c r="HY4" s="18"/>
      <c r="HZ4" s="18"/>
      <c r="IA4" s="18"/>
      <c r="IB4" s="18"/>
      <c r="IC4" s="18"/>
      <c r="ID4" s="18"/>
      <c r="IE4" s="18"/>
      <c r="IF4" s="18"/>
      <c r="IG4" s="18"/>
      <c r="IH4" s="18"/>
      <c r="II4" s="18"/>
      <c r="IJ4" s="18"/>
      <c r="IK4" s="18"/>
      <c r="IL4" s="18"/>
      <c r="IM4" s="18"/>
      <c r="IN4" s="18"/>
      <c r="IO4" s="18"/>
      <c r="IP4" s="18"/>
      <c r="IQ4" s="18"/>
      <c r="IR4" s="18"/>
      <c r="IS4" s="18"/>
      <c r="IT4" s="18"/>
      <c r="IU4" s="18"/>
      <c r="IV4" s="18"/>
      <c r="IW4" s="18"/>
      <c r="IX4" s="18"/>
      <c r="IY4" s="18"/>
      <c r="IZ4" s="18"/>
      <c r="JA4" s="18"/>
      <c r="JB4" s="18"/>
      <c r="JC4" s="18"/>
      <c r="JD4" s="18"/>
      <c r="JE4" s="18"/>
      <c r="JF4" s="18"/>
      <c r="JG4" s="18"/>
      <c r="JH4" s="18"/>
      <c r="JI4" s="18"/>
      <c r="JJ4" s="18"/>
      <c r="JK4" s="18"/>
      <c r="JL4" s="18"/>
      <c r="JM4" s="18"/>
      <c r="JN4" s="18"/>
      <c r="JO4" s="18"/>
      <c r="JP4" s="18"/>
      <c r="JQ4" s="18"/>
      <c r="JR4" s="18"/>
      <c r="JS4" s="18"/>
      <c r="JT4" s="18"/>
      <c r="JU4" s="18"/>
      <c r="JV4" s="18"/>
      <c r="JW4" s="18"/>
      <c r="JX4" s="18"/>
      <c r="JY4" s="18"/>
      <c r="JZ4" s="18"/>
      <c r="KA4" s="18"/>
      <c r="KB4" s="18"/>
      <c r="KC4" s="18"/>
      <c r="KD4" s="18"/>
      <c r="KE4" s="18"/>
      <c r="KF4" s="18"/>
      <c r="KG4" s="18"/>
      <c r="KH4" s="18"/>
      <c r="KI4" s="18"/>
      <c r="KJ4" s="18"/>
      <c r="KK4" s="18"/>
      <c r="KL4" s="18"/>
      <c r="KM4" s="18"/>
      <c r="KN4" s="18"/>
      <c r="KO4" s="18"/>
      <c r="KP4" s="18"/>
      <c r="KQ4" s="18"/>
      <c r="KR4" s="18"/>
      <c r="KS4" s="18"/>
      <c r="KT4" s="18"/>
      <c r="KU4" s="18"/>
      <c r="KV4" s="18"/>
      <c r="KW4" s="18"/>
      <c r="KX4" s="18"/>
      <c r="KY4" s="18"/>
      <c r="KZ4" s="18"/>
      <c r="LA4" s="18"/>
      <c r="LB4" s="18"/>
      <c r="LC4" s="18"/>
      <c r="LD4" s="18"/>
      <c r="LE4" s="18"/>
      <c r="LF4" s="18"/>
      <c r="LG4" s="18"/>
      <c r="LH4" s="18"/>
      <c r="LI4" s="18"/>
      <c r="LJ4" s="18"/>
      <c r="LK4" s="18"/>
      <c r="LL4" s="18"/>
      <c r="LM4" s="18"/>
      <c r="LN4" s="18"/>
      <c r="LO4" s="18"/>
      <c r="LP4" s="18"/>
      <c r="LQ4" s="18"/>
      <c r="LR4" s="18"/>
      <c r="LS4" s="18"/>
      <c r="LT4" s="18"/>
      <c r="LU4" s="18"/>
      <c r="LV4" s="18"/>
      <c r="LW4" s="18"/>
      <c r="LX4" s="18"/>
      <c r="LY4" s="18"/>
      <c r="LZ4" s="18"/>
      <c r="MA4" s="18"/>
      <c r="MB4" s="18"/>
      <c r="MC4" s="18"/>
      <c r="MD4" s="18"/>
      <c r="ME4" s="18"/>
      <c r="MF4" s="18"/>
      <c r="MG4" s="18"/>
      <c r="MH4" s="18"/>
      <c r="MI4" s="18"/>
      <c r="MJ4" s="18"/>
      <c r="MK4" s="18"/>
      <c r="ML4" s="18"/>
      <c r="MM4" s="18"/>
      <c r="MN4" s="18"/>
      <c r="MO4" s="18"/>
      <c r="MP4" s="18"/>
      <c r="MQ4" s="18"/>
      <c r="MR4" s="18"/>
      <c r="MS4" s="18"/>
      <c r="MT4" s="18"/>
      <c r="MU4" s="18"/>
      <c r="MV4" s="18"/>
      <c r="MW4" s="18"/>
      <c r="MX4" s="18"/>
      <c r="MY4" s="18"/>
      <c r="MZ4" s="18"/>
      <c r="NA4" s="18"/>
      <c r="NB4" s="18"/>
      <c r="NC4" s="18"/>
      <c r="NR4" s="19"/>
      <c r="NT4" s="19"/>
    </row>
    <row r="5" spans="1:385" x14ac:dyDescent="0.15">
      <c r="A5" s="1">
        <v>1952</v>
      </c>
      <c r="B5" s="18">
        <v>1600</v>
      </c>
      <c r="C5" s="18">
        <v>1600</v>
      </c>
      <c r="D5" s="18">
        <v>1600</v>
      </c>
      <c r="E5" s="18">
        <v>1600</v>
      </c>
      <c r="F5" s="18">
        <v>1600</v>
      </c>
      <c r="G5" s="18">
        <v>1590</v>
      </c>
      <c r="H5" s="18">
        <v>1590</v>
      </c>
      <c r="I5" s="18">
        <v>1580</v>
      </c>
      <c r="J5" s="18">
        <v>1560</v>
      </c>
      <c r="K5" s="18">
        <v>1550</v>
      </c>
      <c r="L5" s="18">
        <v>1540</v>
      </c>
      <c r="M5" s="18">
        <v>1540</v>
      </c>
      <c r="N5" s="18">
        <v>1520</v>
      </c>
      <c r="O5" s="18">
        <v>1510</v>
      </c>
      <c r="P5" s="18">
        <v>1490</v>
      </c>
      <c r="Q5" s="18">
        <v>1480</v>
      </c>
      <c r="R5" s="18">
        <v>1480</v>
      </c>
      <c r="S5" s="18">
        <v>1470</v>
      </c>
      <c r="T5" s="18">
        <v>1460</v>
      </c>
      <c r="U5" s="18">
        <v>1450</v>
      </c>
      <c r="V5" s="18">
        <v>1450</v>
      </c>
      <c r="W5" s="18">
        <v>1430</v>
      </c>
      <c r="X5" s="18">
        <v>1430</v>
      </c>
      <c r="Y5" s="18">
        <v>1410</v>
      </c>
      <c r="Z5" s="18">
        <v>1400</v>
      </c>
      <c r="AA5" s="18">
        <v>1390</v>
      </c>
      <c r="AB5" s="18">
        <v>1390</v>
      </c>
      <c r="AC5" s="18">
        <v>1390</v>
      </c>
      <c r="AD5" s="18">
        <v>1390</v>
      </c>
      <c r="AE5" s="18">
        <v>1380</v>
      </c>
      <c r="AF5" s="18">
        <v>1380</v>
      </c>
      <c r="AG5" s="18">
        <v>1380</v>
      </c>
      <c r="AH5" s="18">
        <v>1370</v>
      </c>
      <c r="AI5" s="18">
        <v>1370</v>
      </c>
      <c r="AJ5" s="18">
        <v>1370</v>
      </c>
      <c r="AK5" s="18">
        <v>1370</v>
      </c>
      <c r="AL5" s="18">
        <v>1360</v>
      </c>
      <c r="AM5" s="18">
        <v>1360</v>
      </c>
      <c r="AN5" s="18">
        <v>1360</v>
      </c>
      <c r="AO5" s="18">
        <v>1350</v>
      </c>
      <c r="AP5" s="18">
        <v>1350</v>
      </c>
      <c r="AQ5" s="18">
        <v>1340</v>
      </c>
      <c r="AR5" s="18">
        <v>1340</v>
      </c>
      <c r="AS5" s="18">
        <v>1340</v>
      </c>
      <c r="AT5" s="18">
        <v>1330</v>
      </c>
      <c r="AU5" s="18">
        <v>1330</v>
      </c>
      <c r="AV5" s="18">
        <v>1320</v>
      </c>
      <c r="AW5" s="18">
        <v>1310</v>
      </c>
      <c r="AX5" s="18">
        <v>1310</v>
      </c>
      <c r="AY5" s="18">
        <v>1310</v>
      </c>
      <c r="AZ5" s="18">
        <v>1310</v>
      </c>
      <c r="BA5" s="18">
        <v>1310</v>
      </c>
      <c r="BB5" s="18">
        <v>1300</v>
      </c>
      <c r="BC5" s="18">
        <v>1300</v>
      </c>
      <c r="BD5" s="18">
        <v>1310</v>
      </c>
      <c r="BE5" s="18">
        <v>1320</v>
      </c>
      <c r="BF5" s="18">
        <v>1310</v>
      </c>
      <c r="BG5" s="18">
        <v>1310</v>
      </c>
      <c r="BH5" s="18">
        <v>1310</v>
      </c>
      <c r="BI5" s="18">
        <v>1300</v>
      </c>
      <c r="BJ5" s="18">
        <v>1300</v>
      </c>
      <c r="BK5" s="18">
        <v>1290</v>
      </c>
      <c r="BL5" s="18">
        <v>1280</v>
      </c>
      <c r="BM5" s="18">
        <v>1280</v>
      </c>
      <c r="BN5" s="18">
        <v>1280</v>
      </c>
      <c r="BO5" s="18">
        <v>1270</v>
      </c>
      <c r="BP5" s="18">
        <v>1270</v>
      </c>
      <c r="BQ5" s="18">
        <v>1270</v>
      </c>
      <c r="BR5" s="18">
        <v>1260</v>
      </c>
      <c r="BS5" s="18">
        <v>1260</v>
      </c>
      <c r="BT5" s="18">
        <v>1250</v>
      </c>
      <c r="BU5" s="18">
        <v>1250</v>
      </c>
      <c r="BV5" s="18">
        <v>1250</v>
      </c>
      <c r="BW5" s="18">
        <v>1240</v>
      </c>
      <c r="BX5" s="18">
        <v>1240</v>
      </c>
      <c r="BY5" s="18">
        <v>1240</v>
      </c>
      <c r="BZ5" s="18">
        <v>1230</v>
      </c>
      <c r="CA5" s="18">
        <v>1220</v>
      </c>
      <c r="CB5" s="18">
        <v>1220</v>
      </c>
      <c r="CC5" s="18">
        <v>1220</v>
      </c>
      <c r="CD5" s="18">
        <v>1220</v>
      </c>
      <c r="CE5" s="18">
        <v>1210</v>
      </c>
      <c r="CF5" s="18">
        <v>1210</v>
      </c>
      <c r="CG5" s="18">
        <v>1200</v>
      </c>
      <c r="CH5" s="18">
        <v>1190</v>
      </c>
      <c r="CI5" s="18">
        <v>1190</v>
      </c>
      <c r="CJ5" s="18">
        <v>1190</v>
      </c>
      <c r="CK5" s="18">
        <v>1190</v>
      </c>
      <c r="CL5" s="18">
        <v>1180</v>
      </c>
      <c r="CM5" s="18">
        <v>1180</v>
      </c>
      <c r="CN5" s="18">
        <v>1180</v>
      </c>
      <c r="CO5" s="18">
        <v>1200</v>
      </c>
      <c r="CP5" s="18">
        <v>1210</v>
      </c>
      <c r="CQ5" s="18">
        <v>1210</v>
      </c>
      <c r="CR5" s="18">
        <v>1230</v>
      </c>
      <c r="CS5" s="18">
        <v>1240</v>
      </c>
      <c r="CT5" s="18">
        <v>1240</v>
      </c>
      <c r="CU5" s="18">
        <v>1240</v>
      </c>
      <c r="CV5" s="18">
        <v>1250</v>
      </c>
      <c r="CW5" s="18">
        <v>1250</v>
      </c>
      <c r="CX5" s="18">
        <v>1240</v>
      </c>
      <c r="CY5" s="18">
        <v>1240</v>
      </c>
      <c r="CZ5" s="18">
        <v>1250</v>
      </c>
      <c r="DA5" s="18">
        <v>1260</v>
      </c>
      <c r="DB5" s="18">
        <v>1280</v>
      </c>
      <c r="DC5" s="18">
        <v>1300</v>
      </c>
      <c r="DD5" s="18">
        <v>1300</v>
      </c>
      <c r="DE5" s="18">
        <v>1310</v>
      </c>
      <c r="DF5" s="18">
        <v>1300</v>
      </c>
      <c r="DG5" s="18">
        <v>1270</v>
      </c>
      <c r="DH5" s="18">
        <v>1250</v>
      </c>
      <c r="DI5" s="18">
        <v>1270</v>
      </c>
      <c r="DJ5" s="18">
        <v>1300</v>
      </c>
      <c r="DK5" s="18">
        <v>1340</v>
      </c>
      <c r="DL5" s="18">
        <v>1390</v>
      </c>
      <c r="DM5" s="18">
        <v>1480</v>
      </c>
      <c r="DN5" s="18">
        <v>1480</v>
      </c>
      <c r="DO5" s="18">
        <v>1700</v>
      </c>
      <c r="DP5" s="18">
        <v>1760</v>
      </c>
      <c r="DQ5" s="18">
        <v>1760</v>
      </c>
      <c r="DR5" s="18">
        <v>1700</v>
      </c>
      <c r="DS5" s="18">
        <v>1640</v>
      </c>
      <c r="DT5" s="18">
        <v>1630</v>
      </c>
      <c r="DU5" s="18">
        <v>1640</v>
      </c>
      <c r="DV5" s="18">
        <v>1680</v>
      </c>
      <c r="DW5" s="18">
        <v>1710</v>
      </c>
      <c r="DX5" s="18">
        <v>1770</v>
      </c>
      <c r="DY5" s="18">
        <v>1700</v>
      </c>
      <c r="DZ5" s="18">
        <v>1740</v>
      </c>
      <c r="EA5" s="18">
        <v>1710</v>
      </c>
      <c r="EB5" s="18">
        <v>1670</v>
      </c>
      <c r="EC5" s="18">
        <v>1630</v>
      </c>
      <c r="ED5" s="18">
        <v>1600</v>
      </c>
      <c r="EE5" s="18">
        <v>1590</v>
      </c>
      <c r="EF5" s="18">
        <v>1580</v>
      </c>
      <c r="EG5" s="18">
        <v>1610</v>
      </c>
      <c r="EH5" s="18">
        <v>1660</v>
      </c>
      <c r="EI5" s="18">
        <v>1680</v>
      </c>
      <c r="EJ5" s="18">
        <v>1680</v>
      </c>
      <c r="EK5" s="18">
        <v>1660</v>
      </c>
      <c r="EL5" s="18">
        <v>1650</v>
      </c>
      <c r="EM5" s="18">
        <v>1630</v>
      </c>
      <c r="EN5" s="18">
        <v>1650</v>
      </c>
      <c r="EO5" s="18">
        <v>1720</v>
      </c>
      <c r="EP5" s="18">
        <v>1760</v>
      </c>
      <c r="EQ5" s="18">
        <v>1770</v>
      </c>
      <c r="ER5" s="18">
        <v>1800</v>
      </c>
      <c r="ES5" s="18">
        <v>1850</v>
      </c>
      <c r="ET5" s="18">
        <v>1880</v>
      </c>
      <c r="EU5" s="18">
        <v>2000</v>
      </c>
      <c r="EV5" s="18">
        <v>2050</v>
      </c>
      <c r="EW5" s="18">
        <v>2130</v>
      </c>
      <c r="EX5" s="18">
        <v>2380</v>
      </c>
      <c r="EY5" s="18">
        <v>2430</v>
      </c>
      <c r="EZ5" s="18">
        <v>2580</v>
      </c>
      <c r="FA5" s="18">
        <v>2840</v>
      </c>
      <c r="FB5" s="18">
        <v>3110</v>
      </c>
      <c r="FC5" s="18">
        <v>3300</v>
      </c>
      <c r="FD5" s="18">
        <v>3560</v>
      </c>
      <c r="FE5" s="18">
        <v>3730</v>
      </c>
      <c r="FF5" s="18">
        <v>4000</v>
      </c>
      <c r="FG5" s="18">
        <v>3950</v>
      </c>
      <c r="FH5" s="18">
        <v>3570</v>
      </c>
      <c r="FI5" s="18">
        <v>3460</v>
      </c>
      <c r="FJ5" s="18">
        <v>3540</v>
      </c>
      <c r="FK5" s="18">
        <v>4060</v>
      </c>
      <c r="FL5" s="18">
        <v>3860</v>
      </c>
      <c r="FM5" s="18">
        <v>3700</v>
      </c>
      <c r="FN5" s="18">
        <v>3620</v>
      </c>
      <c r="FO5" s="18">
        <v>3490</v>
      </c>
      <c r="FP5" s="18">
        <v>3150</v>
      </c>
      <c r="FQ5" s="18">
        <v>3200</v>
      </c>
      <c r="FR5" s="18">
        <v>4310</v>
      </c>
      <c r="FS5" s="18">
        <v>5040</v>
      </c>
      <c r="FT5" s="18">
        <v>5120</v>
      </c>
      <c r="FU5" s="18">
        <v>5510</v>
      </c>
      <c r="FV5" s="18">
        <v>5260</v>
      </c>
      <c r="FW5" s="18">
        <v>5370</v>
      </c>
      <c r="FX5" s="18">
        <v>4930</v>
      </c>
      <c r="FY5" s="18">
        <v>4650</v>
      </c>
      <c r="FZ5" s="18">
        <v>4370</v>
      </c>
      <c r="GA5" s="18">
        <v>4140</v>
      </c>
      <c r="GB5" s="18">
        <v>4080</v>
      </c>
      <c r="GC5" s="18">
        <v>4330</v>
      </c>
      <c r="GD5" s="18">
        <v>4660</v>
      </c>
      <c r="GE5" s="18">
        <v>4760</v>
      </c>
      <c r="GF5" s="18">
        <v>4610</v>
      </c>
      <c r="GG5" s="18">
        <v>4510</v>
      </c>
      <c r="GH5" s="18">
        <v>4480</v>
      </c>
      <c r="GI5" s="18">
        <v>4450</v>
      </c>
      <c r="GJ5" s="18">
        <v>4700</v>
      </c>
      <c r="GK5" s="18">
        <v>5360</v>
      </c>
      <c r="GL5" s="18">
        <v>5990</v>
      </c>
      <c r="GM5" s="18">
        <v>6860</v>
      </c>
      <c r="GN5" s="18">
        <v>7580</v>
      </c>
      <c r="GO5" s="18">
        <v>8690</v>
      </c>
      <c r="GP5" s="18">
        <v>8620</v>
      </c>
      <c r="GQ5" s="18">
        <v>8820</v>
      </c>
      <c r="GR5" s="18">
        <v>8340</v>
      </c>
      <c r="GS5" s="18">
        <v>7490</v>
      </c>
      <c r="GT5" s="18">
        <v>6880</v>
      </c>
      <c r="GU5" s="18">
        <v>6380</v>
      </c>
      <c r="GV5" s="18">
        <v>5920</v>
      </c>
      <c r="GW5" s="18">
        <v>5600</v>
      </c>
      <c r="GX5" s="18">
        <v>5560</v>
      </c>
      <c r="GY5" s="18">
        <v>5450</v>
      </c>
      <c r="GZ5" s="18">
        <v>5470</v>
      </c>
      <c r="HA5" s="18">
        <v>5050</v>
      </c>
      <c r="HB5" s="18">
        <v>4880</v>
      </c>
      <c r="HC5" s="18">
        <v>4810</v>
      </c>
      <c r="HD5" s="18">
        <v>4870</v>
      </c>
      <c r="HE5" s="18">
        <v>4840</v>
      </c>
      <c r="HF5" s="18">
        <v>4740</v>
      </c>
      <c r="HG5" s="18">
        <v>4720</v>
      </c>
      <c r="HH5" s="18">
        <v>4820</v>
      </c>
      <c r="HI5" s="18">
        <v>4700</v>
      </c>
      <c r="HJ5" s="18">
        <v>4580</v>
      </c>
      <c r="HK5" s="18">
        <v>4450</v>
      </c>
      <c r="HL5" s="18">
        <v>4370</v>
      </c>
      <c r="HM5" s="18">
        <v>4680</v>
      </c>
      <c r="HN5" s="18">
        <v>4640</v>
      </c>
      <c r="HO5" s="18">
        <v>4550</v>
      </c>
      <c r="HP5" s="18">
        <v>4730</v>
      </c>
      <c r="HQ5" s="18">
        <v>6020</v>
      </c>
      <c r="HR5" s="18">
        <v>6470</v>
      </c>
      <c r="HS5" s="18">
        <v>6660</v>
      </c>
      <c r="HT5" s="18">
        <v>6680</v>
      </c>
      <c r="HU5" s="18">
        <v>6860</v>
      </c>
      <c r="HV5" s="18">
        <v>7360</v>
      </c>
      <c r="HW5" s="18">
        <v>9030</v>
      </c>
      <c r="HX5" s="18">
        <v>13500</v>
      </c>
      <c r="HY5" s="18">
        <v>16200</v>
      </c>
      <c r="HZ5" s="18">
        <v>13300</v>
      </c>
      <c r="IA5" s="18">
        <v>10300</v>
      </c>
      <c r="IB5" s="18">
        <v>9260</v>
      </c>
      <c r="IC5" s="18">
        <v>8540</v>
      </c>
      <c r="ID5" s="18">
        <v>9380</v>
      </c>
      <c r="IE5" s="18">
        <v>9370</v>
      </c>
      <c r="IF5" s="18">
        <v>8690</v>
      </c>
      <c r="IG5" s="18">
        <v>8330</v>
      </c>
      <c r="IH5" s="18">
        <v>8780</v>
      </c>
      <c r="II5" s="18">
        <v>10800</v>
      </c>
      <c r="IJ5" s="18">
        <v>11000</v>
      </c>
      <c r="IK5" s="18">
        <v>11600</v>
      </c>
      <c r="IL5" s="18">
        <v>12500</v>
      </c>
      <c r="IM5" s="18">
        <v>14200</v>
      </c>
      <c r="IN5" s="18">
        <v>13400</v>
      </c>
      <c r="IO5" s="18">
        <v>12600</v>
      </c>
      <c r="IP5" s="18">
        <v>13500</v>
      </c>
      <c r="IQ5" s="18">
        <v>12800</v>
      </c>
      <c r="IR5" s="18">
        <v>12300</v>
      </c>
      <c r="IS5" s="18">
        <v>12400</v>
      </c>
      <c r="IT5" s="18">
        <v>12500</v>
      </c>
      <c r="IU5" s="18">
        <v>11600</v>
      </c>
      <c r="IV5" s="18">
        <v>10900</v>
      </c>
      <c r="IW5" s="18">
        <v>10200</v>
      </c>
      <c r="IX5" s="18">
        <v>9980</v>
      </c>
      <c r="IY5" s="18">
        <v>9280</v>
      </c>
      <c r="IZ5" s="18">
        <v>8620</v>
      </c>
      <c r="JA5" s="18">
        <v>8190</v>
      </c>
      <c r="JB5" s="18">
        <v>8230</v>
      </c>
      <c r="JC5" s="18">
        <v>9110</v>
      </c>
      <c r="JD5" s="18">
        <v>9900</v>
      </c>
      <c r="JE5" s="18">
        <v>11900</v>
      </c>
      <c r="JF5" s="18">
        <v>12200</v>
      </c>
      <c r="JG5" s="18">
        <v>11500</v>
      </c>
      <c r="JH5" s="18">
        <v>10300</v>
      </c>
      <c r="JI5" s="18">
        <v>9220</v>
      </c>
      <c r="JJ5" s="18">
        <v>8460</v>
      </c>
      <c r="JK5" s="18">
        <v>8360</v>
      </c>
      <c r="JL5" s="18">
        <v>8110</v>
      </c>
      <c r="JM5" s="18">
        <v>7610</v>
      </c>
      <c r="JN5" s="18">
        <v>7270</v>
      </c>
      <c r="JO5" s="18">
        <v>7210</v>
      </c>
      <c r="JP5" s="18">
        <v>7340</v>
      </c>
      <c r="JQ5" s="18">
        <v>7730</v>
      </c>
      <c r="JR5" s="18">
        <v>7730</v>
      </c>
      <c r="JS5" s="18">
        <v>7770</v>
      </c>
      <c r="JT5" s="18">
        <v>7730</v>
      </c>
      <c r="JU5" s="18">
        <v>7540</v>
      </c>
      <c r="JV5" s="18">
        <v>7320</v>
      </c>
      <c r="JW5" s="18">
        <v>7120</v>
      </c>
      <c r="JX5" s="18">
        <v>6930</v>
      </c>
      <c r="JY5" s="18">
        <v>6810</v>
      </c>
      <c r="JZ5" s="18">
        <v>7840</v>
      </c>
      <c r="KA5" s="18">
        <v>9880</v>
      </c>
      <c r="KB5" s="18">
        <v>11000</v>
      </c>
      <c r="KC5" s="18">
        <v>10800</v>
      </c>
      <c r="KD5" s="18">
        <v>9720</v>
      </c>
      <c r="KE5" s="18">
        <v>8940</v>
      </c>
      <c r="KF5" s="18">
        <v>8450</v>
      </c>
      <c r="KG5" s="18">
        <v>8100</v>
      </c>
      <c r="KH5" s="18">
        <v>7780</v>
      </c>
      <c r="KI5" s="18">
        <v>7480</v>
      </c>
      <c r="KJ5" s="18">
        <v>7200</v>
      </c>
      <c r="KK5" s="18">
        <v>7010</v>
      </c>
      <c r="KL5" s="18">
        <v>6960</v>
      </c>
      <c r="KM5" s="18">
        <v>6860</v>
      </c>
      <c r="KN5" s="18">
        <v>6630</v>
      </c>
      <c r="KO5" s="18">
        <v>6630</v>
      </c>
      <c r="KP5" s="18">
        <v>6810</v>
      </c>
      <c r="KQ5" s="18">
        <v>7000</v>
      </c>
      <c r="KR5" s="18">
        <v>7180</v>
      </c>
      <c r="KS5" s="18">
        <v>7010</v>
      </c>
      <c r="KT5" s="18">
        <v>6690</v>
      </c>
      <c r="KU5" s="18">
        <v>6320</v>
      </c>
      <c r="KV5" s="18">
        <v>5980</v>
      </c>
      <c r="KW5" s="18">
        <v>5700</v>
      </c>
      <c r="KX5" s="18">
        <v>5480</v>
      </c>
      <c r="KY5" s="18">
        <v>5270</v>
      </c>
      <c r="KZ5" s="18">
        <v>5100</v>
      </c>
      <c r="LA5" s="18">
        <v>4960</v>
      </c>
      <c r="LB5" s="18">
        <v>4840</v>
      </c>
      <c r="LC5" s="18">
        <v>4760</v>
      </c>
      <c r="LD5" s="18">
        <v>4660</v>
      </c>
      <c r="LE5" s="18">
        <v>4520</v>
      </c>
      <c r="LF5" s="18">
        <v>4420</v>
      </c>
      <c r="LG5" s="18">
        <v>4300</v>
      </c>
      <c r="LH5" s="18">
        <v>4210</v>
      </c>
      <c r="LI5" s="18">
        <v>4110</v>
      </c>
      <c r="LJ5" s="18">
        <v>4010</v>
      </c>
      <c r="LK5" s="18">
        <v>3890</v>
      </c>
      <c r="LL5" s="18">
        <v>3740</v>
      </c>
      <c r="LM5" s="18">
        <v>3650</v>
      </c>
      <c r="LN5" s="18">
        <v>3560</v>
      </c>
      <c r="LO5" s="18">
        <v>3490</v>
      </c>
      <c r="LP5" s="18">
        <v>3440</v>
      </c>
      <c r="LQ5" s="18">
        <v>3370</v>
      </c>
      <c r="LR5" s="18">
        <v>3310</v>
      </c>
      <c r="LS5" s="18">
        <v>3220</v>
      </c>
      <c r="LT5" s="18">
        <v>3150</v>
      </c>
      <c r="LU5" s="18">
        <v>3070</v>
      </c>
      <c r="LV5" s="18">
        <v>3000</v>
      </c>
      <c r="LW5" s="18">
        <v>2920</v>
      </c>
      <c r="LX5" s="18">
        <v>2860</v>
      </c>
      <c r="LY5" s="18">
        <v>2800</v>
      </c>
      <c r="LZ5" s="18">
        <v>2750</v>
      </c>
      <c r="MA5" s="18">
        <v>2690</v>
      </c>
      <c r="MB5" s="18">
        <v>2630</v>
      </c>
      <c r="MC5" s="18">
        <v>2590</v>
      </c>
      <c r="MD5" s="18">
        <v>2550</v>
      </c>
      <c r="ME5" s="18">
        <v>2500</v>
      </c>
      <c r="MF5" s="18">
        <v>2460</v>
      </c>
      <c r="MG5" s="18">
        <v>2410</v>
      </c>
      <c r="MH5" s="18">
        <v>2380</v>
      </c>
      <c r="MI5" s="18">
        <v>2360</v>
      </c>
      <c r="MJ5" s="18">
        <v>2320</v>
      </c>
      <c r="MK5" s="18">
        <v>2280</v>
      </c>
      <c r="ML5" s="18">
        <v>2230</v>
      </c>
      <c r="MM5" s="18">
        <v>2170</v>
      </c>
      <c r="MN5" s="18">
        <v>2120</v>
      </c>
      <c r="MO5" s="18">
        <v>2070</v>
      </c>
      <c r="MP5" s="18">
        <v>2030</v>
      </c>
      <c r="MQ5" s="18">
        <v>2010</v>
      </c>
      <c r="MR5" s="18">
        <v>2010</v>
      </c>
      <c r="MS5" s="18">
        <v>2000</v>
      </c>
      <c r="MT5" s="18">
        <v>1990</v>
      </c>
      <c r="MU5" s="18">
        <v>1960</v>
      </c>
      <c r="MV5" s="18">
        <v>1950</v>
      </c>
      <c r="MW5" s="18">
        <v>1930</v>
      </c>
      <c r="MX5" s="18">
        <v>1910</v>
      </c>
      <c r="MY5" s="18">
        <v>1890</v>
      </c>
      <c r="MZ5" s="18">
        <v>1880</v>
      </c>
      <c r="NA5" s="18">
        <v>1860</v>
      </c>
      <c r="NB5" s="18">
        <v>1840</v>
      </c>
      <c r="NC5" s="18">
        <v>1830</v>
      </c>
      <c r="ND5" s="1">
        <v>1490</v>
      </c>
      <c r="NE5" s="1">
        <v>1330</v>
      </c>
      <c r="NF5" s="1">
        <v>1230</v>
      </c>
      <c r="NG5" s="1">
        <v>1340</v>
      </c>
      <c r="NH5" s="1">
        <v>1720</v>
      </c>
      <c r="NI5" s="1">
        <v>3870</v>
      </c>
      <c r="NJ5" s="1">
        <v>5770</v>
      </c>
      <c r="NK5" s="1">
        <v>7880</v>
      </c>
      <c r="NL5" s="1">
        <v>10500</v>
      </c>
      <c r="NM5" s="1">
        <v>7740</v>
      </c>
      <c r="NN5" s="1">
        <v>4180</v>
      </c>
      <c r="NO5" s="1">
        <v>2210</v>
      </c>
      <c r="NP5" s="1">
        <v>4110.1366120218581</v>
      </c>
      <c r="NQ5" s="1">
        <v>16200</v>
      </c>
      <c r="NR5" s="19">
        <v>42601</v>
      </c>
      <c r="NS5" s="1">
        <v>1180</v>
      </c>
      <c r="NT5" s="19">
        <v>42458</v>
      </c>
    </row>
    <row r="6" spans="1:385" x14ac:dyDescent="0.15">
      <c r="A6" s="1">
        <v>1953</v>
      </c>
      <c r="B6" s="18">
        <v>1800</v>
      </c>
      <c r="C6" s="18">
        <v>1780</v>
      </c>
      <c r="D6" s="18">
        <v>1750</v>
      </c>
      <c r="E6" s="18">
        <v>1730</v>
      </c>
      <c r="F6" s="18">
        <v>1700</v>
      </c>
      <c r="G6" s="18">
        <v>1670</v>
      </c>
      <c r="H6" s="18">
        <v>1650</v>
      </c>
      <c r="I6" s="18">
        <v>1620</v>
      </c>
      <c r="J6" s="18">
        <v>1680</v>
      </c>
      <c r="K6" s="18">
        <v>1660</v>
      </c>
      <c r="L6" s="18">
        <v>1630</v>
      </c>
      <c r="M6" s="18">
        <v>1610</v>
      </c>
      <c r="N6" s="18">
        <v>1600</v>
      </c>
      <c r="O6" s="18">
        <v>1580</v>
      </c>
      <c r="P6" s="18">
        <v>1570</v>
      </c>
      <c r="Q6" s="18">
        <v>1540</v>
      </c>
      <c r="R6" s="18">
        <v>1540</v>
      </c>
      <c r="S6" s="18">
        <v>1500</v>
      </c>
      <c r="T6" s="18">
        <v>1510</v>
      </c>
      <c r="U6" s="18">
        <v>1490</v>
      </c>
      <c r="V6" s="18">
        <v>1490</v>
      </c>
      <c r="W6" s="18">
        <v>1480</v>
      </c>
      <c r="X6" s="18">
        <v>1460</v>
      </c>
      <c r="Y6" s="18">
        <v>1450</v>
      </c>
      <c r="Z6" s="18">
        <v>1440</v>
      </c>
      <c r="AA6" s="18">
        <v>1460</v>
      </c>
      <c r="AB6" s="18">
        <v>1450</v>
      </c>
      <c r="AC6" s="18">
        <v>1450</v>
      </c>
      <c r="AD6" s="18">
        <v>1440</v>
      </c>
      <c r="AE6" s="18">
        <v>1420</v>
      </c>
      <c r="AF6" s="18">
        <v>1390</v>
      </c>
      <c r="AG6" s="18">
        <v>1370</v>
      </c>
      <c r="AH6" s="18">
        <v>1360</v>
      </c>
      <c r="AI6" s="18">
        <v>1360</v>
      </c>
      <c r="AJ6" s="18">
        <v>1350</v>
      </c>
      <c r="AK6" s="18">
        <v>1340</v>
      </c>
      <c r="AL6" s="18">
        <v>1340</v>
      </c>
      <c r="AM6" s="18">
        <v>1330</v>
      </c>
      <c r="AN6" s="18">
        <v>1330</v>
      </c>
      <c r="AO6" s="18">
        <v>1310</v>
      </c>
      <c r="AP6" s="18">
        <v>1300</v>
      </c>
      <c r="AQ6" s="18">
        <v>1300</v>
      </c>
      <c r="AR6" s="18">
        <v>1290</v>
      </c>
      <c r="AS6" s="18">
        <v>1280</v>
      </c>
      <c r="AT6" s="18">
        <v>1270</v>
      </c>
      <c r="AU6" s="18">
        <v>1270</v>
      </c>
      <c r="AV6" s="18">
        <v>1270</v>
      </c>
      <c r="AW6" s="18">
        <v>1270</v>
      </c>
      <c r="AX6" s="18">
        <v>1270</v>
      </c>
      <c r="AY6" s="18">
        <v>1270</v>
      </c>
      <c r="AZ6" s="18">
        <v>1270</v>
      </c>
      <c r="BA6" s="18">
        <v>1270</v>
      </c>
      <c r="BB6" s="18">
        <v>1310</v>
      </c>
      <c r="BC6" s="18">
        <v>1330</v>
      </c>
      <c r="BD6" s="18">
        <v>1330</v>
      </c>
      <c r="BE6" s="18">
        <v>1310</v>
      </c>
      <c r="BF6" s="18">
        <v>1300</v>
      </c>
      <c r="BG6" s="18">
        <v>1310</v>
      </c>
      <c r="BH6" s="18">
        <v>1360</v>
      </c>
      <c r="BI6" s="18"/>
      <c r="BJ6" s="18">
        <v>1380</v>
      </c>
      <c r="BK6" s="18">
        <v>1370</v>
      </c>
      <c r="BL6" s="18">
        <v>1360</v>
      </c>
      <c r="BM6" s="18">
        <v>1350</v>
      </c>
      <c r="BN6" s="18">
        <v>1340</v>
      </c>
      <c r="BO6" s="18">
        <v>1360</v>
      </c>
      <c r="BP6" s="18">
        <v>1390</v>
      </c>
      <c r="BQ6" s="18">
        <v>1400</v>
      </c>
      <c r="BR6" s="18">
        <v>1390</v>
      </c>
      <c r="BS6" s="18">
        <v>1360</v>
      </c>
      <c r="BT6" s="18">
        <v>1340</v>
      </c>
      <c r="BU6" s="18">
        <v>1330</v>
      </c>
      <c r="BV6" s="18">
        <v>1330</v>
      </c>
      <c r="BW6" s="18">
        <v>1330</v>
      </c>
      <c r="BX6" s="18">
        <v>1330</v>
      </c>
      <c r="BY6" s="18">
        <v>1330</v>
      </c>
      <c r="BZ6" s="18">
        <v>1330</v>
      </c>
      <c r="CA6" s="18">
        <v>1310</v>
      </c>
      <c r="CB6" s="18">
        <v>1310</v>
      </c>
      <c r="CC6" s="18">
        <v>1300</v>
      </c>
      <c r="CD6" s="18">
        <v>1290</v>
      </c>
      <c r="CE6" s="18">
        <v>1280</v>
      </c>
      <c r="CF6" s="18">
        <v>1290</v>
      </c>
      <c r="CG6" s="18">
        <v>1310</v>
      </c>
      <c r="CH6" s="18">
        <v>1350</v>
      </c>
      <c r="CI6" s="18">
        <v>1360</v>
      </c>
      <c r="CJ6" s="18">
        <v>1330</v>
      </c>
      <c r="CK6" s="18">
        <v>1310</v>
      </c>
      <c r="CL6" s="18">
        <v>1310</v>
      </c>
      <c r="CM6" s="18">
        <v>1330</v>
      </c>
      <c r="CN6" s="18">
        <v>1340</v>
      </c>
      <c r="CO6" s="18">
        <v>1360</v>
      </c>
      <c r="CP6" s="18">
        <v>1390</v>
      </c>
      <c r="CQ6" s="18">
        <v>1430</v>
      </c>
      <c r="CR6" s="18">
        <v>1480</v>
      </c>
      <c r="CS6" s="18">
        <v>1520</v>
      </c>
      <c r="CT6" s="18">
        <v>1520</v>
      </c>
      <c r="CU6" s="18">
        <v>1510</v>
      </c>
      <c r="CV6" s="18">
        <v>1490</v>
      </c>
      <c r="CW6" s="18">
        <v>1460</v>
      </c>
      <c r="CX6" s="18">
        <v>1430</v>
      </c>
      <c r="CY6" s="18">
        <v>1420</v>
      </c>
      <c r="CZ6" s="18">
        <v>1420</v>
      </c>
      <c r="DA6" s="18">
        <v>1420</v>
      </c>
      <c r="DB6" s="18">
        <v>1420</v>
      </c>
      <c r="DC6" s="18">
        <v>1420</v>
      </c>
      <c r="DD6" s="18">
        <v>1430</v>
      </c>
      <c r="DE6" s="18">
        <v>1430</v>
      </c>
      <c r="DF6" s="18">
        <v>1420</v>
      </c>
      <c r="DG6" s="18">
        <v>1420</v>
      </c>
      <c r="DH6" s="18">
        <v>1460</v>
      </c>
      <c r="DI6" s="18">
        <v>1490</v>
      </c>
      <c r="DJ6" s="18">
        <v>1510</v>
      </c>
      <c r="DK6" s="18">
        <v>1520</v>
      </c>
      <c r="DL6" s="18">
        <v>1510</v>
      </c>
      <c r="DM6" s="18">
        <v>1510</v>
      </c>
      <c r="DN6" s="18">
        <v>1510</v>
      </c>
      <c r="DO6" s="18">
        <v>1520</v>
      </c>
      <c r="DP6" s="18">
        <v>1530</v>
      </c>
      <c r="DQ6" s="18">
        <v>1510</v>
      </c>
      <c r="DR6" s="18">
        <v>1480</v>
      </c>
      <c r="DS6" s="18">
        <v>1460</v>
      </c>
      <c r="DT6" s="18">
        <v>1450</v>
      </c>
      <c r="DU6" s="18">
        <v>1450</v>
      </c>
      <c r="DV6" s="18">
        <v>1480</v>
      </c>
      <c r="DW6" s="18">
        <v>1510</v>
      </c>
      <c r="DX6" s="18">
        <v>1550</v>
      </c>
      <c r="DY6" s="18">
        <v>1630</v>
      </c>
      <c r="DZ6" s="18">
        <v>1710</v>
      </c>
      <c r="EA6" s="18">
        <v>1840</v>
      </c>
      <c r="EB6" s="18">
        <v>1860</v>
      </c>
      <c r="EC6" s="18">
        <v>1760</v>
      </c>
      <c r="ED6" s="18">
        <v>1710</v>
      </c>
      <c r="EE6" s="18">
        <v>1730</v>
      </c>
      <c r="EF6" s="18">
        <v>1840</v>
      </c>
      <c r="EG6" s="18">
        <v>1950</v>
      </c>
      <c r="EH6" s="18">
        <v>2010</v>
      </c>
      <c r="EI6" s="18">
        <v>2090</v>
      </c>
      <c r="EJ6" s="18">
        <v>2290</v>
      </c>
      <c r="EK6" s="18">
        <v>2460</v>
      </c>
      <c r="EL6" s="18">
        <v>2560</v>
      </c>
      <c r="EM6" s="18">
        <v>2520</v>
      </c>
      <c r="EN6" s="18">
        <v>2420</v>
      </c>
      <c r="EO6" s="18">
        <v>2310</v>
      </c>
      <c r="EP6" s="18">
        <v>2240</v>
      </c>
      <c r="EQ6" s="18">
        <v>2210</v>
      </c>
      <c r="ER6" s="18">
        <v>2220</v>
      </c>
      <c r="ES6" s="18">
        <v>2260</v>
      </c>
      <c r="ET6" s="18">
        <v>2300</v>
      </c>
      <c r="EU6" s="18">
        <v>2400</v>
      </c>
      <c r="EV6" s="18">
        <v>2430</v>
      </c>
      <c r="EW6" s="18">
        <v>2350</v>
      </c>
      <c r="EX6" s="18">
        <v>2260</v>
      </c>
      <c r="EY6" s="18">
        <v>2350</v>
      </c>
      <c r="EZ6" s="18">
        <v>2550</v>
      </c>
      <c r="FA6" s="18">
        <v>2600</v>
      </c>
      <c r="FB6" s="18">
        <v>2670</v>
      </c>
      <c r="FC6" s="18">
        <v>2640</v>
      </c>
      <c r="FD6" s="18">
        <v>2690</v>
      </c>
      <c r="FE6" s="18">
        <v>2710</v>
      </c>
      <c r="FF6" s="18">
        <v>2650</v>
      </c>
      <c r="FG6" s="18">
        <v>2580</v>
      </c>
      <c r="FH6" s="18">
        <v>2650</v>
      </c>
      <c r="FI6" s="18">
        <v>2860</v>
      </c>
      <c r="FJ6" s="18">
        <v>3020</v>
      </c>
      <c r="FK6" s="18">
        <v>3300</v>
      </c>
      <c r="FL6" s="18">
        <v>3540</v>
      </c>
      <c r="FM6" s="18">
        <v>3660</v>
      </c>
      <c r="FN6" s="18">
        <v>3440</v>
      </c>
      <c r="FO6" s="18">
        <v>3200</v>
      </c>
      <c r="FP6" s="18">
        <v>3080</v>
      </c>
      <c r="FQ6" s="18">
        <v>3210</v>
      </c>
      <c r="FR6" s="18">
        <v>3500</v>
      </c>
      <c r="FS6" s="18">
        <v>3660</v>
      </c>
      <c r="FT6" s="18">
        <v>3800</v>
      </c>
      <c r="FU6" s="18">
        <v>3930</v>
      </c>
      <c r="FV6" s="18">
        <v>4080</v>
      </c>
      <c r="FW6" s="18">
        <v>4050</v>
      </c>
      <c r="FX6" s="18">
        <v>4360</v>
      </c>
      <c r="FY6" s="18">
        <v>5120</v>
      </c>
      <c r="FZ6" s="18">
        <v>5420</v>
      </c>
      <c r="GA6" s="18">
        <v>5660</v>
      </c>
      <c r="GB6" s="18">
        <v>6390</v>
      </c>
      <c r="GC6" s="18">
        <v>8690</v>
      </c>
      <c r="GD6" s="18">
        <v>9340</v>
      </c>
      <c r="GE6" s="18">
        <v>10400</v>
      </c>
      <c r="GF6" s="18">
        <v>12000</v>
      </c>
      <c r="GG6" s="18">
        <v>11700</v>
      </c>
      <c r="GH6" s="18">
        <v>12600</v>
      </c>
      <c r="GI6" s="18">
        <v>13300</v>
      </c>
      <c r="GJ6" s="18">
        <v>13100</v>
      </c>
      <c r="GK6" s="18">
        <v>11700</v>
      </c>
      <c r="GL6" s="18">
        <v>10200</v>
      </c>
      <c r="GM6" s="18">
        <v>9200</v>
      </c>
      <c r="GN6" s="18">
        <v>8420</v>
      </c>
      <c r="GO6" s="18">
        <v>7560</v>
      </c>
      <c r="GP6" s="18">
        <v>6860</v>
      </c>
      <c r="GQ6" s="18">
        <v>6410</v>
      </c>
      <c r="GR6" s="18">
        <v>6120</v>
      </c>
      <c r="GS6" s="18">
        <v>6050</v>
      </c>
      <c r="GT6" s="18">
        <v>6020</v>
      </c>
      <c r="GU6" s="18">
        <v>6290</v>
      </c>
      <c r="GV6" s="18">
        <v>7360</v>
      </c>
      <c r="GW6" s="18">
        <v>8040</v>
      </c>
      <c r="GX6" s="18">
        <v>10100</v>
      </c>
      <c r="GY6" s="18">
        <v>14100</v>
      </c>
      <c r="GZ6" s="18">
        <v>17000</v>
      </c>
      <c r="HA6" s="18">
        <v>15700</v>
      </c>
      <c r="HB6" s="18">
        <v>13800</v>
      </c>
      <c r="HC6" s="18">
        <v>11400</v>
      </c>
      <c r="HD6" s="18">
        <v>10900</v>
      </c>
      <c r="HE6" s="18">
        <v>10900</v>
      </c>
      <c r="HF6" s="18">
        <v>9860</v>
      </c>
      <c r="HG6" s="18">
        <v>9240</v>
      </c>
      <c r="HH6" s="18">
        <v>8930</v>
      </c>
      <c r="HI6" s="18">
        <v>8540</v>
      </c>
      <c r="HJ6" s="18">
        <v>8270</v>
      </c>
      <c r="HK6" s="18">
        <v>8960</v>
      </c>
      <c r="HL6" s="18">
        <v>9290</v>
      </c>
      <c r="HM6" s="18">
        <v>8700</v>
      </c>
      <c r="HN6" s="18">
        <v>8070</v>
      </c>
      <c r="HO6" s="18">
        <v>7650</v>
      </c>
      <c r="HP6" s="18">
        <v>7510</v>
      </c>
      <c r="HQ6" s="18">
        <v>7230</v>
      </c>
      <c r="HR6" s="18">
        <v>6870</v>
      </c>
      <c r="HS6" s="18">
        <v>6530</v>
      </c>
      <c r="HT6" s="18">
        <v>6140</v>
      </c>
      <c r="HU6" s="18">
        <v>5830</v>
      </c>
      <c r="HV6" s="18">
        <v>5590</v>
      </c>
      <c r="HW6" s="18">
        <v>5380</v>
      </c>
      <c r="HX6" s="18">
        <v>5190</v>
      </c>
      <c r="HY6" s="18">
        <v>5010</v>
      </c>
      <c r="HZ6" s="18">
        <v>4900</v>
      </c>
      <c r="IA6" s="18">
        <v>4970</v>
      </c>
      <c r="IB6" s="18">
        <v>4950</v>
      </c>
      <c r="IC6" s="18">
        <v>5030</v>
      </c>
      <c r="ID6" s="18">
        <v>5300</v>
      </c>
      <c r="IE6" s="18">
        <v>5390</v>
      </c>
      <c r="IF6" s="18">
        <v>5370</v>
      </c>
      <c r="IG6" s="18">
        <v>5360</v>
      </c>
      <c r="IH6" s="18">
        <v>5360</v>
      </c>
      <c r="II6" s="18">
        <v>5440</v>
      </c>
      <c r="IJ6" s="18">
        <v>5830</v>
      </c>
      <c r="IK6" s="18">
        <v>6070</v>
      </c>
      <c r="IL6" s="18">
        <v>6250</v>
      </c>
      <c r="IM6" s="18">
        <v>6450</v>
      </c>
      <c r="IN6" s="18">
        <v>6330</v>
      </c>
      <c r="IO6" s="18">
        <v>6440</v>
      </c>
      <c r="IP6" s="18">
        <v>6890</v>
      </c>
      <c r="IQ6" s="18">
        <v>7210</v>
      </c>
      <c r="IR6" s="18">
        <v>7190</v>
      </c>
      <c r="IS6" s="18">
        <v>7930</v>
      </c>
      <c r="IT6" s="18">
        <v>8050</v>
      </c>
      <c r="IU6" s="18">
        <v>8320</v>
      </c>
      <c r="IV6" s="18">
        <v>8770</v>
      </c>
      <c r="IW6" s="18">
        <v>8740</v>
      </c>
      <c r="IX6" s="18">
        <v>8990</v>
      </c>
      <c r="IY6" s="18">
        <v>9840</v>
      </c>
      <c r="IZ6" s="18">
        <v>10000</v>
      </c>
      <c r="JA6" s="18">
        <v>9470</v>
      </c>
      <c r="JB6" s="18">
        <v>8730</v>
      </c>
      <c r="JC6" s="18">
        <v>8470</v>
      </c>
      <c r="JD6" s="18">
        <v>8610</v>
      </c>
      <c r="JE6" s="18">
        <v>8550</v>
      </c>
      <c r="JF6" s="18">
        <v>8440</v>
      </c>
      <c r="JG6" s="18">
        <v>9020</v>
      </c>
      <c r="JH6" s="18">
        <v>9900</v>
      </c>
      <c r="JI6" s="18">
        <v>9890</v>
      </c>
      <c r="JJ6" s="18">
        <v>9130</v>
      </c>
      <c r="JK6" s="18">
        <v>8460</v>
      </c>
      <c r="JL6" s="18">
        <v>8170</v>
      </c>
      <c r="JM6" s="18">
        <v>8070</v>
      </c>
      <c r="JN6" s="18">
        <v>8510</v>
      </c>
      <c r="JO6" s="18">
        <v>8690</v>
      </c>
      <c r="JP6" s="18">
        <v>9050</v>
      </c>
      <c r="JQ6" s="18">
        <v>10400</v>
      </c>
      <c r="JR6" s="18">
        <v>10500</v>
      </c>
      <c r="JS6" s="18">
        <v>9790</v>
      </c>
      <c r="JT6" s="18">
        <v>9260</v>
      </c>
      <c r="JU6" s="18">
        <v>8780</v>
      </c>
      <c r="JV6" s="18">
        <v>8180</v>
      </c>
      <c r="JW6" s="18">
        <v>7630</v>
      </c>
      <c r="JX6" s="18">
        <v>8210</v>
      </c>
      <c r="JY6" s="18">
        <v>6980</v>
      </c>
      <c r="JZ6" s="18">
        <v>6720</v>
      </c>
      <c r="KA6" s="18">
        <v>6400</v>
      </c>
      <c r="KB6" s="18">
        <v>6130</v>
      </c>
      <c r="KC6" s="18">
        <v>5900</v>
      </c>
      <c r="KD6" s="18">
        <v>5660</v>
      </c>
      <c r="KE6" s="18">
        <v>5490</v>
      </c>
      <c r="KF6" s="18">
        <v>5350</v>
      </c>
      <c r="KG6" s="18">
        <v>5180</v>
      </c>
      <c r="KH6" s="18">
        <v>5020</v>
      </c>
      <c r="KI6" s="18">
        <v>4840</v>
      </c>
      <c r="KJ6" s="18">
        <v>4690</v>
      </c>
      <c r="KK6" s="18">
        <v>4560</v>
      </c>
      <c r="KL6" s="18">
        <v>4430</v>
      </c>
      <c r="KM6" s="18">
        <v>4300</v>
      </c>
      <c r="KN6" s="18">
        <v>4230</v>
      </c>
      <c r="KO6" s="18">
        <v>4220</v>
      </c>
      <c r="KP6" s="18">
        <v>4230</v>
      </c>
      <c r="KQ6" s="18">
        <v>4070</v>
      </c>
      <c r="KR6" s="18">
        <v>3950</v>
      </c>
      <c r="KS6" s="18">
        <v>3810</v>
      </c>
      <c r="KT6" s="18">
        <v>3710</v>
      </c>
      <c r="KU6" s="18">
        <v>3610</v>
      </c>
      <c r="KV6" s="18">
        <v>3520</v>
      </c>
      <c r="KW6" s="18">
        <v>3470</v>
      </c>
      <c r="KX6" s="18">
        <v>3400</v>
      </c>
      <c r="KY6" s="18">
        <v>3330</v>
      </c>
      <c r="KZ6" s="18">
        <v>3270</v>
      </c>
      <c r="LA6" s="18">
        <v>3180</v>
      </c>
      <c r="LB6" s="18">
        <v>3110</v>
      </c>
      <c r="LC6" s="18">
        <v>3040</v>
      </c>
      <c r="LD6" s="18">
        <v>2950</v>
      </c>
      <c r="LE6" s="18">
        <v>2880</v>
      </c>
      <c r="LF6" s="18">
        <v>2820</v>
      </c>
      <c r="LG6" s="18">
        <v>2750</v>
      </c>
      <c r="LH6" s="18">
        <v>2690</v>
      </c>
      <c r="LI6" s="18">
        <v>2630</v>
      </c>
      <c r="LJ6" s="18">
        <v>2580</v>
      </c>
      <c r="LK6" s="18">
        <v>2550</v>
      </c>
      <c r="LL6" s="18">
        <v>2510</v>
      </c>
      <c r="LM6" s="18">
        <v>2480</v>
      </c>
      <c r="LN6" s="18">
        <v>2450</v>
      </c>
      <c r="LO6" s="18">
        <v>2440</v>
      </c>
      <c r="LP6" s="18">
        <v>2420</v>
      </c>
      <c r="LQ6" s="18">
        <v>2390</v>
      </c>
      <c r="LR6" s="18">
        <v>2340</v>
      </c>
      <c r="LS6" s="18">
        <v>2280</v>
      </c>
      <c r="LT6" s="18">
        <v>2220</v>
      </c>
      <c r="LU6" s="18">
        <v>2190</v>
      </c>
      <c r="LV6" s="18">
        <v>2150</v>
      </c>
      <c r="LW6" s="18">
        <v>2120</v>
      </c>
      <c r="LX6" s="18">
        <v>2080</v>
      </c>
      <c r="LY6" s="18">
        <v>2050</v>
      </c>
      <c r="LZ6" s="18">
        <v>2020</v>
      </c>
      <c r="MA6" s="18">
        <v>2000</v>
      </c>
      <c r="MB6" s="18">
        <v>1980</v>
      </c>
      <c r="MC6" s="18">
        <v>1960</v>
      </c>
      <c r="MD6" s="18">
        <v>1940</v>
      </c>
      <c r="ME6" s="18">
        <v>1920</v>
      </c>
      <c r="MF6" s="18">
        <v>1910</v>
      </c>
      <c r="MG6" s="18">
        <v>1880</v>
      </c>
      <c r="MH6" s="18">
        <v>1860</v>
      </c>
      <c r="MI6" s="18">
        <v>1840</v>
      </c>
      <c r="MJ6" s="18">
        <v>1820</v>
      </c>
      <c r="MK6" s="18">
        <v>1800</v>
      </c>
      <c r="ML6" s="18">
        <v>1750</v>
      </c>
      <c r="MM6" s="18">
        <v>1750</v>
      </c>
      <c r="MN6" s="18">
        <v>1700</v>
      </c>
      <c r="MO6" s="18">
        <v>1660</v>
      </c>
      <c r="MP6" s="18">
        <v>1650</v>
      </c>
      <c r="MQ6" s="18">
        <v>1640</v>
      </c>
      <c r="MR6" s="18">
        <v>1630</v>
      </c>
      <c r="MS6" s="18">
        <v>1610</v>
      </c>
      <c r="MT6" s="18">
        <v>1590</v>
      </c>
      <c r="MU6" s="18">
        <v>1580</v>
      </c>
      <c r="MV6" s="18">
        <v>1570</v>
      </c>
      <c r="MW6" s="18">
        <v>1540</v>
      </c>
      <c r="MX6" s="18">
        <v>1520</v>
      </c>
      <c r="MY6" s="18">
        <v>1500</v>
      </c>
      <c r="MZ6" s="18">
        <v>1470</v>
      </c>
      <c r="NA6" s="18">
        <v>1430</v>
      </c>
      <c r="NB6" s="18">
        <v>1400</v>
      </c>
      <c r="NC6" s="18">
        <v>1390</v>
      </c>
      <c r="ND6" s="1">
        <v>1570</v>
      </c>
      <c r="NE6" s="1">
        <v>1310</v>
      </c>
      <c r="NF6" s="1">
        <v>1340</v>
      </c>
      <c r="NG6" s="1">
        <v>1460</v>
      </c>
      <c r="NH6" s="1">
        <v>2000</v>
      </c>
      <c r="NI6" s="1">
        <v>3380</v>
      </c>
      <c r="NJ6" s="1">
        <v>10100</v>
      </c>
      <c r="NK6" s="1">
        <v>6550</v>
      </c>
      <c r="NL6" s="1">
        <v>8320</v>
      </c>
      <c r="NM6" s="1">
        <v>6150</v>
      </c>
      <c r="NN6" s="1">
        <v>2730</v>
      </c>
      <c r="NO6" s="1">
        <v>1720</v>
      </c>
      <c r="NP6" s="1">
        <v>3903.0958904109589</v>
      </c>
      <c r="NQ6" s="1">
        <v>17000</v>
      </c>
      <c r="NR6" s="19">
        <v>42576</v>
      </c>
      <c r="NS6" s="1">
        <v>1270</v>
      </c>
      <c r="NT6" s="19">
        <v>42414</v>
      </c>
    </row>
    <row r="7" spans="1:385" x14ac:dyDescent="0.15">
      <c r="A7" s="1">
        <v>1954</v>
      </c>
      <c r="B7" s="18">
        <v>1390</v>
      </c>
      <c r="C7" s="18">
        <v>1390</v>
      </c>
      <c r="D7" s="18">
        <v>1390</v>
      </c>
      <c r="E7" s="18">
        <v>1390</v>
      </c>
      <c r="F7" s="18">
        <v>1390</v>
      </c>
      <c r="G7" s="18">
        <v>1390</v>
      </c>
      <c r="H7" s="18">
        <v>1390</v>
      </c>
      <c r="I7" s="18">
        <v>1370</v>
      </c>
      <c r="J7" s="18">
        <v>1350</v>
      </c>
      <c r="K7" s="18">
        <v>1330</v>
      </c>
      <c r="L7" s="18">
        <v>1330</v>
      </c>
      <c r="M7" s="18">
        <v>1310</v>
      </c>
      <c r="N7" s="18">
        <v>1300</v>
      </c>
      <c r="O7" s="18">
        <v>1280</v>
      </c>
      <c r="P7" s="18">
        <v>1280</v>
      </c>
      <c r="Q7" s="18">
        <v>1280</v>
      </c>
      <c r="R7" s="18">
        <v>1280</v>
      </c>
      <c r="S7" s="18">
        <v>1280</v>
      </c>
      <c r="T7" s="18">
        <v>1280</v>
      </c>
      <c r="U7" s="18">
        <v>1270</v>
      </c>
      <c r="V7" s="18">
        <v>1240</v>
      </c>
      <c r="W7" s="18">
        <v>1220</v>
      </c>
      <c r="X7" s="18">
        <v>1190</v>
      </c>
      <c r="Y7" s="18">
        <v>1180</v>
      </c>
      <c r="Z7" s="18">
        <v>1180</v>
      </c>
      <c r="AA7" s="18">
        <v>1180</v>
      </c>
      <c r="AB7" s="18">
        <v>1180</v>
      </c>
      <c r="AC7" s="18">
        <v>1160</v>
      </c>
      <c r="AD7" s="18">
        <v>1160</v>
      </c>
      <c r="AE7" s="18">
        <v>1160</v>
      </c>
      <c r="AF7" s="18">
        <v>1140</v>
      </c>
      <c r="AG7" s="18">
        <v>1130</v>
      </c>
      <c r="AH7" s="18">
        <v>1130</v>
      </c>
      <c r="AI7" s="18">
        <v>1130</v>
      </c>
      <c r="AJ7" s="18">
        <v>1130</v>
      </c>
      <c r="AK7" s="18">
        <v>1120</v>
      </c>
      <c r="AL7" s="18">
        <v>1120</v>
      </c>
      <c r="AM7" s="18">
        <v>1120</v>
      </c>
      <c r="AN7" s="18">
        <v>1110</v>
      </c>
      <c r="AO7" s="18">
        <v>1110</v>
      </c>
      <c r="AP7" s="18">
        <v>1130</v>
      </c>
      <c r="AQ7" s="18">
        <v>1130</v>
      </c>
      <c r="AR7" s="18">
        <v>1130</v>
      </c>
      <c r="AS7" s="18">
        <v>1130</v>
      </c>
      <c r="AT7" s="18">
        <v>1130</v>
      </c>
      <c r="AU7" s="18">
        <v>1120</v>
      </c>
      <c r="AV7" s="18">
        <v>1110</v>
      </c>
      <c r="AW7" s="18">
        <v>1110</v>
      </c>
      <c r="AX7" s="18">
        <v>1100</v>
      </c>
      <c r="AY7" s="18">
        <v>1120</v>
      </c>
      <c r="AZ7" s="18">
        <v>1130</v>
      </c>
      <c r="BA7" s="18">
        <v>1140</v>
      </c>
      <c r="BB7" s="18">
        <v>1130</v>
      </c>
      <c r="BC7" s="18">
        <v>1120</v>
      </c>
      <c r="BD7" s="18">
        <v>1100</v>
      </c>
      <c r="BE7" s="18">
        <v>1100</v>
      </c>
      <c r="BF7" s="18">
        <v>1100</v>
      </c>
      <c r="BG7" s="18">
        <v>1100</v>
      </c>
      <c r="BH7" s="18">
        <v>1100</v>
      </c>
      <c r="BI7" s="18"/>
      <c r="BJ7" s="18">
        <v>1100</v>
      </c>
      <c r="BK7" s="18">
        <v>1100</v>
      </c>
      <c r="BL7" s="18">
        <v>1090</v>
      </c>
      <c r="BM7" s="18">
        <v>1070</v>
      </c>
      <c r="BN7" s="18">
        <v>1070</v>
      </c>
      <c r="BO7" s="18">
        <v>1060</v>
      </c>
      <c r="BP7" s="18">
        <v>1050</v>
      </c>
      <c r="BQ7" s="18">
        <v>1040</v>
      </c>
      <c r="BR7" s="18">
        <v>1040</v>
      </c>
      <c r="BS7" s="18">
        <v>1050</v>
      </c>
      <c r="BT7" s="18">
        <v>1050</v>
      </c>
      <c r="BU7" s="18">
        <v>1060</v>
      </c>
      <c r="BV7" s="18">
        <v>1060</v>
      </c>
      <c r="BW7" s="18">
        <v>1060</v>
      </c>
      <c r="BX7" s="18">
        <v>1060</v>
      </c>
      <c r="BY7" s="18">
        <v>1070</v>
      </c>
      <c r="BZ7" s="18">
        <v>1070</v>
      </c>
      <c r="CA7" s="18">
        <v>1070</v>
      </c>
      <c r="CB7" s="18">
        <v>1070</v>
      </c>
      <c r="CC7" s="18">
        <v>1060</v>
      </c>
      <c r="CD7" s="18">
        <v>1060</v>
      </c>
      <c r="CE7" s="18">
        <v>1040</v>
      </c>
      <c r="CF7" s="18">
        <v>1040</v>
      </c>
      <c r="CG7" s="18">
        <v>1040</v>
      </c>
      <c r="CH7" s="18">
        <v>1050</v>
      </c>
      <c r="CI7" s="18">
        <v>1050</v>
      </c>
      <c r="CJ7" s="18">
        <v>1040</v>
      </c>
      <c r="CK7" s="18">
        <v>1030</v>
      </c>
      <c r="CL7" s="18">
        <v>1030</v>
      </c>
      <c r="CM7" s="18">
        <v>1060</v>
      </c>
      <c r="CN7" s="18">
        <v>1100</v>
      </c>
      <c r="CO7" s="18">
        <v>1130</v>
      </c>
      <c r="CP7" s="18">
        <v>1150</v>
      </c>
      <c r="CQ7" s="18">
        <v>1130</v>
      </c>
      <c r="CR7" s="18">
        <v>1110</v>
      </c>
      <c r="CS7" s="18">
        <v>1090</v>
      </c>
      <c r="CT7" s="18">
        <v>1090</v>
      </c>
      <c r="CU7" s="18">
        <v>1120</v>
      </c>
      <c r="CV7" s="18">
        <v>1140</v>
      </c>
      <c r="CW7" s="18">
        <v>1160</v>
      </c>
      <c r="CX7" s="18">
        <v>1140</v>
      </c>
      <c r="CY7" s="18">
        <v>1130</v>
      </c>
      <c r="CZ7" s="18">
        <v>1160</v>
      </c>
      <c r="DA7" s="18">
        <v>1170</v>
      </c>
      <c r="DB7" s="18">
        <v>1180</v>
      </c>
      <c r="DC7" s="18">
        <v>1160</v>
      </c>
      <c r="DD7" s="18">
        <v>1150</v>
      </c>
      <c r="DE7" s="18">
        <v>1150</v>
      </c>
      <c r="DF7" s="18">
        <v>1180</v>
      </c>
      <c r="DG7" s="18">
        <v>1210</v>
      </c>
      <c r="DH7" s="18">
        <v>1230</v>
      </c>
      <c r="DI7" s="18">
        <v>1250</v>
      </c>
      <c r="DJ7" s="18">
        <v>1260</v>
      </c>
      <c r="DK7" s="18">
        <v>1250</v>
      </c>
      <c r="DL7" s="18">
        <v>1250</v>
      </c>
      <c r="DM7" s="18">
        <v>1250</v>
      </c>
      <c r="DN7" s="18">
        <v>1250</v>
      </c>
      <c r="DO7" s="18">
        <v>1260</v>
      </c>
      <c r="DP7" s="18">
        <v>1270</v>
      </c>
      <c r="DQ7" s="18">
        <v>1300</v>
      </c>
      <c r="DR7" s="18">
        <v>1330</v>
      </c>
      <c r="DS7" s="18">
        <v>1420</v>
      </c>
      <c r="DT7" s="18">
        <v>1480</v>
      </c>
      <c r="DU7" s="18">
        <v>1540</v>
      </c>
      <c r="DV7" s="18">
        <v>1550</v>
      </c>
      <c r="DW7" s="18">
        <v>1530</v>
      </c>
      <c r="DX7" s="18">
        <v>1520</v>
      </c>
      <c r="DY7" s="18">
        <v>1510</v>
      </c>
      <c r="DZ7" s="18">
        <v>1490</v>
      </c>
      <c r="EA7" s="18">
        <v>1490</v>
      </c>
      <c r="EB7" s="18">
        <v>1500</v>
      </c>
      <c r="EC7" s="18">
        <v>1510</v>
      </c>
      <c r="ED7" s="18">
        <v>1510</v>
      </c>
      <c r="EE7" s="18">
        <v>1530</v>
      </c>
      <c r="EF7" s="18">
        <v>1560</v>
      </c>
      <c r="EG7" s="18">
        <v>1550</v>
      </c>
      <c r="EH7" s="18">
        <v>1540</v>
      </c>
      <c r="EI7" s="18">
        <v>1510</v>
      </c>
      <c r="EJ7" s="18">
        <v>1490</v>
      </c>
      <c r="EK7" s="18">
        <v>1490</v>
      </c>
      <c r="EL7" s="18">
        <v>1480</v>
      </c>
      <c r="EM7" s="18">
        <v>1460</v>
      </c>
      <c r="EN7" s="18">
        <v>1450</v>
      </c>
      <c r="EO7" s="18">
        <v>1440</v>
      </c>
      <c r="EP7" s="18">
        <v>1420</v>
      </c>
      <c r="EQ7" s="18">
        <v>1380</v>
      </c>
      <c r="ER7" s="18">
        <v>1370</v>
      </c>
      <c r="ES7" s="18">
        <v>1360</v>
      </c>
      <c r="ET7" s="18">
        <v>1400</v>
      </c>
      <c r="EU7" s="18">
        <v>1530</v>
      </c>
      <c r="EV7" s="18">
        <v>1720</v>
      </c>
      <c r="EW7" s="18">
        <v>1830</v>
      </c>
      <c r="EX7" s="18">
        <v>1920</v>
      </c>
      <c r="EY7" s="18">
        <v>2030</v>
      </c>
      <c r="EZ7" s="18">
        <v>2050</v>
      </c>
      <c r="FA7" s="18">
        <v>2030</v>
      </c>
      <c r="FB7" s="18">
        <v>2030</v>
      </c>
      <c r="FC7" s="18">
        <v>2070</v>
      </c>
      <c r="FD7" s="18">
        <v>1910</v>
      </c>
      <c r="FE7" s="18">
        <v>1850</v>
      </c>
      <c r="FF7" s="18">
        <v>1960</v>
      </c>
      <c r="FG7" s="18">
        <v>2050</v>
      </c>
      <c r="FH7" s="18">
        <v>2030</v>
      </c>
      <c r="FI7" s="18">
        <v>2190</v>
      </c>
      <c r="FJ7" s="18">
        <v>2620</v>
      </c>
      <c r="FK7" s="18">
        <v>3380</v>
      </c>
      <c r="FL7" s="18">
        <v>3980</v>
      </c>
      <c r="FM7" s="18">
        <v>4350</v>
      </c>
      <c r="FN7" s="18">
        <v>4350</v>
      </c>
      <c r="FO7" s="18">
        <v>4130</v>
      </c>
      <c r="FP7" s="18">
        <v>3880</v>
      </c>
      <c r="FQ7" s="18">
        <v>4080</v>
      </c>
      <c r="FR7" s="18">
        <v>4510</v>
      </c>
      <c r="FS7" s="18">
        <v>4670</v>
      </c>
      <c r="FT7" s="18">
        <v>4560</v>
      </c>
      <c r="FU7" s="18">
        <v>5060</v>
      </c>
      <c r="FV7" s="18">
        <v>5970</v>
      </c>
      <c r="FW7" s="18">
        <v>6210</v>
      </c>
      <c r="FX7" s="18">
        <v>6580</v>
      </c>
      <c r="FY7" s="18">
        <v>7080</v>
      </c>
      <c r="FZ7" s="18">
        <v>6350</v>
      </c>
      <c r="GA7" s="18">
        <v>5860</v>
      </c>
      <c r="GB7" s="18">
        <v>5870</v>
      </c>
      <c r="GC7" s="18">
        <v>6580</v>
      </c>
      <c r="GD7" s="18">
        <v>7420</v>
      </c>
      <c r="GE7" s="18">
        <v>9390</v>
      </c>
      <c r="GF7" s="18">
        <v>10300</v>
      </c>
      <c r="GG7" s="18">
        <v>9890</v>
      </c>
      <c r="GH7" s="18">
        <v>9480</v>
      </c>
      <c r="GI7" s="18">
        <v>10200</v>
      </c>
      <c r="GJ7" s="18">
        <v>9620</v>
      </c>
      <c r="GK7" s="18">
        <v>8490</v>
      </c>
      <c r="GL7" s="18">
        <v>7900</v>
      </c>
      <c r="GM7" s="18">
        <v>7800</v>
      </c>
      <c r="GN7" s="18">
        <v>8110</v>
      </c>
      <c r="GO7" s="18">
        <v>8920</v>
      </c>
      <c r="GP7" s="18">
        <v>10100</v>
      </c>
      <c r="GQ7" s="18">
        <v>10200</v>
      </c>
      <c r="GR7" s="18">
        <v>9390</v>
      </c>
      <c r="GS7" s="18">
        <v>8830</v>
      </c>
      <c r="GT7" s="18">
        <v>8950</v>
      </c>
      <c r="GU7" s="18">
        <v>9110</v>
      </c>
      <c r="GV7" s="18">
        <v>10900</v>
      </c>
      <c r="GW7" s="18">
        <v>11500</v>
      </c>
      <c r="GX7" s="18">
        <v>12800</v>
      </c>
      <c r="GY7" s="18">
        <v>14500</v>
      </c>
      <c r="GZ7" s="18">
        <v>16200</v>
      </c>
      <c r="HA7" s="18">
        <v>17400</v>
      </c>
      <c r="HB7" s="18">
        <v>17500</v>
      </c>
      <c r="HC7" s="18">
        <v>19000</v>
      </c>
      <c r="HD7" s="18">
        <v>19100</v>
      </c>
      <c r="HE7" s="18">
        <v>19200</v>
      </c>
      <c r="HF7" s="18">
        <v>19900</v>
      </c>
      <c r="HG7" s="18">
        <v>18800</v>
      </c>
      <c r="HH7" s="18">
        <v>18500</v>
      </c>
      <c r="HI7" s="18">
        <v>18500</v>
      </c>
      <c r="HJ7" s="18">
        <v>19600</v>
      </c>
      <c r="HK7" s="18">
        <v>18700</v>
      </c>
      <c r="HL7" s="18">
        <v>16900</v>
      </c>
      <c r="HM7" s="18">
        <v>15500</v>
      </c>
      <c r="HN7" s="18">
        <v>13900</v>
      </c>
      <c r="HO7" s="18">
        <v>12300</v>
      </c>
      <c r="HP7" s="18">
        <v>11100</v>
      </c>
      <c r="HQ7" s="18">
        <v>10800</v>
      </c>
      <c r="HR7" s="18">
        <v>11600</v>
      </c>
      <c r="HS7" s="18">
        <v>13100</v>
      </c>
      <c r="HT7" s="18">
        <v>13800</v>
      </c>
      <c r="HU7" s="18">
        <v>14300</v>
      </c>
      <c r="HV7" s="18">
        <v>15300</v>
      </c>
      <c r="HW7" s="18">
        <v>16400</v>
      </c>
      <c r="HX7" s="18">
        <v>16100</v>
      </c>
      <c r="HY7" s="18">
        <v>16300</v>
      </c>
      <c r="HZ7" s="18">
        <v>15600</v>
      </c>
      <c r="IA7" s="18">
        <v>15000</v>
      </c>
      <c r="IB7" s="18">
        <v>15100</v>
      </c>
      <c r="IC7" s="18">
        <v>15000</v>
      </c>
      <c r="ID7" s="18">
        <v>15800</v>
      </c>
      <c r="IE7" s="18">
        <v>18600</v>
      </c>
      <c r="IF7" s="18">
        <v>23300</v>
      </c>
      <c r="IG7" s="18">
        <v>22000</v>
      </c>
      <c r="IH7" s="18">
        <v>21100</v>
      </c>
      <c r="II7" s="18">
        <v>19800</v>
      </c>
      <c r="IJ7" s="18">
        <v>17400</v>
      </c>
      <c r="IK7" s="18">
        <v>15100</v>
      </c>
      <c r="IL7" s="18">
        <v>13500</v>
      </c>
      <c r="IM7" s="18">
        <v>12300</v>
      </c>
      <c r="IN7" s="18">
        <v>11200</v>
      </c>
      <c r="IO7" s="18">
        <v>10400</v>
      </c>
      <c r="IP7" s="18">
        <v>10200</v>
      </c>
      <c r="IQ7" s="18">
        <v>9610</v>
      </c>
      <c r="IR7" s="18">
        <v>9240</v>
      </c>
      <c r="IS7" s="18">
        <v>9320</v>
      </c>
      <c r="IT7" s="18">
        <v>9120</v>
      </c>
      <c r="IU7" s="18">
        <v>9050</v>
      </c>
      <c r="IV7" s="18">
        <v>9040</v>
      </c>
      <c r="IW7" s="18">
        <v>9510</v>
      </c>
      <c r="IX7" s="18">
        <v>11100</v>
      </c>
      <c r="IY7" s="18">
        <v>12000</v>
      </c>
      <c r="IZ7" s="18">
        <v>12900</v>
      </c>
      <c r="JA7" s="18">
        <v>12400</v>
      </c>
      <c r="JB7" s="18">
        <v>11800</v>
      </c>
      <c r="JC7" s="18">
        <v>13600</v>
      </c>
      <c r="JD7" s="18">
        <v>12300</v>
      </c>
      <c r="JE7" s="18">
        <v>11500</v>
      </c>
      <c r="JF7" s="18">
        <v>11200</v>
      </c>
      <c r="JG7" s="18">
        <v>11300</v>
      </c>
      <c r="JH7" s="18">
        <v>12100</v>
      </c>
      <c r="JI7" s="18">
        <v>13100</v>
      </c>
      <c r="JJ7" s="18">
        <v>13300</v>
      </c>
      <c r="JK7" s="18">
        <v>12900</v>
      </c>
      <c r="JL7" s="18">
        <v>12100</v>
      </c>
      <c r="JM7" s="18">
        <v>11400</v>
      </c>
      <c r="JN7" s="18">
        <v>10900</v>
      </c>
      <c r="JO7" s="18">
        <v>10600</v>
      </c>
      <c r="JP7" s="18">
        <v>10300</v>
      </c>
      <c r="JQ7" s="18">
        <v>10100</v>
      </c>
      <c r="JR7" s="18">
        <v>9840</v>
      </c>
      <c r="JS7" s="18">
        <v>9770</v>
      </c>
      <c r="JT7" s="18">
        <v>9670</v>
      </c>
      <c r="JU7" s="18">
        <v>9360</v>
      </c>
      <c r="JV7" s="18">
        <v>9020</v>
      </c>
      <c r="JW7" s="18">
        <v>8740</v>
      </c>
      <c r="JX7" s="18">
        <v>8760</v>
      </c>
      <c r="JY7" s="18">
        <v>8370</v>
      </c>
      <c r="JZ7" s="18">
        <v>10400</v>
      </c>
      <c r="KA7" s="18">
        <v>10300</v>
      </c>
      <c r="KB7" s="18">
        <v>9670</v>
      </c>
      <c r="KC7" s="18">
        <v>9270</v>
      </c>
      <c r="KD7" s="18">
        <v>9020</v>
      </c>
      <c r="KE7" s="18">
        <v>8670</v>
      </c>
      <c r="KF7" s="18">
        <v>8300</v>
      </c>
      <c r="KG7" s="18">
        <v>8020</v>
      </c>
      <c r="KH7" s="18">
        <v>7790</v>
      </c>
      <c r="KI7" s="18">
        <v>7580</v>
      </c>
      <c r="KJ7" s="18">
        <v>7440</v>
      </c>
      <c r="KK7" s="18">
        <v>7200</v>
      </c>
      <c r="KL7" s="18">
        <v>7020</v>
      </c>
      <c r="KM7" s="18">
        <v>6870</v>
      </c>
      <c r="KN7" s="18">
        <v>6720</v>
      </c>
      <c r="KO7" s="18">
        <v>6570</v>
      </c>
      <c r="KP7" s="18">
        <v>6380</v>
      </c>
      <c r="KQ7" s="18">
        <v>6280</v>
      </c>
      <c r="KR7" s="18">
        <v>6110</v>
      </c>
      <c r="KS7" s="18">
        <v>5990</v>
      </c>
      <c r="KT7" s="18">
        <v>5830</v>
      </c>
      <c r="KU7" s="18">
        <v>5650</v>
      </c>
      <c r="KV7" s="18">
        <v>5480</v>
      </c>
      <c r="KW7" s="18">
        <v>5310</v>
      </c>
      <c r="KX7" s="18">
        <v>5200</v>
      </c>
      <c r="KY7" s="18">
        <v>5060</v>
      </c>
      <c r="KZ7" s="18">
        <v>4920</v>
      </c>
      <c r="LA7" s="18">
        <v>4800</v>
      </c>
      <c r="LB7" s="18">
        <v>4670</v>
      </c>
      <c r="LC7" s="18">
        <v>4550</v>
      </c>
      <c r="LD7" s="18">
        <v>4450</v>
      </c>
      <c r="LE7" s="18">
        <v>4330</v>
      </c>
      <c r="LF7" s="18">
        <v>4240</v>
      </c>
      <c r="LG7" s="18">
        <v>4150</v>
      </c>
      <c r="LH7" s="18">
        <v>4060</v>
      </c>
      <c r="LI7" s="18">
        <v>3970</v>
      </c>
      <c r="LJ7" s="18">
        <v>3900</v>
      </c>
      <c r="LK7" s="18">
        <v>3780</v>
      </c>
      <c r="LL7" s="18">
        <v>3710</v>
      </c>
      <c r="LM7" s="18">
        <v>3670</v>
      </c>
      <c r="LN7" s="18">
        <v>3600</v>
      </c>
      <c r="LO7" s="18">
        <v>3510</v>
      </c>
      <c r="LP7" s="18">
        <v>3420</v>
      </c>
      <c r="LQ7" s="18">
        <v>3340</v>
      </c>
      <c r="LR7" s="18">
        <v>3270</v>
      </c>
      <c r="LS7" s="18">
        <v>3200</v>
      </c>
      <c r="LT7" s="18">
        <v>3130</v>
      </c>
      <c r="LU7" s="18">
        <v>3070</v>
      </c>
      <c r="LV7" s="18">
        <v>2980</v>
      </c>
      <c r="LW7" s="18">
        <v>2920</v>
      </c>
      <c r="LX7" s="18">
        <v>2860</v>
      </c>
      <c r="LY7" s="18">
        <v>2820</v>
      </c>
      <c r="LZ7" s="18">
        <v>2770</v>
      </c>
      <c r="MA7" s="18">
        <v>2750</v>
      </c>
      <c r="MB7" s="18">
        <v>2700</v>
      </c>
      <c r="MC7" s="18">
        <v>2640</v>
      </c>
      <c r="MD7" s="18">
        <v>2580</v>
      </c>
      <c r="ME7" s="18">
        <v>2540</v>
      </c>
      <c r="MF7" s="18">
        <v>2510</v>
      </c>
      <c r="MG7" s="18">
        <v>2470</v>
      </c>
      <c r="MH7" s="18">
        <v>2430</v>
      </c>
      <c r="MI7" s="18">
        <v>2380</v>
      </c>
      <c r="MJ7" s="18">
        <v>2370</v>
      </c>
      <c r="MK7" s="18">
        <v>2320</v>
      </c>
      <c r="ML7" s="18">
        <v>2270</v>
      </c>
      <c r="MM7" s="18">
        <v>2220</v>
      </c>
      <c r="MN7" s="18">
        <v>2190</v>
      </c>
      <c r="MO7" s="18">
        <v>2140</v>
      </c>
      <c r="MP7" s="18">
        <v>2110</v>
      </c>
      <c r="MQ7" s="18">
        <v>2060</v>
      </c>
      <c r="MR7" s="18">
        <v>2020</v>
      </c>
      <c r="MS7" s="18">
        <v>2010</v>
      </c>
      <c r="MT7" s="18">
        <v>2010</v>
      </c>
      <c r="MU7" s="18">
        <v>2010</v>
      </c>
      <c r="MV7" s="18">
        <v>2000</v>
      </c>
      <c r="MW7" s="18">
        <v>2000</v>
      </c>
      <c r="MX7" s="18">
        <v>1980</v>
      </c>
      <c r="MY7" s="18">
        <v>1960</v>
      </c>
      <c r="MZ7" s="18">
        <v>1940</v>
      </c>
      <c r="NA7" s="18">
        <v>1920</v>
      </c>
      <c r="NB7" s="18">
        <v>1910</v>
      </c>
      <c r="NC7" s="18">
        <v>1910</v>
      </c>
      <c r="ND7" s="1">
        <v>1280</v>
      </c>
      <c r="NE7" s="1">
        <v>1120</v>
      </c>
      <c r="NF7" s="1">
        <v>1060</v>
      </c>
      <c r="NG7" s="1">
        <v>1190</v>
      </c>
      <c r="NH7" s="1">
        <v>1500</v>
      </c>
      <c r="NI7" s="1">
        <v>3720</v>
      </c>
      <c r="NJ7" s="1">
        <v>11400</v>
      </c>
      <c r="NK7" s="1">
        <v>16300</v>
      </c>
      <c r="NL7" s="1">
        <v>11300</v>
      </c>
      <c r="NM7" s="1">
        <v>8270</v>
      </c>
      <c r="NN7" s="1">
        <v>4040</v>
      </c>
      <c r="NO7" s="1">
        <v>2260</v>
      </c>
      <c r="NP7" s="1">
        <v>5323.6164383561645</v>
      </c>
      <c r="NQ7" s="1">
        <v>23300</v>
      </c>
      <c r="NR7" s="19">
        <v>42608</v>
      </c>
      <c r="NS7" s="1">
        <v>1030</v>
      </c>
      <c r="NT7" s="19">
        <v>42457</v>
      </c>
    </row>
    <row r="8" spans="1:385" x14ac:dyDescent="0.15">
      <c r="A8" s="1">
        <v>1955</v>
      </c>
      <c r="B8" s="18">
        <v>1900</v>
      </c>
      <c r="C8" s="18">
        <v>1880</v>
      </c>
      <c r="D8" s="18">
        <v>1860</v>
      </c>
      <c r="E8" s="18">
        <v>1830</v>
      </c>
      <c r="F8" s="18">
        <v>1810</v>
      </c>
      <c r="G8" s="18">
        <v>1790</v>
      </c>
      <c r="H8" s="18">
        <v>1780</v>
      </c>
      <c r="I8" s="18">
        <v>1780</v>
      </c>
      <c r="J8" s="18">
        <v>1760</v>
      </c>
      <c r="K8" s="18">
        <v>1740</v>
      </c>
      <c r="L8" s="18">
        <v>1730</v>
      </c>
      <c r="M8" s="18">
        <v>1730</v>
      </c>
      <c r="N8" s="18">
        <v>1730</v>
      </c>
      <c r="O8" s="18">
        <v>1720</v>
      </c>
      <c r="P8" s="18">
        <v>1710</v>
      </c>
      <c r="Q8" s="18">
        <v>1690</v>
      </c>
      <c r="R8" s="18">
        <v>1680</v>
      </c>
      <c r="S8" s="18">
        <v>1670</v>
      </c>
      <c r="T8" s="18">
        <v>1670</v>
      </c>
      <c r="U8" s="18">
        <v>1730</v>
      </c>
      <c r="V8" s="18">
        <v>1720</v>
      </c>
      <c r="W8" s="18">
        <v>1720</v>
      </c>
      <c r="X8" s="18">
        <v>1710</v>
      </c>
      <c r="Y8" s="18">
        <v>1710</v>
      </c>
      <c r="Z8" s="18">
        <v>1680</v>
      </c>
      <c r="AA8" s="18">
        <v>1660</v>
      </c>
      <c r="AB8" s="18">
        <v>1630</v>
      </c>
      <c r="AC8" s="18">
        <v>1620</v>
      </c>
      <c r="AD8" s="18">
        <v>1600</v>
      </c>
      <c r="AE8" s="18">
        <v>1600</v>
      </c>
      <c r="AF8" s="18">
        <v>1600</v>
      </c>
      <c r="AG8" s="18">
        <v>1590</v>
      </c>
      <c r="AH8" s="18">
        <v>1580</v>
      </c>
      <c r="AI8" s="18">
        <v>1570</v>
      </c>
      <c r="AJ8" s="18">
        <v>1560</v>
      </c>
      <c r="AK8" s="18">
        <v>1550</v>
      </c>
      <c r="AL8" s="18">
        <v>1550</v>
      </c>
      <c r="AM8" s="18">
        <v>1550</v>
      </c>
      <c r="AN8" s="18">
        <v>1540</v>
      </c>
      <c r="AO8" s="18">
        <v>1540</v>
      </c>
      <c r="AP8" s="18">
        <v>1520</v>
      </c>
      <c r="AQ8" s="18">
        <v>1520</v>
      </c>
      <c r="AR8" s="18">
        <v>1520</v>
      </c>
      <c r="AS8" s="18">
        <v>1510</v>
      </c>
      <c r="AT8" s="18">
        <v>1500</v>
      </c>
      <c r="AU8" s="18">
        <v>1490</v>
      </c>
      <c r="AV8" s="18">
        <v>1490</v>
      </c>
      <c r="AW8" s="18">
        <v>1490</v>
      </c>
      <c r="AX8" s="18">
        <v>1480</v>
      </c>
      <c r="AY8" s="18">
        <v>1470</v>
      </c>
      <c r="AZ8" s="18">
        <v>1460</v>
      </c>
      <c r="BA8" s="18">
        <v>1460</v>
      </c>
      <c r="BB8" s="18">
        <v>1450</v>
      </c>
      <c r="BC8" s="18">
        <v>1450</v>
      </c>
      <c r="BD8" s="18">
        <v>1450</v>
      </c>
      <c r="BE8" s="18">
        <v>1450</v>
      </c>
      <c r="BF8" s="18">
        <v>1440</v>
      </c>
      <c r="BG8" s="18">
        <v>1430</v>
      </c>
      <c r="BH8" s="18">
        <v>1420</v>
      </c>
      <c r="BI8" s="18"/>
      <c r="BJ8" s="18">
        <v>1420</v>
      </c>
      <c r="BK8" s="18">
        <v>1420</v>
      </c>
      <c r="BL8" s="18">
        <v>1400</v>
      </c>
      <c r="BM8" s="18">
        <v>1400</v>
      </c>
      <c r="BN8" s="18">
        <v>1390</v>
      </c>
      <c r="BO8" s="18">
        <v>1390</v>
      </c>
      <c r="BP8" s="18">
        <v>1390</v>
      </c>
      <c r="BQ8" s="18">
        <v>1390</v>
      </c>
      <c r="BR8" s="18">
        <v>1390</v>
      </c>
      <c r="BS8" s="18">
        <v>1400</v>
      </c>
      <c r="BT8" s="18">
        <v>1400</v>
      </c>
      <c r="BU8" s="18">
        <v>1400</v>
      </c>
      <c r="BV8" s="18">
        <v>1400</v>
      </c>
      <c r="BW8" s="18">
        <v>1390</v>
      </c>
      <c r="BX8" s="18">
        <v>1390</v>
      </c>
      <c r="BY8" s="18">
        <v>1390</v>
      </c>
      <c r="BZ8" s="18">
        <v>1390</v>
      </c>
      <c r="CA8" s="18">
        <v>1390</v>
      </c>
      <c r="CB8" s="18">
        <v>1410</v>
      </c>
      <c r="CC8" s="18">
        <v>1410</v>
      </c>
      <c r="CD8" s="18">
        <v>1420</v>
      </c>
      <c r="CE8" s="18">
        <v>1430</v>
      </c>
      <c r="CF8" s="18">
        <v>1490</v>
      </c>
      <c r="CG8" s="18">
        <v>1570</v>
      </c>
      <c r="CH8" s="18">
        <v>1570</v>
      </c>
      <c r="CI8" s="18">
        <v>1600</v>
      </c>
      <c r="CJ8" s="18">
        <v>1570</v>
      </c>
      <c r="CK8" s="18">
        <v>1540</v>
      </c>
      <c r="CL8" s="18">
        <v>1530</v>
      </c>
      <c r="CM8" s="18">
        <v>1530</v>
      </c>
      <c r="CN8" s="18">
        <v>1540</v>
      </c>
      <c r="CO8" s="18">
        <v>1540</v>
      </c>
      <c r="CP8" s="18">
        <v>1520</v>
      </c>
      <c r="CQ8" s="18">
        <v>1510</v>
      </c>
      <c r="CR8" s="18">
        <v>1480</v>
      </c>
      <c r="CS8" s="18">
        <v>1460</v>
      </c>
      <c r="CT8" s="18">
        <v>1450</v>
      </c>
      <c r="CU8" s="18">
        <v>1450</v>
      </c>
      <c r="CV8" s="18">
        <v>1450</v>
      </c>
      <c r="CW8" s="18">
        <v>1450</v>
      </c>
      <c r="CX8" s="18">
        <v>1450</v>
      </c>
      <c r="CY8" s="18">
        <v>1430</v>
      </c>
      <c r="CZ8" s="18">
        <v>1400</v>
      </c>
      <c r="DA8" s="18">
        <v>1390</v>
      </c>
      <c r="DB8" s="18">
        <v>1370</v>
      </c>
      <c r="DC8" s="18">
        <v>1360</v>
      </c>
      <c r="DD8" s="18">
        <v>1370</v>
      </c>
      <c r="DE8" s="18">
        <v>1430</v>
      </c>
      <c r="DF8" s="18">
        <v>1590</v>
      </c>
      <c r="DG8" s="18">
        <v>1740</v>
      </c>
      <c r="DH8" s="18">
        <v>1910</v>
      </c>
      <c r="DI8" s="18">
        <v>2100</v>
      </c>
      <c r="DJ8" s="18">
        <v>2210</v>
      </c>
      <c r="DK8" s="18">
        <v>2290</v>
      </c>
      <c r="DL8" s="18">
        <v>2260</v>
      </c>
      <c r="DM8" s="18">
        <v>2150</v>
      </c>
      <c r="DN8" s="18">
        <v>2030</v>
      </c>
      <c r="DO8" s="18">
        <v>1920</v>
      </c>
      <c r="DP8" s="18">
        <v>1810</v>
      </c>
      <c r="DQ8" s="18">
        <v>1710</v>
      </c>
      <c r="DR8" s="18">
        <v>1620</v>
      </c>
      <c r="DS8" s="18">
        <v>1570</v>
      </c>
      <c r="DT8" s="18">
        <v>1540</v>
      </c>
      <c r="DU8" s="18">
        <v>1520</v>
      </c>
      <c r="DV8" s="18">
        <v>1520</v>
      </c>
      <c r="DW8" s="18">
        <v>1520</v>
      </c>
      <c r="DX8" s="18">
        <v>1510</v>
      </c>
      <c r="DY8" s="18">
        <v>1500</v>
      </c>
      <c r="DZ8" s="18">
        <v>1500</v>
      </c>
      <c r="EA8" s="18">
        <v>1480</v>
      </c>
      <c r="EB8" s="18">
        <v>1510</v>
      </c>
      <c r="EC8" s="18">
        <v>1550</v>
      </c>
      <c r="ED8" s="18">
        <v>1580</v>
      </c>
      <c r="EE8" s="18">
        <v>1620</v>
      </c>
      <c r="EF8" s="18">
        <v>1690</v>
      </c>
      <c r="EG8" s="18">
        <v>1810</v>
      </c>
      <c r="EH8" s="18">
        <v>1920</v>
      </c>
      <c r="EI8" s="18">
        <v>2000</v>
      </c>
      <c r="EJ8" s="18">
        <v>2050</v>
      </c>
      <c r="EK8" s="18">
        <v>2110</v>
      </c>
      <c r="EL8" s="18">
        <v>2170</v>
      </c>
      <c r="EM8" s="18">
        <v>2120</v>
      </c>
      <c r="EN8" s="18">
        <v>2040</v>
      </c>
      <c r="EO8" s="18">
        <v>1990</v>
      </c>
      <c r="EP8" s="18">
        <v>2000</v>
      </c>
      <c r="EQ8" s="18">
        <v>2020</v>
      </c>
      <c r="ER8" s="18">
        <v>2080</v>
      </c>
      <c r="ES8" s="18">
        <v>2240</v>
      </c>
      <c r="ET8" s="18">
        <v>2340</v>
      </c>
      <c r="EU8" s="18">
        <v>2490</v>
      </c>
      <c r="EV8" s="18">
        <v>2530</v>
      </c>
      <c r="EW8" s="18">
        <v>2480</v>
      </c>
      <c r="EX8" s="18">
        <v>2420</v>
      </c>
      <c r="EY8" s="18">
        <v>2420</v>
      </c>
      <c r="EZ8" s="18">
        <v>2530</v>
      </c>
      <c r="FA8" s="18">
        <v>2560</v>
      </c>
      <c r="FB8" s="18">
        <v>2540</v>
      </c>
      <c r="FC8" s="18">
        <v>2570</v>
      </c>
      <c r="FD8" s="18">
        <v>2600</v>
      </c>
      <c r="FE8" s="18">
        <v>2580</v>
      </c>
      <c r="FF8" s="18">
        <v>2580</v>
      </c>
      <c r="FG8" s="18">
        <v>2720</v>
      </c>
      <c r="FH8" s="18">
        <v>3070</v>
      </c>
      <c r="FI8" s="18">
        <v>3220</v>
      </c>
      <c r="FJ8" s="18">
        <v>3410</v>
      </c>
      <c r="FK8" s="18">
        <v>3560</v>
      </c>
      <c r="FL8" s="18">
        <v>3910</v>
      </c>
      <c r="FM8" s="18">
        <v>4070</v>
      </c>
      <c r="FN8" s="18">
        <v>4220</v>
      </c>
      <c r="FO8" s="18">
        <v>4560</v>
      </c>
      <c r="FP8" s="18">
        <v>4540</v>
      </c>
      <c r="FQ8" s="18">
        <v>4710</v>
      </c>
      <c r="FR8" s="18">
        <v>4480</v>
      </c>
      <c r="FS8" s="18">
        <v>4630</v>
      </c>
      <c r="FT8" s="18">
        <v>5120</v>
      </c>
      <c r="FU8" s="18">
        <v>5760</v>
      </c>
      <c r="FV8" s="18">
        <v>6750</v>
      </c>
      <c r="FW8" s="18">
        <v>7850</v>
      </c>
      <c r="FX8" s="18">
        <v>8250</v>
      </c>
      <c r="FY8" s="18">
        <v>8400</v>
      </c>
      <c r="FZ8" s="18">
        <v>8390</v>
      </c>
      <c r="GA8" s="18">
        <v>8250</v>
      </c>
      <c r="GB8" s="18">
        <v>8230</v>
      </c>
      <c r="GC8" s="18">
        <v>8160</v>
      </c>
      <c r="GD8" s="18">
        <v>8140</v>
      </c>
      <c r="GE8" s="18">
        <v>8340</v>
      </c>
      <c r="GF8" s="18">
        <v>8960</v>
      </c>
      <c r="GG8" s="18">
        <v>10700</v>
      </c>
      <c r="GH8" s="18">
        <v>12200</v>
      </c>
      <c r="GI8" s="18">
        <v>13200</v>
      </c>
      <c r="GJ8" s="18">
        <v>13000</v>
      </c>
      <c r="GK8" s="18">
        <v>12800</v>
      </c>
      <c r="GL8" s="18">
        <v>12900</v>
      </c>
      <c r="GM8" s="18">
        <v>12400</v>
      </c>
      <c r="GN8" s="18">
        <v>11400</v>
      </c>
      <c r="GO8" s="18">
        <v>10600</v>
      </c>
      <c r="GP8" s="18">
        <v>10800</v>
      </c>
      <c r="GQ8" s="18">
        <v>12200</v>
      </c>
      <c r="GR8" s="18">
        <v>12700</v>
      </c>
      <c r="GS8" s="18">
        <v>13300</v>
      </c>
      <c r="GT8" s="18">
        <v>12300</v>
      </c>
      <c r="GU8" s="18">
        <v>11000</v>
      </c>
      <c r="GV8" s="18">
        <v>10200</v>
      </c>
      <c r="GW8" s="18">
        <v>10100</v>
      </c>
      <c r="GX8" s="18">
        <v>12600</v>
      </c>
      <c r="GY8" s="18">
        <v>12800</v>
      </c>
      <c r="GZ8" s="18">
        <v>12500</v>
      </c>
      <c r="HA8" s="18">
        <v>12700</v>
      </c>
      <c r="HB8" s="18">
        <v>12400</v>
      </c>
      <c r="HC8" s="18">
        <v>12600</v>
      </c>
      <c r="HD8" s="18">
        <v>13600</v>
      </c>
      <c r="HE8" s="18">
        <v>16400</v>
      </c>
      <c r="HF8" s="18">
        <v>16700</v>
      </c>
      <c r="HG8" s="18">
        <v>16400</v>
      </c>
      <c r="HH8" s="18">
        <v>16700</v>
      </c>
      <c r="HI8" s="18">
        <v>17700</v>
      </c>
      <c r="HJ8" s="18">
        <v>18100</v>
      </c>
      <c r="HK8" s="18">
        <v>17900</v>
      </c>
      <c r="HL8" s="18">
        <v>17500</v>
      </c>
      <c r="HM8" s="18">
        <v>16900</v>
      </c>
      <c r="HN8" s="18">
        <v>15200</v>
      </c>
      <c r="HO8" s="18">
        <v>14200</v>
      </c>
      <c r="HP8" s="18">
        <v>14300</v>
      </c>
      <c r="HQ8" s="18">
        <v>15500</v>
      </c>
      <c r="HR8" s="18">
        <v>16700</v>
      </c>
      <c r="HS8" s="18">
        <v>18100</v>
      </c>
      <c r="HT8" s="18">
        <v>18100</v>
      </c>
      <c r="HU8" s="18">
        <v>17300</v>
      </c>
      <c r="HV8" s="18">
        <v>15200</v>
      </c>
      <c r="HW8" s="18">
        <v>13400</v>
      </c>
      <c r="HX8" s="18">
        <v>12100</v>
      </c>
      <c r="HY8" s="18">
        <v>11200</v>
      </c>
      <c r="HZ8" s="18">
        <v>10300</v>
      </c>
      <c r="IA8" s="18">
        <v>9650</v>
      </c>
      <c r="IB8" s="18">
        <v>9230</v>
      </c>
      <c r="IC8" s="18">
        <v>9550</v>
      </c>
      <c r="ID8" s="18">
        <v>9560</v>
      </c>
      <c r="IE8" s="18">
        <v>9570</v>
      </c>
      <c r="IF8" s="18">
        <v>8930</v>
      </c>
      <c r="IG8" s="18">
        <v>8460</v>
      </c>
      <c r="IH8" s="18">
        <v>8050</v>
      </c>
      <c r="II8" s="18">
        <v>7720</v>
      </c>
      <c r="IJ8" s="18">
        <v>7410</v>
      </c>
      <c r="IK8" s="18">
        <v>7120</v>
      </c>
      <c r="IL8" s="18">
        <v>7000</v>
      </c>
      <c r="IM8" s="18">
        <v>6860</v>
      </c>
      <c r="IN8" s="18">
        <v>6760</v>
      </c>
      <c r="IO8" s="18">
        <v>7020</v>
      </c>
      <c r="IP8" s="18">
        <v>7100</v>
      </c>
      <c r="IQ8" s="18">
        <v>7240</v>
      </c>
      <c r="IR8" s="18">
        <v>7300</v>
      </c>
      <c r="IS8" s="18">
        <v>7140</v>
      </c>
      <c r="IT8" s="18">
        <v>6900</v>
      </c>
      <c r="IU8" s="18">
        <v>6680</v>
      </c>
      <c r="IV8" s="18">
        <v>6440</v>
      </c>
      <c r="IW8" s="18">
        <v>6410</v>
      </c>
      <c r="IX8" s="18">
        <v>6530</v>
      </c>
      <c r="IY8" s="18">
        <v>6950</v>
      </c>
      <c r="IZ8" s="18">
        <v>7390</v>
      </c>
      <c r="JA8" s="18">
        <v>7180</v>
      </c>
      <c r="JB8" s="18">
        <v>6920</v>
      </c>
      <c r="JC8" s="18">
        <v>6730</v>
      </c>
      <c r="JD8" s="18">
        <v>6770</v>
      </c>
      <c r="JE8" s="18">
        <v>6730</v>
      </c>
      <c r="JF8" s="18">
        <v>6520</v>
      </c>
      <c r="JG8" s="18">
        <v>6350</v>
      </c>
      <c r="JH8" s="18">
        <v>6220</v>
      </c>
      <c r="JI8" s="18">
        <v>6230</v>
      </c>
      <c r="JJ8" s="18">
        <v>6370</v>
      </c>
      <c r="JK8" s="18">
        <v>6440</v>
      </c>
      <c r="JL8" s="18">
        <v>6580</v>
      </c>
      <c r="JM8" s="18">
        <v>6760</v>
      </c>
      <c r="JN8" s="18">
        <v>6760</v>
      </c>
      <c r="JO8" s="18">
        <v>6800</v>
      </c>
      <c r="JP8" s="18">
        <v>7010</v>
      </c>
      <c r="JQ8" s="18">
        <v>7190</v>
      </c>
      <c r="JR8" s="18">
        <v>7340</v>
      </c>
      <c r="JS8" s="18">
        <v>7420</v>
      </c>
      <c r="JT8" s="18">
        <v>7140</v>
      </c>
      <c r="JU8" s="18">
        <v>6980</v>
      </c>
      <c r="JV8" s="18">
        <v>6640</v>
      </c>
      <c r="JW8" s="18">
        <v>6340</v>
      </c>
      <c r="JX8" s="18">
        <v>6080</v>
      </c>
      <c r="JY8" s="18">
        <v>5910</v>
      </c>
      <c r="JZ8" s="18">
        <v>5800</v>
      </c>
      <c r="KA8" s="18">
        <v>5720</v>
      </c>
      <c r="KB8" s="18">
        <v>5620</v>
      </c>
      <c r="KC8" s="18">
        <v>5480</v>
      </c>
      <c r="KD8" s="18">
        <v>5330</v>
      </c>
      <c r="KE8" s="18">
        <v>5250</v>
      </c>
      <c r="KF8" s="18">
        <v>5180</v>
      </c>
      <c r="KG8" s="18">
        <v>5210</v>
      </c>
      <c r="KH8" s="18">
        <v>5330</v>
      </c>
      <c r="KI8" s="18">
        <v>5150</v>
      </c>
      <c r="KJ8" s="18">
        <v>5000</v>
      </c>
      <c r="KK8" s="18">
        <v>5030</v>
      </c>
      <c r="KL8" s="18">
        <v>5360</v>
      </c>
      <c r="KM8" s="18">
        <v>5500</v>
      </c>
      <c r="KN8" s="18">
        <v>5500</v>
      </c>
      <c r="KO8" s="18">
        <v>5460</v>
      </c>
      <c r="KP8" s="18">
        <v>5550</v>
      </c>
      <c r="KQ8" s="18">
        <v>5790</v>
      </c>
      <c r="KR8" s="18">
        <v>5750</v>
      </c>
      <c r="KS8" s="18">
        <v>5530</v>
      </c>
      <c r="KT8" s="18">
        <v>5180</v>
      </c>
      <c r="KU8" s="18">
        <v>4890</v>
      </c>
      <c r="KV8" s="18">
        <v>4690</v>
      </c>
      <c r="KW8" s="18">
        <v>4550</v>
      </c>
      <c r="KX8" s="18">
        <v>4390</v>
      </c>
      <c r="KY8" s="18">
        <v>4290</v>
      </c>
      <c r="KZ8" s="18">
        <v>4190</v>
      </c>
      <c r="LA8" s="18">
        <v>4060</v>
      </c>
      <c r="LB8" s="18">
        <v>4410</v>
      </c>
      <c r="LC8" s="18">
        <v>5620</v>
      </c>
      <c r="LD8" s="18">
        <v>6620</v>
      </c>
      <c r="LE8" s="18">
        <v>6840</v>
      </c>
      <c r="LF8" s="18">
        <v>6430</v>
      </c>
      <c r="LG8" s="18">
        <v>5800</v>
      </c>
      <c r="LH8" s="18">
        <v>5240</v>
      </c>
      <c r="LI8" s="18">
        <v>4910</v>
      </c>
      <c r="LJ8" s="18">
        <v>4600</v>
      </c>
      <c r="LK8" s="18">
        <v>4400</v>
      </c>
      <c r="LL8" s="18">
        <v>4270</v>
      </c>
      <c r="LM8" s="18">
        <v>4080</v>
      </c>
      <c r="LN8" s="18">
        <v>3930</v>
      </c>
      <c r="LO8" s="18">
        <v>3800</v>
      </c>
      <c r="LP8" s="18">
        <v>3680</v>
      </c>
      <c r="LQ8" s="18">
        <v>3560</v>
      </c>
      <c r="LR8" s="18">
        <v>3420</v>
      </c>
      <c r="LS8" s="18">
        <v>3320</v>
      </c>
      <c r="LT8" s="18">
        <v>3260</v>
      </c>
      <c r="LU8" s="18">
        <v>3230</v>
      </c>
      <c r="LV8" s="18">
        <v>3230</v>
      </c>
      <c r="LW8" s="18">
        <v>3230</v>
      </c>
      <c r="LX8" s="18">
        <v>3110</v>
      </c>
      <c r="LY8" s="18">
        <v>3020</v>
      </c>
      <c r="LZ8" s="18">
        <v>2920</v>
      </c>
      <c r="MA8" s="18">
        <v>2810</v>
      </c>
      <c r="MB8" s="18">
        <v>2750</v>
      </c>
      <c r="MC8" s="18">
        <v>2680</v>
      </c>
      <c r="MD8" s="18">
        <v>2590</v>
      </c>
      <c r="ME8" s="18">
        <v>2520</v>
      </c>
      <c r="MF8" s="18">
        <v>2480</v>
      </c>
      <c r="MG8" s="18">
        <v>2440</v>
      </c>
      <c r="MH8" s="18">
        <v>2410</v>
      </c>
      <c r="MI8" s="18">
        <v>2390</v>
      </c>
      <c r="MJ8" s="18">
        <v>2350</v>
      </c>
      <c r="MK8" s="18">
        <v>2320</v>
      </c>
      <c r="ML8" s="18">
        <v>2310</v>
      </c>
      <c r="MM8" s="18">
        <v>2280</v>
      </c>
      <c r="MN8" s="18">
        <v>2260</v>
      </c>
      <c r="MO8" s="18">
        <v>2220</v>
      </c>
      <c r="MP8" s="18">
        <v>2190</v>
      </c>
      <c r="MQ8" s="18">
        <v>2180</v>
      </c>
      <c r="MR8" s="18">
        <v>2160</v>
      </c>
      <c r="MS8" s="18">
        <v>2150</v>
      </c>
      <c r="MT8" s="18">
        <v>2140</v>
      </c>
      <c r="MU8" s="18">
        <v>2120</v>
      </c>
      <c r="MV8" s="18">
        <v>2070</v>
      </c>
      <c r="MW8" s="18">
        <v>2030</v>
      </c>
      <c r="MX8" s="18">
        <v>2000</v>
      </c>
      <c r="MY8" s="18">
        <v>1960</v>
      </c>
      <c r="MZ8" s="18">
        <v>1940</v>
      </c>
      <c r="NA8" s="18">
        <v>1900</v>
      </c>
      <c r="NB8" s="18">
        <v>1880</v>
      </c>
      <c r="NC8" s="18">
        <v>1850</v>
      </c>
      <c r="ND8" s="1">
        <v>1720</v>
      </c>
      <c r="NE8" s="1">
        <v>1500</v>
      </c>
      <c r="NF8" s="1">
        <v>1440</v>
      </c>
      <c r="NG8" s="1">
        <v>1660</v>
      </c>
      <c r="NH8" s="1">
        <v>1870</v>
      </c>
      <c r="NI8" s="1">
        <v>4420</v>
      </c>
      <c r="NJ8" s="1">
        <v>11800</v>
      </c>
      <c r="NK8" s="1">
        <v>13200</v>
      </c>
      <c r="NL8" s="1">
        <v>6770</v>
      </c>
      <c r="NM8" s="1">
        <v>5860</v>
      </c>
      <c r="NN8" s="1">
        <v>4400</v>
      </c>
      <c r="NO8" s="1">
        <v>2300</v>
      </c>
      <c r="NP8" s="1">
        <v>4775.178082191781</v>
      </c>
      <c r="NQ8" s="1">
        <v>18100</v>
      </c>
      <c r="NR8" s="19">
        <v>42586</v>
      </c>
      <c r="NS8" s="1">
        <v>1360</v>
      </c>
      <c r="NT8" s="19">
        <v>42475</v>
      </c>
    </row>
    <row r="9" spans="1:385" x14ac:dyDescent="0.15">
      <c r="A9" s="1">
        <v>1956</v>
      </c>
      <c r="B9" s="18">
        <v>1730</v>
      </c>
      <c r="C9" s="18">
        <v>1700</v>
      </c>
      <c r="D9" s="18">
        <v>1680</v>
      </c>
      <c r="E9" s="18">
        <v>1670</v>
      </c>
      <c r="F9" s="18">
        <v>1670</v>
      </c>
      <c r="G9" s="18">
        <v>1650</v>
      </c>
      <c r="H9" s="18">
        <v>1640</v>
      </c>
      <c r="I9" s="18">
        <v>1630</v>
      </c>
      <c r="J9" s="18">
        <v>1620</v>
      </c>
      <c r="K9" s="18">
        <v>1610</v>
      </c>
      <c r="L9" s="18">
        <v>1600</v>
      </c>
      <c r="M9" s="18">
        <v>1620</v>
      </c>
      <c r="N9" s="18">
        <v>1630</v>
      </c>
      <c r="O9" s="18">
        <v>1620</v>
      </c>
      <c r="P9" s="18">
        <v>1610</v>
      </c>
      <c r="Q9" s="18">
        <v>1610</v>
      </c>
      <c r="R9" s="18">
        <v>1590</v>
      </c>
      <c r="S9" s="18">
        <v>1580</v>
      </c>
      <c r="T9" s="18">
        <v>1570</v>
      </c>
      <c r="U9" s="18">
        <v>1550</v>
      </c>
      <c r="V9" s="18">
        <v>1530</v>
      </c>
      <c r="W9" s="18">
        <v>1510</v>
      </c>
      <c r="X9" s="18">
        <v>1500</v>
      </c>
      <c r="Y9" s="18">
        <v>1490</v>
      </c>
      <c r="Z9" s="18">
        <v>1470</v>
      </c>
      <c r="AA9" s="18">
        <v>1470</v>
      </c>
      <c r="AB9" s="18">
        <v>1470</v>
      </c>
      <c r="AC9" s="18">
        <v>1470</v>
      </c>
      <c r="AD9" s="18">
        <v>1460</v>
      </c>
      <c r="AE9" s="18">
        <v>1450</v>
      </c>
      <c r="AF9" s="18">
        <v>1430</v>
      </c>
      <c r="AG9" s="18">
        <v>1430</v>
      </c>
      <c r="AH9" s="18">
        <v>1420</v>
      </c>
      <c r="AI9" s="18">
        <v>1410</v>
      </c>
      <c r="AJ9" s="18">
        <v>1410</v>
      </c>
      <c r="AK9" s="18">
        <v>1400</v>
      </c>
      <c r="AL9" s="18">
        <v>1390</v>
      </c>
      <c r="AM9" s="18">
        <v>1380</v>
      </c>
      <c r="AN9" s="18">
        <v>1370</v>
      </c>
      <c r="AO9" s="18">
        <v>1360</v>
      </c>
      <c r="AP9" s="18">
        <v>1350</v>
      </c>
      <c r="AQ9" s="18">
        <v>1350</v>
      </c>
      <c r="AR9" s="18">
        <v>1350</v>
      </c>
      <c r="AS9" s="18">
        <v>1350</v>
      </c>
      <c r="AT9" s="18">
        <v>1340</v>
      </c>
      <c r="AU9" s="18">
        <v>1330</v>
      </c>
      <c r="AV9" s="18">
        <v>1310</v>
      </c>
      <c r="AW9" s="18">
        <v>1300</v>
      </c>
      <c r="AX9" s="18">
        <v>1300</v>
      </c>
      <c r="AY9" s="18">
        <v>1300</v>
      </c>
      <c r="AZ9" s="18">
        <v>1300</v>
      </c>
      <c r="BA9" s="18">
        <v>1290</v>
      </c>
      <c r="BB9" s="18">
        <v>1290</v>
      </c>
      <c r="BC9" s="18">
        <v>1290</v>
      </c>
      <c r="BD9" s="18">
        <v>1290</v>
      </c>
      <c r="BE9" s="18">
        <v>1280</v>
      </c>
      <c r="BF9" s="18">
        <v>1280</v>
      </c>
      <c r="BG9" s="18">
        <v>1270</v>
      </c>
      <c r="BH9" s="18">
        <v>1270</v>
      </c>
      <c r="BI9" s="18">
        <v>1260</v>
      </c>
      <c r="BJ9" s="18">
        <v>1260</v>
      </c>
      <c r="BK9" s="18">
        <v>1260</v>
      </c>
      <c r="BL9" s="18">
        <v>1260</v>
      </c>
      <c r="BM9" s="18">
        <v>1260</v>
      </c>
      <c r="BN9" s="18">
        <v>1260</v>
      </c>
      <c r="BO9" s="18">
        <v>1270</v>
      </c>
      <c r="BP9" s="18">
        <v>1270</v>
      </c>
      <c r="BQ9" s="18">
        <v>1260</v>
      </c>
      <c r="BR9" s="18">
        <v>1250</v>
      </c>
      <c r="BS9" s="18">
        <v>1250</v>
      </c>
      <c r="BT9" s="18">
        <v>1280</v>
      </c>
      <c r="BU9" s="18">
        <v>1310</v>
      </c>
      <c r="BV9" s="18">
        <v>1350</v>
      </c>
      <c r="BW9" s="18">
        <v>1350</v>
      </c>
      <c r="BX9" s="18">
        <v>1350</v>
      </c>
      <c r="BY9" s="18">
        <v>1330</v>
      </c>
      <c r="BZ9" s="18">
        <v>1310</v>
      </c>
      <c r="CA9" s="18">
        <v>1290</v>
      </c>
      <c r="CB9" s="18">
        <v>1280</v>
      </c>
      <c r="CC9" s="18">
        <v>1280</v>
      </c>
      <c r="CD9" s="18">
        <v>1270</v>
      </c>
      <c r="CE9" s="18">
        <v>1270</v>
      </c>
      <c r="CF9" s="18">
        <v>1270</v>
      </c>
      <c r="CG9" s="18">
        <v>1260</v>
      </c>
      <c r="CH9" s="18">
        <v>1260</v>
      </c>
      <c r="CI9" s="18">
        <v>1260</v>
      </c>
      <c r="CJ9" s="18">
        <v>1260</v>
      </c>
      <c r="CK9" s="18">
        <v>1270</v>
      </c>
      <c r="CL9" s="18">
        <v>1280</v>
      </c>
      <c r="CM9" s="18">
        <v>1270</v>
      </c>
      <c r="CN9" s="18">
        <v>1260</v>
      </c>
      <c r="CO9" s="18">
        <v>1260</v>
      </c>
      <c r="CP9" s="18">
        <v>1260</v>
      </c>
      <c r="CQ9" s="18">
        <v>1260</v>
      </c>
      <c r="CR9" s="18">
        <v>1260</v>
      </c>
      <c r="CS9" s="18">
        <v>1260</v>
      </c>
      <c r="CT9" s="18">
        <v>1250</v>
      </c>
      <c r="CU9" s="18">
        <v>1250</v>
      </c>
      <c r="CV9" s="18">
        <v>1240</v>
      </c>
      <c r="CW9" s="18">
        <v>1260</v>
      </c>
      <c r="CX9" s="18">
        <v>1310</v>
      </c>
      <c r="CY9" s="18">
        <v>1350</v>
      </c>
      <c r="CZ9" s="18">
        <v>1360</v>
      </c>
      <c r="DA9" s="18">
        <v>1350</v>
      </c>
      <c r="DB9" s="18">
        <v>1340</v>
      </c>
      <c r="DC9" s="18">
        <v>1340</v>
      </c>
      <c r="DD9" s="18">
        <v>1340</v>
      </c>
      <c r="DE9" s="18">
        <v>1340</v>
      </c>
      <c r="DF9" s="18">
        <v>1340</v>
      </c>
      <c r="DG9" s="18">
        <v>1350</v>
      </c>
      <c r="DH9" s="18">
        <v>1390</v>
      </c>
      <c r="DI9" s="18">
        <v>1430</v>
      </c>
      <c r="DJ9" s="18">
        <v>1470</v>
      </c>
      <c r="DK9" s="18">
        <v>1510</v>
      </c>
      <c r="DL9" s="18">
        <v>1500</v>
      </c>
      <c r="DM9" s="18">
        <v>1460</v>
      </c>
      <c r="DN9" s="18">
        <v>1420</v>
      </c>
      <c r="DO9" s="18">
        <v>1410</v>
      </c>
      <c r="DP9" s="18">
        <v>1430</v>
      </c>
      <c r="DQ9" s="18">
        <v>1450</v>
      </c>
      <c r="DR9" s="18">
        <v>1500</v>
      </c>
      <c r="DS9" s="18">
        <v>1550</v>
      </c>
      <c r="DT9" s="18">
        <v>1620</v>
      </c>
      <c r="DU9" s="18">
        <v>1730</v>
      </c>
      <c r="DV9" s="18">
        <v>1770</v>
      </c>
      <c r="DW9" s="18">
        <v>1750</v>
      </c>
      <c r="DX9" s="18">
        <v>1720</v>
      </c>
      <c r="DY9" s="18">
        <v>1700</v>
      </c>
      <c r="DZ9" s="18">
        <v>1740</v>
      </c>
      <c r="EA9" s="18">
        <v>1870</v>
      </c>
      <c r="EB9" s="18">
        <v>1990</v>
      </c>
      <c r="EC9" s="18">
        <v>2100</v>
      </c>
      <c r="ED9" s="18">
        <v>2110</v>
      </c>
      <c r="EE9" s="18">
        <v>2180</v>
      </c>
      <c r="EF9" s="18">
        <v>2250</v>
      </c>
      <c r="EG9" s="18">
        <v>2220</v>
      </c>
      <c r="EH9" s="18">
        <v>2220</v>
      </c>
      <c r="EI9" s="18">
        <v>2310</v>
      </c>
      <c r="EJ9" s="18">
        <v>2420</v>
      </c>
      <c r="EK9" s="18">
        <v>2690</v>
      </c>
      <c r="EL9" s="18">
        <v>2720</v>
      </c>
      <c r="EM9" s="18">
        <v>2810</v>
      </c>
      <c r="EN9" s="18">
        <v>2800</v>
      </c>
      <c r="EO9" s="18">
        <v>2850</v>
      </c>
      <c r="EP9" s="18">
        <v>2760</v>
      </c>
      <c r="EQ9" s="18">
        <v>2650</v>
      </c>
      <c r="ER9" s="18">
        <v>2690</v>
      </c>
      <c r="ES9" s="18">
        <v>2780</v>
      </c>
      <c r="ET9" s="18">
        <v>2720</v>
      </c>
      <c r="EU9" s="18">
        <v>2830</v>
      </c>
      <c r="EV9" s="18">
        <v>3120</v>
      </c>
      <c r="EW9" s="18">
        <v>2820</v>
      </c>
      <c r="EX9" s="18">
        <v>2600</v>
      </c>
      <c r="EY9" s="18">
        <v>2430</v>
      </c>
      <c r="EZ9" s="18">
        <v>2250</v>
      </c>
      <c r="FA9" s="18">
        <v>2100</v>
      </c>
      <c r="FB9" s="18">
        <v>2050</v>
      </c>
      <c r="FC9" s="18">
        <v>2100</v>
      </c>
      <c r="FD9" s="18">
        <v>2180</v>
      </c>
      <c r="FE9" s="18">
        <v>2250</v>
      </c>
      <c r="FF9" s="18">
        <v>2320</v>
      </c>
      <c r="FG9" s="18">
        <v>2370</v>
      </c>
      <c r="FH9" s="18">
        <v>2420</v>
      </c>
      <c r="FI9" s="18">
        <v>2440</v>
      </c>
      <c r="FJ9" s="18">
        <v>2690</v>
      </c>
      <c r="FK9" s="18">
        <v>2850</v>
      </c>
      <c r="FL9" s="18">
        <v>3090</v>
      </c>
      <c r="FM9" s="18">
        <v>3780</v>
      </c>
      <c r="FN9" s="18">
        <v>4330</v>
      </c>
      <c r="FO9" s="18">
        <v>4470</v>
      </c>
      <c r="FP9" s="18">
        <v>4660</v>
      </c>
      <c r="FQ9" s="18">
        <v>4590</v>
      </c>
      <c r="FR9" s="18">
        <v>4300</v>
      </c>
      <c r="FS9" s="18">
        <v>3990</v>
      </c>
      <c r="FT9" s="18">
        <v>3940</v>
      </c>
      <c r="FU9" s="18">
        <v>4310</v>
      </c>
      <c r="FV9" s="18">
        <v>4400</v>
      </c>
      <c r="FW9" s="18">
        <v>4370</v>
      </c>
      <c r="FX9" s="18">
        <v>5060</v>
      </c>
      <c r="FY9" s="18">
        <v>5190</v>
      </c>
      <c r="FZ9" s="18">
        <v>5220</v>
      </c>
      <c r="GA9" s="18">
        <v>5140</v>
      </c>
      <c r="GB9" s="18">
        <v>5790</v>
      </c>
      <c r="GC9" s="18">
        <v>7110</v>
      </c>
      <c r="GD9" s="18">
        <v>7100</v>
      </c>
      <c r="GE9" s="18">
        <v>6800</v>
      </c>
      <c r="GF9" s="18">
        <v>6320</v>
      </c>
      <c r="GG9" s="18">
        <v>5850</v>
      </c>
      <c r="GH9" s="18">
        <v>5970</v>
      </c>
      <c r="GI9" s="18">
        <v>5850</v>
      </c>
      <c r="GJ9" s="18">
        <v>6140</v>
      </c>
      <c r="GK9" s="18">
        <v>6450</v>
      </c>
      <c r="GL9" s="18">
        <v>6370</v>
      </c>
      <c r="GM9" s="18">
        <v>6460</v>
      </c>
      <c r="GN9" s="18">
        <v>6770</v>
      </c>
      <c r="GO9" s="18">
        <v>7180</v>
      </c>
      <c r="GP9" s="18">
        <v>7460</v>
      </c>
      <c r="GQ9" s="18">
        <v>6750</v>
      </c>
      <c r="GR9" s="18">
        <v>6030</v>
      </c>
      <c r="GS9" s="18">
        <v>5530</v>
      </c>
      <c r="GT9" s="18">
        <v>5180</v>
      </c>
      <c r="GU9" s="18">
        <v>4710</v>
      </c>
      <c r="GV9" s="18">
        <v>4310</v>
      </c>
      <c r="GW9" s="18">
        <v>4040</v>
      </c>
      <c r="GX9" s="18">
        <v>4160</v>
      </c>
      <c r="GY9" s="18">
        <v>6040</v>
      </c>
      <c r="GZ9" s="18">
        <v>6900</v>
      </c>
      <c r="HA9" s="18">
        <v>6520</v>
      </c>
      <c r="HB9" s="18">
        <v>6200</v>
      </c>
      <c r="HC9" s="18">
        <v>5560</v>
      </c>
      <c r="HD9" s="18">
        <v>5120</v>
      </c>
      <c r="HE9" s="18">
        <v>4670</v>
      </c>
      <c r="HF9" s="18">
        <v>4260</v>
      </c>
      <c r="HG9" s="18">
        <v>3990</v>
      </c>
      <c r="HH9" s="18">
        <v>3880</v>
      </c>
      <c r="HI9" s="18">
        <v>3870</v>
      </c>
      <c r="HJ9" s="18">
        <v>3750</v>
      </c>
      <c r="HK9" s="18">
        <v>3540</v>
      </c>
      <c r="HL9" s="18">
        <v>3380</v>
      </c>
      <c r="HM9" s="18">
        <v>3270</v>
      </c>
      <c r="HN9" s="18">
        <v>3260</v>
      </c>
      <c r="HO9" s="18">
        <v>3380</v>
      </c>
      <c r="HP9" s="18">
        <v>3650</v>
      </c>
      <c r="HQ9" s="18">
        <v>4010</v>
      </c>
      <c r="HR9" s="18">
        <v>4320</v>
      </c>
      <c r="HS9" s="18">
        <v>5370</v>
      </c>
      <c r="HT9" s="18">
        <v>6360</v>
      </c>
      <c r="HU9" s="18">
        <v>6450</v>
      </c>
      <c r="HV9" s="18">
        <v>7310</v>
      </c>
      <c r="HW9" s="18">
        <v>8100</v>
      </c>
      <c r="HX9" s="18">
        <v>8610</v>
      </c>
      <c r="HY9" s="18">
        <v>9790</v>
      </c>
      <c r="HZ9" s="18">
        <v>9600</v>
      </c>
      <c r="IA9" s="18">
        <v>8990</v>
      </c>
      <c r="IB9" s="18">
        <v>8790</v>
      </c>
      <c r="IC9" s="18">
        <v>7950</v>
      </c>
      <c r="ID9" s="18">
        <v>7440</v>
      </c>
      <c r="IE9" s="18">
        <v>6560</v>
      </c>
      <c r="IF9" s="18">
        <v>6120</v>
      </c>
      <c r="IG9" s="18">
        <v>6880</v>
      </c>
      <c r="IH9" s="18">
        <v>8290</v>
      </c>
      <c r="II9" s="18">
        <v>9630</v>
      </c>
      <c r="IJ9" s="18">
        <v>9810</v>
      </c>
      <c r="IK9" s="18">
        <v>9610</v>
      </c>
      <c r="IL9" s="18">
        <v>8790</v>
      </c>
      <c r="IM9" s="18">
        <v>8510</v>
      </c>
      <c r="IN9" s="18">
        <v>8400</v>
      </c>
      <c r="IO9" s="18">
        <v>7700</v>
      </c>
      <c r="IP9" s="18">
        <v>7160</v>
      </c>
      <c r="IQ9" s="18">
        <v>7140</v>
      </c>
      <c r="IR9" s="18">
        <v>6900</v>
      </c>
      <c r="IS9" s="18">
        <v>7320</v>
      </c>
      <c r="IT9" s="18">
        <v>7700</v>
      </c>
      <c r="IU9" s="18">
        <v>8450</v>
      </c>
      <c r="IV9" s="18">
        <v>9810</v>
      </c>
      <c r="IW9" s="18">
        <v>10600</v>
      </c>
      <c r="IX9" s="18">
        <v>10400</v>
      </c>
      <c r="IY9" s="18">
        <v>10300</v>
      </c>
      <c r="IZ9" s="18">
        <v>10100</v>
      </c>
      <c r="JA9" s="18">
        <v>10900</v>
      </c>
      <c r="JB9" s="18">
        <v>10700</v>
      </c>
      <c r="JC9" s="18">
        <v>10100</v>
      </c>
      <c r="JD9" s="18">
        <v>9830</v>
      </c>
      <c r="JE9" s="18">
        <v>9810</v>
      </c>
      <c r="JF9" s="18">
        <v>9500</v>
      </c>
      <c r="JG9" s="18">
        <v>8870</v>
      </c>
      <c r="JH9" s="18">
        <v>8090</v>
      </c>
      <c r="JI9" s="18">
        <v>7430</v>
      </c>
      <c r="JJ9" s="18">
        <v>6940</v>
      </c>
      <c r="JK9" s="18">
        <v>6510</v>
      </c>
      <c r="JL9" s="18">
        <v>6110</v>
      </c>
      <c r="JM9" s="18">
        <v>5800</v>
      </c>
      <c r="JN9" s="18">
        <v>5550</v>
      </c>
      <c r="JO9" s="18">
        <v>5340</v>
      </c>
      <c r="JP9" s="18">
        <v>5130</v>
      </c>
      <c r="JQ9" s="18">
        <v>4910</v>
      </c>
      <c r="JR9" s="18">
        <v>4720</v>
      </c>
      <c r="JS9" s="18">
        <v>4680</v>
      </c>
      <c r="JT9" s="18">
        <v>4570</v>
      </c>
      <c r="JU9" s="18">
        <v>4460</v>
      </c>
      <c r="JV9" s="18">
        <v>4360</v>
      </c>
      <c r="JW9" s="18">
        <v>4240</v>
      </c>
      <c r="JX9" s="18">
        <v>4130</v>
      </c>
      <c r="JY9" s="18">
        <v>4080</v>
      </c>
      <c r="JZ9" s="18">
        <v>3990</v>
      </c>
      <c r="KA9" s="18">
        <v>3920</v>
      </c>
      <c r="KB9" s="18">
        <v>3870</v>
      </c>
      <c r="KC9" s="18">
        <v>3770</v>
      </c>
      <c r="KD9" s="18">
        <v>3770</v>
      </c>
      <c r="KE9" s="18">
        <v>3780</v>
      </c>
      <c r="KF9" s="18">
        <v>4140</v>
      </c>
      <c r="KG9" s="18">
        <v>4490</v>
      </c>
      <c r="KH9" s="18">
        <v>4770</v>
      </c>
      <c r="KI9" s="18">
        <v>4910</v>
      </c>
      <c r="KJ9" s="18">
        <v>4910</v>
      </c>
      <c r="KK9" s="18">
        <v>4750</v>
      </c>
      <c r="KL9" s="18">
        <v>4480</v>
      </c>
      <c r="KM9" s="18">
        <v>4260</v>
      </c>
      <c r="KN9" s="18">
        <v>4040</v>
      </c>
      <c r="KO9" s="18">
        <v>3870</v>
      </c>
      <c r="KP9" s="18">
        <v>3730</v>
      </c>
      <c r="KQ9" s="18">
        <v>3610</v>
      </c>
      <c r="KR9" s="18">
        <v>3510</v>
      </c>
      <c r="KS9" s="18">
        <v>3420</v>
      </c>
      <c r="KT9" s="18">
        <v>3340</v>
      </c>
      <c r="KU9" s="18">
        <v>3270</v>
      </c>
      <c r="KV9" s="18">
        <v>3190</v>
      </c>
      <c r="KW9" s="18">
        <v>3130</v>
      </c>
      <c r="KX9" s="18">
        <v>3100</v>
      </c>
      <c r="KY9" s="18">
        <v>3090</v>
      </c>
      <c r="KZ9" s="18">
        <v>3090</v>
      </c>
      <c r="LA9" s="18">
        <v>3090</v>
      </c>
      <c r="LB9" s="18">
        <v>3020</v>
      </c>
      <c r="LC9" s="18">
        <v>2940</v>
      </c>
      <c r="LD9" s="18">
        <v>2880</v>
      </c>
      <c r="LE9" s="18">
        <v>2860</v>
      </c>
      <c r="LF9" s="18">
        <v>2800</v>
      </c>
      <c r="LG9" s="18">
        <v>2720</v>
      </c>
      <c r="LH9" s="18">
        <v>2650</v>
      </c>
      <c r="LI9" s="18">
        <v>2590</v>
      </c>
      <c r="LJ9" s="18">
        <v>2530</v>
      </c>
      <c r="LK9" s="18">
        <v>2490</v>
      </c>
      <c r="LL9" s="18">
        <v>2450</v>
      </c>
      <c r="LM9" s="18">
        <v>2380</v>
      </c>
      <c r="LN9" s="18">
        <v>2320</v>
      </c>
      <c r="LO9" s="18">
        <v>2260</v>
      </c>
      <c r="LP9" s="18">
        <v>2220</v>
      </c>
      <c r="LQ9" s="18">
        <v>2200</v>
      </c>
      <c r="LR9" s="18">
        <v>2210</v>
      </c>
      <c r="LS9" s="18">
        <v>2200</v>
      </c>
      <c r="LT9" s="18">
        <v>2150</v>
      </c>
      <c r="LU9" s="18">
        <v>2110</v>
      </c>
      <c r="LV9" s="18">
        <v>2060</v>
      </c>
      <c r="LW9" s="18">
        <v>1990</v>
      </c>
      <c r="LX9" s="18">
        <v>1950</v>
      </c>
      <c r="LY9" s="18">
        <v>1900</v>
      </c>
      <c r="LZ9" s="18">
        <v>1870</v>
      </c>
      <c r="MA9" s="18">
        <v>1830</v>
      </c>
      <c r="MB9" s="18">
        <v>1810</v>
      </c>
      <c r="MC9" s="18">
        <v>1770</v>
      </c>
      <c r="MD9" s="18">
        <v>1750</v>
      </c>
      <c r="ME9" s="18">
        <v>1730</v>
      </c>
      <c r="MF9" s="18">
        <v>1710</v>
      </c>
      <c r="MG9" s="18">
        <v>1690</v>
      </c>
      <c r="MH9" s="18">
        <v>1660</v>
      </c>
      <c r="MI9" s="18">
        <v>1650</v>
      </c>
      <c r="MJ9" s="18">
        <v>1630</v>
      </c>
      <c r="MK9" s="18">
        <v>1610</v>
      </c>
      <c r="ML9" s="18">
        <v>1600</v>
      </c>
      <c r="MM9" s="18">
        <v>1580</v>
      </c>
      <c r="MN9" s="18">
        <v>1550</v>
      </c>
      <c r="MO9" s="18">
        <v>1550</v>
      </c>
      <c r="MP9" s="18">
        <v>1530</v>
      </c>
      <c r="MQ9" s="18">
        <v>1510</v>
      </c>
      <c r="MR9" s="18">
        <v>1490</v>
      </c>
      <c r="MS9" s="18">
        <v>1480</v>
      </c>
      <c r="MT9" s="18">
        <v>1450</v>
      </c>
      <c r="MU9" s="18">
        <v>1430</v>
      </c>
      <c r="MV9" s="18">
        <v>1400</v>
      </c>
      <c r="MW9" s="18">
        <v>1380</v>
      </c>
      <c r="MX9" s="18">
        <v>1390</v>
      </c>
      <c r="MY9" s="18">
        <v>1400</v>
      </c>
      <c r="MZ9" s="18">
        <v>1390</v>
      </c>
      <c r="NA9" s="18">
        <v>1380</v>
      </c>
      <c r="NB9" s="18">
        <v>1360</v>
      </c>
      <c r="NC9" s="18">
        <v>1340</v>
      </c>
      <c r="ND9" s="1">
        <v>1580</v>
      </c>
      <c r="NE9" s="1">
        <v>1330</v>
      </c>
      <c r="NF9" s="1">
        <v>1280</v>
      </c>
      <c r="NG9" s="1">
        <v>1360</v>
      </c>
      <c r="NH9" s="1">
        <v>2310</v>
      </c>
      <c r="NI9" s="1">
        <v>3460</v>
      </c>
      <c r="NJ9" s="1">
        <v>5920</v>
      </c>
      <c r="NK9" s="1">
        <v>6320</v>
      </c>
      <c r="NL9" s="1">
        <v>8360</v>
      </c>
      <c r="NM9" s="1">
        <v>4210</v>
      </c>
      <c r="NN9" s="1">
        <v>2600</v>
      </c>
      <c r="NO9" s="1">
        <v>1570</v>
      </c>
      <c r="NP9" s="1">
        <v>3363.1693989071036</v>
      </c>
      <c r="NQ9" s="1">
        <v>10900</v>
      </c>
      <c r="NR9" s="19">
        <v>42629</v>
      </c>
      <c r="NS9" s="1">
        <v>1240</v>
      </c>
      <c r="NT9" s="19">
        <v>42468</v>
      </c>
    </row>
    <row r="10" spans="1:385" x14ac:dyDescent="0.15">
      <c r="A10" s="1">
        <v>1957</v>
      </c>
      <c r="B10" s="18">
        <v>1600</v>
      </c>
      <c r="C10" s="18">
        <v>1570</v>
      </c>
      <c r="D10" s="18">
        <v>1560</v>
      </c>
      <c r="E10" s="18">
        <v>1550</v>
      </c>
      <c r="F10" s="18">
        <v>1530</v>
      </c>
      <c r="G10" s="18">
        <v>1520</v>
      </c>
      <c r="H10" s="18">
        <v>1510</v>
      </c>
      <c r="I10" s="18">
        <v>1510</v>
      </c>
      <c r="J10" s="18">
        <v>1510</v>
      </c>
      <c r="K10" s="18">
        <v>1500</v>
      </c>
      <c r="L10" s="18">
        <v>1490</v>
      </c>
      <c r="M10" s="18">
        <v>1480</v>
      </c>
      <c r="N10" s="18">
        <v>1500</v>
      </c>
      <c r="O10" s="18">
        <v>1560</v>
      </c>
      <c r="P10" s="18">
        <v>1560</v>
      </c>
      <c r="Q10" s="18">
        <v>1560</v>
      </c>
      <c r="R10" s="18">
        <v>1520</v>
      </c>
      <c r="S10" s="18">
        <v>1500</v>
      </c>
      <c r="T10" s="18">
        <v>1490</v>
      </c>
      <c r="U10" s="18">
        <v>1470</v>
      </c>
      <c r="V10" s="18">
        <v>1460</v>
      </c>
      <c r="W10" s="18">
        <v>1450</v>
      </c>
      <c r="X10" s="18">
        <v>1440</v>
      </c>
      <c r="Y10" s="18">
        <v>1440</v>
      </c>
      <c r="Z10" s="18">
        <v>1420</v>
      </c>
      <c r="AA10" s="18">
        <v>1410</v>
      </c>
      <c r="AB10" s="18">
        <v>1390</v>
      </c>
      <c r="AC10" s="18">
        <v>1380</v>
      </c>
      <c r="AD10" s="18">
        <v>1380</v>
      </c>
      <c r="AE10" s="18">
        <v>1350</v>
      </c>
      <c r="AF10" s="18">
        <v>1340</v>
      </c>
      <c r="AG10" s="18">
        <v>1330</v>
      </c>
      <c r="AH10" s="18">
        <v>1330</v>
      </c>
      <c r="AI10" s="18">
        <v>1340</v>
      </c>
      <c r="AJ10" s="18">
        <v>1340</v>
      </c>
      <c r="AK10" s="18">
        <v>1350</v>
      </c>
      <c r="AL10" s="18">
        <v>1350</v>
      </c>
      <c r="AM10" s="18">
        <v>1340</v>
      </c>
      <c r="AN10" s="18">
        <v>1340</v>
      </c>
      <c r="AO10" s="18">
        <v>1340</v>
      </c>
      <c r="AP10" s="18">
        <v>1330</v>
      </c>
      <c r="AQ10" s="18">
        <v>1320</v>
      </c>
      <c r="AR10" s="18">
        <v>1310</v>
      </c>
      <c r="AS10" s="18">
        <v>1310</v>
      </c>
      <c r="AT10" s="18">
        <v>1320</v>
      </c>
      <c r="AU10" s="18">
        <v>1340</v>
      </c>
      <c r="AV10" s="18">
        <v>1340</v>
      </c>
      <c r="AW10" s="18">
        <v>1340</v>
      </c>
      <c r="AX10" s="18">
        <v>1320</v>
      </c>
      <c r="AY10" s="18">
        <v>1310</v>
      </c>
      <c r="AZ10" s="18">
        <v>1300</v>
      </c>
      <c r="BA10" s="18">
        <v>1290</v>
      </c>
      <c r="BB10" s="18">
        <v>1280</v>
      </c>
      <c r="BC10" s="18">
        <v>1260</v>
      </c>
      <c r="BD10" s="18">
        <v>1260</v>
      </c>
      <c r="BE10" s="18">
        <v>1250</v>
      </c>
      <c r="BF10" s="18">
        <v>1250</v>
      </c>
      <c r="BG10" s="18">
        <v>1240</v>
      </c>
      <c r="BH10" s="18">
        <v>1250</v>
      </c>
      <c r="BI10" s="18"/>
      <c r="BJ10" s="18">
        <v>1250</v>
      </c>
      <c r="BK10" s="18">
        <v>1250</v>
      </c>
      <c r="BL10" s="18">
        <v>1250</v>
      </c>
      <c r="BM10" s="18">
        <v>1250</v>
      </c>
      <c r="BN10" s="18">
        <v>1240</v>
      </c>
      <c r="BO10" s="18">
        <v>1240</v>
      </c>
      <c r="BP10" s="18">
        <v>1230</v>
      </c>
      <c r="BQ10" s="18">
        <v>1240</v>
      </c>
      <c r="BR10" s="18">
        <v>1240</v>
      </c>
      <c r="BS10" s="18">
        <v>1240</v>
      </c>
      <c r="BT10" s="18">
        <v>1240</v>
      </c>
      <c r="BU10" s="18">
        <v>1240</v>
      </c>
      <c r="BV10" s="18">
        <v>1240</v>
      </c>
      <c r="BW10" s="18">
        <v>1240</v>
      </c>
      <c r="BX10" s="18">
        <v>1240</v>
      </c>
      <c r="BY10" s="18">
        <v>1240</v>
      </c>
      <c r="BZ10" s="18">
        <v>1260</v>
      </c>
      <c r="CA10" s="18">
        <v>1260</v>
      </c>
      <c r="CB10" s="18">
        <v>1250</v>
      </c>
      <c r="CC10" s="18">
        <v>1250</v>
      </c>
      <c r="CD10" s="18">
        <v>1240</v>
      </c>
      <c r="CE10" s="18">
        <v>1240</v>
      </c>
      <c r="CF10" s="18">
        <v>1230</v>
      </c>
      <c r="CG10" s="18">
        <v>1240</v>
      </c>
      <c r="CH10" s="18">
        <v>1250</v>
      </c>
      <c r="CI10" s="18">
        <v>1280</v>
      </c>
      <c r="CJ10" s="18">
        <v>1310</v>
      </c>
      <c r="CK10" s="18">
        <v>1340</v>
      </c>
      <c r="CL10" s="18">
        <v>1340</v>
      </c>
      <c r="CM10" s="18">
        <v>1330</v>
      </c>
      <c r="CN10" s="18">
        <v>1310</v>
      </c>
      <c r="CO10" s="18">
        <v>1310</v>
      </c>
      <c r="CP10" s="18">
        <v>1290</v>
      </c>
      <c r="CQ10" s="18">
        <v>1280</v>
      </c>
      <c r="CR10" s="18">
        <v>1270</v>
      </c>
      <c r="CS10" s="18">
        <v>1280</v>
      </c>
      <c r="CT10" s="18">
        <v>1280</v>
      </c>
      <c r="CU10" s="18">
        <v>1280</v>
      </c>
      <c r="CV10" s="18">
        <v>1280</v>
      </c>
      <c r="CW10" s="18">
        <v>1270</v>
      </c>
      <c r="CX10" s="18">
        <v>1270</v>
      </c>
      <c r="CY10" s="18">
        <v>1280</v>
      </c>
      <c r="CZ10" s="18">
        <v>1310</v>
      </c>
      <c r="DA10" s="18">
        <v>1350</v>
      </c>
      <c r="DB10" s="18">
        <v>1400</v>
      </c>
      <c r="DC10" s="18">
        <v>1410</v>
      </c>
      <c r="DD10" s="18">
        <v>1430</v>
      </c>
      <c r="DE10" s="18">
        <v>1430</v>
      </c>
      <c r="DF10" s="18">
        <v>1410</v>
      </c>
      <c r="DG10" s="18">
        <v>1410</v>
      </c>
      <c r="DH10" s="18">
        <v>1440</v>
      </c>
      <c r="DI10" s="18">
        <v>1450</v>
      </c>
      <c r="DJ10" s="18">
        <v>1470</v>
      </c>
      <c r="DK10" s="18">
        <v>1480</v>
      </c>
      <c r="DL10" s="18">
        <v>1500</v>
      </c>
      <c r="DM10" s="18">
        <v>1560</v>
      </c>
      <c r="DN10" s="18">
        <v>1570</v>
      </c>
      <c r="DO10" s="18">
        <v>1620</v>
      </c>
      <c r="DP10" s="18">
        <v>1540</v>
      </c>
      <c r="DQ10" s="18">
        <v>1460</v>
      </c>
      <c r="DR10" s="18">
        <v>1450</v>
      </c>
      <c r="DS10" s="18">
        <v>1450</v>
      </c>
      <c r="DT10" s="18">
        <v>1430</v>
      </c>
      <c r="DU10" s="18">
        <v>1410</v>
      </c>
      <c r="DV10" s="18">
        <v>1400</v>
      </c>
      <c r="DW10" s="18">
        <v>1400</v>
      </c>
      <c r="DX10" s="18">
        <v>1400</v>
      </c>
      <c r="DY10" s="18">
        <v>1440</v>
      </c>
      <c r="DZ10" s="18">
        <v>1500</v>
      </c>
      <c r="EA10" s="18">
        <v>1650</v>
      </c>
      <c r="EB10" s="18">
        <v>1830</v>
      </c>
      <c r="EC10" s="18">
        <v>1920</v>
      </c>
      <c r="ED10" s="18">
        <v>1900</v>
      </c>
      <c r="EE10" s="18">
        <v>1890</v>
      </c>
      <c r="EF10" s="18">
        <v>1860</v>
      </c>
      <c r="EG10" s="18">
        <v>1810</v>
      </c>
      <c r="EH10" s="18">
        <v>1780</v>
      </c>
      <c r="EI10" s="18">
        <v>1830</v>
      </c>
      <c r="EJ10" s="18">
        <v>1870</v>
      </c>
      <c r="EK10" s="18">
        <v>1890</v>
      </c>
      <c r="EL10" s="18">
        <v>1920</v>
      </c>
      <c r="EM10" s="18">
        <v>1950</v>
      </c>
      <c r="EN10" s="18">
        <v>2000</v>
      </c>
      <c r="EO10" s="18">
        <v>2000</v>
      </c>
      <c r="EP10" s="18">
        <v>2020</v>
      </c>
      <c r="EQ10" s="18">
        <v>2060</v>
      </c>
      <c r="ER10" s="18">
        <v>2120</v>
      </c>
      <c r="ES10" s="18">
        <v>2280</v>
      </c>
      <c r="ET10" s="18">
        <v>2500</v>
      </c>
      <c r="EU10" s="18">
        <v>2680</v>
      </c>
      <c r="EV10" s="18">
        <v>2890</v>
      </c>
      <c r="EW10" s="18">
        <v>3200</v>
      </c>
      <c r="EX10" s="18">
        <v>3320</v>
      </c>
      <c r="EY10" s="18">
        <v>3270</v>
      </c>
      <c r="EZ10" s="18">
        <v>3190</v>
      </c>
      <c r="FA10" s="18">
        <v>3130</v>
      </c>
      <c r="FB10" s="18">
        <v>2920</v>
      </c>
      <c r="FC10" s="18">
        <v>2870</v>
      </c>
      <c r="FD10" s="18">
        <v>2900</v>
      </c>
      <c r="FE10" s="18">
        <v>3220</v>
      </c>
      <c r="FF10" s="18">
        <v>3740</v>
      </c>
      <c r="FG10" s="18">
        <v>3980</v>
      </c>
      <c r="FH10" s="18">
        <v>3890</v>
      </c>
      <c r="FI10" s="18">
        <v>3790</v>
      </c>
      <c r="FJ10" s="18">
        <v>3720</v>
      </c>
      <c r="FK10" s="18">
        <v>3620</v>
      </c>
      <c r="FL10" s="18">
        <v>3550</v>
      </c>
      <c r="FM10" s="18">
        <v>3660</v>
      </c>
      <c r="FN10" s="18">
        <v>3900</v>
      </c>
      <c r="FO10" s="18">
        <v>4490</v>
      </c>
      <c r="FP10" s="18">
        <v>4640</v>
      </c>
      <c r="FQ10" s="18">
        <v>5240</v>
      </c>
      <c r="FR10" s="18">
        <v>6060</v>
      </c>
      <c r="FS10" s="18">
        <v>6170</v>
      </c>
      <c r="FT10" s="18">
        <v>6860</v>
      </c>
      <c r="FU10" s="18">
        <v>5960</v>
      </c>
      <c r="FV10" s="18">
        <v>5650</v>
      </c>
      <c r="FW10" s="18">
        <v>5890</v>
      </c>
      <c r="FX10" s="18">
        <v>6480</v>
      </c>
      <c r="FY10" s="18">
        <v>7080</v>
      </c>
      <c r="FZ10" s="18">
        <v>6940</v>
      </c>
      <c r="GA10" s="18">
        <v>6860</v>
      </c>
      <c r="GB10" s="18">
        <v>7680</v>
      </c>
      <c r="GC10" s="18">
        <v>8700</v>
      </c>
      <c r="GD10" s="18">
        <v>9930</v>
      </c>
      <c r="GE10" s="18">
        <v>11400</v>
      </c>
      <c r="GF10" s="18">
        <v>10800</v>
      </c>
      <c r="GG10" s="18">
        <v>10400</v>
      </c>
      <c r="GH10" s="18">
        <v>10800</v>
      </c>
      <c r="GI10" s="18">
        <v>12200</v>
      </c>
      <c r="GJ10" s="18">
        <v>15200</v>
      </c>
      <c r="GK10" s="18">
        <v>14400</v>
      </c>
      <c r="GL10" s="18">
        <v>14400</v>
      </c>
      <c r="GM10" s="18">
        <v>14700</v>
      </c>
      <c r="GN10" s="18">
        <v>11600</v>
      </c>
      <c r="GO10" s="18">
        <v>9590</v>
      </c>
      <c r="GP10" s="18">
        <v>8970</v>
      </c>
      <c r="GQ10" s="18">
        <v>8820</v>
      </c>
      <c r="GR10" s="18">
        <v>9800</v>
      </c>
      <c r="GS10" s="18">
        <v>10900</v>
      </c>
      <c r="GT10" s="18">
        <v>11800</v>
      </c>
      <c r="GU10" s="18">
        <v>14800</v>
      </c>
      <c r="GV10" s="18">
        <v>17500</v>
      </c>
      <c r="GW10" s="18">
        <v>16400</v>
      </c>
      <c r="GX10" s="18">
        <v>13700</v>
      </c>
      <c r="GY10" s="18">
        <v>11500</v>
      </c>
      <c r="GZ10" s="18">
        <v>9960</v>
      </c>
      <c r="HA10" s="18">
        <v>8970</v>
      </c>
      <c r="HB10" s="18">
        <v>8210</v>
      </c>
      <c r="HC10" s="18">
        <v>7610</v>
      </c>
      <c r="HD10" s="18">
        <v>7360</v>
      </c>
      <c r="HE10" s="18">
        <v>7580</v>
      </c>
      <c r="HF10" s="18">
        <v>10100</v>
      </c>
      <c r="HG10" s="18">
        <v>11700</v>
      </c>
      <c r="HH10" s="18">
        <v>12200</v>
      </c>
      <c r="HI10" s="18">
        <v>12200</v>
      </c>
      <c r="HJ10" s="18">
        <v>13900</v>
      </c>
      <c r="HK10" s="18">
        <v>14600</v>
      </c>
      <c r="HL10" s="18">
        <v>17500</v>
      </c>
      <c r="HM10" s="18">
        <v>19800</v>
      </c>
      <c r="HN10" s="18">
        <v>19000</v>
      </c>
      <c r="HO10" s="18">
        <v>17200</v>
      </c>
      <c r="HP10" s="18">
        <v>15900</v>
      </c>
      <c r="HQ10" s="18">
        <v>15000</v>
      </c>
      <c r="HR10" s="18">
        <v>14600</v>
      </c>
      <c r="HS10" s="18">
        <v>14000</v>
      </c>
      <c r="HT10" s="18">
        <v>12600</v>
      </c>
      <c r="HU10" s="18">
        <v>11300</v>
      </c>
      <c r="HV10" s="18">
        <v>10300</v>
      </c>
      <c r="HW10" s="18">
        <v>9840</v>
      </c>
      <c r="HX10" s="18">
        <v>9840</v>
      </c>
      <c r="HY10" s="18">
        <v>9320</v>
      </c>
      <c r="HZ10" s="18">
        <v>8950</v>
      </c>
      <c r="IA10" s="18">
        <v>8450</v>
      </c>
      <c r="IB10" s="18">
        <v>7920</v>
      </c>
      <c r="IC10" s="18">
        <v>7400</v>
      </c>
      <c r="ID10" s="18">
        <v>6960</v>
      </c>
      <c r="IE10" s="18">
        <v>6600</v>
      </c>
      <c r="IF10" s="18">
        <v>6370</v>
      </c>
      <c r="IG10" s="18">
        <v>6370</v>
      </c>
      <c r="IH10" s="18">
        <v>6760</v>
      </c>
      <c r="II10" s="18">
        <v>6740</v>
      </c>
      <c r="IJ10" s="18">
        <v>6570</v>
      </c>
      <c r="IK10" s="18">
        <v>6320</v>
      </c>
      <c r="IL10" s="18">
        <v>5960</v>
      </c>
      <c r="IM10" s="18">
        <v>5690</v>
      </c>
      <c r="IN10" s="18">
        <v>5470</v>
      </c>
      <c r="IO10" s="18">
        <v>5280</v>
      </c>
      <c r="IP10" s="18">
        <v>5160</v>
      </c>
      <c r="IQ10" s="18">
        <v>5030</v>
      </c>
      <c r="IR10" s="18">
        <v>4900</v>
      </c>
      <c r="IS10" s="18">
        <v>4900</v>
      </c>
      <c r="IT10" s="18">
        <v>5120</v>
      </c>
      <c r="IU10" s="18">
        <v>5470</v>
      </c>
      <c r="IV10" s="18">
        <v>5950</v>
      </c>
      <c r="IW10" s="18">
        <v>6070</v>
      </c>
      <c r="IX10" s="18">
        <v>6170</v>
      </c>
      <c r="IY10" s="18">
        <v>6280</v>
      </c>
      <c r="IZ10" s="18">
        <v>6450</v>
      </c>
      <c r="JA10" s="18">
        <v>6560</v>
      </c>
      <c r="JB10" s="18">
        <v>6590</v>
      </c>
      <c r="JC10" s="18">
        <v>7650</v>
      </c>
      <c r="JD10" s="18">
        <v>7990</v>
      </c>
      <c r="JE10" s="18">
        <v>7980</v>
      </c>
      <c r="JF10" s="18">
        <v>9140</v>
      </c>
      <c r="JG10" s="18">
        <v>9870</v>
      </c>
      <c r="JH10" s="18">
        <v>9250</v>
      </c>
      <c r="JI10" s="18">
        <v>9290</v>
      </c>
      <c r="JJ10" s="18">
        <v>8890</v>
      </c>
      <c r="JK10" s="18">
        <v>9250</v>
      </c>
      <c r="JL10" s="18">
        <v>9720</v>
      </c>
      <c r="JM10" s="18">
        <v>10200</v>
      </c>
      <c r="JN10" s="18">
        <v>10400</v>
      </c>
      <c r="JO10" s="18">
        <v>10500</v>
      </c>
      <c r="JP10" s="18">
        <v>10800</v>
      </c>
      <c r="JQ10" s="18">
        <v>10500</v>
      </c>
      <c r="JR10" s="18">
        <v>10200</v>
      </c>
      <c r="JS10" s="18">
        <v>9920</v>
      </c>
      <c r="JT10" s="18">
        <v>10200</v>
      </c>
      <c r="JU10" s="18">
        <v>11000</v>
      </c>
      <c r="JV10" s="18">
        <v>11100</v>
      </c>
      <c r="JW10" s="18">
        <v>10800</v>
      </c>
      <c r="JX10" s="18">
        <v>10300</v>
      </c>
      <c r="JY10" s="18">
        <v>10200</v>
      </c>
      <c r="JZ10" s="18">
        <v>11300</v>
      </c>
      <c r="KA10" s="18">
        <v>11900</v>
      </c>
      <c r="KB10" s="18">
        <v>10600</v>
      </c>
      <c r="KC10" s="18">
        <v>9550</v>
      </c>
      <c r="KD10" s="18">
        <v>8850</v>
      </c>
      <c r="KE10" s="18">
        <v>8330</v>
      </c>
      <c r="KF10" s="18">
        <v>7890</v>
      </c>
      <c r="KG10" s="18">
        <v>7540</v>
      </c>
      <c r="KH10" s="18">
        <v>7390</v>
      </c>
      <c r="KI10" s="18">
        <v>7100</v>
      </c>
      <c r="KJ10" s="18">
        <v>6780</v>
      </c>
      <c r="KK10" s="18">
        <v>6490</v>
      </c>
      <c r="KL10" s="18">
        <v>6230</v>
      </c>
      <c r="KM10" s="18">
        <v>6000</v>
      </c>
      <c r="KN10" s="18">
        <v>5770</v>
      </c>
      <c r="KO10" s="18">
        <v>5570</v>
      </c>
      <c r="KP10" s="18">
        <v>5400</v>
      </c>
      <c r="KQ10" s="18">
        <v>5240</v>
      </c>
      <c r="KR10" s="18">
        <v>5110</v>
      </c>
      <c r="KS10" s="18">
        <v>4950</v>
      </c>
      <c r="KT10" s="18">
        <v>4800</v>
      </c>
      <c r="KU10" s="18">
        <v>4660</v>
      </c>
      <c r="KV10" s="18">
        <v>4510</v>
      </c>
      <c r="KW10" s="18">
        <v>4400</v>
      </c>
      <c r="KX10" s="18">
        <v>4280</v>
      </c>
      <c r="KY10" s="18">
        <v>4150</v>
      </c>
      <c r="KZ10" s="18">
        <v>4030</v>
      </c>
      <c r="LA10" s="18">
        <v>3910</v>
      </c>
      <c r="LB10" s="18">
        <v>3840</v>
      </c>
      <c r="LC10" s="18">
        <v>3790</v>
      </c>
      <c r="LD10" s="18">
        <v>3670</v>
      </c>
      <c r="LE10" s="18">
        <v>3580</v>
      </c>
      <c r="LF10" s="18">
        <v>3480</v>
      </c>
      <c r="LG10" s="18">
        <v>3420</v>
      </c>
      <c r="LH10" s="18">
        <v>3360</v>
      </c>
      <c r="LI10" s="18">
        <v>3280</v>
      </c>
      <c r="LJ10" s="18">
        <v>3210</v>
      </c>
      <c r="LK10" s="18">
        <v>3150</v>
      </c>
      <c r="LL10" s="18">
        <v>3080</v>
      </c>
      <c r="LM10" s="18">
        <v>3030</v>
      </c>
      <c r="LN10" s="18">
        <v>2980</v>
      </c>
      <c r="LO10" s="18">
        <v>2920</v>
      </c>
      <c r="LP10" s="18">
        <v>2870</v>
      </c>
      <c r="LQ10" s="18">
        <v>2830</v>
      </c>
      <c r="LR10" s="18">
        <v>2790</v>
      </c>
      <c r="LS10" s="18">
        <v>2750</v>
      </c>
      <c r="LT10" s="18">
        <v>2720</v>
      </c>
      <c r="LU10" s="18">
        <v>2680</v>
      </c>
      <c r="LV10" s="18">
        <v>2650</v>
      </c>
      <c r="LW10" s="18">
        <v>2600</v>
      </c>
      <c r="LX10" s="18">
        <v>2570</v>
      </c>
      <c r="LY10" s="18">
        <v>2560</v>
      </c>
      <c r="LZ10" s="18">
        <v>2590</v>
      </c>
      <c r="MA10" s="18">
        <v>2570</v>
      </c>
      <c r="MB10" s="18">
        <v>2530</v>
      </c>
      <c r="MC10" s="18">
        <v>2480</v>
      </c>
      <c r="MD10" s="18">
        <v>2440</v>
      </c>
      <c r="ME10" s="18">
        <v>2400</v>
      </c>
      <c r="MF10" s="18">
        <v>2360</v>
      </c>
      <c r="MG10" s="18">
        <v>2340</v>
      </c>
      <c r="MH10" s="18">
        <v>2300</v>
      </c>
      <c r="MI10" s="18">
        <v>2280</v>
      </c>
      <c r="MJ10" s="18">
        <v>2240</v>
      </c>
      <c r="MK10" s="18">
        <v>2220</v>
      </c>
      <c r="ML10" s="18">
        <v>2180</v>
      </c>
      <c r="MM10" s="18">
        <v>2180</v>
      </c>
      <c r="MN10" s="18">
        <v>2140</v>
      </c>
      <c r="MO10" s="18">
        <v>2120</v>
      </c>
      <c r="MP10" s="18">
        <v>2090</v>
      </c>
      <c r="MQ10" s="18">
        <v>2040</v>
      </c>
      <c r="MR10" s="18">
        <v>2000</v>
      </c>
      <c r="MS10" s="18">
        <v>1960</v>
      </c>
      <c r="MT10" s="18">
        <v>1900</v>
      </c>
      <c r="MU10" s="18">
        <v>1900</v>
      </c>
      <c r="MV10" s="18">
        <v>1890</v>
      </c>
      <c r="MW10" s="18">
        <v>1870</v>
      </c>
      <c r="MX10" s="18">
        <v>1850</v>
      </c>
      <c r="MY10" s="18">
        <v>1830</v>
      </c>
      <c r="MZ10" s="18">
        <v>1810</v>
      </c>
      <c r="NA10" s="18">
        <v>1790</v>
      </c>
      <c r="NB10" s="18">
        <v>1790</v>
      </c>
      <c r="NC10" s="18">
        <v>1810</v>
      </c>
      <c r="ND10" s="1">
        <v>1480</v>
      </c>
      <c r="NE10" s="1">
        <v>1310</v>
      </c>
      <c r="NF10" s="1">
        <v>1260</v>
      </c>
      <c r="NG10" s="1">
        <v>1390</v>
      </c>
      <c r="NH10" s="1">
        <v>1910</v>
      </c>
      <c r="NI10" s="1">
        <v>4570</v>
      </c>
      <c r="NJ10" s="1">
        <v>11200</v>
      </c>
      <c r="NK10" s="1">
        <v>11200</v>
      </c>
      <c r="NL10" s="1">
        <v>7240</v>
      </c>
      <c r="NM10" s="1">
        <v>8320</v>
      </c>
      <c r="NN10" s="1">
        <v>3370</v>
      </c>
      <c r="NO10" s="1">
        <v>2140</v>
      </c>
      <c r="NP10" s="1">
        <v>4641.9452054794519</v>
      </c>
      <c r="NQ10" s="1">
        <v>19800</v>
      </c>
      <c r="NR10" s="19">
        <v>42589</v>
      </c>
      <c r="NS10" s="1">
        <v>1230</v>
      </c>
      <c r="NT10" s="19">
        <v>42436</v>
      </c>
    </row>
    <row r="11" spans="1:385" x14ac:dyDescent="0.15">
      <c r="A11" s="1">
        <v>1958</v>
      </c>
      <c r="B11" s="18">
        <v>1890</v>
      </c>
      <c r="C11" s="18">
        <v>1890</v>
      </c>
      <c r="D11" s="18">
        <v>1870</v>
      </c>
      <c r="E11" s="18">
        <v>1870</v>
      </c>
      <c r="F11" s="18">
        <v>1880</v>
      </c>
      <c r="G11" s="18">
        <v>1870</v>
      </c>
      <c r="H11" s="18">
        <v>1870</v>
      </c>
      <c r="I11" s="18">
        <v>1870</v>
      </c>
      <c r="J11" s="18">
        <v>1850</v>
      </c>
      <c r="K11" s="18">
        <v>1850</v>
      </c>
      <c r="L11" s="18">
        <v>1810</v>
      </c>
      <c r="M11" s="18">
        <v>1760</v>
      </c>
      <c r="N11" s="18">
        <v>1730</v>
      </c>
      <c r="O11" s="18">
        <v>1710</v>
      </c>
      <c r="P11" s="18">
        <v>1690</v>
      </c>
      <c r="Q11" s="18">
        <v>1680</v>
      </c>
      <c r="R11" s="18">
        <v>1670</v>
      </c>
      <c r="S11" s="18">
        <v>1650</v>
      </c>
      <c r="T11" s="18">
        <v>1620</v>
      </c>
      <c r="U11" s="18">
        <v>1600</v>
      </c>
      <c r="V11" s="18">
        <v>1590</v>
      </c>
      <c r="W11" s="18">
        <v>1580</v>
      </c>
      <c r="X11" s="18">
        <v>1560</v>
      </c>
      <c r="Y11" s="18">
        <v>1550</v>
      </c>
      <c r="Z11" s="18">
        <v>1530</v>
      </c>
      <c r="AA11" s="18">
        <v>1510</v>
      </c>
      <c r="AB11" s="18">
        <v>1510</v>
      </c>
      <c r="AC11" s="18">
        <v>1490</v>
      </c>
      <c r="AD11" s="18">
        <v>1490</v>
      </c>
      <c r="AE11" s="18">
        <v>1490</v>
      </c>
      <c r="AF11" s="18">
        <v>1490</v>
      </c>
      <c r="AG11" s="18">
        <v>1500</v>
      </c>
      <c r="AH11" s="18">
        <v>1490</v>
      </c>
      <c r="AI11" s="18">
        <v>1490</v>
      </c>
      <c r="AJ11" s="18">
        <v>1490</v>
      </c>
      <c r="AK11" s="18">
        <v>1470</v>
      </c>
      <c r="AL11" s="18">
        <v>1450</v>
      </c>
      <c r="AM11" s="18">
        <v>1430</v>
      </c>
      <c r="AN11" s="18">
        <v>1420</v>
      </c>
      <c r="AO11" s="18">
        <v>1420</v>
      </c>
      <c r="AP11" s="18">
        <v>1440</v>
      </c>
      <c r="AQ11" s="18">
        <v>1450</v>
      </c>
      <c r="AR11" s="18">
        <v>1450</v>
      </c>
      <c r="AS11" s="18">
        <v>1460</v>
      </c>
      <c r="AT11" s="18">
        <v>1450</v>
      </c>
      <c r="AU11" s="18">
        <v>1450</v>
      </c>
      <c r="AV11" s="18">
        <v>1450</v>
      </c>
      <c r="AW11" s="18">
        <v>1460</v>
      </c>
      <c r="AX11" s="18">
        <v>1470</v>
      </c>
      <c r="AY11" s="18">
        <v>1470</v>
      </c>
      <c r="AZ11" s="18">
        <v>1450</v>
      </c>
      <c r="BA11" s="18">
        <v>1450</v>
      </c>
      <c r="BB11" s="18">
        <v>1450</v>
      </c>
      <c r="BC11" s="18">
        <v>1440</v>
      </c>
      <c r="BD11" s="18">
        <v>1440</v>
      </c>
      <c r="BE11" s="18">
        <v>1420</v>
      </c>
      <c r="BF11" s="18">
        <v>1400</v>
      </c>
      <c r="BG11" s="18">
        <v>1380</v>
      </c>
      <c r="BH11" s="18">
        <v>1360</v>
      </c>
      <c r="BI11" s="18"/>
      <c r="BJ11" s="18">
        <v>1340</v>
      </c>
      <c r="BK11" s="18">
        <v>1330</v>
      </c>
      <c r="BL11" s="18">
        <v>1310</v>
      </c>
      <c r="BM11" s="18">
        <v>1290</v>
      </c>
      <c r="BN11" s="18">
        <v>1290</v>
      </c>
      <c r="BO11" s="18">
        <v>1280</v>
      </c>
      <c r="BP11" s="18">
        <v>1280</v>
      </c>
      <c r="BQ11" s="18">
        <v>1280</v>
      </c>
      <c r="BR11" s="18">
        <v>1280</v>
      </c>
      <c r="BS11" s="18">
        <v>1280</v>
      </c>
      <c r="BT11" s="18">
        <v>1280</v>
      </c>
      <c r="BU11" s="18">
        <v>1280</v>
      </c>
      <c r="BV11" s="18">
        <v>1260</v>
      </c>
      <c r="BW11" s="18">
        <v>1240</v>
      </c>
      <c r="BX11" s="18">
        <v>1240</v>
      </c>
      <c r="BY11" s="18">
        <v>1240</v>
      </c>
      <c r="BZ11" s="18">
        <v>1260</v>
      </c>
      <c r="CA11" s="18">
        <v>1260</v>
      </c>
      <c r="CB11" s="18">
        <v>1260</v>
      </c>
      <c r="CC11" s="18">
        <v>1260</v>
      </c>
      <c r="CD11" s="18">
        <v>1250</v>
      </c>
      <c r="CE11" s="18">
        <v>1240</v>
      </c>
      <c r="CF11" s="18">
        <v>1220</v>
      </c>
      <c r="CG11" s="18">
        <v>1210</v>
      </c>
      <c r="CH11" s="18">
        <v>1210</v>
      </c>
      <c r="CI11" s="18">
        <v>1210</v>
      </c>
      <c r="CJ11" s="18">
        <v>1210</v>
      </c>
      <c r="CK11" s="18">
        <v>1230</v>
      </c>
      <c r="CL11" s="18">
        <v>1260</v>
      </c>
      <c r="CM11" s="18">
        <v>1280</v>
      </c>
      <c r="CN11" s="18">
        <v>1280</v>
      </c>
      <c r="CO11" s="18">
        <v>1280</v>
      </c>
      <c r="CP11" s="18">
        <v>1280</v>
      </c>
      <c r="CQ11" s="18">
        <v>1280</v>
      </c>
      <c r="CR11" s="18">
        <v>1310</v>
      </c>
      <c r="CS11" s="18">
        <v>1380</v>
      </c>
      <c r="CT11" s="18">
        <v>1420</v>
      </c>
      <c r="CU11" s="18">
        <v>1420</v>
      </c>
      <c r="CV11" s="18">
        <v>1420</v>
      </c>
      <c r="CW11" s="18">
        <v>1440</v>
      </c>
      <c r="CX11" s="18">
        <v>1450</v>
      </c>
      <c r="CY11" s="18">
        <v>1410</v>
      </c>
      <c r="CZ11" s="18">
        <v>1380</v>
      </c>
      <c r="DA11" s="18">
        <v>1400</v>
      </c>
      <c r="DB11" s="18">
        <v>1440</v>
      </c>
      <c r="DC11" s="18">
        <v>1490</v>
      </c>
      <c r="DD11" s="18">
        <v>1510</v>
      </c>
      <c r="DE11" s="18">
        <v>1510</v>
      </c>
      <c r="DF11" s="18">
        <v>1450</v>
      </c>
      <c r="DG11" s="18">
        <v>1410</v>
      </c>
      <c r="DH11" s="18">
        <v>1370</v>
      </c>
      <c r="DI11" s="18">
        <v>1360</v>
      </c>
      <c r="DJ11" s="18">
        <v>1420</v>
      </c>
      <c r="DK11" s="18">
        <v>1500</v>
      </c>
      <c r="DL11" s="18">
        <v>1550</v>
      </c>
      <c r="DM11" s="18">
        <v>1570</v>
      </c>
      <c r="DN11" s="18">
        <v>1600</v>
      </c>
      <c r="DO11" s="18">
        <v>1590</v>
      </c>
      <c r="DP11" s="18">
        <v>1600</v>
      </c>
      <c r="DQ11" s="18">
        <v>1600</v>
      </c>
      <c r="DR11" s="18">
        <v>1610</v>
      </c>
      <c r="DS11" s="18">
        <v>1620</v>
      </c>
      <c r="DT11" s="18">
        <v>1620</v>
      </c>
      <c r="DU11" s="18">
        <v>1670</v>
      </c>
      <c r="DV11" s="18">
        <v>1760</v>
      </c>
      <c r="DW11" s="18">
        <v>1860</v>
      </c>
      <c r="DX11" s="18">
        <v>1890</v>
      </c>
      <c r="DY11" s="18">
        <v>1850</v>
      </c>
      <c r="DZ11" s="18">
        <v>1770</v>
      </c>
      <c r="EA11" s="18">
        <v>1690</v>
      </c>
      <c r="EB11" s="18">
        <v>1660</v>
      </c>
      <c r="EC11" s="18">
        <v>1670</v>
      </c>
      <c r="ED11" s="18">
        <v>1720</v>
      </c>
      <c r="EE11" s="18">
        <v>1750</v>
      </c>
      <c r="EF11" s="18">
        <v>1730</v>
      </c>
      <c r="EG11" s="18">
        <v>1710</v>
      </c>
      <c r="EH11" s="18">
        <v>1720</v>
      </c>
      <c r="EI11" s="18">
        <v>1730</v>
      </c>
      <c r="EJ11" s="18">
        <v>1680</v>
      </c>
      <c r="EK11" s="18">
        <v>1670</v>
      </c>
      <c r="EL11" s="18">
        <v>1680</v>
      </c>
      <c r="EM11" s="18">
        <v>1670</v>
      </c>
      <c r="EN11" s="18">
        <v>1690</v>
      </c>
      <c r="EO11" s="18">
        <v>1860</v>
      </c>
      <c r="EP11" s="18">
        <v>2030</v>
      </c>
      <c r="EQ11" s="18">
        <v>2170</v>
      </c>
      <c r="ER11" s="18">
        <v>2410</v>
      </c>
      <c r="ES11" s="18">
        <v>2590</v>
      </c>
      <c r="ET11" s="18">
        <v>2600</v>
      </c>
      <c r="EU11" s="18">
        <v>2540</v>
      </c>
      <c r="EV11" s="18">
        <v>2440</v>
      </c>
      <c r="EW11" s="18">
        <v>2320</v>
      </c>
      <c r="EX11" s="18">
        <v>2270</v>
      </c>
      <c r="EY11" s="18">
        <v>2250</v>
      </c>
      <c r="EZ11" s="18">
        <v>2200</v>
      </c>
      <c r="FA11" s="18">
        <v>2170</v>
      </c>
      <c r="FB11" s="18">
        <v>2180</v>
      </c>
      <c r="FC11" s="18">
        <v>2210</v>
      </c>
      <c r="FD11" s="18">
        <v>2320</v>
      </c>
      <c r="FE11" s="18">
        <v>2370</v>
      </c>
      <c r="FF11" s="18">
        <v>2330</v>
      </c>
      <c r="FG11" s="18">
        <v>2300</v>
      </c>
      <c r="FH11" s="18">
        <v>2510</v>
      </c>
      <c r="FI11" s="18">
        <v>2440</v>
      </c>
      <c r="FJ11" s="18">
        <v>2360</v>
      </c>
      <c r="FK11" s="18">
        <v>2270</v>
      </c>
      <c r="FL11" s="18">
        <v>2400</v>
      </c>
      <c r="FM11" s="18">
        <v>3080</v>
      </c>
      <c r="FN11" s="18">
        <v>3720</v>
      </c>
      <c r="FO11" s="18">
        <v>3450</v>
      </c>
      <c r="FP11" s="18">
        <v>3250</v>
      </c>
      <c r="FQ11" s="18">
        <v>3310</v>
      </c>
      <c r="FR11" s="18">
        <v>3650</v>
      </c>
      <c r="FS11" s="18">
        <v>3810</v>
      </c>
      <c r="FT11" s="18">
        <v>3730</v>
      </c>
      <c r="FU11" s="18">
        <v>3550</v>
      </c>
      <c r="FV11" s="18">
        <v>3700</v>
      </c>
      <c r="FW11" s="18">
        <v>4370</v>
      </c>
      <c r="FX11" s="18">
        <v>4840</v>
      </c>
      <c r="FY11" s="18">
        <v>4550</v>
      </c>
      <c r="FZ11" s="18">
        <v>4470</v>
      </c>
      <c r="GA11" s="18">
        <v>4640</v>
      </c>
      <c r="GB11" s="18">
        <v>4640</v>
      </c>
      <c r="GC11" s="18">
        <v>4460</v>
      </c>
      <c r="GD11" s="18">
        <v>4960</v>
      </c>
      <c r="GE11" s="18">
        <v>5910</v>
      </c>
      <c r="GF11" s="18">
        <v>6430</v>
      </c>
      <c r="GG11" s="18">
        <v>7310</v>
      </c>
      <c r="GH11" s="18">
        <v>8200</v>
      </c>
      <c r="GI11" s="18">
        <v>8000</v>
      </c>
      <c r="GJ11" s="18">
        <v>7270</v>
      </c>
      <c r="GK11" s="18">
        <v>6710</v>
      </c>
      <c r="GL11" s="18">
        <v>6220</v>
      </c>
      <c r="GM11" s="18">
        <v>6840</v>
      </c>
      <c r="GN11" s="18">
        <v>6890</v>
      </c>
      <c r="GO11" s="18">
        <v>6330</v>
      </c>
      <c r="GP11" s="18">
        <v>5900</v>
      </c>
      <c r="GQ11" s="18">
        <v>6250</v>
      </c>
      <c r="GR11" s="18">
        <v>6180</v>
      </c>
      <c r="GS11" s="18">
        <v>5470</v>
      </c>
      <c r="GT11" s="18">
        <v>5380</v>
      </c>
      <c r="GU11" s="18">
        <v>5720</v>
      </c>
      <c r="GV11" s="18">
        <v>5480</v>
      </c>
      <c r="GW11" s="18">
        <v>5210</v>
      </c>
      <c r="GX11" s="18">
        <v>6000</v>
      </c>
      <c r="GY11" s="18">
        <v>6810</v>
      </c>
      <c r="GZ11" s="18">
        <v>6500</v>
      </c>
      <c r="HA11" s="18">
        <v>6050</v>
      </c>
      <c r="HB11" s="18">
        <v>5480</v>
      </c>
      <c r="HC11" s="18">
        <v>5050</v>
      </c>
      <c r="HD11" s="18">
        <v>5190</v>
      </c>
      <c r="HE11" s="18">
        <v>5440</v>
      </c>
      <c r="HF11" s="18">
        <v>6350</v>
      </c>
      <c r="HG11" s="18">
        <v>6680</v>
      </c>
      <c r="HH11" s="18">
        <v>6680</v>
      </c>
      <c r="HI11" s="18">
        <v>6320</v>
      </c>
      <c r="HJ11" s="18">
        <v>6520</v>
      </c>
      <c r="HK11" s="18">
        <v>6390</v>
      </c>
      <c r="HL11" s="18">
        <v>6430</v>
      </c>
      <c r="HM11" s="18">
        <v>6390</v>
      </c>
      <c r="HN11" s="18">
        <v>6490</v>
      </c>
      <c r="HO11" s="18">
        <v>6990</v>
      </c>
      <c r="HP11" s="18">
        <v>7650</v>
      </c>
      <c r="HQ11" s="18">
        <v>7640</v>
      </c>
      <c r="HR11" s="18">
        <v>7160</v>
      </c>
      <c r="HS11" s="18">
        <v>6990</v>
      </c>
      <c r="HT11" s="18">
        <v>7960</v>
      </c>
      <c r="HU11" s="18">
        <v>8970</v>
      </c>
      <c r="HV11" s="18">
        <v>8850</v>
      </c>
      <c r="HW11" s="18">
        <v>9080</v>
      </c>
      <c r="HX11" s="18">
        <v>10200</v>
      </c>
      <c r="HY11" s="18">
        <v>10900</v>
      </c>
      <c r="HZ11" s="18">
        <v>11900</v>
      </c>
      <c r="IA11" s="18">
        <v>12600</v>
      </c>
      <c r="IB11" s="18">
        <v>13100</v>
      </c>
      <c r="IC11" s="18">
        <v>14500</v>
      </c>
      <c r="ID11" s="18">
        <v>15400</v>
      </c>
      <c r="IE11" s="18">
        <v>15100</v>
      </c>
      <c r="IF11" s="18">
        <v>14200</v>
      </c>
      <c r="IG11" s="18">
        <v>14200</v>
      </c>
      <c r="IH11" s="18">
        <v>14400</v>
      </c>
      <c r="II11" s="18">
        <v>14400</v>
      </c>
      <c r="IJ11" s="18">
        <v>14400</v>
      </c>
      <c r="IK11" s="18">
        <v>14500</v>
      </c>
      <c r="IL11" s="18">
        <v>15300</v>
      </c>
      <c r="IM11" s="18">
        <v>15200</v>
      </c>
      <c r="IN11" s="18">
        <v>14600</v>
      </c>
      <c r="IO11" s="18">
        <v>13100</v>
      </c>
      <c r="IP11" s="18">
        <v>12000</v>
      </c>
      <c r="IQ11" s="18">
        <v>11600</v>
      </c>
      <c r="IR11" s="18">
        <v>11800</v>
      </c>
      <c r="IS11" s="18">
        <v>12300</v>
      </c>
      <c r="IT11" s="18">
        <v>12500</v>
      </c>
      <c r="IU11" s="18">
        <v>11800</v>
      </c>
      <c r="IV11" s="18">
        <v>10700</v>
      </c>
      <c r="IW11" s="18">
        <v>9760</v>
      </c>
      <c r="IX11" s="18">
        <v>9110</v>
      </c>
      <c r="IY11" s="18">
        <v>8510</v>
      </c>
      <c r="IZ11" s="18">
        <v>7990</v>
      </c>
      <c r="JA11" s="18">
        <v>7730</v>
      </c>
      <c r="JB11" s="18">
        <v>7680</v>
      </c>
      <c r="JC11" s="18">
        <v>7610</v>
      </c>
      <c r="JD11" s="18">
        <v>7850</v>
      </c>
      <c r="JE11" s="18">
        <v>8560</v>
      </c>
      <c r="JF11" s="18">
        <v>7960</v>
      </c>
      <c r="JG11" s="18">
        <v>7470</v>
      </c>
      <c r="JH11" s="18">
        <v>6990</v>
      </c>
      <c r="JI11" s="18">
        <v>6590</v>
      </c>
      <c r="JJ11" s="18">
        <v>6240</v>
      </c>
      <c r="JK11" s="18">
        <v>5970</v>
      </c>
      <c r="JL11" s="18">
        <v>5690</v>
      </c>
      <c r="JM11" s="18">
        <v>5660</v>
      </c>
      <c r="JN11" s="18">
        <v>5450</v>
      </c>
      <c r="JO11" s="18">
        <v>5260</v>
      </c>
      <c r="JP11" s="18">
        <v>5230</v>
      </c>
      <c r="JQ11" s="18">
        <v>5350</v>
      </c>
      <c r="JR11" s="18">
        <v>5310</v>
      </c>
      <c r="JS11" s="18">
        <v>5380</v>
      </c>
      <c r="JT11" s="18">
        <v>5510</v>
      </c>
      <c r="JU11" s="18">
        <v>5660</v>
      </c>
      <c r="JV11" s="18">
        <v>5900</v>
      </c>
      <c r="JW11" s="18">
        <v>5890</v>
      </c>
      <c r="JX11" s="18">
        <v>5770</v>
      </c>
      <c r="JY11" s="18">
        <v>5750</v>
      </c>
      <c r="JZ11" s="18">
        <v>5860</v>
      </c>
      <c r="KA11" s="18">
        <v>6030</v>
      </c>
      <c r="KB11" s="18">
        <v>5730</v>
      </c>
      <c r="KC11" s="18">
        <v>5510</v>
      </c>
      <c r="KD11" s="18">
        <v>5340</v>
      </c>
      <c r="KE11" s="18">
        <v>5240</v>
      </c>
      <c r="KF11" s="18">
        <v>5170</v>
      </c>
      <c r="KG11" s="18">
        <v>5090</v>
      </c>
      <c r="KH11" s="18">
        <v>4940</v>
      </c>
      <c r="KI11" s="18">
        <v>4800</v>
      </c>
      <c r="KJ11" s="18">
        <v>4680</v>
      </c>
      <c r="KK11" s="18">
        <v>4550</v>
      </c>
      <c r="KL11" s="18">
        <v>4420</v>
      </c>
      <c r="KM11" s="18">
        <v>4310</v>
      </c>
      <c r="KN11" s="18">
        <v>4150</v>
      </c>
      <c r="KO11" s="18">
        <v>4080</v>
      </c>
      <c r="KP11" s="18">
        <v>3980</v>
      </c>
      <c r="KQ11" s="18">
        <v>3860</v>
      </c>
      <c r="KR11" s="18">
        <v>3810</v>
      </c>
      <c r="KS11" s="18">
        <v>3730</v>
      </c>
      <c r="KT11" s="18">
        <v>3690</v>
      </c>
      <c r="KU11" s="18">
        <v>3620</v>
      </c>
      <c r="KV11" s="18">
        <v>3550</v>
      </c>
      <c r="KW11" s="18">
        <v>3400</v>
      </c>
      <c r="KX11" s="18">
        <v>3300</v>
      </c>
      <c r="KY11" s="18">
        <v>3200</v>
      </c>
      <c r="KZ11" s="18">
        <v>3110</v>
      </c>
      <c r="LA11" s="18">
        <v>3050</v>
      </c>
      <c r="LB11" s="18">
        <v>2990</v>
      </c>
      <c r="LC11" s="18">
        <v>2940</v>
      </c>
      <c r="LD11" s="18">
        <v>2880</v>
      </c>
      <c r="LE11" s="18">
        <v>2830</v>
      </c>
      <c r="LF11" s="18">
        <v>2770</v>
      </c>
      <c r="LG11" s="18">
        <v>2700</v>
      </c>
      <c r="LH11" s="18">
        <v>2660</v>
      </c>
      <c r="LI11" s="18">
        <v>2610</v>
      </c>
      <c r="LJ11" s="18">
        <v>2570</v>
      </c>
      <c r="LK11" s="18">
        <v>2520</v>
      </c>
      <c r="LL11" s="18">
        <v>2480</v>
      </c>
      <c r="LM11" s="18">
        <v>2440</v>
      </c>
      <c r="LN11" s="18">
        <v>2400</v>
      </c>
      <c r="LO11" s="18">
        <v>2340</v>
      </c>
      <c r="LP11" s="18">
        <v>2310</v>
      </c>
      <c r="LQ11" s="18">
        <v>2290</v>
      </c>
      <c r="LR11" s="18">
        <v>2270</v>
      </c>
      <c r="LS11" s="18">
        <v>2250</v>
      </c>
      <c r="LT11" s="18">
        <v>2220</v>
      </c>
      <c r="LU11" s="18">
        <v>2190</v>
      </c>
      <c r="LV11" s="18">
        <v>2150</v>
      </c>
      <c r="LW11" s="18">
        <v>2100</v>
      </c>
      <c r="LX11" s="18">
        <v>2080</v>
      </c>
      <c r="LY11" s="18">
        <v>2080</v>
      </c>
      <c r="LZ11" s="18">
        <v>2060</v>
      </c>
      <c r="MA11" s="18">
        <v>2030</v>
      </c>
      <c r="MB11" s="18">
        <v>2000</v>
      </c>
      <c r="MC11" s="18">
        <v>1980</v>
      </c>
      <c r="MD11" s="18">
        <v>1950</v>
      </c>
      <c r="ME11" s="18">
        <v>1930</v>
      </c>
      <c r="MF11" s="18">
        <v>1910</v>
      </c>
      <c r="MG11" s="18">
        <v>1870</v>
      </c>
      <c r="MH11" s="18">
        <v>1850</v>
      </c>
      <c r="MI11" s="18">
        <v>1850</v>
      </c>
      <c r="MJ11" s="18">
        <v>1850</v>
      </c>
      <c r="MK11" s="18">
        <v>1850</v>
      </c>
      <c r="ML11" s="18">
        <v>1840</v>
      </c>
      <c r="MM11" s="18">
        <v>1820</v>
      </c>
      <c r="MN11" s="18">
        <v>1790</v>
      </c>
      <c r="MO11" s="18">
        <v>1730</v>
      </c>
      <c r="MP11" s="18">
        <v>1700</v>
      </c>
      <c r="MQ11" s="18">
        <v>1660</v>
      </c>
      <c r="MR11" s="18">
        <v>1640</v>
      </c>
      <c r="MS11" s="18">
        <v>1630</v>
      </c>
      <c r="MT11" s="18">
        <v>1630</v>
      </c>
      <c r="MU11" s="18">
        <v>1620</v>
      </c>
      <c r="MV11" s="18">
        <v>1570</v>
      </c>
      <c r="MW11" s="18">
        <v>1540</v>
      </c>
      <c r="MX11" s="18">
        <v>1500</v>
      </c>
      <c r="MY11" s="18">
        <v>1470</v>
      </c>
      <c r="MZ11" s="18">
        <v>1470</v>
      </c>
      <c r="NA11" s="18">
        <v>1460</v>
      </c>
      <c r="NB11" s="18">
        <v>1440</v>
      </c>
      <c r="NC11" s="18">
        <v>1420</v>
      </c>
      <c r="ND11" s="1">
        <v>1690</v>
      </c>
      <c r="NE11" s="1">
        <v>1450</v>
      </c>
      <c r="NF11" s="1">
        <v>1260</v>
      </c>
      <c r="NG11" s="1">
        <v>1450</v>
      </c>
      <c r="NH11" s="1">
        <v>1900</v>
      </c>
      <c r="NI11" s="1">
        <v>3090</v>
      </c>
      <c r="NJ11" s="1">
        <v>6080</v>
      </c>
      <c r="NK11" s="1">
        <v>10100</v>
      </c>
      <c r="NL11" s="1">
        <v>9300</v>
      </c>
      <c r="NM11" s="1">
        <v>4990</v>
      </c>
      <c r="NN11" s="1">
        <v>2670</v>
      </c>
      <c r="NO11" s="1">
        <v>1750</v>
      </c>
      <c r="NP11" s="1">
        <v>3826.4657534246576</v>
      </c>
      <c r="NQ11" s="1">
        <v>15400</v>
      </c>
      <c r="NR11" s="19">
        <v>42606</v>
      </c>
      <c r="NS11" s="1">
        <v>1210</v>
      </c>
      <c r="NT11" s="19">
        <v>42453</v>
      </c>
    </row>
    <row r="12" spans="1:385" x14ac:dyDescent="0.15">
      <c r="A12" s="1">
        <v>1959</v>
      </c>
      <c r="B12" s="18">
        <v>1500</v>
      </c>
      <c r="C12" s="18">
        <v>1510</v>
      </c>
      <c r="D12" s="18">
        <v>1510</v>
      </c>
      <c r="E12" s="18">
        <v>1510</v>
      </c>
      <c r="F12" s="18">
        <v>1510</v>
      </c>
      <c r="G12" s="18">
        <v>1510</v>
      </c>
      <c r="H12" s="18">
        <v>1500</v>
      </c>
      <c r="I12" s="18">
        <v>1480</v>
      </c>
      <c r="J12" s="18">
        <v>1460</v>
      </c>
      <c r="K12" s="18">
        <v>1440</v>
      </c>
      <c r="L12" s="18">
        <v>1440</v>
      </c>
      <c r="M12" s="18">
        <v>1430</v>
      </c>
      <c r="N12" s="18">
        <v>1430</v>
      </c>
      <c r="O12" s="18">
        <v>1420</v>
      </c>
      <c r="P12" s="18">
        <v>1400</v>
      </c>
      <c r="Q12" s="18">
        <v>1390</v>
      </c>
      <c r="R12" s="18">
        <v>1380</v>
      </c>
      <c r="S12" s="18">
        <v>1370</v>
      </c>
      <c r="T12" s="18">
        <v>1350</v>
      </c>
      <c r="U12" s="18">
        <v>1350</v>
      </c>
      <c r="V12" s="18">
        <v>1330</v>
      </c>
      <c r="W12" s="18">
        <v>1320</v>
      </c>
      <c r="X12" s="18">
        <v>1320</v>
      </c>
      <c r="Y12" s="18">
        <v>1340</v>
      </c>
      <c r="Z12" s="18">
        <v>1360</v>
      </c>
      <c r="AA12" s="18">
        <v>1380</v>
      </c>
      <c r="AB12" s="18">
        <v>1380</v>
      </c>
      <c r="AC12" s="18">
        <v>1370</v>
      </c>
      <c r="AD12" s="18">
        <v>1350</v>
      </c>
      <c r="AE12" s="18">
        <v>1340</v>
      </c>
      <c r="AF12" s="18">
        <v>1340</v>
      </c>
      <c r="AG12" s="18">
        <v>1330</v>
      </c>
      <c r="AH12" s="18">
        <v>1320</v>
      </c>
      <c r="AI12" s="18">
        <v>1320</v>
      </c>
      <c r="AJ12" s="18">
        <v>1310</v>
      </c>
      <c r="AK12" s="18">
        <v>1310</v>
      </c>
      <c r="AL12" s="18">
        <v>1290</v>
      </c>
      <c r="AM12" s="18">
        <v>1280</v>
      </c>
      <c r="AN12" s="18">
        <v>1260</v>
      </c>
      <c r="AO12" s="18">
        <v>1250</v>
      </c>
      <c r="AP12" s="18">
        <v>1240</v>
      </c>
      <c r="AQ12" s="18">
        <v>1240</v>
      </c>
      <c r="AR12" s="18">
        <v>1230</v>
      </c>
      <c r="AS12" s="18">
        <v>1230</v>
      </c>
      <c r="AT12" s="18">
        <v>1210</v>
      </c>
      <c r="AU12" s="18">
        <v>1200</v>
      </c>
      <c r="AV12" s="18">
        <v>1190</v>
      </c>
      <c r="AW12" s="18">
        <v>1200</v>
      </c>
      <c r="AX12" s="18">
        <v>1200</v>
      </c>
      <c r="AY12" s="18">
        <v>1220</v>
      </c>
      <c r="AZ12" s="18">
        <v>1220</v>
      </c>
      <c r="BA12" s="18">
        <v>1200</v>
      </c>
      <c r="BB12" s="18">
        <v>1200</v>
      </c>
      <c r="BC12" s="18">
        <v>1190</v>
      </c>
      <c r="BD12" s="18">
        <v>1200</v>
      </c>
      <c r="BE12" s="18">
        <v>1220</v>
      </c>
      <c r="BF12" s="18">
        <v>1240</v>
      </c>
      <c r="BG12" s="18">
        <v>1290</v>
      </c>
      <c r="BH12" s="18">
        <v>1290</v>
      </c>
      <c r="BI12" s="18"/>
      <c r="BJ12" s="18">
        <v>1290</v>
      </c>
      <c r="BK12" s="18">
        <v>1290</v>
      </c>
      <c r="BL12" s="18">
        <v>1290</v>
      </c>
      <c r="BM12" s="18">
        <v>1280</v>
      </c>
      <c r="BN12" s="18">
        <v>1280</v>
      </c>
      <c r="BO12" s="18">
        <v>1290</v>
      </c>
      <c r="BP12" s="18">
        <v>1280</v>
      </c>
      <c r="BQ12" s="18">
        <v>1280</v>
      </c>
      <c r="BR12" s="18">
        <v>1260</v>
      </c>
      <c r="BS12" s="18">
        <v>1250</v>
      </c>
      <c r="BT12" s="18">
        <v>1230</v>
      </c>
      <c r="BU12" s="18">
        <v>1220</v>
      </c>
      <c r="BV12" s="18">
        <v>1200</v>
      </c>
      <c r="BW12" s="18">
        <v>1190</v>
      </c>
      <c r="BX12" s="18">
        <v>1170</v>
      </c>
      <c r="BY12" s="18">
        <v>1170</v>
      </c>
      <c r="BZ12" s="18">
        <v>1180</v>
      </c>
      <c r="CA12" s="18">
        <v>1190</v>
      </c>
      <c r="CB12" s="18">
        <v>1200</v>
      </c>
      <c r="CC12" s="18">
        <v>1200</v>
      </c>
      <c r="CD12" s="18">
        <v>1200</v>
      </c>
      <c r="CE12" s="18">
        <v>1200</v>
      </c>
      <c r="CF12" s="18">
        <v>1210</v>
      </c>
      <c r="CG12" s="18">
        <v>1210</v>
      </c>
      <c r="CH12" s="18">
        <v>1210</v>
      </c>
      <c r="CI12" s="18">
        <v>1220</v>
      </c>
      <c r="CJ12" s="18">
        <v>1230</v>
      </c>
      <c r="CK12" s="18">
        <v>1250</v>
      </c>
      <c r="CL12" s="18">
        <v>1250</v>
      </c>
      <c r="CM12" s="18">
        <v>1260</v>
      </c>
      <c r="CN12" s="18">
        <v>1270</v>
      </c>
      <c r="CO12" s="18">
        <v>1280</v>
      </c>
      <c r="CP12" s="18">
        <v>1290</v>
      </c>
      <c r="CQ12" s="18">
        <v>1320</v>
      </c>
      <c r="CR12" s="18">
        <v>1320</v>
      </c>
      <c r="CS12" s="18">
        <v>1310</v>
      </c>
      <c r="CT12" s="18">
        <v>1310</v>
      </c>
      <c r="CU12" s="18">
        <v>1290</v>
      </c>
      <c r="CV12" s="18">
        <v>1290</v>
      </c>
      <c r="CW12" s="18">
        <v>1290</v>
      </c>
      <c r="CX12" s="18">
        <v>1290</v>
      </c>
      <c r="CY12" s="18">
        <v>1310</v>
      </c>
      <c r="CZ12" s="18">
        <v>1320</v>
      </c>
      <c r="DA12" s="18">
        <v>1340</v>
      </c>
      <c r="DB12" s="18">
        <v>1350</v>
      </c>
      <c r="DC12" s="18">
        <v>1350</v>
      </c>
      <c r="DD12" s="18">
        <v>1380</v>
      </c>
      <c r="DE12" s="18">
        <v>1410</v>
      </c>
      <c r="DF12" s="18">
        <v>1420</v>
      </c>
      <c r="DG12" s="18">
        <v>1420</v>
      </c>
      <c r="DH12" s="18">
        <v>1410</v>
      </c>
      <c r="DI12" s="18">
        <v>1380</v>
      </c>
      <c r="DJ12" s="18">
        <v>1400</v>
      </c>
      <c r="DK12" s="18">
        <v>1420</v>
      </c>
      <c r="DL12" s="18">
        <v>1450</v>
      </c>
      <c r="DM12" s="18">
        <v>1460</v>
      </c>
      <c r="DN12" s="18">
        <v>1500</v>
      </c>
      <c r="DO12" s="18">
        <v>1540</v>
      </c>
      <c r="DP12" s="18">
        <v>1660</v>
      </c>
      <c r="DQ12" s="18">
        <v>1860</v>
      </c>
      <c r="DR12" s="18">
        <v>1960</v>
      </c>
      <c r="DS12" s="18">
        <v>1950</v>
      </c>
      <c r="DT12" s="18">
        <v>1890</v>
      </c>
      <c r="DU12" s="18">
        <v>1840</v>
      </c>
      <c r="DV12" s="18">
        <v>1870</v>
      </c>
      <c r="DW12" s="18">
        <v>1870</v>
      </c>
      <c r="DX12" s="18">
        <v>1940</v>
      </c>
      <c r="DY12" s="18">
        <v>2000</v>
      </c>
      <c r="DZ12" s="18">
        <v>2000</v>
      </c>
      <c r="EA12" s="18">
        <v>1980</v>
      </c>
      <c r="EB12" s="18">
        <v>1970</v>
      </c>
      <c r="EC12" s="18">
        <v>1980</v>
      </c>
      <c r="ED12" s="18">
        <v>2000</v>
      </c>
      <c r="EE12" s="18">
        <v>2000</v>
      </c>
      <c r="EF12" s="18">
        <v>1930</v>
      </c>
      <c r="EG12" s="18">
        <v>1870</v>
      </c>
      <c r="EH12" s="18">
        <v>1820</v>
      </c>
      <c r="EI12" s="18">
        <v>1820</v>
      </c>
      <c r="EJ12" s="18">
        <v>1870</v>
      </c>
      <c r="EK12" s="18">
        <v>1840</v>
      </c>
      <c r="EL12" s="18">
        <v>1800</v>
      </c>
      <c r="EM12" s="18">
        <v>1750</v>
      </c>
      <c r="EN12" s="18">
        <v>1700</v>
      </c>
      <c r="EO12" s="18">
        <v>1700</v>
      </c>
      <c r="EP12" s="18">
        <v>1710</v>
      </c>
      <c r="EQ12" s="18">
        <v>1710</v>
      </c>
      <c r="ER12" s="18">
        <v>1770</v>
      </c>
      <c r="ES12" s="18">
        <v>1790</v>
      </c>
      <c r="ET12" s="18">
        <v>1790</v>
      </c>
      <c r="EU12" s="18">
        <v>1820</v>
      </c>
      <c r="EV12" s="18">
        <v>1850</v>
      </c>
      <c r="EW12" s="18">
        <v>1910</v>
      </c>
      <c r="EX12" s="18">
        <v>2030</v>
      </c>
      <c r="EY12" s="18">
        <v>2180</v>
      </c>
      <c r="EZ12" s="18">
        <v>2390</v>
      </c>
      <c r="FA12" s="18">
        <v>2690</v>
      </c>
      <c r="FB12" s="18">
        <v>3060</v>
      </c>
      <c r="FC12" s="18">
        <v>3400</v>
      </c>
      <c r="FD12" s="18">
        <v>3390</v>
      </c>
      <c r="FE12" s="18">
        <v>3160</v>
      </c>
      <c r="FF12" s="18">
        <v>2820</v>
      </c>
      <c r="FG12" s="18">
        <v>2550</v>
      </c>
      <c r="FH12" s="18">
        <v>2490</v>
      </c>
      <c r="FI12" s="18">
        <v>2690</v>
      </c>
      <c r="FJ12" s="18">
        <v>2940</v>
      </c>
      <c r="FK12" s="18">
        <v>3130</v>
      </c>
      <c r="FL12" s="18">
        <v>3720</v>
      </c>
      <c r="FM12" s="18">
        <v>4550</v>
      </c>
      <c r="FN12" s="18">
        <v>5050</v>
      </c>
      <c r="FO12" s="18">
        <v>5550</v>
      </c>
      <c r="FP12" s="18">
        <v>6030</v>
      </c>
      <c r="FQ12" s="18">
        <v>6400</v>
      </c>
      <c r="FR12" s="18">
        <v>6040</v>
      </c>
      <c r="FS12" s="18">
        <v>5980</v>
      </c>
      <c r="FT12" s="18">
        <v>6680</v>
      </c>
      <c r="FU12" s="18">
        <v>7180</v>
      </c>
      <c r="FV12" s="18">
        <v>7100</v>
      </c>
      <c r="FW12" s="18">
        <v>7500</v>
      </c>
      <c r="FX12" s="18">
        <v>7250</v>
      </c>
      <c r="FY12" s="18">
        <v>7240</v>
      </c>
      <c r="FZ12" s="18">
        <v>7300</v>
      </c>
      <c r="GA12" s="18">
        <v>7160</v>
      </c>
      <c r="GB12" s="18">
        <v>7190</v>
      </c>
      <c r="GC12" s="18">
        <v>7530</v>
      </c>
      <c r="GD12" s="18">
        <v>7970</v>
      </c>
      <c r="GE12" s="18">
        <v>7890</v>
      </c>
      <c r="GF12" s="18">
        <v>6770</v>
      </c>
      <c r="GG12" s="18">
        <v>5920</v>
      </c>
      <c r="GH12" s="18">
        <v>5790</v>
      </c>
      <c r="GI12" s="18">
        <v>6180</v>
      </c>
      <c r="GJ12" s="18">
        <v>5240</v>
      </c>
      <c r="GK12" s="18">
        <v>4770</v>
      </c>
      <c r="GL12" s="18">
        <v>4620</v>
      </c>
      <c r="GM12" s="18">
        <v>4610</v>
      </c>
      <c r="GN12" s="18">
        <v>4450</v>
      </c>
      <c r="GO12" s="18">
        <v>4410</v>
      </c>
      <c r="GP12" s="18">
        <v>3970</v>
      </c>
      <c r="GQ12" s="18">
        <v>3900</v>
      </c>
      <c r="GR12" s="18">
        <v>3810</v>
      </c>
      <c r="GS12" s="18">
        <v>3720</v>
      </c>
      <c r="GT12" s="18">
        <v>3720</v>
      </c>
      <c r="GU12" s="18">
        <v>3830</v>
      </c>
      <c r="GV12" s="18">
        <v>3900</v>
      </c>
      <c r="GW12" s="18">
        <v>3860</v>
      </c>
      <c r="GX12" s="18">
        <v>3860</v>
      </c>
      <c r="GY12" s="18">
        <v>4160</v>
      </c>
      <c r="GZ12" s="18">
        <v>4960</v>
      </c>
      <c r="HA12" s="18">
        <v>5350</v>
      </c>
      <c r="HB12" s="18">
        <v>5780</v>
      </c>
      <c r="HC12" s="18">
        <v>5990</v>
      </c>
      <c r="HD12" s="18">
        <v>5680</v>
      </c>
      <c r="HE12" s="18">
        <v>6640</v>
      </c>
      <c r="HF12" s="18">
        <v>7340</v>
      </c>
      <c r="HG12" s="18">
        <v>7550</v>
      </c>
      <c r="HH12" s="18">
        <v>8260</v>
      </c>
      <c r="HI12" s="18">
        <v>8520</v>
      </c>
      <c r="HJ12" s="18">
        <v>8400</v>
      </c>
      <c r="HK12" s="18">
        <v>7590</v>
      </c>
      <c r="HL12" s="18">
        <v>7390</v>
      </c>
      <c r="HM12" s="18">
        <v>8090</v>
      </c>
      <c r="HN12" s="18">
        <v>8190</v>
      </c>
      <c r="HO12" s="18">
        <v>7700</v>
      </c>
      <c r="HP12" s="18">
        <v>7230</v>
      </c>
      <c r="HQ12" s="18">
        <v>8000</v>
      </c>
      <c r="HR12" s="18">
        <v>9660</v>
      </c>
      <c r="HS12" s="18">
        <v>10500</v>
      </c>
      <c r="HT12" s="18">
        <v>12800</v>
      </c>
      <c r="HU12" s="18">
        <v>14000</v>
      </c>
      <c r="HV12" s="18">
        <v>12200</v>
      </c>
      <c r="HW12" s="18">
        <v>10400</v>
      </c>
      <c r="HX12" s="18">
        <v>9120</v>
      </c>
      <c r="HY12" s="18">
        <v>8230</v>
      </c>
      <c r="HZ12" s="18">
        <v>7630</v>
      </c>
      <c r="IA12" s="18">
        <v>7160</v>
      </c>
      <c r="IB12" s="18">
        <v>7070</v>
      </c>
      <c r="IC12" s="18">
        <v>6770</v>
      </c>
      <c r="ID12" s="18">
        <v>6510</v>
      </c>
      <c r="IE12" s="18">
        <v>6350</v>
      </c>
      <c r="IF12" s="18">
        <v>6080</v>
      </c>
      <c r="IG12" s="18">
        <v>5830</v>
      </c>
      <c r="IH12" s="18">
        <v>5530</v>
      </c>
      <c r="II12" s="18">
        <v>5250</v>
      </c>
      <c r="IJ12" s="18">
        <v>4960</v>
      </c>
      <c r="IK12" s="18">
        <v>4700</v>
      </c>
      <c r="IL12" s="18">
        <v>4540</v>
      </c>
      <c r="IM12" s="18">
        <v>4360</v>
      </c>
      <c r="IN12" s="18">
        <v>4260</v>
      </c>
      <c r="IO12" s="18">
        <v>4610</v>
      </c>
      <c r="IP12" s="18">
        <v>4850</v>
      </c>
      <c r="IQ12" s="18">
        <v>5260</v>
      </c>
      <c r="IR12" s="18">
        <v>6560</v>
      </c>
      <c r="IS12" s="18">
        <v>6330</v>
      </c>
      <c r="IT12" s="18">
        <v>5530</v>
      </c>
      <c r="IU12" s="18">
        <v>5130</v>
      </c>
      <c r="IV12" s="18">
        <v>4930</v>
      </c>
      <c r="IW12" s="18">
        <v>4730</v>
      </c>
      <c r="IX12" s="18">
        <v>4580</v>
      </c>
      <c r="IY12" s="18">
        <v>4540</v>
      </c>
      <c r="IZ12" s="18">
        <v>4510</v>
      </c>
      <c r="JA12" s="18">
        <v>4170</v>
      </c>
      <c r="JB12" s="18">
        <v>3960</v>
      </c>
      <c r="JC12" s="18">
        <v>4120</v>
      </c>
      <c r="JD12" s="18">
        <v>4290</v>
      </c>
      <c r="JE12" s="18">
        <v>3900</v>
      </c>
      <c r="JF12" s="18">
        <v>3720</v>
      </c>
      <c r="JG12" s="18">
        <v>3640</v>
      </c>
      <c r="JH12" s="18">
        <v>4180</v>
      </c>
      <c r="JI12" s="18">
        <v>5570</v>
      </c>
      <c r="JJ12" s="18">
        <v>5630</v>
      </c>
      <c r="JK12" s="18">
        <v>5310</v>
      </c>
      <c r="JL12" s="18">
        <v>5760</v>
      </c>
      <c r="JM12" s="18">
        <v>4920</v>
      </c>
      <c r="JN12" s="18">
        <v>4650</v>
      </c>
      <c r="JO12" s="18">
        <v>4690</v>
      </c>
      <c r="JP12" s="18">
        <v>4840</v>
      </c>
      <c r="JQ12" s="18">
        <v>4620</v>
      </c>
      <c r="JR12" s="18">
        <v>4400</v>
      </c>
      <c r="JS12" s="18">
        <v>4200</v>
      </c>
      <c r="JT12" s="18">
        <v>3970</v>
      </c>
      <c r="JU12" s="18">
        <v>3860</v>
      </c>
      <c r="JV12" s="18">
        <v>3720</v>
      </c>
      <c r="JW12" s="18">
        <v>3660</v>
      </c>
      <c r="JX12" s="18">
        <v>3590</v>
      </c>
      <c r="JY12" s="18">
        <v>3500</v>
      </c>
      <c r="JZ12" s="18">
        <v>3460</v>
      </c>
      <c r="KA12" s="18">
        <v>3460</v>
      </c>
      <c r="KB12" s="18">
        <v>3530</v>
      </c>
      <c r="KC12" s="18">
        <v>3970</v>
      </c>
      <c r="KD12" s="18">
        <v>4140</v>
      </c>
      <c r="KE12" s="18">
        <v>4220</v>
      </c>
      <c r="KF12" s="18">
        <v>4340</v>
      </c>
      <c r="KG12" s="18">
        <v>4610</v>
      </c>
      <c r="KH12" s="18">
        <v>5350</v>
      </c>
      <c r="KI12" s="18">
        <v>5380</v>
      </c>
      <c r="KJ12" s="18">
        <v>5000</v>
      </c>
      <c r="KK12" s="18">
        <v>4570</v>
      </c>
      <c r="KL12" s="18">
        <v>4220</v>
      </c>
      <c r="KM12" s="18">
        <v>3950</v>
      </c>
      <c r="KN12" s="18">
        <v>3920</v>
      </c>
      <c r="KO12" s="18">
        <v>4560</v>
      </c>
      <c r="KP12" s="18">
        <v>4270</v>
      </c>
      <c r="KQ12" s="18">
        <v>4000</v>
      </c>
      <c r="KR12" s="18">
        <v>3790</v>
      </c>
      <c r="KS12" s="18">
        <v>3610</v>
      </c>
      <c r="KT12" s="18">
        <v>3860</v>
      </c>
      <c r="KU12" s="18">
        <v>4170</v>
      </c>
      <c r="KV12" s="18">
        <v>3990</v>
      </c>
      <c r="KW12" s="18">
        <v>3760</v>
      </c>
      <c r="KX12" s="18">
        <v>3610</v>
      </c>
      <c r="KY12" s="18">
        <v>3430</v>
      </c>
      <c r="KZ12" s="18">
        <v>3320</v>
      </c>
      <c r="LA12" s="18">
        <v>3180</v>
      </c>
      <c r="LB12" s="18">
        <v>3070</v>
      </c>
      <c r="LC12" s="18">
        <v>2980</v>
      </c>
      <c r="LD12" s="18">
        <v>2910</v>
      </c>
      <c r="LE12" s="18">
        <v>2810</v>
      </c>
      <c r="LF12" s="18">
        <v>2740</v>
      </c>
      <c r="LG12" s="18">
        <v>2700</v>
      </c>
      <c r="LH12" s="18">
        <v>2650</v>
      </c>
      <c r="LI12" s="18">
        <v>2590</v>
      </c>
      <c r="LJ12" s="18">
        <v>2540</v>
      </c>
      <c r="LK12" s="18">
        <v>2490</v>
      </c>
      <c r="LL12" s="18">
        <v>2460</v>
      </c>
      <c r="LM12" s="18">
        <v>2420</v>
      </c>
      <c r="LN12" s="18">
        <v>2380</v>
      </c>
      <c r="LO12" s="18">
        <v>2330</v>
      </c>
      <c r="LP12" s="18">
        <v>2270</v>
      </c>
      <c r="LQ12" s="18">
        <v>2220</v>
      </c>
      <c r="LR12" s="18">
        <v>2170</v>
      </c>
      <c r="LS12" s="18">
        <v>2140</v>
      </c>
      <c r="LT12" s="18">
        <v>2100</v>
      </c>
      <c r="LU12" s="18">
        <v>2060</v>
      </c>
      <c r="LV12" s="18">
        <v>2030</v>
      </c>
      <c r="LW12" s="18">
        <v>1990</v>
      </c>
      <c r="LX12" s="18">
        <v>1970</v>
      </c>
      <c r="LY12" s="18">
        <v>1950</v>
      </c>
      <c r="LZ12" s="18">
        <v>1900</v>
      </c>
      <c r="MA12" s="18">
        <v>1860</v>
      </c>
      <c r="MB12" s="18">
        <v>1850</v>
      </c>
      <c r="MC12" s="18">
        <v>1830</v>
      </c>
      <c r="MD12" s="18">
        <v>1790</v>
      </c>
      <c r="ME12" s="18">
        <v>1760</v>
      </c>
      <c r="MF12" s="18">
        <v>1740</v>
      </c>
      <c r="MG12" s="18">
        <v>1720</v>
      </c>
      <c r="MH12" s="18">
        <v>1710</v>
      </c>
      <c r="MI12" s="18">
        <v>1710</v>
      </c>
      <c r="MJ12" s="18">
        <v>1690</v>
      </c>
      <c r="MK12" s="18">
        <v>1680</v>
      </c>
      <c r="ML12" s="18">
        <v>1670</v>
      </c>
      <c r="MM12" s="18">
        <v>1640</v>
      </c>
      <c r="MN12" s="18">
        <v>1600</v>
      </c>
      <c r="MO12" s="18">
        <v>1570</v>
      </c>
      <c r="MP12" s="18">
        <v>1560</v>
      </c>
      <c r="MQ12" s="18">
        <v>1540</v>
      </c>
      <c r="MR12" s="18">
        <v>1520</v>
      </c>
      <c r="MS12" s="18">
        <v>1510</v>
      </c>
      <c r="MT12" s="18">
        <v>1510</v>
      </c>
      <c r="MU12" s="18">
        <v>1490</v>
      </c>
      <c r="MV12" s="18">
        <v>1490</v>
      </c>
      <c r="MW12" s="18">
        <v>1480</v>
      </c>
      <c r="MX12" s="18">
        <v>1470</v>
      </c>
      <c r="MY12" s="18">
        <v>1460</v>
      </c>
      <c r="MZ12" s="18">
        <v>1440</v>
      </c>
      <c r="NA12" s="18">
        <v>1430</v>
      </c>
      <c r="NB12" s="18">
        <v>1400</v>
      </c>
      <c r="NC12" s="18">
        <v>1350</v>
      </c>
      <c r="ND12" s="1">
        <v>1410</v>
      </c>
      <c r="NE12" s="1">
        <v>1250</v>
      </c>
      <c r="NF12" s="1">
        <v>1230</v>
      </c>
      <c r="NG12" s="1">
        <v>1410</v>
      </c>
      <c r="NH12" s="1">
        <v>1860</v>
      </c>
      <c r="NI12" s="1">
        <v>4680</v>
      </c>
      <c r="NJ12" s="1">
        <v>5280</v>
      </c>
      <c r="NK12" s="1">
        <v>7990</v>
      </c>
      <c r="NL12" s="1">
        <v>4770</v>
      </c>
      <c r="NM12" s="1">
        <v>4150</v>
      </c>
      <c r="NN12" s="1">
        <v>2720</v>
      </c>
      <c r="NO12" s="1">
        <v>1620</v>
      </c>
      <c r="NP12" s="1">
        <v>3210</v>
      </c>
      <c r="NQ12" s="1">
        <v>14000</v>
      </c>
      <c r="NR12" s="19">
        <v>42597</v>
      </c>
      <c r="NS12" s="1">
        <v>1170</v>
      </c>
      <c r="NT12" s="19">
        <v>42444</v>
      </c>
    </row>
    <row r="13" spans="1:385" x14ac:dyDescent="0.15">
      <c r="A13" s="1">
        <v>1960</v>
      </c>
      <c r="B13" s="18">
        <v>1300</v>
      </c>
      <c r="C13" s="18">
        <v>1280</v>
      </c>
      <c r="D13" s="18">
        <v>1260</v>
      </c>
      <c r="E13" s="18">
        <v>1250</v>
      </c>
      <c r="F13" s="18">
        <v>1240</v>
      </c>
      <c r="G13" s="18">
        <v>1210</v>
      </c>
      <c r="H13" s="18">
        <v>1180</v>
      </c>
      <c r="I13" s="18">
        <v>1160</v>
      </c>
      <c r="J13" s="18">
        <v>1160</v>
      </c>
      <c r="K13" s="18">
        <v>1140</v>
      </c>
      <c r="L13" s="18">
        <v>1140</v>
      </c>
      <c r="M13" s="18">
        <v>1140</v>
      </c>
      <c r="N13" s="18">
        <v>1140</v>
      </c>
      <c r="O13" s="18">
        <v>1150</v>
      </c>
      <c r="P13" s="18">
        <v>1150</v>
      </c>
      <c r="Q13" s="18">
        <v>1140</v>
      </c>
      <c r="R13" s="18">
        <v>1140</v>
      </c>
      <c r="S13" s="18">
        <v>1140</v>
      </c>
      <c r="T13" s="18">
        <v>1130</v>
      </c>
      <c r="U13" s="18">
        <v>1120</v>
      </c>
      <c r="V13" s="18">
        <v>1120</v>
      </c>
      <c r="W13" s="18">
        <v>1120</v>
      </c>
      <c r="X13" s="18">
        <v>1110</v>
      </c>
      <c r="Y13" s="18">
        <v>1110</v>
      </c>
      <c r="Z13" s="18">
        <v>1110</v>
      </c>
      <c r="AA13" s="18">
        <v>1090</v>
      </c>
      <c r="AB13" s="18">
        <v>1080</v>
      </c>
      <c r="AC13" s="18">
        <v>1080</v>
      </c>
      <c r="AD13" s="18">
        <v>1080</v>
      </c>
      <c r="AE13" s="18">
        <v>1080</v>
      </c>
      <c r="AF13" s="18">
        <v>1080</v>
      </c>
      <c r="AG13" s="18">
        <v>1070</v>
      </c>
      <c r="AH13" s="18">
        <v>1060</v>
      </c>
      <c r="AI13" s="18">
        <v>1050</v>
      </c>
      <c r="AJ13" s="18">
        <v>1040</v>
      </c>
      <c r="AK13" s="18">
        <v>1040</v>
      </c>
      <c r="AL13" s="18">
        <v>1040</v>
      </c>
      <c r="AM13" s="18">
        <v>1050</v>
      </c>
      <c r="AN13" s="18">
        <v>1060</v>
      </c>
      <c r="AO13" s="18">
        <v>1060</v>
      </c>
      <c r="AP13" s="18">
        <v>1050</v>
      </c>
      <c r="AQ13" s="18">
        <v>1040</v>
      </c>
      <c r="AR13" s="18">
        <v>1040</v>
      </c>
      <c r="AS13" s="18">
        <v>1030</v>
      </c>
      <c r="AT13" s="18">
        <v>1030</v>
      </c>
      <c r="AU13" s="18">
        <v>1030</v>
      </c>
      <c r="AV13" s="18">
        <v>1030</v>
      </c>
      <c r="AW13" s="18">
        <v>1030</v>
      </c>
      <c r="AX13" s="18">
        <v>1030</v>
      </c>
      <c r="AY13" s="18">
        <v>1030</v>
      </c>
      <c r="AZ13" s="18">
        <v>1030</v>
      </c>
      <c r="BA13" s="18">
        <v>1030</v>
      </c>
      <c r="BB13" s="18">
        <v>1030</v>
      </c>
      <c r="BC13" s="18">
        <v>1020</v>
      </c>
      <c r="BD13" s="18">
        <v>1020</v>
      </c>
      <c r="BE13" s="18">
        <v>1020</v>
      </c>
      <c r="BF13" s="18">
        <v>1010</v>
      </c>
      <c r="BG13" s="18">
        <v>1000</v>
      </c>
      <c r="BH13" s="18">
        <v>994</v>
      </c>
      <c r="BI13" s="18">
        <v>994</v>
      </c>
      <c r="BJ13" s="18">
        <v>989</v>
      </c>
      <c r="BK13" s="18">
        <v>984</v>
      </c>
      <c r="BL13" s="18">
        <v>984</v>
      </c>
      <c r="BM13" s="18">
        <v>984</v>
      </c>
      <c r="BN13" s="18">
        <v>984</v>
      </c>
      <c r="BO13" s="18">
        <v>984</v>
      </c>
      <c r="BP13" s="18">
        <v>973</v>
      </c>
      <c r="BQ13" s="18">
        <v>963</v>
      </c>
      <c r="BR13" s="18">
        <v>963</v>
      </c>
      <c r="BS13" s="18">
        <v>958</v>
      </c>
      <c r="BT13" s="18">
        <v>953</v>
      </c>
      <c r="BU13" s="18">
        <v>953</v>
      </c>
      <c r="BV13" s="18">
        <v>953</v>
      </c>
      <c r="BW13" s="18">
        <v>948</v>
      </c>
      <c r="BX13" s="18">
        <v>948</v>
      </c>
      <c r="BY13" s="18">
        <v>948</v>
      </c>
      <c r="BZ13" s="18">
        <v>953</v>
      </c>
      <c r="CA13" s="18">
        <v>953</v>
      </c>
      <c r="CB13" s="18">
        <v>953</v>
      </c>
      <c r="CC13" s="18">
        <v>963</v>
      </c>
      <c r="CD13" s="18">
        <v>973</v>
      </c>
      <c r="CE13" s="18">
        <v>973</v>
      </c>
      <c r="CF13" s="18">
        <v>968</v>
      </c>
      <c r="CG13" s="18">
        <v>963</v>
      </c>
      <c r="CH13" s="18">
        <v>963</v>
      </c>
      <c r="CI13" s="18">
        <v>953</v>
      </c>
      <c r="CJ13" s="18">
        <v>953</v>
      </c>
      <c r="CK13" s="18">
        <v>963</v>
      </c>
      <c r="CL13" s="18">
        <v>963</v>
      </c>
      <c r="CM13" s="18">
        <v>953</v>
      </c>
      <c r="CN13" s="18">
        <v>938</v>
      </c>
      <c r="CO13" s="18">
        <v>933</v>
      </c>
      <c r="CP13" s="18">
        <v>933</v>
      </c>
      <c r="CQ13" s="18">
        <v>948</v>
      </c>
      <c r="CR13" s="18">
        <v>973</v>
      </c>
      <c r="CS13" s="18">
        <v>989</v>
      </c>
      <c r="CT13" s="18">
        <v>1000</v>
      </c>
      <c r="CU13" s="18">
        <v>1000</v>
      </c>
      <c r="CV13" s="18">
        <v>1000</v>
      </c>
      <c r="CW13" s="18">
        <v>1000</v>
      </c>
      <c r="CX13" s="18">
        <v>994</v>
      </c>
      <c r="CY13" s="18">
        <v>984</v>
      </c>
      <c r="CZ13" s="18">
        <v>984</v>
      </c>
      <c r="DA13" s="18">
        <v>978</v>
      </c>
      <c r="DB13" s="18">
        <v>978</v>
      </c>
      <c r="DC13" s="18">
        <v>973</v>
      </c>
      <c r="DD13" s="18">
        <v>973</v>
      </c>
      <c r="DE13" s="18">
        <v>973</v>
      </c>
      <c r="DF13" s="18">
        <v>973</v>
      </c>
      <c r="DG13" s="18">
        <v>973</v>
      </c>
      <c r="DH13" s="18">
        <v>984</v>
      </c>
      <c r="DI13" s="18">
        <v>1000</v>
      </c>
      <c r="DJ13" s="18">
        <v>1010</v>
      </c>
      <c r="DK13" s="18">
        <v>1030</v>
      </c>
      <c r="DL13" s="18">
        <v>1050</v>
      </c>
      <c r="DM13" s="18">
        <v>1060</v>
      </c>
      <c r="DN13" s="18">
        <v>1080</v>
      </c>
      <c r="DO13" s="18">
        <v>1070</v>
      </c>
      <c r="DP13" s="18">
        <v>1070</v>
      </c>
      <c r="DQ13" s="18">
        <v>1060</v>
      </c>
      <c r="DR13" s="18">
        <v>1060</v>
      </c>
      <c r="DS13" s="18">
        <v>1060</v>
      </c>
      <c r="DT13" s="18">
        <v>1080</v>
      </c>
      <c r="DU13" s="18">
        <v>1080</v>
      </c>
      <c r="DV13" s="18">
        <v>1080</v>
      </c>
      <c r="DW13" s="18">
        <v>1090</v>
      </c>
      <c r="DX13" s="18">
        <v>1090</v>
      </c>
      <c r="DY13" s="18">
        <v>1080</v>
      </c>
      <c r="DZ13" s="18">
        <v>1070</v>
      </c>
      <c r="EA13" s="18">
        <v>1060</v>
      </c>
      <c r="EB13" s="18">
        <v>1050</v>
      </c>
      <c r="EC13" s="18">
        <v>1050</v>
      </c>
      <c r="ED13" s="18">
        <v>1080</v>
      </c>
      <c r="EE13" s="18">
        <v>1090</v>
      </c>
      <c r="EF13" s="18">
        <v>1100</v>
      </c>
      <c r="EG13" s="18">
        <v>1110</v>
      </c>
      <c r="EH13" s="18">
        <v>1080</v>
      </c>
      <c r="EI13" s="18">
        <v>1070</v>
      </c>
      <c r="EJ13" s="18">
        <v>1060</v>
      </c>
      <c r="EK13" s="18">
        <v>1040</v>
      </c>
      <c r="EL13" s="18">
        <v>1020</v>
      </c>
      <c r="EM13" s="18">
        <v>1000</v>
      </c>
      <c r="EN13" s="18">
        <v>989</v>
      </c>
      <c r="EO13" s="18">
        <v>994</v>
      </c>
      <c r="EP13" s="18">
        <v>1030</v>
      </c>
      <c r="EQ13" s="18">
        <v>1110</v>
      </c>
      <c r="ER13" s="18">
        <v>1190</v>
      </c>
      <c r="ES13" s="18">
        <v>1230</v>
      </c>
      <c r="ET13" s="18">
        <v>1360</v>
      </c>
      <c r="EU13" s="18">
        <v>1450</v>
      </c>
      <c r="EV13" s="18">
        <v>1590</v>
      </c>
      <c r="EW13" s="18">
        <v>1860</v>
      </c>
      <c r="EX13" s="18">
        <v>2290</v>
      </c>
      <c r="EY13" s="18">
        <v>2340</v>
      </c>
      <c r="EZ13" s="18">
        <v>2620</v>
      </c>
      <c r="FA13" s="18">
        <v>2860</v>
      </c>
      <c r="FB13" s="18">
        <v>2950</v>
      </c>
      <c r="FC13" s="18">
        <v>3170</v>
      </c>
      <c r="FD13" s="18">
        <v>3470</v>
      </c>
      <c r="FE13" s="18">
        <v>3630</v>
      </c>
      <c r="FF13" s="18">
        <v>3830</v>
      </c>
      <c r="FG13" s="18">
        <v>3940</v>
      </c>
      <c r="FH13" s="18">
        <v>4210</v>
      </c>
      <c r="FI13" s="18">
        <v>4190</v>
      </c>
      <c r="FJ13" s="18">
        <v>3880</v>
      </c>
      <c r="FK13" s="18">
        <v>3550</v>
      </c>
      <c r="FL13" s="18">
        <v>3560</v>
      </c>
      <c r="FM13" s="18">
        <v>4000</v>
      </c>
      <c r="FN13" s="18">
        <v>4280</v>
      </c>
      <c r="FO13" s="18">
        <v>4190</v>
      </c>
      <c r="FP13" s="18">
        <v>4280</v>
      </c>
      <c r="FQ13" s="18">
        <v>4480</v>
      </c>
      <c r="FR13" s="18">
        <v>4650</v>
      </c>
      <c r="FS13" s="18">
        <v>4680</v>
      </c>
      <c r="FT13" s="18">
        <v>4340</v>
      </c>
      <c r="FU13" s="18">
        <v>5250</v>
      </c>
      <c r="FV13" s="18">
        <v>6310</v>
      </c>
      <c r="FW13" s="18">
        <v>6310</v>
      </c>
      <c r="FX13" s="18">
        <v>6540</v>
      </c>
      <c r="FY13" s="18">
        <v>7080</v>
      </c>
      <c r="FZ13" s="18">
        <v>7090</v>
      </c>
      <c r="GA13" s="18">
        <v>7020</v>
      </c>
      <c r="GB13" s="18">
        <v>7060</v>
      </c>
      <c r="GC13" s="18">
        <v>7300</v>
      </c>
      <c r="GD13" s="18">
        <v>7080</v>
      </c>
      <c r="GE13" s="18">
        <v>6450</v>
      </c>
      <c r="GF13" s="18">
        <v>5770</v>
      </c>
      <c r="GG13" s="18">
        <v>5270</v>
      </c>
      <c r="GH13" s="18">
        <v>4750</v>
      </c>
      <c r="GI13" s="18">
        <v>4720</v>
      </c>
      <c r="GJ13" s="18">
        <v>6290</v>
      </c>
      <c r="GK13" s="18">
        <v>7760</v>
      </c>
      <c r="GL13" s="18">
        <v>8450</v>
      </c>
      <c r="GM13" s="18">
        <v>8080</v>
      </c>
      <c r="GN13" s="18">
        <v>7310</v>
      </c>
      <c r="GO13" s="18">
        <v>6590</v>
      </c>
      <c r="GP13" s="18">
        <v>6660</v>
      </c>
      <c r="GQ13" s="18">
        <v>7350</v>
      </c>
      <c r="GR13" s="18">
        <v>6610</v>
      </c>
      <c r="GS13" s="18">
        <v>6030</v>
      </c>
      <c r="GT13" s="18">
        <v>5640</v>
      </c>
      <c r="GU13" s="18">
        <v>5670</v>
      </c>
      <c r="GV13" s="18">
        <v>6720</v>
      </c>
      <c r="GW13" s="18">
        <v>7060</v>
      </c>
      <c r="GX13" s="18">
        <v>7270</v>
      </c>
      <c r="GY13" s="18">
        <v>6920</v>
      </c>
      <c r="GZ13" s="18">
        <v>7120</v>
      </c>
      <c r="HA13" s="18">
        <v>7800</v>
      </c>
      <c r="HB13" s="18">
        <v>8260</v>
      </c>
      <c r="HC13" s="18">
        <v>9090</v>
      </c>
      <c r="HD13" s="18">
        <v>10400</v>
      </c>
      <c r="HE13" s="18">
        <v>10700</v>
      </c>
      <c r="HF13" s="18">
        <v>9890</v>
      </c>
      <c r="HG13" s="18">
        <v>9720</v>
      </c>
      <c r="HH13" s="18">
        <v>10600</v>
      </c>
      <c r="HI13" s="18">
        <v>11600</v>
      </c>
      <c r="HJ13" s="18">
        <v>12800</v>
      </c>
      <c r="HK13" s="18">
        <v>13300</v>
      </c>
      <c r="HL13" s="18">
        <v>13000</v>
      </c>
      <c r="HM13" s="18">
        <v>13400</v>
      </c>
      <c r="HN13" s="18">
        <v>13000</v>
      </c>
      <c r="HO13" s="18">
        <v>11800</v>
      </c>
      <c r="HP13" s="18">
        <v>10400</v>
      </c>
      <c r="HQ13" s="18">
        <v>9190</v>
      </c>
      <c r="HR13" s="18">
        <v>8330</v>
      </c>
      <c r="HS13" s="18">
        <v>7660</v>
      </c>
      <c r="HT13" s="18">
        <v>7270</v>
      </c>
      <c r="HU13" s="18">
        <v>7280</v>
      </c>
      <c r="HV13" s="18">
        <v>8040</v>
      </c>
      <c r="HW13" s="18">
        <v>9170</v>
      </c>
      <c r="HX13" s="18">
        <v>9770</v>
      </c>
      <c r="HY13" s="18">
        <v>9290</v>
      </c>
      <c r="HZ13" s="18">
        <v>8490</v>
      </c>
      <c r="IA13" s="18">
        <v>7850</v>
      </c>
      <c r="IB13" s="18">
        <v>7300</v>
      </c>
      <c r="IC13" s="18">
        <v>7240</v>
      </c>
      <c r="ID13" s="18">
        <v>7120</v>
      </c>
      <c r="IE13" s="18">
        <v>7030</v>
      </c>
      <c r="IF13" s="18">
        <v>6830</v>
      </c>
      <c r="IG13" s="18">
        <v>7140</v>
      </c>
      <c r="IH13" s="18">
        <v>7190</v>
      </c>
      <c r="II13" s="18">
        <v>7210</v>
      </c>
      <c r="IJ13" s="18">
        <v>7050</v>
      </c>
      <c r="IK13" s="18">
        <v>7080</v>
      </c>
      <c r="IL13" s="18">
        <v>7230</v>
      </c>
      <c r="IM13" s="18">
        <v>7840</v>
      </c>
      <c r="IN13" s="18">
        <v>7920</v>
      </c>
      <c r="IO13" s="18">
        <v>8100</v>
      </c>
      <c r="IP13" s="18">
        <v>7720</v>
      </c>
      <c r="IQ13" s="18">
        <v>8040</v>
      </c>
      <c r="IR13" s="18">
        <v>8450</v>
      </c>
      <c r="IS13" s="18">
        <v>8860</v>
      </c>
      <c r="IT13" s="18">
        <v>8910</v>
      </c>
      <c r="IU13" s="18">
        <v>9240</v>
      </c>
      <c r="IV13" s="18">
        <v>9920</v>
      </c>
      <c r="IW13" s="18">
        <v>11600</v>
      </c>
      <c r="IX13" s="18">
        <v>12000</v>
      </c>
      <c r="IY13" s="18">
        <v>12300</v>
      </c>
      <c r="IZ13" s="18">
        <v>11900</v>
      </c>
      <c r="JA13" s="18">
        <v>11700</v>
      </c>
      <c r="JB13" s="18">
        <v>11800</v>
      </c>
      <c r="JC13" s="18">
        <v>11900</v>
      </c>
      <c r="JD13" s="18">
        <v>11500</v>
      </c>
      <c r="JE13" s="18">
        <v>10800</v>
      </c>
      <c r="JF13" s="18">
        <v>10100</v>
      </c>
      <c r="JG13" s="18">
        <v>9510</v>
      </c>
      <c r="JH13" s="18">
        <v>9230</v>
      </c>
      <c r="JI13" s="18">
        <v>8900</v>
      </c>
      <c r="JJ13" s="18">
        <v>8600</v>
      </c>
      <c r="JK13" s="18">
        <v>8150</v>
      </c>
      <c r="JL13" s="18">
        <v>7700</v>
      </c>
      <c r="JM13" s="18">
        <v>7380</v>
      </c>
      <c r="JN13" s="18">
        <v>6980</v>
      </c>
      <c r="JO13" s="18">
        <v>6680</v>
      </c>
      <c r="JP13" s="18">
        <v>6440</v>
      </c>
      <c r="JQ13" s="18">
        <v>6330</v>
      </c>
      <c r="JR13" s="18">
        <v>6330</v>
      </c>
      <c r="JS13" s="18">
        <v>6100</v>
      </c>
      <c r="JT13" s="18">
        <v>5840</v>
      </c>
      <c r="JU13" s="18">
        <v>5600</v>
      </c>
      <c r="JV13" s="18">
        <v>5450</v>
      </c>
      <c r="JW13" s="18">
        <v>5460</v>
      </c>
      <c r="JX13" s="18">
        <v>5440</v>
      </c>
      <c r="JY13" s="18">
        <v>5400</v>
      </c>
      <c r="JZ13" s="18">
        <v>5300</v>
      </c>
      <c r="KA13" s="18">
        <v>5310</v>
      </c>
      <c r="KB13" s="18">
        <v>5310</v>
      </c>
      <c r="KC13" s="18">
        <v>5260</v>
      </c>
      <c r="KD13" s="18">
        <v>5170</v>
      </c>
      <c r="KE13" s="18">
        <v>5140</v>
      </c>
      <c r="KF13" s="18">
        <v>5270</v>
      </c>
      <c r="KG13" s="18">
        <v>5330</v>
      </c>
      <c r="KH13" s="18">
        <v>5210</v>
      </c>
      <c r="KI13" s="18">
        <v>4990</v>
      </c>
      <c r="KJ13" s="18">
        <v>4900</v>
      </c>
      <c r="KK13" s="18">
        <v>4660</v>
      </c>
      <c r="KL13" s="18">
        <v>4460</v>
      </c>
      <c r="KM13" s="18">
        <v>4260</v>
      </c>
      <c r="KN13" s="18">
        <v>4110</v>
      </c>
      <c r="KO13" s="18">
        <v>3970</v>
      </c>
      <c r="KP13" s="18">
        <v>3850</v>
      </c>
      <c r="KQ13" s="18">
        <v>3760</v>
      </c>
      <c r="KR13" s="18">
        <v>3660</v>
      </c>
      <c r="KS13" s="18">
        <v>3540</v>
      </c>
      <c r="KT13" s="18">
        <v>3420</v>
      </c>
      <c r="KU13" s="18">
        <v>3360</v>
      </c>
      <c r="KV13" s="18">
        <v>3330</v>
      </c>
      <c r="KW13" s="18">
        <v>3310</v>
      </c>
      <c r="KX13" s="18">
        <v>3280</v>
      </c>
      <c r="KY13" s="18">
        <v>3220</v>
      </c>
      <c r="KZ13" s="18">
        <v>3180</v>
      </c>
      <c r="LA13" s="18">
        <v>3140</v>
      </c>
      <c r="LB13" s="18">
        <v>3060</v>
      </c>
      <c r="LC13" s="18">
        <v>2960</v>
      </c>
      <c r="LD13" s="18">
        <v>2880</v>
      </c>
      <c r="LE13" s="18">
        <v>2840</v>
      </c>
      <c r="LF13" s="18">
        <v>2780</v>
      </c>
      <c r="LG13" s="18">
        <v>2710</v>
      </c>
      <c r="LH13" s="18">
        <v>2660</v>
      </c>
      <c r="LI13" s="18">
        <v>2610</v>
      </c>
      <c r="LJ13" s="18">
        <v>2550</v>
      </c>
      <c r="LK13" s="18">
        <v>2510</v>
      </c>
      <c r="LL13" s="18">
        <v>2460</v>
      </c>
      <c r="LM13" s="18">
        <v>2420</v>
      </c>
      <c r="LN13" s="18">
        <v>2380</v>
      </c>
      <c r="LO13" s="18">
        <v>2330</v>
      </c>
      <c r="LP13" s="18">
        <v>2290</v>
      </c>
      <c r="LQ13" s="18">
        <v>2250</v>
      </c>
      <c r="LR13" s="18">
        <v>2200</v>
      </c>
      <c r="LS13" s="18">
        <v>2160</v>
      </c>
      <c r="LT13" s="18">
        <v>2130</v>
      </c>
      <c r="LU13" s="18">
        <v>2090</v>
      </c>
      <c r="LV13" s="18">
        <v>2060</v>
      </c>
      <c r="LW13" s="18">
        <v>2040</v>
      </c>
      <c r="LX13" s="18">
        <v>2020</v>
      </c>
      <c r="LY13" s="18">
        <v>1990</v>
      </c>
      <c r="LZ13" s="18">
        <v>1970</v>
      </c>
      <c r="MA13" s="18">
        <v>1950</v>
      </c>
      <c r="MB13" s="18">
        <v>1930</v>
      </c>
      <c r="MC13" s="18">
        <v>1900</v>
      </c>
      <c r="MD13" s="18">
        <v>1860</v>
      </c>
      <c r="ME13" s="18">
        <v>1820</v>
      </c>
      <c r="MF13" s="18">
        <v>1800</v>
      </c>
      <c r="MG13" s="18">
        <v>1770</v>
      </c>
      <c r="MH13" s="18">
        <v>1770</v>
      </c>
      <c r="MI13" s="18">
        <v>1770</v>
      </c>
      <c r="MJ13" s="18">
        <v>1750</v>
      </c>
      <c r="MK13" s="18">
        <v>1730</v>
      </c>
      <c r="ML13" s="18">
        <v>1700</v>
      </c>
      <c r="MM13" s="18">
        <v>1670</v>
      </c>
      <c r="MN13" s="18">
        <v>1640</v>
      </c>
      <c r="MO13" s="18">
        <v>1600</v>
      </c>
      <c r="MP13" s="18">
        <v>1560</v>
      </c>
      <c r="MQ13" s="18">
        <v>1540</v>
      </c>
      <c r="MR13" s="18">
        <v>1540</v>
      </c>
      <c r="MS13" s="18">
        <v>1550</v>
      </c>
      <c r="MT13" s="18">
        <v>1570</v>
      </c>
      <c r="MU13" s="18">
        <v>1570</v>
      </c>
      <c r="MV13" s="18">
        <v>1550</v>
      </c>
      <c r="MW13" s="18">
        <v>1530</v>
      </c>
      <c r="MX13" s="18">
        <v>1520</v>
      </c>
      <c r="MY13" s="18">
        <v>1490</v>
      </c>
      <c r="MZ13" s="18">
        <v>1470</v>
      </c>
      <c r="NA13" s="18">
        <v>1450</v>
      </c>
      <c r="NB13" s="18">
        <v>1440</v>
      </c>
      <c r="NC13" s="18">
        <v>1430</v>
      </c>
      <c r="ND13" s="1">
        <v>1150</v>
      </c>
      <c r="NE13" s="1">
        <v>1030</v>
      </c>
      <c r="NF13" s="1">
        <v>963</v>
      </c>
      <c r="NG13" s="1">
        <v>1000</v>
      </c>
      <c r="NH13" s="1">
        <v>1140</v>
      </c>
      <c r="NI13" s="1">
        <v>4370</v>
      </c>
      <c r="NJ13" s="1">
        <v>7160</v>
      </c>
      <c r="NK13" s="1">
        <v>9130</v>
      </c>
      <c r="NL13" s="1">
        <v>9370</v>
      </c>
      <c r="NM13" s="1">
        <v>5010</v>
      </c>
      <c r="NN13" s="1">
        <v>2640</v>
      </c>
      <c r="NO13" s="1">
        <v>1670</v>
      </c>
      <c r="NP13" s="1">
        <v>3727.3169398907103</v>
      </c>
      <c r="NQ13" s="1">
        <v>13400</v>
      </c>
      <c r="NR13" s="19">
        <v>42589</v>
      </c>
      <c r="NS13" s="1">
        <v>933</v>
      </c>
      <c r="NT13" s="19">
        <v>42461</v>
      </c>
    </row>
    <row r="14" spans="1:385" x14ac:dyDescent="0.15">
      <c r="A14" s="1">
        <v>1961</v>
      </c>
      <c r="B14" s="18">
        <v>1350</v>
      </c>
      <c r="C14" s="18">
        <v>1350</v>
      </c>
      <c r="D14" s="18">
        <v>1350</v>
      </c>
      <c r="E14" s="18">
        <v>1340</v>
      </c>
      <c r="F14" s="18">
        <v>1330</v>
      </c>
      <c r="G14" s="18">
        <v>1320</v>
      </c>
      <c r="H14" s="18">
        <v>1310</v>
      </c>
      <c r="I14" s="18">
        <v>1290</v>
      </c>
      <c r="J14" s="18">
        <v>1290</v>
      </c>
      <c r="K14" s="18">
        <v>1280</v>
      </c>
      <c r="L14" s="18">
        <v>1270</v>
      </c>
      <c r="M14" s="18">
        <v>1250</v>
      </c>
      <c r="N14" s="18">
        <v>1240</v>
      </c>
      <c r="O14" s="18">
        <v>1240</v>
      </c>
      <c r="P14" s="18">
        <v>1240</v>
      </c>
      <c r="Q14" s="18">
        <v>1220</v>
      </c>
      <c r="R14" s="18">
        <v>1220</v>
      </c>
      <c r="S14" s="18">
        <v>1220</v>
      </c>
      <c r="T14" s="18">
        <v>1220</v>
      </c>
      <c r="U14" s="18">
        <v>1200</v>
      </c>
      <c r="V14" s="18">
        <v>1170</v>
      </c>
      <c r="W14" s="18">
        <v>1140</v>
      </c>
      <c r="X14" s="18">
        <v>1130</v>
      </c>
      <c r="Y14" s="18">
        <v>1130</v>
      </c>
      <c r="Z14" s="18">
        <v>1130</v>
      </c>
      <c r="AA14" s="18">
        <v>1130</v>
      </c>
      <c r="AB14" s="18">
        <v>1120</v>
      </c>
      <c r="AC14" s="18">
        <v>1110</v>
      </c>
      <c r="AD14" s="18">
        <v>1100</v>
      </c>
      <c r="AE14" s="18">
        <v>1090</v>
      </c>
      <c r="AF14" s="18">
        <v>1090</v>
      </c>
      <c r="AG14" s="18">
        <v>1090</v>
      </c>
      <c r="AH14" s="18">
        <v>1100</v>
      </c>
      <c r="AI14" s="18">
        <v>1110</v>
      </c>
      <c r="AJ14" s="18">
        <v>1120</v>
      </c>
      <c r="AK14" s="18">
        <v>1120</v>
      </c>
      <c r="AL14" s="18">
        <v>1130</v>
      </c>
      <c r="AM14" s="18">
        <v>1130</v>
      </c>
      <c r="AN14" s="18">
        <v>1130</v>
      </c>
      <c r="AO14" s="18">
        <v>1120</v>
      </c>
      <c r="AP14" s="18">
        <v>1100</v>
      </c>
      <c r="AQ14" s="18">
        <v>1100</v>
      </c>
      <c r="AR14" s="18">
        <v>1090</v>
      </c>
      <c r="AS14" s="18">
        <v>1090</v>
      </c>
      <c r="AT14" s="18">
        <v>1090</v>
      </c>
      <c r="AU14" s="18">
        <v>1090</v>
      </c>
      <c r="AV14" s="18">
        <v>1080</v>
      </c>
      <c r="AW14" s="18">
        <v>1060</v>
      </c>
      <c r="AX14" s="18">
        <v>1070</v>
      </c>
      <c r="AY14" s="18">
        <v>1090</v>
      </c>
      <c r="AZ14" s="18">
        <v>1080</v>
      </c>
      <c r="BA14" s="18">
        <v>1060</v>
      </c>
      <c r="BB14" s="18">
        <v>1060</v>
      </c>
      <c r="BC14" s="18">
        <v>1050</v>
      </c>
      <c r="BD14" s="18">
        <v>1040</v>
      </c>
      <c r="BE14" s="18">
        <v>1030</v>
      </c>
      <c r="BF14" s="18">
        <v>1030</v>
      </c>
      <c r="BG14" s="18">
        <v>1040</v>
      </c>
      <c r="BH14" s="18">
        <v>1060</v>
      </c>
      <c r="BI14" s="18"/>
      <c r="BJ14" s="18">
        <v>1070</v>
      </c>
      <c r="BK14" s="18">
        <v>1090</v>
      </c>
      <c r="BL14" s="18">
        <v>1090</v>
      </c>
      <c r="BM14" s="18">
        <v>1070</v>
      </c>
      <c r="BN14" s="18">
        <v>1070</v>
      </c>
      <c r="BO14" s="18">
        <v>1070</v>
      </c>
      <c r="BP14" s="18">
        <v>1070</v>
      </c>
      <c r="BQ14" s="18">
        <v>1060</v>
      </c>
      <c r="BR14" s="18">
        <v>1060</v>
      </c>
      <c r="BS14" s="18">
        <v>1050</v>
      </c>
      <c r="BT14" s="18">
        <v>1040</v>
      </c>
      <c r="BU14" s="18">
        <v>1040</v>
      </c>
      <c r="BV14" s="18">
        <v>1030</v>
      </c>
      <c r="BW14" s="18">
        <v>1030</v>
      </c>
      <c r="BX14" s="18">
        <v>1030</v>
      </c>
      <c r="BY14" s="18">
        <v>1030</v>
      </c>
      <c r="BZ14" s="18">
        <v>1040</v>
      </c>
      <c r="CA14" s="18">
        <v>1040</v>
      </c>
      <c r="CB14" s="18">
        <v>1050</v>
      </c>
      <c r="CC14" s="18">
        <v>1050</v>
      </c>
      <c r="CD14" s="18">
        <v>1050</v>
      </c>
      <c r="CE14" s="18">
        <v>1060</v>
      </c>
      <c r="CF14" s="18">
        <v>1080</v>
      </c>
      <c r="CG14" s="18">
        <v>1100</v>
      </c>
      <c r="CH14" s="18">
        <v>1110</v>
      </c>
      <c r="CI14" s="18">
        <v>1090</v>
      </c>
      <c r="CJ14" s="18">
        <v>1100</v>
      </c>
      <c r="CK14" s="18">
        <v>1100</v>
      </c>
      <c r="CL14" s="18">
        <v>1090</v>
      </c>
      <c r="CM14" s="18">
        <v>1090</v>
      </c>
      <c r="CN14" s="18">
        <v>1100</v>
      </c>
      <c r="CO14" s="18">
        <v>1100</v>
      </c>
      <c r="CP14" s="18">
        <v>1080</v>
      </c>
      <c r="CQ14" s="18">
        <v>1060</v>
      </c>
      <c r="CR14" s="18">
        <v>1050</v>
      </c>
      <c r="CS14" s="18">
        <v>1040</v>
      </c>
      <c r="CT14" s="18">
        <v>1030</v>
      </c>
      <c r="CU14" s="18">
        <v>1030</v>
      </c>
      <c r="CV14" s="18">
        <v>1030</v>
      </c>
      <c r="CW14" s="18">
        <v>1040</v>
      </c>
      <c r="CX14" s="18">
        <v>1070</v>
      </c>
      <c r="CY14" s="18">
        <v>1090</v>
      </c>
      <c r="CZ14" s="18">
        <v>1120</v>
      </c>
      <c r="DA14" s="18">
        <v>1150</v>
      </c>
      <c r="DB14" s="18">
        <v>1180</v>
      </c>
      <c r="DC14" s="18">
        <v>1180</v>
      </c>
      <c r="DD14" s="18">
        <v>1180</v>
      </c>
      <c r="DE14" s="18">
        <v>1200</v>
      </c>
      <c r="DF14" s="18">
        <v>1250</v>
      </c>
      <c r="DG14" s="18">
        <v>1310</v>
      </c>
      <c r="DH14" s="18">
        <v>1440</v>
      </c>
      <c r="DI14" s="18">
        <v>1580</v>
      </c>
      <c r="DJ14" s="18">
        <v>1630</v>
      </c>
      <c r="DK14" s="18">
        <v>1640</v>
      </c>
      <c r="DL14" s="18">
        <v>1640</v>
      </c>
      <c r="DM14" s="18">
        <v>1640</v>
      </c>
      <c r="DN14" s="18">
        <v>1810</v>
      </c>
      <c r="DO14" s="18">
        <v>2020</v>
      </c>
      <c r="DP14" s="18">
        <v>2170</v>
      </c>
      <c r="DQ14" s="18">
        <v>2220</v>
      </c>
      <c r="DR14" s="18">
        <v>2150</v>
      </c>
      <c r="DS14" s="18">
        <v>1990</v>
      </c>
      <c r="DT14" s="18">
        <v>1830</v>
      </c>
      <c r="DU14" s="18">
        <v>1700</v>
      </c>
      <c r="DV14" s="18">
        <v>1660</v>
      </c>
      <c r="DW14" s="18">
        <v>1700</v>
      </c>
      <c r="DX14" s="18">
        <v>1730</v>
      </c>
      <c r="DY14" s="18">
        <v>1730</v>
      </c>
      <c r="DZ14" s="18">
        <v>1660</v>
      </c>
      <c r="EA14" s="18">
        <v>1610</v>
      </c>
      <c r="EB14" s="18">
        <v>1580</v>
      </c>
      <c r="EC14" s="18">
        <v>1570</v>
      </c>
      <c r="ED14" s="18">
        <v>1630</v>
      </c>
      <c r="EE14" s="18">
        <v>1780</v>
      </c>
      <c r="EF14" s="18">
        <v>1960</v>
      </c>
      <c r="EG14" s="18">
        <v>2120</v>
      </c>
      <c r="EH14" s="18">
        <v>2060</v>
      </c>
      <c r="EI14" s="18">
        <v>1960</v>
      </c>
      <c r="EJ14" s="18">
        <v>1890</v>
      </c>
      <c r="EK14" s="18">
        <v>1950</v>
      </c>
      <c r="EL14" s="18">
        <v>2110</v>
      </c>
      <c r="EM14" s="18">
        <v>2270</v>
      </c>
      <c r="EN14" s="18">
        <v>2370</v>
      </c>
      <c r="EO14" s="18">
        <v>2400</v>
      </c>
      <c r="EP14" s="18">
        <v>2410</v>
      </c>
      <c r="EQ14" s="18">
        <v>2410</v>
      </c>
      <c r="ER14" s="18">
        <v>2410</v>
      </c>
      <c r="ES14" s="18">
        <v>2460</v>
      </c>
      <c r="ET14" s="18">
        <v>2500</v>
      </c>
      <c r="EU14" s="18">
        <v>2510</v>
      </c>
      <c r="EV14" s="18">
        <v>2680</v>
      </c>
      <c r="EW14" s="18">
        <v>2750</v>
      </c>
      <c r="EX14" s="18">
        <v>2960</v>
      </c>
      <c r="EY14" s="18">
        <v>3400</v>
      </c>
      <c r="EZ14" s="18">
        <v>4560</v>
      </c>
      <c r="FA14" s="18">
        <v>4840</v>
      </c>
      <c r="FB14" s="18">
        <v>4470</v>
      </c>
      <c r="FC14" s="18">
        <v>3990</v>
      </c>
      <c r="FD14" s="18">
        <v>3690</v>
      </c>
      <c r="FE14" s="18">
        <v>3560</v>
      </c>
      <c r="FF14" s="18">
        <v>3570</v>
      </c>
      <c r="FG14" s="18">
        <v>3810</v>
      </c>
      <c r="FH14" s="18">
        <v>4050</v>
      </c>
      <c r="FI14" s="18">
        <v>4400</v>
      </c>
      <c r="FJ14" s="18">
        <v>4200</v>
      </c>
      <c r="FK14" s="18">
        <v>4100</v>
      </c>
      <c r="FL14" s="18">
        <v>4220</v>
      </c>
      <c r="FM14" s="18">
        <v>4490</v>
      </c>
      <c r="FN14" s="18">
        <v>4480</v>
      </c>
      <c r="FO14" s="18">
        <v>4370</v>
      </c>
      <c r="FP14" s="18">
        <v>4160</v>
      </c>
      <c r="FQ14" s="18">
        <v>3990</v>
      </c>
      <c r="FR14" s="18">
        <v>3840</v>
      </c>
      <c r="FS14" s="18">
        <v>3800</v>
      </c>
      <c r="FT14" s="18">
        <v>3680</v>
      </c>
      <c r="FU14" s="18">
        <v>3510</v>
      </c>
      <c r="FV14" s="18">
        <v>3510</v>
      </c>
      <c r="FW14" s="18">
        <v>3500</v>
      </c>
      <c r="FX14" s="18">
        <v>3500</v>
      </c>
      <c r="FY14" s="18">
        <v>3550</v>
      </c>
      <c r="FZ14" s="18">
        <v>3790</v>
      </c>
      <c r="GA14" s="18">
        <v>4180</v>
      </c>
      <c r="GB14" s="18">
        <v>4440</v>
      </c>
      <c r="GC14" s="18">
        <v>4940</v>
      </c>
      <c r="GD14" s="18">
        <v>5430</v>
      </c>
      <c r="GE14" s="18">
        <v>5670</v>
      </c>
      <c r="GF14" s="18">
        <v>6370</v>
      </c>
      <c r="GG14" s="18">
        <v>6460</v>
      </c>
      <c r="GH14" s="18">
        <v>6950</v>
      </c>
      <c r="GI14" s="18">
        <v>8650</v>
      </c>
      <c r="GJ14" s="18">
        <v>9910</v>
      </c>
      <c r="GK14" s="18">
        <v>12900</v>
      </c>
      <c r="GL14" s="18">
        <v>13700</v>
      </c>
      <c r="GM14" s="18">
        <v>12200</v>
      </c>
      <c r="GN14" s="18">
        <v>11100</v>
      </c>
      <c r="GO14" s="18">
        <v>10700</v>
      </c>
      <c r="GP14" s="18">
        <v>11800</v>
      </c>
      <c r="GQ14" s="18">
        <v>14000</v>
      </c>
      <c r="GR14" s="18">
        <v>14400</v>
      </c>
      <c r="GS14" s="18">
        <v>12400</v>
      </c>
      <c r="GT14" s="18">
        <v>10900</v>
      </c>
      <c r="GU14" s="18">
        <v>9870</v>
      </c>
      <c r="GV14" s="18">
        <v>8950</v>
      </c>
      <c r="GW14" s="18">
        <v>8120</v>
      </c>
      <c r="GX14" s="18">
        <v>7300</v>
      </c>
      <c r="GY14" s="18">
        <v>6560</v>
      </c>
      <c r="GZ14" s="18">
        <v>5950</v>
      </c>
      <c r="HA14" s="18">
        <v>5460</v>
      </c>
      <c r="HB14" s="18">
        <v>5330</v>
      </c>
      <c r="HC14" s="18">
        <v>5130</v>
      </c>
      <c r="HD14" s="18">
        <v>5420</v>
      </c>
      <c r="HE14" s="18">
        <v>5780</v>
      </c>
      <c r="HF14" s="18">
        <v>5840</v>
      </c>
      <c r="HG14" s="18">
        <v>5460</v>
      </c>
      <c r="HH14" s="18">
        <v>5340</v>
      </c>
      <c r="HI14" s="18">
        <v>5870</v>
      </c>
      <c r="HJ14" s="18">
        <v>6370</v>
      </c>
      <c r="HK14" s="18">
        <v>6790</v>
      </c>
      <c r="HL14" s="18">
        <v>6890</v>
      </c>
      <c r="HM14" s="18">
        <v>6810</v>
      </c>
      <c r="HN14" s="18">
        <v>6910</v>
      </c>
      <c r="HO14" s="18">
        <v>7750</v>
      </c>
      <c r="HP14" s="18">
        <v>7800</v>
      </c>
      <c r="HQ14" s="18">
        <v>7620</v>
      </c>
      <c r="HR14" s="18">
        <v>7730</v>
      </c>
      <c r="HS14" s="18">
        <v>7480</v>
      </c>
      <c r="HT14" s="18">
        <v>6950</v>
      </c>
      <c r="HU14" s="18">
        <v>7700</v>
      </c>
      <c r="HV14" s="18">
        <v>8480</v>
      </c>
      <c r="HW14" s="18">
        <v>8630</v>
      </c>
      <c r="HX14" s="18">
        <v>8580</v>
      </c>
      <c r="HY14" s="18">
        <v>10400</v>
      </c>
      <c r="HZ14" s="18">
        <v>12400</v>
      </c>
      <c r="IA14" s="18">
        <v>12600</v>
      </c>
      <c r="IB14" s="18">
        <v>12300</v>
      </c>
      <c r="IC14" s="18">
        <v>11800</v>
      </c>
      <c r="ID14" s="18">
        <v>10900</v>
      </c>
      <c r="IE14" s="18">
        <v>10100</v>
      </c>
      <c r="IF14" s="18">
        <v>9400</v>
      </c>
      <c r="IG14" s="18">
        <v>9040</v>
      </c>
      <c r="IH14" s="18">
        <v>8880</v>
      </c>
      <c r="II14" s="18">
        <v>8560</v>
      </c>
      <c r="IJ14" s="18">
        <v>8660</v>
      </c>
      <c r="IK14" s="18">
        <v>8550</v>
      </c>
      <c r="IL14" s="18">
        <v>8380</v>
      </c>
      <c r="IM14" s="18">
        <v>8950</v>
      </c>
      <c r="IN14" s="18">
        <v>9540</v>
      </c>
      <c r="IO14" s="18">
        <v>9470</v>
      </c>
      <c r="IP14" s="18">
        <v>8950</v>
      </c>
      <c r="IQ14" s="18">
        <v>8330</v>
      </c>
      <c r="IR14" s="18">
        <v>7580</v>
      </c>
      <c r="IS14" s="18">
        <v>6890</v>
      </c>
      <c r="IT14" s="18">
        <v>6420</v>
      </c>
      <c r="IU14" s="18">
        <v>6100</v>
      </c>
      <c r="IV14" s="18">
        <v>5990</v>
      </c>
      <c r="IW14" s="18">
        <v>5680</v>
      </c>
      <c r="IX14" s="18">
        <v>5370</v>
      </c>
      <c r="IY14" s="18">
        <v>5070</v>
      </c>
      <c r="IZ14" s="18">
        <v>4860</v>
      </c>
      <c r="JA14" s="18">
        <v>4750</v>
      </c>
      <c r="JB14" s="18">
        <v>4810</v>
      </c>
      <c r="JC14" s="18">
        <v>5200</v>
      </c>
      <c r="JD14" s="18">
        <v>5250</v>
      </c>
      <c r="JE14" s="18">
        <v>5090</v>
      </c>
      <c r="JF14" s="18">
        <v>5250</v>
      </c>
      <c r="JG14" s="18">
        <v>6180</v>
      </c>
      <c r="JH14" s="18">
        <v>7030</v>
      </c>
      <c r="JI14" s="18">
        <v>6500</v>
      </c>
      <c r="JJ14" s="18">
        <v>6100</v>
      </c>
      <c r="JK14" s="18">
        <v>6160</v>
      </c>
      <c r="JL14" s="18">
        <v>5800</v>
      </c>
      <c r="JM14" s="18">
        <v>5490</v>
      </c>
      <c r="JN14" s="18">
        <v>5220</v>
      </c>
      <c r="JO14" s="18">
        <v>5260</v>
      </c>
      <c r="JP14" s="18">
        <v>5490</v>
      </c>
      <c r="JQ14" s="18">
        <v>5220</v>
      </c>
      <c r="JR14" s="18">
        <v>4970</v>
      </c>
      <c r="JS14" s="18">
        <v>4750</v>
      </c>
      <c r="JT14" s="18">
        <v>4570</v>
      </c>
      <c r="JU14" s="18">
        <v>4530</v>
      </c>
      <c r="JV14" s="18">
        <v>4770</v>
      </c>
      <c r="JW14" s="18">
        <v>5080</v>
      </c>
      <c r="JX14" s="18">
        <v>5490</v>
      </c>
      <c r="JY14" s="18">
        <v>5330</v>
      </c>
      <c r="JZ14" s="18">
        <v>5090</v>
      </c>
      <c r="KA14" s="18">
        <v>5370</v>
      </c>
      <c r="KB14" s="18">
        <v>5660</v>
      </c>
      <c r="KC14" s="18">
        <v>5570</v>
      </c>
      <c r="KD14" s="18">
        <v>5130</v>
      </c>
      <c r="KE14" s="18">
        <v>4760</v>
      </c>
      <c r="KF14" s="18">
        <v>4520</v>
      </c>
      <c r="KG14" s="18">
        <v>4350</v>
      </c>
      <c r="KH14" s="18">
        <v>4180</v>
      </c>
      <c r="KI14" s="18">
        <v>4080</v>
      </c>
      <c r="KJ14" s="18">
        <v>4030</v>
      </c>
      <c r="KK14" s="18">
        <v>4000</v>
      </c>
      <c r="KL14" s="18">
        <v>4390</v>
      </c>
      <c r="KM14" s="18">
        <v>4950</v>
      </c>
      <c r="KN14" s="18">
        <v>4710</v>
      </c>
      <c r="KO14" s="18">
        <v>4380</v>
      </c>
      <c r="KP14" s="18">
        <v>4030</v>
      </c>
      <c r="KQ14" s="18">
        <v>3690</v>
      </c>
      <c r="KR14" s="18">
        <v>3520</v>
      </c>
      <c r="KS14" s="18">
        <v>3410</v>
      </c>
      <c r="KT14" s="18">
        <v>3310</v>
      </c>
      <c r="KU14" s="18">
        <v>3140</v>
      </c>
      <c r="KV14" s="18">
        <v>3080</v>
      </c>
      <c r="KW14" s="18">
        <v>2950</v>
      </c>
      <c r="KX14" s="18">
        <v>2910</v>
      </c>
      <c r="KY14" s="18">
        <v>2860</v>
      </c>
      <c r="KZ14" s="18">
        <v>2820</v>
      </c>
      <c r="LA14" s="18">
        <v>2760</v>
      </c>
      <c r="LB14" s="18">
        <v>2710</v>
      </c>
      <c r="LC14" s="18">
        <v>2660</v>
      </c>
      <c r="LD14" s="18">
        <v>2680</v>
      </c>
      <c r="LE14" s="18">
        <v>2680</v>
      </c>
      <c r="LF14" s="18">
        <v>2610</v>
      </c>
      <c r="LG14" s="18">
        <v>2550</v>
      </c>
      <c r="LH14" s="18">
        <v>2490</v>
      </c>
      <c r="LI14" s="18">
        <v>2450</v>
      </c>
      <c r="LJ14" s="18">
        <v>2390</v>
      </c>
      <c r="LK14" s="18">
        <v>2350</v>
      </c>
      <c r="LL14" s="18">
        <v>2310</v>
      </c>
      <c r="LM14" s="18">
        <v>2270</v>
      </c>
      <c r="LN14" s="18">
        <v>2230</v>
      </c>
      <c r="LO14" s="18">
        <v>2190</v>
      </c>
      <c r="LP14" s="18">
        <v>2160</v>
      </c>
      <c r="LQ14" s="18">
        <v>2130</v>
      </c>
      <c r="LR14" s="18">
        <v>2090</v>
      </c>
      <c r="LS14" s="18">
        <v>2070</v>
      </c>
      <c r="LT14" s="18">
        <v>2090</v>
      </c>
      <c r="LU14" s="18">
        <v>2100</v>
      </c>
      <c r="LV14" s="18">
        <v>2050</v>
      </c>
      <c r="LW14" s="18">
        <v>1970</v>
      </c>
      <c r="LX14" s="18">
        <v>1930</v>
      </c>
      <c r="LY14" s="18">
        <v>1900</v>
      </c>
      <c r="LZ14" s="18">
        <v>1870</v>
      </c>
      <c r="MA14" s="18">
        <v>1870</v>
      </c>
      <c r="MB14" s="18">
        <v>1830</v>
      </c>
      <c r="MC14" s="18">
        <v>1810</v>
      </c>
      <c r="MD14" s="18">
        <v>1790</v>
      </c>
      <c r="ME14" s="18">
        <v>1770</v>
      </c>
      <c r="MF14" s="18">
        <v>1740</v>
      </c>
      <c r="MG14" s="18">
        <v>1740</v>
      </c>
      <c r="MH14" s="18">
        <v>1720</v>
      </c>
      <c r="MI14" s="18">
        <v>1690</v>
      </c>
      <c r="MJ14" s="18">
        <v>1670</v>
      </c>
      <c r="MK14" s="18">
        <v>1630</v>
      </c>
      <c r="ML14" s="18">
        <v>1600</v>
      </c>
      <c r="MM14" s="18">
        <v>1580</v>
      </c>
      <c r="MN14" s="18">
        <v>1560</v>
      </c>
      <c r="MO14" s="18">
        <v>1550</v>
      </c>
      <c r="MP14" s="18">
        <v>1530</v>
      </c>
      <c r="MQ14" s="18">
        <v>1510</v>
      </c>
      <c r="MR14" s="18">
        <v>1490</v>
      </c>
      <c r="MS14" s="18">
        <v>1480</v>
      </c>
      <c r="MT14" s="18">
        <v>1460</v>
      </c>
      <c r="MU14" s="18">
        <v>1440</v>
      </c>
      <c r="MV14" s="18">
        <v>1420</v>
      </c>
      <c r="MW14" s="18">
        <v>1410</v>
      </c>
      <c r="MX14" s="18">
        <v>1410</v>
      </c>
      <c r="MY14" s="18">
        <v>1390</v>
      </c>
      <c r="MZ14" s="18">
        <v>1370</v>
      </c>
      <c r="NA14" s="18">
        <v>1360</v>
      </c>
      <c r="NB14" s="18">
        <v>1350</v>
      </c>
      <c r="NC14" s="18">
        <v>1320</v>
      </c>
      <c r="ND14" s="1">
        <v>1220</v>
      </c>
      <c r="NE14" s="1">
        <v>1080</v>
      </c>
      <c r="NF14" s="1">
        <v>1070</v>
      </c>
      <c r="NG14" s="1">
        <v>1370</v>
      </c>
      <c r="NH14" s="1">
        <v>2040</v>
      </c>
      <c r="NI14" s="1">
        <v>3940</v>
      </c>
      <c r="NJ14" s="1">
        <v>8470</v>
      </c>
      <c r="NK14" s="1">
        <v>8480</v>
      </c>
      <c r="NL14" s="1">
        <v>6390</v>
      </c>
      <c r="NM14" s="1">
        <v>4620</v>
      </c>
      <c r="NN14" s="1">
        <v>2460</v>
      </c>
      <c r="NO14" s="1">
        <v>1590</v>
      </c>
      <c r="NP14" s="1">
        <v>3581.6164383561645</v>
      </c>
      <c r="NQ14" s="1">
        <v>14400</v>
      </c>
      <c r="NR14" s="19">
        <v>42568</v>
      </c>
      <c r="NS14" s="1">
        <v>1030</v>
      </c>
      <c r="NT14" s="19">
        <v>42425</v>
      </c>
    </row>
    <row r="15" spans="1:385" x14ac:dyDescent="0.15">
      <c r="A15" s="1">
        <v>1962</v>
      </c>
      <c r="B15" s="18">
        <v>1320</v>
      </c>
      <c r="C15" s="18">
        <v>1300</v>
      </c>
      <c r="D15" s="18">
        <v>1280</v>
      </c>
      <c r="E15" s="18">
        <v>1280</v>
      </c>
      <c r="F15" s="18">
        <v>1260</v>
      </c>
      <c r="G15" s="18">
        <v>1250</v>
      </c>
      <c r="H15" s="18">
        <v>1250</v>
      </c>
      <c r="I15" s="18">
        <v>1240</v>
      </c>
      <c r="J15" s="18">
        <v>1220</v>
      </c>
      <c r="K15" s="18">
        <v>1220</v>
      </c>
      <c r="L15" s="18">
        <v>1210</v>
      </c>
      <c r="M15" s="18">
        <v>1200</v>
      </c>
      <c r="N15" s="18">
        <v>1200</v>
      </c>
      <c r="O15" s="18">
        <v>1200</v>
      </c>
      <c r="P15" s="18">
        <v>1190</v>
      </c>
      <c r="Q15" s="18">
        <v>1170</v>
      </c>
      <c r="R15" s="18">
        <v>1170</v>
      </c>
      <c r="S15" s="18">
        <v>1170</v>
      </c>
      <c r="T15" s="18">
        <v>1170</v>
      </c>
      <c r="U15" s="18">
        <v>1160</v>
      </c>
      <c r="V15" s="18">
        <v>1160</v>
      </c>
      <c r="W15" s="18">
        <v>1160</v>
      </c>
      <c r="X15" s="18">
        <v>1160</v>
      </c>
      <c r="Y15" s="18">
        <v>1160</v>
      </c>
      <c r="Z15" s="18">
        <v>1160</v>
      </c>
      <c r="AA15" s="18">
        <v>1140</v>
      </c>
      <c r="AB15" s="18">
        <v>1130</v>
      </c>
      <c r="AC15" s="18">
        <v>1130</v>
      </c>
      <c r="AD15" s="18">
        <v>1130</v>
      </c>
      <c r="AE15" s="18">
        <v>1160</v>
      </c>
      <c r="AF15" s="18">
        <v>1190</v>
      </c>
      <c r="AG15" s="18">
        <v>1190</v>
      </c>
      <c r="AH15" s="18">
        <v>1190</v>
      </c>
      <c r="AI15" s="18">
        <v>1170</v>
      </c>
      <c r="AJ15" s="18">
        <v>1150</v>
      </c>
      <c r="AK15" s="18">
        <v>1140</v>
      </c>
      <c r="AL15" s="18">
        <v>1130</v>
      </c>
      <c r="AM15" s="18">
        <v>1110</v>
      </c>
      <c r="AN15" s="18">
        <v>1100</v>
      </c>
      <c r="AO15" s="18">
        <v>1080</v>
      </c>
      <c r="AP15" s="18">
        <v>1080</v>
      </c>
      <c r="AQ15" s="18">
        <v>1080</v>
      </c>
      <c r="AR15" s="18">
        <v>1080</v>
      </c>
      <c r="AS15" s="18">
        <v>1080</v>
      </c>
      <c r="AT15" s="18">
        <v>1070</v>
      </c>
      <c r="AU15" s="18">
        <v>1070</v>
      </c>
      <c r="AV15" s="18">
        <v>1060</v>
      </c>
      <c r="AW15" s="18">
        <v>1060</v>
      </c>
      <c r="AX15" s="18">
        <v>1050</v>
      </c>
      <c r="AY15" s="18">
        <v>1050</v>
      </c>
      <c r="AZ15" s="18">
        <v>1050</v>
      </c>
      <c r="BA15" s="18">
        <v>1050</v>
      </c>
      <c r="BB15" s="18">
        <v>1050</v>
      </c>
      <c r="BC15" s="18">
        <v>1040</v>
      </c>
      <c r="BD15" s="18">
        <v>1030</v>
      </c>
      <c r="BE15" s="18">
        <v>1030</v>
      </c>
      <c r="BF15" s="18">
        <v>1020</v>
      </c>
      <c r="BG15" s="18">
        <v>1020</v>
      </c>
      <c r="BH15" s="18">
        <v>1030</v>
      </c>
      <c r="BI15" s="18"/>
      <c r="BJ15" s="18">
        <v>1020</v>
      </c>
      <c r="BK15" s="18">
        <v>1020</v>
      </c>
      <c r="BL15" s="18">
        <v>1020</v>
      </c>
      <c r="BM15" s="18">
        <v>1020</v>
      </c>
      <c r="BN15" s="18">
        <v>1030</v>
      </c>
      <c r="BO15" s="18">
        <v>1030</v>
      </c>
      <c r="BP15" s="18">
        <v>1020</v>
      </c>
      <c r="BQ15" s="18">
        <v>1010</v>
      </c>
      <c r="BR15" s="18">
        <v>1010</v>
      </c>
      <c r="BS15" s="18">
        <v>1000</v>
      </c>
      <c r="BT15" s="18">
        <v>1000</v>
      </c>
      <c r="BU15" s="18">
        <v>1000</v>
      </c>
      <c r="BV15" s="18">
        <v>994</v>
      </c>
      <c r="BW15" s="18">
        <v>989</v>
      </c>
      <c r="BX15" s="18">
        <v>994</v>
      </c>
      <c r="BY15" s="18">
        <v>979</v>
      </c>
      <c r="BZ15" s="18">
        <v>968</v>
      </c>
      <c r="CA15" s="18">
        <v>963</v>
      </c>
      <c r="CB15" s="18">
        <v>958</v>
      </c>
      <c r="CC15" s="18">
        <v>949</v>
      </c>
      <c r="CD15" s="18">
        <v>949</v>
      </c>
      <c r="CE15" s="18">
        <v>949</v>
      </c>
      <c r="CF15" s="18">
        <v>958</v>
      </c>
      <c r="CG15" s="18">
        <v>958</v>
      </c>
      <c r="CH15" s="18">
        <v>958</v>
      </c>
      <c r="CI15" s="18">
        <v>958</v>
      </c>
      <c r="CJ15" s="18">
        <v>963</v>
      </c>
      <c r="CK15" s="18">
        <v>963</v>
      </c>
      <c r="CL15" s="18">
        <v>968</v>
      </c>
      <c r="CM15" s="18">
        <v>968</v>
      </c>
      <c r="CN15" s="18">
        <v>979</v>
      </c>
      <c r="CO15" s="18">
        <v>984</v>
      </c>
      <c r="CP15" s="18">
        <v>979</v>
      </c>
      <c r="CQ15" s="18">
        <v>974</v>
      </c>
      <c r="CR15" s="18">
        <v>979</v>
      </c>
      <c r="CS15" s="18">
        <v>1000</v>
      </c>
      <c r="CT15" s="18">
        <v>1010</v>
      </c>
      <c r="CU15" s="18">
        <v>1020</v>
      </c>
      <c r="CV15" s="18">
        <v>1030</v>
      </c>
      <c r="CW15" s="18">
        <v>1030</v>
      </c>
      <c r="CX15" s="18">
        <v>1020</v>
      </c>
      <c r="CY15" s="18">
        <v>1020</v>
      </c>
      <c r="CZ15" s="18">
        <v>1020</v>
      </c>
      <c r="DA15" s="18">
        <v>1030</v>
      </c>
      <c r="DB15" s="18">
        <v>1050</v>
      </c>
      <c r="DC15" s="18">
        <v>1100</v>
      </c>
      <c r="DD15" s="18">
        <v>1160</v>
      </c>
      <c r="DE15" s="18">
        <v>1180</v>
      </c>
      <c r="DF15" s="18">
        <v>1200</v>
      </c>
      <c r="DG15" s="18">
        <v>1200</v>
      </c>
      <c r="DH15" s="18">
        <v>1220</v>
      </c>
      <c r="DI15" s="18">
        <v>1240</v>
      </c>
      <c r="DJ15" s="18">
        <v>1270</v>
      </c>
      <c r="DK15" s="18">
        <v>1280</v>
      </c>
      <c r="DL15" s="18">
        <v>1340</v>
      </c>
      <c r="DM15" s="18">
        <v>1390</v>
      </c>
      <c r="DN15" s="18">
        <v>1450</v>
      </c>
      <c r="DO15" s="18">
        <v>1470</v>
      </c>
      <c r="DP15" s="18">
        <v>1500</v>
      </c>
      <c r="DQ15" s="18">
        <v>1510</v>
      </c>
      <c r="DR15" s="18">
        <v>1540</v>
      </c>
      <c r="DS15" s="18">
        <v>1540</v>
      </c>
      <c r="DT15" s="18">
        <v>1580</v>
      </c>
      <c r="DU15" s="18">
        <v>1700</v>
      </c>
      <c r="DV15" s="18">
        <v>1800</v>
      </c>
      <c r="DW15" s="18">
        <v>1820</v>
      </c>
      <c r="DX15" s="18">
        <v>1770</v>
      </c>
      <c r="DY15" s="18">
        <v>1740</v>
      </c>
      <c r="DZ15" s="18">
        <v>1730</v>
      </c>
      <c r="EA15" s="18">
        <v>1750</v>
      </c>
      <c r="EB15" s="18">
        <v>1710</v>
      </c>
      <c r="EC15" s="18">
        <v>1640</v>
      </c>
      <c r="ED15" s="18">
        <v>1610</v>
      </c>
      <c r="EE15" s="18">
        <v>1660</v>
      </c>
      <c r="EF15" s="18">
        <v>1710</v>
      </c>
      <c r="EG15" s="18">
        <v>1680</v>
      </c>
      <c r="EH15" s="18">
        <v>1660</v>
      </c>
      <c r="EI15" s="18">
        <v>1600</v>
      </c>
      <c r="EJ15" s="18">
        <v>1570</v>
      </c>
      <c r="EK15" s="18">
        <v>1550</v>
      </c>
      <c r="EL15" s="18">
        <v>1560</v>
      </c>
      <c r="EM15" s="18">
        <v>1620</v>
      </c>
      <c r="EN15" s="18">
        <v>1660</v>
      </c>
      <c r="EO15" s="18">
        <v>1750</v>
      </c>
      <c r="EP15" s="18">
        <v>1970</v>
      </c>
      <c r="EQ15" s="18">
        <v>2140</v>
      </c>
      <c r="ER15" s="18">
        <v>2190</v>
      </c>
      <c r="ES15" s="18">
        <v>2330</v>
      </c>
      <c r="ET15" s="18">
        <v>2470</v>
      </c>
      <c r="EU15" s="18">
        <v>2590</v>
      </c>
      <c r="EV15" s="18">
        <v>2660</v>
      </c>
      <c r="EW15" s="18">
        <v>2790</v>
      </c>
      <c r="EX15" s="18">
        <v>3010</v>
      </c>
      <c r="EY15" s="18">
        <v>3090</v>
      </c>
      <c r="EZ15" s="18">
        <v>3010</v>
      </c>
      <c r="FA15" s="18">
        <v>2940</v>
      </c>
      <c r="FB15" s="18">
        <v>3260</v>
      </c>
      <c r="FC15" s="18">
        <v>3260</v>
      </c>
      <c r="FD15" s="18">
        <v>3360</v>
      </c>
      <c r="FE15" s="18">
        <v>3530</v>
      </c>
      <c r="FF15" s="18">
        <v>3710</v>
      </c>
      <c r="FG15" s="18">
        <v>4110</v>
      </c>
      <c r="FH15" s="18">
        <v>4740</v>
      </c>
      <c r="FI15" s="18">
        <v>5230</v>
      </c>
      <c r="FJ15" s="18">
        <v>5180</v>
      </c>
      <c r="FK15" s="18">
        <v>4870</v>
      </c>
      <c r="FL15" s="18">
        <v>4480</v>
      </c>
      <c r="FM15" s="18">
        <v>4310</v>
      </c>
      <c r="FN15" s="18">
        <v>4620</v>
      </c>
      <c r="FO15" s="18">
        <v>4170</v>
      </c>
      <c r="FP15" s="18">
        <v>4190</v>
      </c>
      <c r="FQ15" s="18">
        <v>4920</v>
      </c>
      <c r="FR15" s="18">
        <v>5770</v>
      </c>
      <c r="FS15" s="18">
        <v>7300</v>
      </c>
      <c r="FT15" s="18">
        <v>7950</v>
      </c>
      <c r="FU15" s="18">
        <v>7380</v>
      </c>
      <c r="FV15" s="18">
        <v>6900</v>
      </c>
      <c r="FW15" s="18">
        <v>6960</v>
      </c>
      <c r="FX15" s="18">
        <v>7490</v>
      </c>
      <c r="FY15" s="18">
        <v>7960</v>
      </c>
      <c r="FZ15" s="18">
        <v>8020</v>
      </c>
      <c r="GA15" s="18">
        <v>8220</v>
      </c>
      <c r="GB15" s="18">
        <v>8710</v>
      </c>
      <c r="GC15" s="18">
        <v>9910</v>
      </c>
      <c r="GD15" s="18">
        <v>9250</v>
      </c>
      <c r="GE15" s="18">
        <v>10300</v>
      </c>
      <c r="GF15" s="18">
        <v>11500</v>
      </c>
      <c r="GG15" s="18">
        <v>11300</v>
      </c>
      <c r="GH15" s="18">
        <v>10900</v>
      </c>
      <c r="GI15" s="18">
        <v>10100</v>
      </c>
      <c r="GJ15" s="18">
        <v>9200</v>
      </c>
      <c r="GK15" s="18">
        <v>8820</v>
      </c>
      <c r="GL15" s="18">
        <v>8570</v>
      </c>
      <c r="GM15" s="18">
        <v>8170</v>
      </c>
      <c r="GN15" s="18">
        <v>7880</v>
      </c>
      <c r="GO15" s="18">
        <v>7610</v>
      </c>
      <c r="GP15" s="18">
        <v>7080</v>
      </c>
      <c r="GQ15" s="18">
        <v>6750</v>
      </c>
      <c r="GR15" s="18">
        <v>6740</v>
      </c>
      <c r="GS15" s="18">
        <v>7020</v>
      </c>
      <c r="GT15" s="18">
        <v>7200</v>
      </c>
      <c r="GU15" s="18">
        <v>6900</v>
      </c>
      <c r="GV15" s="18">
        <v>6900</v>
      </c>
      <c r="GW15" s="18">
        <v>7310</v>
      </c>
      <c r="GX15" s="18">
        <v>7360</v>
      </c>
      <c r="GY15" s="18">
        <v>7580</v>
      </c>
      <c r="GZ15" s="18">
        <v>7840</v>
      </c>
      <c r="HA15" s="18">
        <v>7930</v>
      </c>
      <c r="HB15" s="18">
        <v>7720</v>
      </c>
      <c r="HC15" s="18">
        <v>7390</v>
      </c>
      <c r="HD15" s="18">
        <v>7800</v>
      </c>
      <c r="HE15" s="18">
        <v>8890</v>
      </c>
      <c r="HF15" s="18">
        <v>9640</v>
      </c>
      <c r="HG15" s="18">
        <v>11900</v>
      </c>
      <c r="HH15" s="18">
        <v>13000</v>
      </c>
      <c r="HI15" s="18">
        <v>12900</v>
      </c>
      <c r="HJ15" s="18">
        <v>12500</v>
      </c>
      <c r="HK15" s="18">
        <v>12300</v>
      </c>
      <c r="HL15" s="18">
        <v>13200</v>
      </c>
      <c r="HM15" s="18">
        <v>13500</v>
      </c>
      <c r="HN15" s="18">
        <v>14700</v>
      </c>
      <c r="HO15" s="18">
        <v>17300</v>
      </c>
      <c r="HP15" s="18">
        <v>19400</v>
      </c>
      <c r="HQ15" s="18">
        <v>20900</v>
      </c>
      <c r="HR15" s="18">
        <v>20200</v>
      </c>
      <c r="HS15" s="18">
        <v>18200</v>
      </c>
      <c r="HT15" s="18">
        <v>17300</v>
      </c>
      <c r="HU15" s="18">
        <v>17000</v>
      </c>
      <c r="HV15" s="18">
        <v>17200</v>
      </c>
      <c r="HW15" s="18">
        <v>18500</v>
      </c>
      <c r="HX15" s="18">
        <v>20200</v>
      </c>
      <c r="HY15" s="18">
        <v>19900</v>
      </c>
      <c r="HZ15" s="18">
        <v>18300</v>
      </c>
      <c r="IA15" s="18">
        <v>17800</v>
      </c>
      <c r="IB15" s="18">
        <v>16000</v>
      </c>
      <c r="IC15" s="18">
        <v>14600</v>
      </c>
      <c r="ID15" s="18">
        <v>14700</v>
      </c>
      <c r="IE15" s="18">
        <v>14900</v>
      </c>
      <c r="IF15" s="18">
        <v>14000</v>
      </c>
      <c r="IG15" s="18">
        <v>13300</v>
      </c>
      <c r="IH15" s="18">
        <v>13600</v>
      </c>
      <c r="II15" s="18">
        <v>13300</v>
      </c>
      <c r="IJ15" s="18">
        <v>12600</v>
      </c>
      <c r="IK15" s="18">
        <v>12200</v>
      </c>
      <c r="IL15" s="18">
        <v>12300</v>
      </c>
      <c r="IM15" s="18">
        <v>11900</v>
      </c>
      <c r="IN15" s="18">
        <v>11800</v>
      </c>
      <c r="IO15" s="18">
        <v>11500</v>
      </c>
      <c r="IP15" s="18">
        <v>11200</v>
      </c>
      <c r="IQ15" s="18">
        <v>11500</v>
      </c>
      <c r="IR15" s="18">
        <v>12300</v>
      </c>
      <c r="IS15" s="18">
        <v>12800</v>
      </c>
      <c r="IT15" s="18">
        <v>12600</v>
      </c>
      <c r="IU15" s="18">
        <v>11900</v>
      </c>
      <c r="IV15" s="18">
        <v>11200</v>
      </c>
      <c r="IW15" s="18">
        <v>10800</v>
      </c>
      <c r="IX15" s="18">
        <v>10500</v>
      </c>
      <c r="IY15" s="18">
        <v>10400</v>
      </c>
      <c r="IZ15" s="18">
        <v>10200</v>
      </c>
      <c r="JA15" s="18">
        <v>10000</v>
      </c>
      <c r="JB15" s="18">
        <v>10100</v>
      </c>
      <c r="JC15" s="18">
        <v>9990</v>
      </c>
      <c r="JD15" s="18">
        <v>9990</v>
      </c>
      <c r="JE15" s="18">
        <v>10900</v>
      </c>
      <c r="JF15" s="18">
        <v>11500</v>
      </c>
      <c r="JG15" s="18">
        <v>10800</v>
      </c>
      <c r="JH15" s="18">
        <v>10100</v>
      </c>
      <c r="JI15" s="18">
        <v>9430</v>
      </c>
      <c r="JJ15" s="18">
        <v>8930</v>
      </c>
      <c r="JK15" s="18">
        <v>8640</v>
      </c>
      <c r="JL15" s="18">
        <v>8480</v>
      </c>
      <c r="JM15" s="18">
        <v>8370</v>
      </c>
      <c r="JN15" s="18">
        <v>8320</v>
      </c>
      <c r="JO15" s="18">
        <v>8260</v>
      </c>
      <c r="JP15" s="18">
        <v>7890</v>
      </c>
      <c r="JQ15" s="18">
        <v>7510</v>
      </c>
      <c r="JR15" s="18">
        <v>7050</v>
      </c>
      <c r="JS15" s="18">
        <v>6780</v>
      </c>
      <c r="JT15" s="18">
        <v>6660</v>
      </c>
      <c r="JU15" s="18">
        <v>6570</v>
      </c>
      <c r="JV15" s="18">
        <v>6400</v>
      </c>
      <c r="JW15" s="18">
        <v>6180</v>
      </c>
      <c r="JX15" s="18">
        <v>5940</v>
      </c>
      <c r="JY15" s="18">
        <v>5730</v>
      </c>
      <c r="JZ15" s="18">
        <v>5560</v>
      </c>
      <c r="KA15" s="18">
        <v>5370</v>
      </c>
      <c r="KB15" s="18">
        <v>5170</v>
      </c>
      <c r="KC15" s="18">
        <v>4970</v>
      </c>
      <c r="KD15" s="18">
        <v>4860</v>
      </c>
      <c r="KE15" s="18">
        <v>4710</v>
      </c>
      <c r="KF15" s="18">
        <v>4610</v>
      </c>
      <c r="KG15" s="18">
        <v>4510</v>
      </c>
      <c r="KH15" s="18">
        <v>4390</v>
      </c>
      <c r="KI15" s="18">
        <v>4260</v>
      </c>
      <c r="KJ15" s="18">
        <v>4170</v>
      </c>
      <c r="KK15" s="18">
        <v>4140</v>
      </c>
      <c r="KL15" s="18">
        <v>4100</v>
      </c>
      <c r="KM15" s="18">
        <v>4030</v>
      </c>
      <c r="KN15" s="18">
        <v>3950</v>
      </c>
      <c r="KO15" s="18">
        <v>3910</v>
      </c>
      <c r="KP15" s="18">
        <v>3910</v>
      </c>
      <c r="KQ15" s="18">
        <v>3830</v>
      </c>
      <c r="KR15" s="18">
        <v>3780</v>
      </c>
      <c r="KS15" s="18">
        <v>3690</v>
      </c>
      <c r="KT15" s="18">
        <v>3640</v>
      </c>
      <c r="KU15" s="18">
        <v>3750</v>
      </c>
      <c r="KV15" s="18">
        <v>3890</v>
      </c>
      <c r="KW15" s="18">
        <v>3800</v>
      </c>
      <c r="KX15" s="18">
        <v>3710</v>
      </c>
      <c r="KY15" s="18">
        <v>3540</v>
      </c>
      <c r="KZ15" s="18">
        <v>3410</v>
      </c>
      <c r="LA15" s="18">
        <v>3320</v>
      </c>
      <c r="LB15" s="18">
        <v>3200</v>
      </c>
      <c r="LC15" s="18">
        <v>3120</v>
      </c>
      <c r="LD15" s="18">
        <v>3050</v>
      </c>
      <c r="LE15" s="18">
        <v>2940</v>
      </c>
      <c r="LF15" s="18">
        <v>2900</v>
      </c>
      <c r="LG15" s="18">
        <v>2840</v>
      </c>
      <c r="LH15" s="18">
        <v>2780</v>
      </c>
      <c r="LI15" s="18">
        <v>2730</v>
      </c>
      <c r="LJ15" s="18">
        <v>2680</v>
      </c>
      <c r="LK15" s="18">
        <v>2650</v>
      </c>
      <c r="LL15" s="18">
        <v>2620</v>
      </c>
      <c r="LM15" s="18">
        <v>2600</v>
      </c>
      <c r="LN15" s="18">
        <v>2550</v>
      </c>
      <c r="LO15" s="18">
        <v>2530</v>
      </c>
      <c r="LP15" s="18">
        <v>2490</v>
      </c>
      <c r="LQ15" s="18">
        <v>2470</v>
      </c>
      <c r="LR15" s="18">
        <v>2420</v>
      </c>
      <c r="LS15" s="18">
        <v>2400</v>
      </c>
      <c r="LT15" s="18">
        <v>2380</v>
      </c>
      <c r="LU15" s="18">
        <v>2360</v>
      </c>
      <c r="LV15" s="18">
        <v>2340</v>
      </c>
      <c r="LW15" s="18">
        <v>2300</v>
      </c>
      <c r="LX15" s="18">
        <v>2260</v>
      </c>
      <c r="LY15" s="18">
        <v>2240</v>
      </c>
      <c r="LZ15" s="18">
        <v>2220</v>
      </c>
      <c r="MA15" s="18">
        <v>2200</v>
      </c>
      <c r="MB15" s="18">
        <v>2180</v>
      </c>
      <c r="MC15" s="18">
        <v>2150</v>
      </c>
      <c r="MD15" s="18">
        <v>2110</v>
      </c>
      <c r="ME15" s="18">
        <v>2070</v>
      </c>
      <c r="MF15" s="18">
        <v>2040</v>
      </c>
      <c r="MG15" s="18">
        <v>2010</v>
      </c>
      <c r="MH15" s="18">
        <v>1990</v>
      </c>
      <c r="MI15" s="18">
        <v>1990</v>
      </c>
      <c r="MJ15" s="18">
        <v>1970</v>
      </c>
      <c r="MK15" s="18">
        <v>1950</v>
      </c>
      <c r="ML15" s="18">
        <v>1910</v>
      </c>
      <c r="MM15" s="18">
        <v>1890</v>
      </c>
      <c r="MN15" s="18">
        <v>1870</v>
      </c>
      <c r="MO15" s="18">
        <v>1860</v>
      </c>
      <c r="MP15" s="18">
        <v>1830</v>
      </c>
      <c r="MQ15" s="18">
        <v>1800</v>
      </c>
      <c r="MR15" s="18">
        <v>1790</v>
      </c>
      <c r="MS15" s="18">
        <v>1750</v>
      </c>
      <c r="MT15" s="18">
        <v>1740</v>
      </c>
      <c r="MU15" s="18">
        <v>1720</v>
      </c>
      <c r="MV15" s="18">
        <v>1700</v>
      </c>
      <c r="MW15" s="18">
        <v>1700</v>
      </c>
      <c r="MX15" s="18">
        <v>1680</v>
      </c>
      <c r="MY15" s="18">
        <v>1660</v>
      </c>
      <c r="MZ15" s="18">
        <v>1620</v>
      </c>
      <c r="NA15" s="18">
        <v>1590</v>
      </c>
      <c r="NB15" s="18">
        <v>1560</v>
      </c>
      <c r="NC15" s="18">
        <v>1540</v>
      </c>
      <c r="ND15" s="1">
        <v>1200</v>
      </c>
      <c r="NE15" s="1">
        <v>1080</v>
      </c>
      <c r="NF15" s="1">
        <v>985</v>
      </c>
      <c r="NG15" s="1">
        <v>1170</v>
      </c>
      <c r="NH15" s="1">
        <v>1860</v>
      </c>
      <c r="NI15" s="1">
        <v>5130</v>
      </c>
      <c r="NJ15" s="1">
        <v>8400</v>
      </c>
      <c r="NK15" s="1">
        <v>15700</v>
      </c>
      <c r="NL15" s="1">
        <v>10600</v>
      </c>
      <c r="NM15" s="1">
        <v>5110</v>
      </c>
      <c r="NN15" s="1">
        <v>2870</v>
      </c>
      <c r="NO15" s="1">
        <v>1880</v>
      </c>
      <c r="NP15" s="1">
        <v>4683.9479452054793</v>
      </c>
      <c r="NQ15" s="1">
        <v>20900</v>
      </c>
      <c r="NR15" s="19">
        <v>42593</v>
      </c>
      <c r="NS15" s="1">
        <v>949</v>
      </c>
      <c r="NT15" s="19">
        <v>42449</v>
      </c>
    </row>
    <row r="16" spans="1:385" x14ac:dyDescent="0.15">
      <c r="A16" s="1">
        <v>1963</v>
      </c>
      <c r="B16" s="18">
        <v>1500</v>
      </c>
      <c r="C16" s="18">
        <v>1490</v>
      </c>
      <c r="D16" s="18">
        <v>1490</v>
      </c>
      <c r="E16" s="18">
        <v>1480</v>
      </c>
      <c r="F16" s="18">
        <v>1480</v>
      </c>
      <c r="G16" s="18">
        <v>1460</v>
      </c>
      <c r="H16" s="18">
        <v>1440</v>
      </c>
      <c r="I16" s="18">
        <v>1430</v>
      </c>
      <c r="J16" s="18">
        <v>1410</v>
      </c>
      <c r="K16" s="18">
        <v>1400</v>
      </c>
      <c r="L16" s="18">
        <v>1380</v>
      </c>
      <c r="M16" s="18">
        <v>1370</v>
      </c>
      <c r="N16" s="18">
        <v>1360</v>
      </c>
      <c r="O16" s="18">
        <v>1360</v>
      </c>
      <c r="P16" s="18">
        <v>1360</v>
      </c>
      <c r="Q16" s="18">
        <v>1360</v>
      </c>
      <c r="R16" s="18">
        <v>1350</v>
      </c>
      <c r="S16" s="18">
        <v>1340</v>
      </c>
      <c r="T16" s="18">
        <v>1320</v>
      </c>
      <c r="U16" s="18">
        <v>1310</v>
      </c>
      <c r="V16" s="18">
        <v>1310</v>
      </c>
      <c r="W16" s="18">
        <v>1310</v>
      </c>
      <c r="X16" s="18">
        <v>1300</v>
      </c>
      <c r="Y16" s="18">
        <v>1300</v>
      </c>
      <c r="Z16" s="18">
        <v>1300</v>
      </c>
      <c r="AA16" s="18">
        <v>1300</v>
      </c>
      <c r="AB16" s="18">
        <v>1300</v>
      </c>
      <c r="AC16" s="18">
        <v>1300</v>
      </c>
      <c r="AD16" s="18">
        <v>1300</v>
      </c>
      <c r="AE16" s="18">
        <v>1290</v>
      </c>
      <c r="AF16" s="18">
        <v>1280</v>
      </c>
      <c r="AG16" s="18">
        <v>1280</v>
      </c>
      <c r="AH16" s="18">
        <v>1250</v>
      </c>
      <c r="AI16" s="18">
        <v>1240</v>
      </c>
      <c r="AJ16" s="18">
        <v>1230</v>
      </c>
      <c r="AK16" s="18">
        <v>1210</v>
      </c>
      <c r="AL16" s="18">
        <v>1200</v>
      </c>
      <c r="AM16" s="18">
        <v>1180</v>
      </c>
      <c r="AN16" s="18">
        <v>1180</v>
      </c>
      <c r="AO16" s="18">
        <v>1170</v>
      </c>
      <c r="AP16" s="18">
        <v>1160</v>
      </c>
      <c r="AQ16" s="18">
        <v>1160</v>
      </c>
      <c r="AR16" s="18">
        <v>1170</v>
      </c>
      <c r="AS16" s="18">
        <v>1180</v>
      </c>
      <c r="AT16" s="18">
        <v>1180</v>
      </c>
      <c r="AU16" s="18">
        <v>1180</v>
      </c>
      <c r="AV16" s="18">
        <v>1180</v>
      </c>
      <c r="AW16" s="18">
        <v>1170</v>
      </c>
      <c r="AX16" s="18">
        <v>1170</v>
      </c>
      <c r="AY16" s="18">
        <v>1160</v>
      </c>
      <c r="AZ16" s="18">
        <v>1160</v>
      </c>
      <c r="BA16" s="18">
        <v>1160</v>
      </c>
      <c r="BB16" s="18">
        <v>1160</v>
      </c>
      <c r="BC16" s="18">
        <v>1160</v>
      </c>
      <c r="BD16" s="18">
        <v>1170</v>
      </c>
      <c r="BE16" s="18">
        <v>1170</v>
      </c>
      <c r="BF16" s="18">
        <v>1160</v>
      </c>
      <c r="BG16" s="18">
        <v>1160</v>
      </c>
      <c r="BH16" s="18">
        <v>1160</v>
      </c>
      <c r="BI16" s="18"/>
      <c r="BJ16" s="18">
        <v>1160</v>
      </c>
      <c r="BK16" s="18">
        <v>1170</v>
      </c>
      <c r="BL16" s="18">
        <v>1160</v>
      </c>
      <c r="BM16" s="18">
        <v>1160</v>
      </c>
      <c r="BN16" s="18">
        <v>1140</v>
      </c>
      <c r="BO16" s="18">
        <v>1140</v>
      </c>
      <c r="BP16" s="18">
        <v>1160</v>
      </c>
      <c r="BQ16" s="18">
        <v>1140</v>
      </c>
      <c r="BR16" s="18">
        <v>1140</v>
      </c>
      <c r="BS16" s="18">
        <v>1140</v>
      </c>
      <c r="BT16" s="18">
        <v>1140</v>
      </c>
      <c r="BU16" s="18">
        <v>1140</v>
      </c>
      <c r="BV16" s="18">
        <v>1140</v>
      </c>
      <c r="BW16" s="18">
        <v>1150</v>
      </c>
      <c r="BX16" s="18">
        <v>1160</v>
      </c>
      <c r="BY16" s="18">
        <v>1170</v>
      </c>
      <c r="BZ16" s="18">
        <v>1170</v>
      </c>
      <c r="CA16" s="18">
        <v>1160</v>
      </c>
      <c r="CB16" s="18">
        <v>1140</v>
      </c>
      <c r="CC16" s="18">
        <v>1130</v>
      </c>
      <c r="CD16" s="18">
        <v>1120</v>
      </c>
      <c r="CE16" s="18">
        <v>1110</v>
      </c>
      <c r="CF16" s="18">
        <v>1110</v>
      </c>
      <c r="CG16" s="18">
        <v>1120</v>
      </c>
      <c r="CH16" s="18">
        <v>1110</v>
      </c>
      <c r="CI16" s="18">
        <v>1110</v>
      </c>
      <c r="CJ16" s="18">
        <v>1090</v>
      </c>
      <c r="CK16" s="18">
        <v>1090</v>
      </c>
      <c r="CL16" s="18">
        <v>1090</v>
      </c>
      <c r="CM16" s="18">
        <v>1100</v>
      </c>
      <c r="CN16" s="18">
        <v>1130</v>
      </c>
      <c r="CO16" s="18">
        <v>1140</v>
      </c>
      <c r="CP16" s="18">
        <v>1130</v>
      </c>
      <c r="CQ16" s="18">
        <v>1110</v>
      </c>
      <c r="CR16" s="18">
        <v>1100</v>
      </c>
      <c r="CS16" s="18">
        <v>1090</v>
      </c>
      <c r="CT16" s="18">
        <v>1110</v>
      </c>
      <c r="CU16" s="18">
        <v>1140</v>
      </c>
      <c r="CV16" s="18">
        <v>1160</v>
      </c>
      <c r="CW16" s="18">
        <v>1170</v>
      </c>
      <c r="CX16" s="18">
        <v>1180</v>
      </c>
      <c r="CY16" s="18">
        <v>1200</v>
      </c>
      <c r="CZ16" s="18">
        <v>1200</v>
      </c>
      <c r="DA16" s="18">
        <v>1210</v>
      </c>
      <c r="DB16" s="18">
        <v>1200</v>
      </c>
      <c r="DC16" s="18">
        <v>1200</v>
      </c>
      <c r="DD16" s="18">
        <v>1200</v>
      </c>
      <c r="DE16" s="18">
        <v>1200</v>
      </c>
      <c r="DF16" s="18">
        <v>1180</v>
      </c>
      <c r="DG16" s="18">
        <v>1190</v>
      </c>
      <c r="DH16" s="18">
        <v>1200</v>
      </c>
      <c r="DI16" s="18">
        <v>1230</v>
      </c>
      <c r="DJ16" s="18">
        <v>1270</v>
      </c>
      <c r="DK16" s="18">
        <v>1300</v>
      </c>
      <c r="DL16" s="18">
        <v>1320</v>
      </c>
      <c r="DM16" s="18">
        <v>1330</v>
      </c>
      <c r="DN16" s="18">
        <v>1300</v>
      </c>
      <c r="DO16" s="18">
        <v>1270</v>
      </c>
      <c r="DP16" s="18">
        <v>1250</v>
      </c>
      <c r="DQ16" s="18">
        <v>1250</v>
      </c>
      <c r="DR16" s="18">
        <v>1280</v>
      </c>
      <c r="DS16" s="18">
        <v>1290</v>
      </c>
      <c r="DT16" s="18">
        <v>1300</v>
      </c>
      <c r="DU16" s="18">
        <v>1300</v>
      </c>
      <c r="DV16" s="18">
        <v>1320</v>
      </c>
      <c r="DW16" s="18">
        <v>1350</v>
      </c>
      <c r="DX16" s="18">
        <v>1380</v>
      </c>
      <c r="DY16" s="18">
        <v>1390</v>
      </c>
      <c r="DZ16" s="18">
        <v>1400</v>
      </c>
      <c r="EA16" s="18">
        <v>1380</v>
      </c>
      <c r="EB16" s="18">
        <v>1350</v>
      </c>
      <c r="EC16" s="18">
        <v>1320</v>
      </c>
      <c r="ED16" s="18">
        <v>1310</v>
      </c>
      <c r="EE16" s="18">
        <v>1300</v>
      </c>
      <c r="EF16" s="18">
        <v>1310</v>
      </c>
      <c r="EG16" s="18">
        <v>1340</v>
      </c>
      <c r="EH16" s="18">
        <v>1370</v>
      </c>
      <c r="EI16" s="18">
        <v>1420</v>
      </c>
      <c r="EJ16" s="18">
        <v>1480</v>
      </c>
      <c r="EK16" s="18">
        <v>1520</v>
      </c>
      <c r="EL16" s="18">
        <v>1530</v>
      </c>
      <c r="EM16" s="18">
        <v>1510</v>
      </c>
      <c r="EN16" s="18">
        <v>1490</v>
      </c>
      <c r="EO16" s="18">
        <v>1440</v>
      </c>
      <c r="EP16" s="18">
        <v>1410</v>
      </c>
      <c r="EQ16" s="18">
        <v>1400</v>
      </c>
      <c r="ER16" s="18">
        <v>1390</v>
      </c>
      <c r="ES16" s="18">
        <v>1370</v>
      </c>
      <c r="ET16" s="18">
        <v>1340</v>
      </c>
      <c r="EU16" s="18">
        <v>1320</v>
      </c>
      <c r="EV16" s="18">
        <v>1310</v>
      </c>
      <c r="EW16" s="18">
        <v>1330</v>
      </c>
      <c r="EX16" s="18">
        <v>1370</v>
      </c>
      <c r="EY16" s="18">
        <v>1410</v>
      </c>
      <c r="EZ16" s="18">
        <v>1430</v>
      </c>
      <c r="FA16" s="18">
        <v>1440</v>
      </c>
      <c r="FB16" s="18">
        <v>1490</v>
      </c>
      <c r="FC16" s="18">
        <v>1570</v>
      </c>
      <c r="FD16" s="18">
        <v>1540</v>
      </c>
      <c r="FE16" s="18">
        <v>1490</v>
      </c>
      <c r="FF16" s="18">
        <v>1420</v>
      </c>
      <c r="FG16" s="18">
        <v>1370</v>
      </c>
      <c r="FH16" s="18">
        <v>1380</v>
      </c>
      <c r="FI16" s="18">
        <v>1440</v>
      </c>
      <c r="FJ16" s="18">
        <v>1630</v>
      </c>
      <c r="FK16" s="18">
        <v>2070</v>
      </c>
      <c r="FL16" s="18">
        <v>2660</v>
      </c>
      <c r="FM16" s="18">
        <v>3010</v>
      </c>
      <c r="FN16" s="18">
        <v>3390</v>
      </c>
      <c r="FO16" s="18">
        <v>3660</v>
      </c>
      <c r="FP16" s="18">
        <v>3720</v>
      </c>
      <c r="FQ16" s="18">
        <v>4250</v>
      </c>
      <c r="FR16" s="18">
        <v>5200</v>
      </c>
      <c r="FS16" s="18">
        <v>5500</v>
      </c>
      <c r="FT16" s="18">
        <v>5860</v>
      </c>
      <c r="FU16" s="18">
        <v>6070</v>
      </c>
      <c r="FV16" s="18">
        <v>6680</v>
      </c>
      <c r="FW16" s="18">
        <v>6600</v>
      </c>
      <c r="FX16" s="18">
        <v>7000</v>
      </c>
      <c r="FY16" s="18">
        <v>7230</v>
      </c>
      <c r="FZ16" s="18">
        <v>6900</v>
      </c>
      <c r="GA16" s="18">
        <v>6430</v>
      </c>
      <c r="GB16" s="18">
        <v>5860</v>
      </c>
      <c r="GC16" s="18">
        <v>5890</v>
      </c>
      <c r="GD16" s="18">
        <v>6020</v>
      </c>
      <c r="GE16" s="18">
        <v>6480</v>
      </c>
      <c r="GF16" s="18">
        <v>6720</v>
      </c>
      <c r="GG16" s="18">
        <v>6770</v>
      </c>
      <c r="GH16" s="18">
        <v>7200</v>
      </c>
      <c r="GI16" s="18">
        <v>7760</v>
      </c>
      <c r="GJ16" s="18">
        <v>8660</v>
      </c>
      <c r="GK16" s="18">
        <v>10400</v>
      </c>
      <c r="GL16" s="18">
        <v>11400</v>
      </c>
      <c r="GM16" s="18">
        <v>11600</v>
      </c>
      <c r="GN16" s="18">
        <v>12100</v>
      </c>
      <c r="GO16" s="18">
        <v>10900</v>
      </c>
      <c r="GP16" s="18">
        <v>9850</v>
      </c>
      <c r="GQ16" s="18">
        <v>8720</v>
      </c>
      <c r="GR16" s="18">
        <v>7880</v>
      </c>
      <c r="GS16" s="18">
        <v>7450</v>
      </c>
      <c r="GT16" s="18">
        <v>7560</v>
      </c>
      <c r="GU16" s="18">
        <v>7960</v>
      </c>
      <c r="GV16" s="18">
        <v>8840</v>
      </c>
      <c r="GW16" s="18">
        <v>9390</v>
      </c>
      <c r="GX16" s="18">
        <v>9770</v>
      </c>
      <c r="GY16" s="18">
        <v>10300</v>
      </c>
      <c r="GZ16" s="18">
        <v>10400</v>
      </c>
      <c r="HA16" s="18">
        <v>10300</v>
      </c>
      <c r="HB16" s="18">
        <v>10200</v>
      </c>
      <c r="HC16" s="18">
        <v>9850</v>
      </c>
      <c r="HD16" s="18">
        <v>9300</v>
      </c>
      <c r="HE16" s="18">
        <v>8960</v>
      </c>
      <c r="HF16" s="18">
        <v>9730</v>
      </c>
      <c r="HG16" s="18">
        <v>10400</v>
      </c>
      <c r="HH16" s="18">
        <v>10300</v>
      </c>
      <c r="HI16" s="18">
        <v>10000</v>
      </c>
      <c r="HJ16" s="18">
        <v>9460</v>
      </c>
      <c r="HK16" s="18">
        <v>8780</v>
      </c>
      <c r="HL16" s="18">
        <v>8110</v>
      </c>
      <c r="HM16" s="18">
        <v>7870</v>
      </c>
      <c r="HN16" s="18">
        <v>7760</v>
      </c>
      <c r="HO16" s="18">
        <v>7630</v>
      </c>
      <c r="HP16" s="18">
        <v>7660</v>
      </c>
      <c r="HQ16" s="18">
        <v>8020</v>
      </c>
      <c r="HR16" s="18">
        <v>8040</v>
      </c>
      <c r="HS16" s="18">
        <v>7820</v>
      </c>
      <c r="HT16" s="18">
        <v>7400</v>
      </c>
      <c r="HU16" s="18">
        <v>6910</v>
      </c>
      <c r="HV16" s="18">
        <v>6640</v>
      </c>
      <c r="HW16" s="18">
        <v>6480</v>
      </c>
      <c r="HX16" s="18">
        <v>7550</v>
      </c>
      <c r="HY16" s="18">
        <v>8460</v>
      </c>
      <c r="HZ16" s="18">
        <v>9180</v>
      </c>
      <c r="IA16" s="18">
        <v>10400</v>
      </c>
      <c r="IB16" s="18">
        <v>11100</v>
      </c>
      <c r="IC16" s="18">
        <v>10900</v>
      </c>
      <c r="ID16" s="18">
        <v>12500</v>
      </c>
      <c r="IE16" s="18">
        <v>13600</v>
      </c>
      <c r="IF16" s="18">
        <v>13500</v>
      </c>
      <c r="IG16" s="18">
        <v>14400</v>
      </c>
      <c r="IH16" s="18">
        <v>14200</v>
      </c>
      <c r="II16" s="18">
        <v>13200</v>
      </c>
      <c r="IJ16" s="18">
        <v>12000</v>
      </c>
      <c r="IK16" s="18">
        <v>10700</v>
      </c>
      <c r="IL16" s="18">
        <v>9760</v>
      </c>
      <c r="IM16" s="18">
        <v>9200</v>
      </c>
      <c r="IN16" s="18">
        <v>8850</v>
      </c>
      <c r="IO16" s="18">
        <v>8570</v>
      </c>
      <c r="IP16" s="18">
        <v>8380</v>
      </c>
      <c r="IQ16" s="18">
        <v>8570</v>
      </c>
      <c r="IR16" s="18">
        <v>8390</v>
      </c>
      <c r="IS16" s="18">
        <v>8160</v>
      </c>
      <c r="IT16" s="18">
        <v>8030</v>
      </c>
      <c r="IU16" s="18">
        <v>8220</v>
      </c>
      <c r="IV16" s="18">
        <v>8490</v>
      </c>
      <c r="IW16" s="18">
        <v>8640</v>
      </c>
      <c r="IX16" s="18">
        <v>8730</v>
      </c>
      <c r="IY16" s="18">
        <v>8700</v>
      </c>
      <c r="IZ16" s="18">
        <v>8380</v>
      </c>
      <c r="JA16" s="18">
        <v>8000</v>
      </c>
      <c r="JB16" s="18">
        <v>7590</v>
      </c>
      <c r="JC16" s="18">
        <v>7190</v>
      </c>
      <c r="JD16" s="18">
        <v>6890</v>
      </c>
      <c r="JE16" s="18">
        <v>6760</v>
      </c>
      <c r="JF16" s="18">
        <v>6840</v>
      </c>
      <c r="JG16" s="18">
        <v>6990</v>
      </c>
      <c r="JH16" s="18">
        <v>6980</v>
      </c>
      <c r="JI16" s="18">
        <v>7250</v>
      </c>
      <c r="JJ16" s="18">
        <v>8370</v>
      </c>
      <c r="JK16" s="18">
        <v>9070</v>
      </c>
      <c r="JL16" s="18">
        <v>8770</v>
      </c>
      <c r="JM16" s="18">
        <v>8150</v>
      </c>
      <c r="JN16" s="18">
        <v>7670</v>
      </c>
      <c r="JO16" s="18">
        <v>7210</v>
      </c>
      <c r="JP16" s="18">
        <v>6740</v>
      </c>
      <c r="JQ16" s="18">
        <v>6540</v>
      </c>
      <c r="JR16" s="18">
        <v>6460</v>
      </c>
      <c r="JS16" s="18">
        <v>6300</v>
      </c>
      <c r="JT16" s="18">
        <v>6320</v>
      </c>
      <c r="JU16" s="18">
        <v>6680</v>
      </c>
      <c r="JV16" s="18">
        <v>7120</v>
      </c>
      <c r="JW16" s="18">
        <v>7900</v>
      </c>
      <c r="JX16" s="18">
        <v>10200</v>
      </c>
      <c r="JY16" s="18">
        <v>10100</v>
      </c>
      <c r="JZ16" s="18">
        <v>8860</v>
      </c>
      <c r="KA16" s="18">
        <v>7880</v>
      </c>
      <c r="KB16" s="18">
        <v>7170</v>
      </c>
      <c r="KC16" s="18">
        <v>6630</v>
      </c>
      <c r="KD16" s="18">
        <v>6250</v>
      </c>
      <c r="KE16" s="18">
        <v>5980</v>
      </c>
      <c r="KF16" s="18">
        <v>5810</v>
      </c>
      <c r="KG16" s="18">
        <v>5730</v>
      </c>
      <c r="KH16" s="18">
        <v>5730</v>
      </c>
      <c r="KI16" s="18">
        <v>5650</v>
      </c>
      <c r="KJ16" s="18">
        <v>5640</v>
      </c>
      <c r="KK16" s="18">
        <v>5980</v>
      </c>
      <c r="KL16" s="18">
        <v>6020</v>
      </c>
      <c r="KM16" s="18">
        <v>5740</v>
      </c>
      <c r="KN16" s="18">
        <v>5590</v>
      </c>
      <c r="KO16" s="18">
        <v>5690</v>
      </c>
      <c r="KP16" s="18">
        <v>5590</v>
      </c>
      <c r="KQ16" s="18">
        <v>5440</v>
      </c>
      <c r="KR16" s="18">
        <v>5110</v>
      </c>
      <c r="KS16" s="18">
        <v>4760</v>
      </c>
      <c r="KT16" s="18">
        <v>4480</v>
      </c>
      <c r="KU16" s="18">
        <v>4250</v>
      </c>
      <c r="KV16" s="18">
        <v>4100</v>
      </c>
      <c r="KW16" s="18">
        <v>4020</v>
      </c>
      <c r="KX16" s="18">
        <v>3880</v>
      </c>
      <c r="KY16" s="18">
        <v>3800</v>
      </c>
      <c r="KZ16" s="18">
        <v>3690</v>
      </c>
      <c r="LA16" s="18">
        <v>3580</v>
      </c>
      <c r="LB16" s="18">
        <v>3460</v>
      </c>
      <c r="LC16" s="18">
        <v>3390</v>
      </c>
      <c r="LD16" s="18">
        <v>3300</v>
      </c>
      <c r="LE16" s="18">
        <v>3210</v>
      </c>
      <c r="LF16" s="18">
        <v>3120</v>
      </c>
      <c r="LG16" s="18">
        <v>3060</v>
      </c>
      <c r="LH16" s="18">
        <v>2980</v>
      </c>
      <c r="LI16" s="18">
        <v>2910</v>
      </c>
      <c r="LJ16" s="18">
        <v>2860</v>
      </c>
      <c r="LK16" s="18">
        <v>2790</v>
      </c>
      <c r="LL16" s="18">
        <v>2720</v>
      </c>
      <c r="LM16" s="18">
        <v>2630</v>
      </c>
      <c r="LN16" s="18">
        <v>2590</v>
      </c>
      <c r="LO16" s="18">
        <v>2550</v>
      </c>
      <c r="LP16" s="18">
        <v>2500</v>
      </c>
      <c r="LQ16" s="18">
        <v>2460</v>
      </c>
      <c r="LR16" s="18">
        <v>2420</v>
      </c>
      <c r="LS16" s="18">
        <v>2380</v>
      </c>
      <c r="LT16" s="18">
        <v>2360</v>
      </c>
      <c r="LU16" s="18">
        <v>2340</v>
      </c>
      <c r="LV16" s="18">
        <v>2300</v>
      </c>
      <c r="LW16" s="18">
        <v>2220</v>
      </c>
      <c r="LX16" s="18">
        <v>2150</v>
      </c>
      <c r="LY16" s="18">
        <v>2120</v>
      </c>
      <c r="LZ16" s="18">
        <v>2100</v>
      </c>
      <c r="MA16" s="18">
        <v>2080</v>
      </c>
      <c r="MB16" s="18">
        <v>2060</v>
      </c>
      <c r="MC16" s="18">
        <v>2040</v>
      </c>
      <c r="MD16" s="18">
        <v>2020</v>
      </c>
      <c r="ME16" s="18">
        <v>2010</v>
      </c>
      <c r="MF16" s="18">
        <v>1960</v>
      </c>
      <c r="MG16" s="18">
        <v>1920</v>
      </c>
      <c r="MH16" s="18">
        <v>1860</v>
      </c>
      <c r="MI16" s="18">
        <v>1830</v>
      </c>
      <c r="MJ16" s="18">
        <v>1800</v>
      </c>
      <c r="MK16" s="18">
        <v>1790</v>
      </c>
      <c r="ML16" s="18">
        <v>1770</v>
      </c>
      <c r="MM16" s="18">
        <v>1750</v>
      </c>
      <c r="MN16" s="18">
        <v>1730</v>
      </c>
      <c r="MO16" s="18">
        <v>1700</v>
      </c>
      <c r="MP16" s="18">
        <v>1680</v>
      </c>
      <c r="MQ16" s="18">
        <v>1680</v>
      </c>
      <c r="MR16" s="18">
        <v>1670</v>
      </c>
      <c r="MS16" s="18">
        <v>1670</v>
      </c>
      <c r="MT16" s="18">
        <v>1640</v>
      </c>
      <c r="MU16" s="18">
        <v>1620</v>
      </c>
      <c r="MV16" s="18">
        <v>1590</v>
      </c>
      <c r="MW16" s="18">
        <v>1570</v>
      </c>
      <c r="MX16" s="18">
        <v>1540</v>
      </c>
      <c r="MY16" s="18">
        <v>1520</v>
      </c>
      <c r="MZ16" s="18">
        <v>1510</v>
      </c>
      <c r="NA16" s="18">
        <v>1490</v>
      </c>
      <c r="NB16" s="18">
        <v>1480</v>
      </c>
      <c r="NC16" s="18">
        <v>1470</v>
      </c>
      <c r="ND16" s="1">
        <v>1370</v>
      </c>
      <c r="NE16" s="1">
        <v>1180</v>
      </c>
      <c r="NF16" s="1">
        <v>1140</v>
      </c>
      <c r="NG16" s="1">
        <v>1200</v>
      </c>
      <c r="NH16" s="1">
        <v>1380</v>
      </c>
      <c r="NI16" s="1">
        <v>3510</v>
      </c>
      <c r="NJ16" s="1">
        <v>8850</v>
      </c>
      <c r="NK16" s="1">
        <v>9710</v>
      </c>
      <c r="NL16" s="1">
        <v>8090</v>
      </c>
      <c r="NM16" s="1">
        <v>6450</v>
      </c>
      <c r="NN16" s="1">
        <v>3000</v>
      </c>
      <c r="NO16" s="1">
        <v>1760</v>
      </c>
      <c r="NP16" s="1">
        <v>3992.9863013698632</v>
      </c>
      <c r="NQ16" s="1">
        <v>14400</v>
      </c>
      <c r="NR16" s="19">
        <v>42609</v>
      </c>
      <c r="NS16" s="1">
        <v>1090</v>
      </c>
      <c r="NT16" s="19">
        <v>42456</v>
      </c>
    </row>
    <row r="17" spans="1:384" x14ac:dyDescent="0.15">
      <c r="A17" s="1">
        <v>1964</v>
      </c>
      <c r="B17" s="18">
        <v>1510</v>
      </c>
      <c r="C17" s="18">
        <v>1490</v>
      </c>
      <c r="D17" s="18">
        <v>1480</v>
      </c>
      <c r="E17" s="18">
        <v>1470</v>
      </c>
      <c r="F17" s="18">
        <v>1470</v>
      </c>
      <c r="G17" s="18">
        <v>1460</v>
      </c>
      <c r="H17" s="18">
        <v>1440</v>
      </c>
      <c r="I17" s="18">
        <v>1420</v>
      </c>
      <c r="J17" s="18">
        <v>1410</v>
      </c>
      <c r="K17" s="18">
        <v>1390</v>
      </c>
      <c r="L17" s="18">
        <v>1390</v>
      </c>
      <c r="M17" s="18">
        <v>1390</v>
      </c>
      <c r="N17" s="18">
        <v>1380</v>
      </c>
      <c r="O17" s="18">
        <v>1390</v>
      </c>
      <c r="P17" s="18">
        <v>1390</v>
      </c>
      <c r="Q17" s="18">
        <v>1400</v>
      </c>
      <c r="R17" s="18">
        <v>1410</v>
      </c>
      <c r="S17" s="18">
        <v>1410</v>
      </c>
      <c r="T17" s="18">
        <v>1410</v>
      </c>
      <c r="U17" s="18">
        <v>1390</v>
      </c>
      <c r="V17" s="18">
        <v>1370</v>
      </c>
      <c r="W17" s="18">
        <v>1360</v>
      </c>
      <c r="X17" s="18">
        <v>1340</v>
      </c>
      <c r="Y17" s="18">
        <v>1320</v>
      </c>
      <c r="Z17" s="18">
        <v>1290</v>
      </c>
      <c r="AA17" s="18">
        <v>1280</v>
      </c>
      <c r="AB17" s="18">
        <v>1270</v>
      </c>
      <c r="AC17" s="18">
        <v>1290</v>
      </c>
      <c r="AD17" s="18">
        <v>1280</v>
      </c>
      <c r="AE17" s="18">
        <v>1270</v>
      </c>
      <c r="AF17" s="18">
        <v>1270</v>
      </c>
      <c r="AG17" s="18">
        <v>1270</v>
      </c>
      <c r="AH17" s="18">
        <v>1280</v>
      </c>
      <c r="AI17" s="18">
        <v>1250</v>
      </c>
      <c r="AJ17" s="18">
        <v>1240</v>
      </c>
      <c r="AK17" s="18">
        <v>1220</v>
      </c>
      <c r="AL17" s="18">
        <v>1210</v>
      </c>
      <c r="AM17" s="18">
        <v>1200</v>
      </c>
      <c r="AN17" s="18">
        <v>1200</v>
      </c>
      <c r="AO17" s="18">
        <v>1190</v>
      </c>
      <c r="AP17" s="18">
        <v>1180</v>
      </c>
      <c r="AQ17" s="18">
        <v>1170</v>
      </c>
      <c r="AR17" s="18">
        <v>1160</v>
      </c>
      <c r="AS17" s="18">
        <v>1160</v>
      </c>
      <c r="AT17" s="18">
        <v>1160</v>
      </c>
      <c r="AU17" s="18">
        <v>1140</v>
      </c>
      <c r="AV17" s="18">
        <v>1150</v>
      </c>
      <c r="AW17" s="18">
        <v>1130</v>
      </c>
      <c r="AX17" s="18">
        <v>1130</v>
      </c>
      <c r="AY17" s="18">
        <v>1130</v>
      </c>
      <c r="AZ17" s="18">
        <v>1130</v>
      </c>
      <c r="BA17" s="18">
        <v>1140</v>
      </c>
      <c r="BB17" s="18">
        <v>1140</v>
      </c>
      <c r="BC17" s="18">
        <v>1160</v>
      </c>
      <c r="BD17" s="18">
        <v>1170</v>
      </c>
      <c r="BE17" s="18">
        <v>1170</v>
      </c>
      <c r="BF17" s="18">
        <v>1160</v>
      </c>
      <c r="BG17" s="18">
        <v>1180</v>
      </c>
      <c r="BH17" s="18">
        <v>1170</v>
      </c>
      <c r="BI17" s="18">
        <v>1170</v>
      </c>
      <c r="BJ17" s="18">
        <v>1170</v>
      </c>
      <c r="BK17" s="18">
        <v>1140</v>
      </c>
      <c r="BL17" s="18">
        <v>1130</v>
      </c>
      <c r="BM17" s="18">
        <v>1110</v>
      </c>
      <c r="BN17" s="18">
        <v>1100</v>
      </c>
      <c r="BO17" s="18">
        <v>1090</v>
      </c>
      <c r="BP17" s="18">
        <v>1090</v>
      </c>
      <c r="BQ17" s="18">
        <v>1090</v>
      </c>
      <c r="BR17" s="18">
        <v>1080</v>
      </c>
      <c r="BS17" s="18">
        <v>1080</v>
      </c>
      <c r="BT17" s="18">
        <v>1080</v>
      </c>
      <c r="BU17" s="18">
        <v>1080</v>
      </c>
      <c r="BV17" s="18">
        <v>1060</v>
      </c>
      <c r="BW17" s="18">
        <v>1060</v>
      </c>
      <c r="BX17" s="18">
        <v>1070</v>
      </c>
      <c r="BY17" s="18">
        <v>1080</v>
      </c>
      <c r="BZ17" s="18">
        <v>1100</v>
      </c>
      <c r="CA17" s="18">
        <v>1110</v>
      </c>
      <c r="CB17" s="18">
        <v>1110</v>
      </c>
      <c r="CC17" s="18">
        <v>1100</v>
      </c>
      <c r="CD17" s="18">
        <v>1080</v>
      </c>
      <c r="CE17" s="18">
        <v>1080</v>
      </c>
      <c r="CF17" s="18">
        <v>1100</v>
      </c>
      <c r="CG17" s="18">
        <v>1100</v>
      </c>
      <c r="CH17" s="18">
        <v>1110</v>
      </c>
      <c r="CI17" s="18">
        <v>1130</v>
      </c>
      <c r="CJ17" s="18">
        <v>1130</v>
      </c>
      <c r="CK17" s="18">
        <v>1130</v>
      </c>
      <c r="CL17" s="18">
        <v>1130</v>
      </c>
      <c r="CM17" s="18">
        <v>1110</v>
      </c>
      <c r="CN17" s="18">
        <v>1110</v>
      </c>
      <c r="CO17" s="18">
        <v>1130</v>
      </c>
      <c r="CP17" s="18">
        <v>1140</v>
      </c>
      <c r="CQ17" s="18">
        <v>1130</v>
      </c>
      <c r="CR17" s="18">
        <v>1130</v>
      </c>
      <c r="CS17" s="18">
        <v>1140</v>
      </c>
      <c r="CT17" s="18">
        <v>1160</v>
      </c>
      <c r="CU17" s="18">
        <v>1190</v>
      </c>
      <c r="CV17" s="18">
        <v>1240</v>
      </c>
      <c r="CW17" s="18">
        <v>1320</v>
      </c>
      <c r="CX17" s="18">
        <v>1370</v>
      </c>
      <c r="CY17" s="18">
        <v>1370</v>
      </c>
      <c r="CZ17" s="18">
        <v>1370</v>
      </c>
      <c r="DA17" s="18">
        <v>1400</v>
      </c>
      <c r="DB17" s="18">
        <v>1410</v>
      </c>
      <c r="DC17" s="18">
        <v>1410</v>
      </c>
      <c r="DD17" s="18">
        <v>1410</v>
      </c>
      <c r="DE17" s="18">
        <v>1450</v>
      </c>
      <c r="DF17" s="18">
        <v>1510</v>
      </c>
      <c r="DG17" s="18">
        <v>1570</v>
      </c>
      <c r="DH17" s="18">
        <v>1650</v>
      </c>
      <c r="DI17" s="18">
        <v>1710</v>
      </c>
      <c r="DJ17" s="18">
        <v>1790</v>
      </c>
      <c r="DK17" s="18">
        <v>1770</v>
      </c>
      <c r="DL17" s="18">
        <v>1690</v>
      </c>
      <c r="DM17" s="18">
        <v>1650</v>
      </c>
      <c r="DN17" s="18">
        <v>1620</v>
      </c>
      <c r="DO17" s="18">
        <v>1540</v>
      </c>
      <c r="DP17" s="18">
        <v>1540</v>
      </c>
      <c r="DQ17" s="18">
        <v>1560</v>
      </c>
      <c r="DR17" s="18">
        <v>1550</v>
      </c>
      <c r="DS17" s="18">
        <v>1550</v>
      </c>
      <c r="DT17" s="18">
        <v>1560</v>
      </c>
      <c r="DU17" s="18">
        <v>1600</v>
      </c>
      <c r="DV17" s="18">
        <v>1670</v>
      </c>
      <c r="DW17" s="18">
        <v>1750</v>
      </c>
      <c r="DX17" s="18">
        <v>1810</v>
      </c>
      <c r="DY17" s="18">
        <v>1860</v>
      </c>
      <c r="DZ17" s="18">
        <v>1860</v>
      </c>
      <c r="EA17" s="18">
        <v>1820</v>
      </c>
      <c r="EB17" s="18">
        <v>2090</v>
      </c>
      <c r="EC17" s="18">
        <v>2400</v>
      </c>
      <c r="ED17" s="18">
        <v>2250</v>
      </c>
      <c r="EE17" s="18">
        <v>2170</v>
      </c>
      <c r="EF17" s="18">
        <v>2140</v>
      </c>
      <c r="EG17" s="18">
        <v>2240</v>
      </c>
      <c r="EH17" s="18">
        <v>2260</v>
      </c>
      <c r="EI17" s="18">
        <v>2230</v>
      </c>
      <c r="EJ17" s="18">
        <v>2240</v>
      </c>
      <c r="EK17" s="18">
        <v>2210</v>
      </c>
      <c r="EL17" s="18">
        <v>2150</v>
      </c>
      <c r="EM17" s="18">
        <v>2080</v>
      </c>
      <c r="EN17" s="18">
        <v>2040</v>
      </c>
      <c r="EO17" s="18">
        <v>1980</v>
      </c>
      <c r="EP17" s="18">
        <v>1920</v>
      </c>
      <c r="EQ17" s="18">
        <v>1860</v>
      </c>
      <c r="ER17" s="18">
        <v>1800</v>
      </c>
      <c r="ES17" s="18">
        <v>1780</v>
      </c>
      <c r="ET17" s="18">
        <v>1790</v>
      </c>
      <c r="EU17" s="18">
        <v>1830</v>
      </c>
      <c r="EV17" s="18">
        <v>1840</v>
      </c>
      <c r="EW17" s="18">
        <v>1840</v>
      </c>
      <c r="EX17" s="18">
        <v>1840</v>
      </c>
      <c r="EY17" s="18">
        <v>1870</v>
      </c>
      <c r="EZ17" s="18">
        <v>1980</v>
      </c>
      <c r="FA17" s="18">
        <v>2170</v>
      </c>
      <c r="FB17" s="18">
        <v>2470</v>
      </c>
      <c r="FC17" s="18">
        <v>2810</v>
      </c>
      <c r="FD17" s="18">
        <v>3120</v>
      </c>
      <c r="FE17" s="18">
        <v>3180</v>
      </c>
      <c r="FF17" s="18">
        <v>3270</v>
      </c>
      <c r="FG17" s="18">
        <v>3410</v>
      </c>
      <c r="FH17" s="18">
        <v>3470</v>
      </c>
      <c r="FI17" s="18">
        <v>3670</v>
      </c>
      <c r="FJ17" s="18">
        <v>3840</v>
      </c>
      <c r="FK17" s="18">
        <v>3880</v>
      </c>
      <c r="FL17" s="18">
        <v>3830</v>
      </c>
      <c r="FM17" s="18">
        <v>3870</v>
      </c>
      <c r="FN17" s="18">
        <v>3940</v>
      </c>
      <c r="FO17" s="18">
        <v>3870</v>
      </c>
      <c r="FP17" s="18">
        <v>4200</v>
      </c>
      <c r="FQ17" s="18">
        <v>4470</v>
      </c>
      <c r="FR17" s="18">
        <v>4910</v>
      </c>
      <c r="FS17" s="18">
        <v>5750</v>
      </c>
      <c r="FT17" s="18">
        <v>5940</v>
      </c>
      <c r="FU17" s="18">
        <v>6290</v>
      </c>
      <c r="FV17" s="18">
        <v>6730</v>
      </c>
      <c r="FW17" s="18">
        <v>6980</v>
      </c>
      <c r="FX17" s="18">
        <v>7090</v>
      </c>
      <c r="FY17" s="18">
        <v>7210</v>
      </c>
      <c r="FZ17" s="18">
        <v>7390</v>
      </c>
      <c r="GA17" s="18">
        <v>7490</v>
      </c>
      <c r="GB17" s="18">
        <v>8270</v>
      </c>
      <c r="GC17" s="18">
        <v>9370</v>
      </c>
      <c r="GD17" s="18">
        <v>8860</v>
      </c>
      <c r="GE17" s="18">
        <v>8030</v>
      </c>
      <c r="GF17" s="18">
        <v>7270</v>
      </c>
      <c r="GG17" s="18">
        <v>6670</v>
      </c>
      <c r="GH17" s="18">
        <v>6200</v>
      </c>
      <c r="GI17" s="18">
        <v>5790</v>
      </c>
      <c r="GJ17" s="18">
        <v>5660</v>
      </c>
      <c r="GK17" s="18">
        <v>5660</v>
      </c>
      <c r="GL17" s="18">
        <v>5710</v>
      </c>
      <c r="GM17" s="18">
        <v>5950</v>
      </c>
      <c r="GN17" s="18">
        <v>6040</v>
      </c>
      <c r="GO17" s="18">
        <v>6180</v>
      </c>
      <c r="GP17" s="18">
        <v>6180</v>
      </c>
      <c r="GQ17" s="18">
        <v>6200</v>
      </c>
      <c r="GR17" s="18">
        <v>6470</v>
      </c>
      <c r="GS17" s="18">
        <v>6560</v>
      </c>
      <c r="GT17" s="18">
        <v>6520</v>
      </c>
      <c r="GU17" s="18">
        <v>6270</v>
      </c>
      <c r="GV17" s="18">
        <v>6120</v>
      </c>
      <c r="GW17" s="18">
        <v>5950</v>
      </c>
      <c r="GX17" s="18">
        <v>5910</v>
      </c>
      <c r="GY17" s="18">
        <v>6150</v>
      </c>
      <c r="GZ17" s="18">
        <v>6540</v>
      </c>
      <c r="HA17" s="18">
        <v>7090</v>
      </c>
      <c r="HB17" s="18">
        <v>8950</v>
      </c>
      <c r="HC17" s="18">
        <v>12100</v>
      </c>
      <c r="HD17" s="18">
        <v>12100</v>
      </c>
      <c r="HE17" s="18">
        <v>10600</v>
      </c>
      <c r="HF17" s="18">
        <v>9480</v>
      </c>
      <c r="HG17" s="18">
        <v>9200</v>
      </c>
      <c r="HH17" s="18">
        <v>9870</v>
      </c>
      <c r="HI17" s="18">
        <v>10900</v>
      </c>
      <c r="HJ17" s="18">
        <v>11700</v>
      </c>
      <c r="HK17" s="18">
        <v>12200</v>
      </c>
      <c r="HL17" s="18">
        <v>12900</v>
      </c>
      <c r="HM17" s="18">
        <v>13000</v>
      </c>
      <c r="HN17" s="18">
        <v>12300</v>
      </c>
      <c r="HO17" s="18">
        <v>11900</v>
      </c>
      <c r="HP17" s="18">
        <v>11200</v>
      </c>
      <c r="HQ17" s="18">
        <v>10300</v>
      </c>
      <c r="HR17" s="18">
        <v>9610</v>
      </c>
      <c r="HS17" s="18">
        <v>9220</v>
      </c>
      <c r="HT17" s="18">
        <v>9000</v>
      </c>
      <c r="HU17" s="18">
        <v>9020</v>
      </c>
      <c r="HV17" s="18">
        <v>8920</v>
      </c>
      <c r="HW17" s="18">
        <v>8800</v>
      </c>
      <c r="HX17" s="18">
        <v>9970</v>
      </c>
      <c r="HY17" s="18">
        <v>10300</v>
      </c>
      <c r="HZ17" s="18">
        <v>9540</v>
      </c>
      <c r="IA17" s="18">
        <v>9180</v>
      </c>
      <c r="IB17" s="18">
        <v>9520</v>
      </c>
      <c r="IC17" s="18">
        <v>9250</v>
      </c>
      <c r="ID17" s="18">
        <v>8360</v>
      </c>
      <c r="IE17" s="18">
        <v>7690</v>
      </c>
      <c r="IF17" s="18">
        <v>7160</v>
      </c>
      <c r="IG17" s="18">
        <v>6960</v>
      </c>
      <c r="IH17" s="18">
        <v>7350</v>
      </c>
      <c r="II17" s="18">
        <v>7450</v>
      </c>
      <c r="IJ17" s="18">
        <v>7760</v>
      </c>
      <c r="IK17" s="18">
        <v>7740</v>
      </c>
      <c r="IL17" s="18">
        <v>7320</v>
      </c>
      <c r="IM17" s="18">
        <v>7970</v>
      </c>
      <c r="IN17" s="18">
        <v>8210</v>
      </c>
      <c r="IO17" s="18">
        <v>8520</v>
      </c>
      <c r="IP17" s="18">
        <v>9210</v>
      </c>
      <c r="IQ17" s="18">
        <v>9120</v>
      </c>
      <c r="IR17" s="18">
        <v>9170</v>
      </c>
      <c r="IS17" s="18">
        <v>9240</v>
      </c>
      <c r="IT17" s="18">
        <v>9670</v>
      </c>
      <c r="IU17" s="18">
        <v>10400</v>
      </c>
      <c r="IV17" s="18">
        <v>11200</v>
      </c>
      <c r="IW17" s="18">
        <v>11500</v>
      </c>
      <c r="IX17" s="18">
        <v>11100</v>
      </c>
      <c r="IY17" s="18">
        <v>10900</v>
      </c>
      <c r="IZ17" s="18">
        <v>11400</v>
      </c>
      <c r="JA17" s="18">
        <v>12200</v>
      </c>
      <c r="JB17" s="18">
        <v>12700</v>
      </c>
      <c r="JC17" s="18">
        <v>13700</v>
      </c>
      <c r="JD17" s="18">
        <v>15000</v>
      </c>
      <c r="JE17" s="18">
        <v>13800</v>
      </c>
      <c r="JF17" s="18">
        <v>12700</v>
      </c>
      <c r="JG17" s="18">
        <v>12500</v>
      </c>
      <c r="JH17" s="18">
        <v>12400</v>
      </c>
      <c r="JI17" s="18">
        <v>11800</v>
      </c>
      <c r="JJ17" s="18">
        <v>11300</v>
      </c>
      <c r="JK17" s="18">
        <v>10600</v>
      </c>
      <c r="JL17" s="18">
        <v>10000</v>
      </c>
      <c r="JM17" s="18">
        <v>9510</v>
      </c>
      <c r="JN17" s="18">
        <v>9020</v>
      </c>
      <c r="JO17" s="18">
        <v>8740</v>
      </c>
      <c r="JP17" s="18">
        <v>8550</v>
      </c>
      <c r="JQ17" s="18">
        <v>8200</v>
      </c>
      <c r="JR17" s="18">
        <v>7920</v>
      </c>
      <c r="JS17" s="18">
        <v>7840</v>
      </c>
      <c r="JT17" s="18">
        <v>8470</v>
      </c>
      <c r="JU17" s="18">
        <v>10300</v>
      </c>
      <c r="JV17" s="18">
        <v>14000</v>
      </c>
      <c r="JW17" s="18">
        <v>15200</v>
      </c>
      <c r="JX17" s="18">
        <v>13500</v>
      </c>
      <c r="JY17" s="18">
        <v>11700</v>
      </c>
      <c r="JZ17" s="18">
        <v>10400</v>
      </c>
      <c r="KA17" s="18">
        <v>9330</v>
      </c>
      <c r="KB17" s="18">
        <v>8560</v>
      </c>
      <c r="KC17" s="18">
        <v>8090</v>
      </c>
      <c r="KD17" s="18">
        <v>7680</v>
      </c>
      <c r="KE17" s="18">
        <v>7210</v>
      </c>
      <c r="KF17" s="18">
        <v>6840</v>
      </c>
      <c r="KG17" s="18">
        <v>6540</v>
      </c>
      <c r="KH17" s="18">
        <v>6230</v>
      </c>
      <c r="KI17" s="18">
        <v>5910</v>
      </c>
      <c r="KJ17" s="18">
        <v>5660</v>
      </c>
      <c r="KK17" s="18">
        <v>5450</v>
      </c>
      <c r="KL17" s="18">
        <v>5260</v>
      </c>
      <c r="KM17" s="18">
        <v>5140</v>
      </c>
      <c r="KN17" s="18">
        <v>5020</v>
      </c>
      <c r="KO17" s="18">
        <v>4860</v>
      </c>
      <c r="KP17" s="18">
        <v>4760</v>
      </c>
      <c r="KQ17" s="18">
        <v>4630</v>
      </c>
      <c r="KR17" s="18">
        <v>4470</v>
      </c>
      <c r="KS17" s="18">
        <v>4370</v>
      </c>
      <c r="KT17" s="18">
        <v>4240</v>
      </c>
      <c r="KU17" s="18">
        <v>4120</v>
      </c>
      <c r="KV17" s="18">
        <v>4030</v>
      </c>
      <c r="KW17" s="18">
        <v>3970</v>
      </c>
      <c r="KX17" s="18">
        <v>3860</v>
      </c>
      <c r="KY17" s="18">
        <v>3740</v>
      </c>
      <c r="KZ17" s="18">
        <v>3660</v>
      </c>
      <c r="LA17" s="18">
        <v>3570</v>
      </c>
      <c r="LB17" s="18">
        <v>3480</v>
      </c>
      <c r="LC17" s="18">
        <v>3420</v>
      </c>
      <c r="LD17" s="18">
        <v>3320</v>
      </c>
      <c r="LE17" s="18">
        <v>3260</v>
      </c>
      <c r="LF17" s="18">
        <v>3240</v>
      </c>
      <c r="LG17" s="18">
        <v>3180</v>
      </c>
      <c r="LH17" s="18">
        <v>3080</v>
      </c>
      <c r="LI17" s="18">
        <v>2990</v>
      </c>
      <c r="LJ17" s="18">
        <v>2940</v>
      </c>
      <c r="LK17" s="18">
        <v>2870</v>
      </c>
      <c r="LL17" s="18">
        <v>2820</v>
      </c>
      <c r="LM17" s="18">
        <v>2770</v>
      </c>
      <c r="LN17" s="18">
        <v>2720</v>
      </c>
      <c r="LO17" s="18">
        <v>2660</v>
      </c>
      <c r="LP17" s="18">
        <v>2630</v>
      </c>
      <c r="LQ17" s="18">
        <v>2610</v>
      </c>
      <c r="LR17" s="18">
        <v>2560</v>
      </c>
      <c r="LS17" s="18">
        <v>2540</v>
      </c>
      <c r="LT17" s="18">
        <v>2500</v>
      </c>
      <c r="LU17" s="18">
        <v>2430</v>
      </c>
      <c r="LV17" s="18">
        <v>2390</v>
      </c>
      <c r="LW17" s="18">
        <v>2350</v>
      </c>
      <c r="LX17" s="18">
        <v>2300</v>
      </c>
      <c r="LY17" s="18">
        <v>2260</v>
      </c>
      <c r="LZ17" s="18">
        <v>2230</v>
      </c>
      <c r="MA17" s="18">
        <v>2200</v>
      </c>
      <c r="MB17" s="18">
        <v>2160</v>
      </c>
      <c r="MC17" s="18">
        <v>2120</v>
      </c>
      <c r="MD17" s="18">
        <v>2110</v>
      </c>
      <c r="ME17" s="18">
        <v>2090</v>
      </c>
      <c r="MF17" s="18">
        <v>2080</v>
      </c>
      <c r="MG17" s="18">
        <v>2060</v>
      </c>
      <c r="MH17" s="18">
        <v>2010</v>
      </c>
      <c r="MI17" s="18">
        <v>1980</v>
      </c>
      <c r="MJ17" s="18">
        <v>1960</v>
      </c>
      <c r="MK17" s="18">
        <v>1940</v>
      </c>
      <c r="ML17" s="18">
        <v>1910</v>
      </c>
      <c r="MM17" s="18">
        <v>1890</v>
      </c>
      <c r="MN17" s="18">
        <v>1870</v>
      </c>
      <c r="MO17" s="18">
        <v>1840</v>
      </c>
      <c r="MP17" s="18">
        <v>1820</v>
      </c>
      <c r="MQ17" s="18">
        <v>1800</v>
      </c>
      <c r="MR17" s="18">
        <v>1790</v>
      </c>
      <c r="MS17" s="18">
        <v>1760</v>
      </c>
      <c r="MT17" s="18">
        <v>1700</v>
      </c>
      <c r="MU17" s="18">
        <v>1670</v>
      </c>
      <c r="MV17" s="18">
        <v>1640</v>
      </c>
      <c r="MW17" s="18">
        <v>1640</v>
      </c>
      <c r="MX17" s="18">
        <v>1660</v>
      </c>
      <c r="MY17" s="18">
        <v>1670</v>
      </c>
      <c r="MZ17" s="18">
        <v>1690</v>
      </c>
      <c r="NA17" s="18">
        <v>1690</v>
      </c>
      <c r="NB17" s="18">
        <v>1670</v>
      </c>
      <c r="NC17" s="18">
        <v>1660</v>
      </c>
      <c r="ND17" s="1">
        <v>1380</v>
      </c>
      <c r="NE17" s="1">
        <v>1180</v>
      </c>
      <c r="NF17" s="1">
        <v>1100</v>
      </c>
      <c r="NG17" s="1">
        <v>1430</v>
      </c>
      <c r="NH17" s="1">
        <v>1960</v>
      </c>
      <c r="NI17" s="1">
        <v>4360</v>
      </c>
      <c r="NJ17" s="1">
        <v>7250</v>
      </c>
      <c r="NK17" s="1">
        <v>9620</v>
      </c>
      <c r="NL17" s="1">
        <v>10700</v>
      </c>
      <c r="NM17" s="1">
        <v>7620</v>
      </c>
      <c r="NN17" s="1">
        <v>3070</v>
      </c>
      <c r="NO17" s="1">
        <v>1890</v>
      </c>
      <c r="NP17" s="1">
        <v>4307.5136612021861</v>
      </c>
      <c r="NQ17" s="1">
        <v>15200</v>
      </c>
      <c r="NR17" s="19">
        <v>42651</v>
      </c>
      <c r="NS17" s="1">
        <v>1060</v>
      </c>
      <c r="NT17" s="19">
        <v>42442</v>
      </c>
    </row>
    <row r="18" spans="1:384" x14ac:dyDescent="0.15">
      <c r="A18" s="1">
        <v>1965</v>
      </c>
      <c r="B18" s="18">
        <v>1630</v>
      </c>
      <c r="C18" s="18">
        <v>1610</v>
      </c>
      <c r="D18" s="18">
        <v>1600</v>
      </c>
      <c r="E18" s="18">
        <v>1580</v>
      </c>
      <c r="F18" s="18">
        <v>1560</v>
      </c>
      <c r="G18" s="18">
        <v>1560</v>
      </c>
      <c r="H18" s="18">
        <v>1560</v>
      </c>
      <c r="I18" s="18">
        <v>1550</v>
      </c>
      <c r="J18" s="18">
        <v>1530</v>
      </c>
      <c r="K18" s="18">
        <v>1520</v>
      </c>
      <c r="L18" s="18">
        <v>1520</v>
      </c>
      <c r="M18" s="18">
        <v>1500</v>
      </c>
      <c r="N18" s="18">
        <v>1500</v>
      </c>
      <c r="O18" s="18">
        <v>1480</v>
      </c>
      <c r="P18" s="18">
        <v>1480</v>
      </c>
      <c r="Q18" s="18">
        <v>1470</v>
      </c>
      <c r="R18" s="18">
        <v>1460</v>
      </c>
      <c r="S18" s="18">
        <v>1430</v>
      </c>
      <c r="T18" s="18">
        <v>1400</v>
      </c>
      <c r="U18" s="18">
        <v>1380</v>
      </c>
      <c r="V18" s="18">
        <v>1370</v>
      </c>
      <c r="W18" s="18">
        <v>1350</v>
      </c>
      <c r="X18" s="18">
        <v>1340</v>
      </c>
      <c r="Y18" s="18">
        <v>1320</v>
      </c>
      <c r="Z18" s="18">
        <v>1320</v>
      </c>
      <c r="AA18" s="18">
        <v>1320</v>
      </c>
      <c r="AB18" s="18">
        <v>1320</v>
      </c>
      <c r="AC18" s="18">
        <v>1310</v>
      </c>
      <c r="AD18" s="18">
        <v>1310</v>
      </c>
      <c r="AE18" s="18">
        <v>1300</v>
      </c>
      <c r="AF18" s="18">
        <v>1300</v>
      </c>
      <c r="AG18" s="18">
        <v>1300</v>
      </c>
      <c r="AH18" s="18">
        <v>1300</v>
      </c>
      <c r="AI18" s="18">
        <v>1290</v>
      </c>
      <c r="AJ18" s="18">
        <v>1290</v>
      </c>
      <c r="AK18" s="18">
        <v>1290</v>
      </c>
      <c r="AL18" s="18">
        <v>1300</v>
      </c>
      <c r="AM18" s="18">
        <v>1300</v>
      </c>
      <c r="AN18" s="18">
        <v>1300</v>
      </c>
      <c r="AO18" s="18">
        <v>1300</v>
      </c>
      <c r="AP18" s="18">
        <v>1310</v>
      </c>
      <c r="AQ18" s="18">
        <v>1300</v>
      </c>
      <c r="AR18" s="18">
        <v>1280</v>
      </c>
      <c r="AS18" s="18">
        <v>1270</v>
      </c>
      <c r="AT18" s="18">
        <v>1250</v>
      </c>
      <c r="AU18" s="18">
        <v>1240</v>
      </c>
      <c r="AV18" s="18">
        <v>1210</v>
      </c>
      <c r="AW18" s="18">
        <v>1200</v>
      </c>
      <c r="AX18" s="18">
        <v>1190</v>
      </c>
      <c r="AY18" s="18">
        <v>1190</v>
      </c>
      <c r="AZ18" s="18">
        <v>1180</v>
      </c>
      <c r="BA18" s="18">
        <v>1180</v>
      </c>
      <c r="BB18" s="18">
        <v>1180</v>
      </c>
      <c r="BC18" s="18">
        <v>1160</v>
      </c>
      <c r="BD18" s="18">
        <v>1160</v>
      </c>
      <c r="BE18" s="18">
        <v>1160</v>
      </c>
      <c r="BF18" s="18">
        <v>1150</v>
      </c>
      <c r="BG18" s="18">
        <v>1140</v>
      </c>
      <c r="BH18" s="18">
        <v>1140</v>
      </c>
      <c r="BI18" s="18"/>
      <c r="BJ18" s="18">
        <v>1140</v>
      </c>
      <c r="BK18" s="18">
        <v>1140</v>
      </c>
      <c r="BL18" s="18">
        <v>1120</v>
      </c>
      <c r="BM18" s="18">
        <v>1120</v>
      </c>
      <c r="BN18" s="18">
        <v>1120</v>
      </c>
      <c r="BO18" s="18">
        <v>1120</v>
      </c>
      <c r="BP18" s="18">
        <v>1120</v>
      </c>
      <c r="BQ18" s="18">
        <v>1120</v>
      </c>
      <c r="BR18" s="18">
        <v>1120</v>
      </c>
      <c r="BS18" s="18">
        <v>1120</v>
      </c>
      <c r="BT18" s="18">
        <v>1110</v>
      </c>
      <c r="BU18" s="18">
        <v>1100</v>
      </c>
      <c r="BV18" s="18">
        <v>1100</v>
      </c>
      <c r="BW18" s="18">
        <v>1100</v>
      </c>
      <c r="BX18" s="18">
        <v>1090</v>
      </c>
      <c r="BY18" s="18">
        <v>1090</v>
      </c>
      <c r="BZ18" s="18">
        <v>1090</v>
      </c>
      <c r="CA18" s="18">
        <v>1090</v>
      </c>
      <c r="CB18" s="18">
        <v>1090</v>
      </c>
      <c r="CC18" s="18">
        <v>1090</v>
      </c>
      <c r="CD18" s="18">
        <v>1090</v>
      </c>
      <c r="CE18" s="18">
        <v>1080</v>
      </c>
      <c r="CF18" s="18">
        <v>1080</v>
      </c>
      <c r="CG18" s="18">
        <v>1080</v>
      </c>
      <c r="CH18" s="18">
        <v>1090</v>
      </c>
      <c r="CI18" s="18">
        <v>1110</v>
      </c>
      <c r="CJ18" s="18">
        <v>1110</v>
      </c>
      <c r="CK18" s="18">
        <v>1120</v>
      </c>
      <c r="CL18" s="18">
        <v>1110</v>
      </c>
      <c r="CM18" s="18">
        <v>1100</v>
      </c>
      <c r="CN18" s="18">
        <v>1090</v>
      </c>
      <c r="CO18" s="18">
        <v>1090</v>
      </c>
      <c r="CP18" s="18">
        <v>1070</v>
      </c>
      <c r="CQ18" s="18">
        <v>1070</v>
      </c>
      <c r="CR18" s="18">
        <v>1070</v>
      </c>
      <c r="CS18" s="18">
        <v>1070</v>
      </c>
      <c r="CT18" s="18">
        <v>1070</v>
      </c>
      <c r="CU18" s="18">
        <v>1090</v>
      </c>
      <c r="CV18" s="18">
        <v>1090</v>
      </c>
      <c r="CW18" s="18">
        <v>1090</v>
      </c>
      <c r="CX18" s="18">
        <v>1080</v>
      </c>
      <c r="CY18" s="18">
        <v>1090</v>
      </c>
      <c r="CZ18" s="18">
        <v>1090</v>
      </c>
      <c r="DA18" s="18">
        <v>1120</v>
      </c>
      <c r="DB18" s="18">
        <v>1120</v>
      </c>
      <c r="DC18" s="18">
        <v>1140</v>
      </c>
      <c r="DD18" s="18">
        <v>1140</v>
      </c>
      <c r="DE18" s="18">
        <v>1140</v>
      </c>
      <c r="DF18" s="18">
        <v>1140</v>
      </c>
      <c r="DG18" s="18">
        <v>1180</v>
      </c>
      <c r="DH18" s="18">
        <v>1190</v>
      </c>
      <c r="DI18" s="18">
        <v>1190</v>
      </c>
      <c r="DJ18" s="18">
        <v>1220</v>
      </c>
      <c r="DK18" s="18">
        <v>1230</v>
      </c>
      <c r="DL18" s="18">
        <v>1230</v>
      </c>
      <c r="DM18" s="18">
        <v>1220</v>
      </c>
      <c r="DN18" s="18">
        <v>1230</v>
      </c>
      <c r="DO18" s="18">
        <v>1250</v>
      </c>
      <c r="DP18" s="18">
        <v>1240</v>
      </c>
      <c r="DQ18" s="18">
        <v>1250</v>
      </c>
      <c r="DR18" s="18">
        <v>1270</v>
      </c>
      <c r="DS18" s="18">
        <v>1320</v>
      </c>
      <c r="DT18" s="18">
        <v>1370</v>
      </c>
      <c r="DU18" s="18">
        <v>1400</v>
      </c>
      <c r="DV18" s="18">
        <v>1420</v>
      </c>
      <c r="DW18" s="18">
        <v>1410</v>
      </c>
      <c r="DX18" s="18">
        <v>1370</v>
      </c>
      <c r="DY18" s="18">
        <v>1330</v>
      </c>
      <c r="DZ18" s="18">
        <v>1310</v>
      </c>
      <c r="EA18" s="18">
        <v>1310</v>
      </c>
      <c r="EB18" s="18">
        <v>1320</v>
      </c>
      <c r="EC18" s="18">
        <v>1350</v>
      </c>
      <c r="ED18" s="18">
        <v>1370</v>
      </c>
      <c r="EE18" s="18">
        <v>1380</v>
      </c>
      <c r="EF18" s="18">
        <v>1420</v>
      </c>
      <c r="EG18" s="18">
        <v>1460</v>
      </c>
      <c r="EH18" s="18">
        <v>1520</v>
      </c>
      <c r="EI18" s="18">
        <v>1560</v>
      </c>
      <c r="EJ18" s="18">
        <v>1590</v>
      </c>
      <c r="EK18" s="18">
        <v>1620</v>
      </c>
      <c r="EL18" s="18">
        <v>1680</v>
      </c>
      <c r="EM18" s="18">
        <v>1680</v>
      </c>
      <c r="EN18" s="18">
        <v>1690</v>
      </c>
      <c r="EO18" s="18">
        <v>1770</v>
      </c>
      <c r="EP18" s="18">
        <v>1920</v>
      </c>
      <c r="EQ18" s="18">
        <v>1940</v>
      </c>
      <c r="ER18" s="18">
        <v>2030</v>
      </c>
      <c r="ES18" s="18">
        <v>2010</v>
      </c>
      <c r="ET18" s="18">
        <v>1920</v>
      </c>
      <c r="EU18" s="18">
        <v>1880</v>
      </c>
      <c r="EV18" s="18">
        <v>1890</v>
      </c>
      <c r="EW18" s="18">
        <v>1900</v>
      </c>
      <c r="EX18" s="18">
        <v>2260</v>
      </c>
      <c r="EY18" s="18">
        <v>2340</v>
      </c>
      <c r="EZ18" s="18">
        <v>2550</v>
      </c>
      <c r="FA18" s="18">
        <v>2820</v>
      </c>
      <c r="FB18" s="18">
        <v>2980</v>
      </c>
      <c r="FC18" s="18">
        <v>3580</v>
      </c>
      <c r="FD18" s="18">
        <v>4260</v>
      </c>
      <c r="FE18" s="18">
        <v>4700</v>
      </c>
      <c r="FF18" s="18">
        <v>4690</v>
      </c>
      <c r="FG18" s="18">
        <v>4560</v>
      </c>
      <c r="FH18" s="18">
        <v>4530</v>
      </c>
      <c r="FI18" s="18">
        <v>4860</v>
      </c>
      <c r="FJ18" s="18">
        <v>5410</v>
      </c>
      <c r="FK18" s="18">
        <v>5740</v>
      </c>
      <c r="FL18" s="18">
        <v>6130</v>
      </c>
      <c r="FM18" s="18">
        <v>5970</v>
      </c>
      <c r="FN18" s="18">
        <v>5450</v>
      </c>
      <c r="FO18" s="18">
        <v>5600</v>
      </c>
      <c r="FP18" s="18">
        <v>6140</v>
      </c>
      <c r="FQ18" s="18">
        <v>6500</v>
      </c>
      <c r="FR18" s="18">
        <v>6560</v>
      </c>
      <c r="FS18" s="18">
        <v>6740</v>
      </c>
      <c r="FT18" s="18">
        <v>7670</v>
      </c>
      <c r="FU18" s="18">
        <v>8610</v>
      </c>
      <c r="FV18" s="18">
        <v>9430</v>
      </c>
      <c r="FW18" s="18">
        <v>10700</v>
      </c>
      <c r="FX18" s="18">
        <v>11100</v>
      </c>
      <c r="FY18" s="18">
        <v>11300</v>
      </c>
      <c r="FZ18" s="18">
        <v>11100</v>
      </c>
      <c r="GA18" s="18">
        <v>12100</v>
      </c>
      <c r="GB18" s="18">
        <v>11800</v>
      </c>
      <c r="GC18" s="18">
        <v>10700</v>
      </c>
      <c r="GD18" s="18">
        <v>10100</v>
      </c>
      <c r="GE18" s="18">
        <v>10100</v>
      </c>
      <c r="GF18" s="18">
        <v>10500</v>
      </c>
      <c r="GG18" s="18">
        <v>10800</v>
      </c>
      <c r="GH18" s="18">
        <v>11000</v>
      </c>
      <c r="GI18" s="18">
        <v>10900</v>
      </c>
      <c r="GJ18" s="18">
        <v>10800</v>
      </c>
      <c r="GK18" s="18">
        <v>11400</v>
      </c>
      <c r="GL18" s="18">
        <v>12800</v>
      </c>
      <c r="GM18" s="18">
        <v>13300</v>
      </c>
      <c r="GN18" s="18">
        <v>12800</v>
      </c>
      <c r="GO18" s="18">
        <v>12600</v>
      </c>
      <c r="GP18" s="18">
        <v>12900</v>
      </c>
      <c r="GQ18" s="18">
        <v>14200</v>
      </c>
      <c r="GR18" s="18">
        <v>16000</v>
      </c>
      <c r="GS18" s="18">
        <v>16900</v>
      </c>
      <c r="GT18" s="18">
        <v>16300</v>
      </c>
      <c r="GU18" s="18">
        <v>15200</v>
      </c>
      <c r="GV18" s="18">
        <v>13700</v>
      </c>
      <c r="GW18" s="18">
        <v>12900</v>
      </c>
      <c r="GX18" s="18">
        <v>13000</v>
      </c>
      <c r="GY18" s="18">
        <v>13500</v>
      </c>
      <c r="GZ18" s="18">
        <v>13100</v>
      </c>
      <c r="HA18" s="18">
        <v>12200</v>
      </c>
      <c r="HB18" s="18">
        <v>11700</v>
      </c>
      <c r="HC18" s="18">
        <v>11300</v>
      </c>
      <c r="HD18" s="18">
        <v>10500</v>
      </c>
      <c r="HE18" s="18">
        <v>9810</v>
      </c>
      <c r="HF18" s="18">
        <v>9200</v>
      </c>
      <c r="HG18" s="18">
        <v>8560</v>
      </c>
      <c r="HH18" s="18">
        <v>8080</v>
      </c>
      <c r="HI18" s="18">
        <v>7740</v>
      </c>
      <c r="HJ18" s="18">
        <v>8060</v>
      </c>
      <c r="HK18" s="18">
        <v>8760</v>
      </c>
      <c r="HL18" s="18">
        <v>9500</v>
      </c>
      <c r="HM18" s="18">
        <v>11000</v>
      </c>
      <c r="HN18" s="18">
        <v>12800</v>
      </c>
      <c r="HO18" s="18">
        <v>15700</v>
      </c>
      <c r="HP18" s="18">
        <v>17700</v>
      </c>
      <c r="HQ18" s="18">
        <v>21000</v>
      </c>
      <c r="HR18" s="18">
        <v>19400</v>
      </c>
      <c r="HS18" s="18">
        <v>17600</v>
      </c>
      <c r="HT18" s="18">
        <v>16400</v>
      </c>
      <c r="HU18" s="18">
        <v>14700</v>
      </c>
      <c r="HV18" s="18">
        <v>13200</v>
      </c>
      <c r="HW18" s="18">
        <v>12800</v>
      </c>
      <c r="HX18" s="18">
        <v>12900</v>
      </c>
      <c r="HY18" s="18">
        <v>14700</v>
      </c>
      <c r="HZ18" s="18">
        <v>15900</v>
      </c>
      <c r="IA18" s="18">
        <v>14400</v>
      </c>
      <c r="IB18" s="18">
        <v>12500</v>
      </c>
      <c r="IC18" s="18">
        <v>11200</v>
      </c>
      <c r="ID18" s="18">
        <v>10500</v>
      </c>
      <c r="IE18" s="18">
        <v>10200</v>
      </c>
      <c r="IF18" s="18">
        <v>10500</v>
      </c>
      <c r="IG18" s="18">
        <v>10800</v>
      </c>
      <c r="IH18" s="18">
        <v>10200</v>
      </c>
      <c r="II18" s="18">
        <v>9710</v>
      </c>
      <c r="IJ18" s="18">
        <v>9120</v>
      </c>
      <c r="IK18" s="18">
        <v>8720</v>
      </c>
      <c r="IL18" s="18">
        <v>8810</v>
      </c>
      <c r="IM18" s="18">
        <v>9230</v>
      </c>
      <c r="IN18" s="18">
        <v>9090</v>
      </c>
      <c r="IO18" s="18">
        <v>8890</v>
      </c>
      <c r="IP18" s="18">
        <v>8660</v>
      </c>
      <c r="IQ18" s="18">
        <v>8520</v>
      </c>
      <c r="IR18" s="18">
        <v>9390</v>
      </c>
      <c r="IS18" s="18">
        <v>9790</v>
      </c>
      <c r="IT18" s="18">
        <v>9580</v>
      </c>
      <c r="IU18" s="18">
        <v>9520</v>
      </c>
      <c r="IV18" s="18">
        <v>10500</v>
      </c>
      <c r="IW18" s="18">
        <v>11500</v>
      </c>
      <c r="IX18" s="18">
        <v>11500</v>
      </c>
      <c r="IY18" s="18">
        <v>11900</v>
      </c>
      <c r="IZ18" s="18">
        <v>12600</v>
      </c>
      <c r="JA18" s="18">
        <v>13000</v>
      </c>
      <c r="JB18" s="18">
        <v>13700</v>
      </c>
      <c r="JC18" s="18">
        <v>14100</v>
      </c>
      <c r="JD18" s="18">
        <v>15100</v>
      </c>
      <c r="JE18" s="18">
        <v>17000</v>
      </c>
      <c r="JF18" s="18">
        <v>17500</v>
      </c>
      <c r="JG18" s="18">
        <v>17300</v>
      </c>
      <c r="JH18" s="18">
        <v>16500</v>
      </c>
      <c r="JI18" s="18">
        <v>15800</v>
      </c>
      <c r="JJ18" s="18">
        <v>14800</v>
      </c>
      <c r="JK18" s="18">
        <v>13500</v>
      </c>
      <c r="JL18" s="18">
        <v>12500</v>
      </c>
      <c r="JM18" s="18">
        <v>11800</v>
      </c>
      <c r="JN18" s="18">
        <v>11300</v>
      </c>
      <c r="JO18" s="18">
        <v>10700</v>
      </c>
      <c r="JP18" s="18">
        <v>10200</v>
      </c>
      <c r="JQ18" s="18">
        <v>9690</v>
      </c>
      <c r="JR18" s="18">
        <v>9370</v>
      </c>
      <c r="JS18" s="18">
        <v>9150</v>
      </c>
      <c r="JT18" s="18">
        <v>8910</v>
      </c>
      <c r="JU18" s="18">
        <v>8610</v>
      </c>
      <c r="JV18" s="18">
        <v>8250</v>
      </c>
      <c r="JW18" s="18">
        <v>8060</v>
      </c>
      <c r="JX18" s="18">
        <v>8030</v>
      </c>
      <c r="JY18" s="18">
        <v>7900</v>
      </c>
      <c r="JZ18" s="18">
        <v>7810</v>
      </c>
      <c r="KA18" s="18">
        <v>7620</v>
      </c>
      <c r="KB18" s="18">
        <v>7280</v>
      </c>
      <c r="KC18" s="18">
        <v>6970</v>
      </c>
      <c r="KD18" s="18">
        <v>6920</v>
      </c>
      <c r="KE18" s="18">
        <v>6730</v>
      </c>
      <c r="KF18" s="18">
        <v>6580</v>
      </c>
      <c r="KG18" s="18">
        <v>6470</v>
      </c>
      <c r="KH18" s="18">
        <v>6340</v>
      </c>
      <c r="KI18" s="18">
        <v>6140</v>
      </c>
      <c r="KJ18" s="18">
        <v>6160</v>
      </c>
      <c r="KK18" s="18">
        <v>6410</v>
      </c>
      <c r="KL18" s="18">
        <v>7170</v>
      </c>
      <c r="KM18" s="18">
        <v>8590</v>
      </c>
      <c r="KN18" s="18">
        <v>8620</v>
      </c>
      <c r="KO18" s="18">
        <v>8350</v>
      </c>
      <c r="KP18" s="18">
        <v>8010</v>
      </c>
      <c r="KQ18" s="18">
        <v>7510</v>
      </c>
      <c r="KR18" s="18">
        <v>7110</v>
      </c>
      <c r="KS18" s="18">
        <v>6620</v>
      </c>
      <c r="KT18" s="18">
        <v>6200</v>
      </c>
      <c r="KU18" s="18">
        <v>6000</v>
      </c>
      <c r="KV18" s="18">
        <v>5740</v>
      </c>
      <c r="KW18" s="18">
        <v>5580</v>
      </c>
      <c r="KX18" s="18">
        <v>5530</v>
      </c>
      <c r="KY18" s="18">
        <v>5360</v>
      </c>
      <c r="KZ18" s="18">
        <v>5200</v>
      </c>
      <c r="LA18" s="18">
        <v>5030</v>
      </c>
      <c r="LB18" s="18">
        <v>4860</v>
      </c>
      <c r="LC18" s="18">
        <v>4730</v>
      </c>
      <c r="LD18" s="18">
        <v>4580</v>
      </c>
      <c r="LE18" s="18">
        <v>4450</v>
      </c>
      <c r="LF18" s="18">
        <v>4280</v>
      </c>
      <c r="LG18" s="18">
        <v>4150</v>
      </c>
      <c r="LH18" s="18">
        <v>4040</v>
      </c>
      <c r="LI18" s="18">
        <v>3920</v>
      </c>
      <c r="LJ18" s="18">
        <v>3850</v>
      </c>
      <c r="LK18" s="18">
        <v>3790</v>
      </c>
      <c r="LL18" s="18">
        <v>3720</v>
      </c>
      <c r="LM18" s="18">
        <v>3630</v>
      </c>
      <c r="LN18" s="18">
        <v>3560</v>
      </c>
      <c r="LO18" s="18">
        <v>3470</v>
      </c>
      <c r="LP18" s="18">
        <v>3460</v>
      </c>
      <c r="LQ18" s="18">
        <v>3470</v>
      </c>
      <c r="LR18" s="18">
        <v>3390</v>
      </c>
      <c r="LS18" s="18">
        <v>3290</v>
      </c>
      <c r="LT18" s="18">
        <v>3200</v>
      </c>
      <c r="LU18" s="18">
        <v>3150</v>
      </c>
      <c r="LV18" s="18">
        <v>3110</v>
      </c>
      <c r="LW18" s="18">
        <v>3020</v>
      </c>
      <c r="LX18" s="18">
        <v>2980</v>
      </c>
      <c r="LY18" s="18">
        <v>2940</v>
      </c>
      <c r="LZ18" s="18">
        <v>2900</v>
      </c>
      <c r="MA18" s="18">
        <v>2860</v>
      </c>
      <c r="MB18" s="18">
        <v>2790</v>
      </c>
      <c r="MC18" s="18">
        <v>2740</v>
      </c>
      <c r="MD18" s="18">
        <v>2690</v>
      </c>
      <c r="ME18" s="18">
        <v>2640</v>
      </c>
      <c r="MF18" s="18">
        <v>2590</v>
      </c>
      <c r="MG18" s="18">
        <v>2540</v>
      </c>
      <c r="MH18" s="18">
        <v>2510</v>
      </c>
      <c r="MI18" s="18">
        <v>2470</v>
      </c>
      <c r="MJ18" s="18">
        <v>2450</v>
      </c>
      <c r="MK18" s="18">
        <v>2410</v>
      </c>
      <c r="ML18" s="18">
        <v>2380</v>
      </c>
      <c r="MM18" s="18">
        <v>2360</v>
      </c>
      <c r="MN18" s="18">
        <v>2380</v>
      </c>
      <c r="MO18" s="18">
        <v>2550</v>
      </c>
      <c r="MP18" s="18">
        <v>2530</v>
      </c>
      <c r="MQ18" s="18">
        <v>2480</v>
      </c>
      <c r="MR18" s="18">
        <v>2420</v>
      </c>
      <c r="MS18" s="18">
        <v>2340</v>
      </c>
      <c r="MT18" s="18">
        <v>2290</v>
      </c>
      <c r="MU18" s="18">
        <v>2250</v>
      </c>
      <c r="MV18" s="18">
        <v>2190</v>
      </c>
      <c r="MW18" s="18">
        <v>2140</v>
      </c>
      <c r="MX18" s="18">
        <v>2100</v>
      </c>
      <c r="MY18" s="18">
        <v>2070</v>
      </c>
      <c r="MZ18" s="18">
        <v>2050</v>
      </c>
      <c r="NA18" s="18">
        <v>2030</v>
      </c>
      <c r="NB18" s="18">
        <v>2010</v>
      </c>
      <c r="NC18" s="18">
        <v>1990</v>
      </c>
      <c r="ND18" s="1">
        <v>1450</v>
      </c>
      <c r="NE18" s="1">
        <v>1230</v>
      </c>
      <c r="NF18" s="1">
        <v>1100</v>
      </c>
      <c r="NG18" s="1">
        <v>1150</v>
      </c>
      <c r="NH18" s="1">
        <v>1590</v>
      </c>
      <c r="NI18" s="1">
        <v>6210</v>
      </c>
      <c r="NJ18" s="1">
        <v>12300</v>
      </c>
      <c r="NK18" s="1">
        <v>12400</v>
      </c>
      <c r="NL18" s="1">
        <v>12100</v>
      </c>
      <c r="NM18" s="1">
        <v>7670</v>
      </c>
      <c r="NN18" s="1">
        <v>4150</v>
      </c>
      <c r="NO18" s="1">
        <v>2420</v>
      </c>
      <c r="NP18" s="1">
        <v>5346.6575342465758</v>
      </c>
      <c r="NQ18" s="1">
        <v>21000</v>
      </c>
      <c r="NR18" s="19">
        <v>42593</v>
      </c>
      <c r="NS18" s="1">
        <v>1070</v>
      </c>
      <c r="NT18" s="19">
        <v>42462</v>
      </c>
    </row>
    <row r="19" spans="1:384" x14ac:dyDescent="0.15">
      <c r="A19" s="1">
        <v>1966</v>
      </c>
      <c r="B19" s="18">
        <v>1940</v>
      </c>
      <c r="C19" s="18">
        <v>1910</v>
      </c>
      <c r="D19" s="18">
        <v>1890</v>
      </c>
      <c r="E19" s="18">
        <v>1850</v>
      </c>
      <c r="F19" s="18">
        <v>1830</v>
      </c>
      <c r="G19" s="18">
        <v>1810</v>
      </c>
      <c r="H19" s="18">
        <v>1790</v>
      </c>
      <c r="I19" s="18">
        <v>1780</v>
      </c>
      <c r="J19" s="18">
        <v>1770</v>
      </c>
      <c r="K19" s="18">
        <v>1760</v>
      </c>
      <c r="L19" s="18">
        <v>1730</v>
      </c>
      <c r="M19" s="18">
        <v>1700</v>
      </c>
      <c r="N19" s="18">
        <v>1670</v>
      </c>
      <c r="O19" s="18">
        <v>1660</v>
      </c>
      <c r="P19" s="18">
        <v>1640</v>
      </c>
      <c r="Q19" s="18">
        <v>1630</v>
      </c>
      <c r="R19" s="18">
        <v>1620</v>
      </c>
      <c r="S19" s="18">
        <v>1600</v>
      </c>
      <c r="T19" s="18">
        <v>1600</v>
      </c>
      <c r="U19" s="18">
        <v>1570</v>
      </c>
      <c r="V19" s="18">
        <v>1560</v>
      </c>
      <c r="W19" s="18">
        <v>1550</v>
      </c>
      <c r="X19" s="18">
        <v>1530</v>
      </c>
      <c r="Y19" s="18">
        <v>1520</v>
      </c>
      <c r="Z19" s="18">
        <v>1510</v>
      </c>
      <c r="AA19" s="18">
        <v>1490</v>
      </c>
      <c r="AB19" s="18">
        <v>1470</v>
      </c>
      <c r="AC19" s="18">
        <v>1470</v>
      </c>
      <c r="AD19" s="18">
        <v>1470</v>
      </c>
      <c r="AE19" s="18">
        <v>1460</v>
      </c>
      <c r="AF19" s="18">
        <v>1450</v>
      </c>
      <c r="AG19" s="18">
        <v>1440</v>
      </c>
      <c r="AH19" s="18">
        <v>1440</v>
      </c>
      <c r="AI19" s="18">
        <v>1420</v>
      </c>
      <c r="AJ19" s="18">
        <v>1410</v>
      </c>
      <c r="AK19" s="18">
        <v>1390</v>
      </c>
      <c r="AL19" s="18">
        <v>1380</v>
      </c>
      <c r="AM19" s="18">
        <v>1380</v>
      </c>
      <c r="AN19" s="18">
        <v>1370</v>
      </c>
      <c r="AO19" s="18">
        <v>1370</v>
      </c>
      <c r="AP19" s="18">
        <v>1370</v>
      </c>
      <c r="AQ19" s="18">
        <v>1370</v>
      </c>
      <c r="AR19" s="18">
        <v>1360</v>
      </c>
      <c r="AS19" s="18">
        <v>1360</v>
      </c>
      <c r="AT19" s="18">
        <v>1360</v>
      </c>
      <c r="AU19" s="18">
        <v>1370</v>
      </c>
      <c r="AV19" s="18">
        <v>1380</v>
      </c>
      <c r="AW19" s="18">
        <v>1370</v>
      </c>
      <c r="AX19" s="18">
        <v>1360</v>
      </c>
      <c r="AY19" s="18">
        <v>1350</v>
      </c>
      <c r="AZ19" s="18">
        <v>1350</v>
      </c>
      <c r="BA19" s="18">
        <v>1340</v>
      </c>
      <c r="BB19" s="18">
        <v>1330</v>
      </c>
      <c r="BC19" s="18">
        <v>1320</v>
      </c>
      <c r="BD19" s="18">
        <v>1320</v>
      </c>
      <c r="BE19" s="18">
        <v>1310</v>
      </c>
      <c r="BF19" s="18">
        <v>1310</v>
      </c>
      <c r="BG19" s="18">
        <v>1300</v>
      </c>
      <c r="BH19" s="18">
        <v>1300</v>
      </c>
      <c r="BI19" s="18"/>
      <c r="BJ19" s="18">
        <v>1290</v>
      </c>
      <c r="BK19" s="18">
        <v>1280</v>
      </c>
      <c r="BL19" s="18">
        <v>1280</v>
      </c>
      <c r="BM19" s="18">
        <v>1280</v>
      </c>
      <c r="BN19" s="18">
        <v>1280</v>
      </c>
      <c r="BO19" s="18">
        <v>1280</v>
      </c>
      <c r="BP19" s="18">
        <v>1280</v>
      </c>
      <c r="BQ19" s="18">
        <v>1280</v>
      </c>
      <c r="BR19" s="18">
        <v>1280</v>
      </c>
      <c r="BS19" s="18">
        <v>1280</v>
      </c>
      <c r="BT19" s="18">
        <v>1290</v>
      </c>
      <c r="BU19" s="18">
        <v>1290</v>
      </c>
      <c r="BV19" s="18">
        <v>1290</v>
      </c>
      <c r="BW19" s="18">
        <v>1280</v>
      </c>
      <c r="BX19" s="18">
        <v>1280</v>
      </c>
      <c r="BY19" s="18">
        <v>1270</v>
      </c>
      <c r="BZ19" s="18">
        <v>1270</v>
      </c>
      <c r="CA19" s="18">
        <v>1260</v>
      </c>
      <c r="CB19" s="18">
        <v>1260</v>
      </c>
      <c r="CC19" s="18">
        <v>1260</v>
      </c>
      <c r="CD19" s="18">
        <v>1260</v>
      </c>
      <c r="CE19" s="18">
        <v>1260</v>
      </c>
      <c r="CF19" s="18">
        <v>1270</v>
      </c>
      <c r="CG19" s="18">
        <v>1270</v>
      </c>
      <c r="CH19" s="18">
        <v>1270</v>
      </c>
      <c r="CI19" s="18">
        <v>1270</v>
      </c>
      <c r="CJ19" s="18">
        <v>1270</v>
      </c>
      <c r="CK19" s="18">
        <v>1260</v>
      </c>
      <c r="CL19" s="18">
        <v>1260</v>
      </c>
      <c r="CM19" s="18">
        <v>1270</v>
      </c>
      <c r="CN19" s="18">
        <v>1270</v>
      </c>
      <c r="CO19" s="18">
        <v>1290</v>
      </c>
      <c r="CP19" s="18">
        <v>1330</v>
      </c>
      <c r="CQ19" s="18">
        <v>1360</v>
      </c>
      <c r="CR19" s="18">
        <v>1380</v>
      </c>
      <c r="CS19" s="18">
        <v>1400</v>
      </c>
      <c r="CT19" s="18">
        <v>1400</v>
      </c>
      <c r="CU19" s="18">
        <v>1380</v>
      </c>
      <c r="CV19" s="18">
        <v>1340</v>
      </c>
      <c r="CW19" s="18">
        <v>1320</v>
      </c>
      <c r="CX19" s="18">
        <v>1080</v>
      </c>
      <c r="CY19" s="18">
        <v>1430</v>
      </c>
      <c r="CZ19" s="18">
        <v>1360</v>
      </c>
      <c r="DA19" s="18">
        <v>1320</v>
      </c>
      <c r="DB19" s="18">
        <v>1290</v>
      </c>
      <c r="DC19" s="18">
        <v>1270</v>
      </c>
      <c r="DD19" s="18">
        <v>1270</v>
      </c>
      <c r="DE19" s="18">
        <v>1270</v>
      </c>
      <c r="DF19" s="18">
        <v>1270</v>
      </c>
      <c r="DG19" s="18">
        <v>1270</v>
      </c>
      <c r="DH19" s="18">
        <v>1270</v>
      </c>
      <c r="DI19" s="18">
        <v>1340</v>
      </c>
      <c r="DJ19" s="18">
        <v>1380</v>
      </c>
      <c r="DK19" s="18">
        <v>1380</v>
      </c>
      <c r="DL19" s="18">
        <v>1390</v>
      </c>
      <c r="DM19" s="18">
        <v>1400</v>
      </c>
      <c r="DN19" s="18">
        <v>1420</v>
      </c>
      <c r="DO19" s="18">
        <v>1420</v>
      </c>
      <c r="DP19" s="18">
        <v>1440</v>
      </c>
      <c r="DQ19" s="18">
        <v>1440</v>
      </c>
      <c r="DR19" s="18">
        <v>1420</v>
      </c>
      <c r="DS19" s="18">
        <v>1400</v>
      </c>
      <c r="DT19" s="18">
        <v>1360</v>
      </c>
      <c r="DU19" s="18">
        <v>1370</v>
      </c>
      <c r="DV19" s="18">
        <v>1410</v>
      </c>
      <c r="DW19" s="18">
        <v>1450</v>
      </c>
      <c r="DX19" s="18">
        <v>1540</v>
      </c>
      <c r="DY19" s="18">
        <v>1650</v>
      </c>
      <c r="DZ19" s="18">
        <v>1720</v>
      </c>
      <c r="EA19" s="18">
        <v>1710</v>
      </c>
      <c r="EB19" s="18">
        <v>1680</v>
      </c>
      <c r="EC19" s="18">
        <v>1620</v>
      </c>
      <c r="ED19" s="18">
        <v>1540</v>
      </c>
      <c r="EE19" s="18">
        <v>1490</v>
      </c>
      <c r="EF19" s="18">
        <v>1480</v>
      </c>
      <c r="EG19" s="18">
        <v>1500</v>
      </c>
      <c r="EH19" s="18">
        <v>1510</v>
      </c>
      <c r="EI19" s="18">
        <v>1530</v>
      </c>
      <c r="EJ19" s="18">
        <v>1570</v>
      </c>
      <c r="EK19" s="18">
        <v>1610</v>
      </c>
      <c r="EL19" s="18">
        <v>1650</v>
      </c>
      <c r="EM19" s="18">
        <v>1640</v>
      </c>
      <c r="EN19" s="18">
        <v>1670</v>
      </c>
      <c r="EO19" s="18">
        <v>1680</v>
      </c>
      <c r="EP19" s="18">
        <v>1740</v>
      </c>
      <c r="EQ19" s="18">
        <v>1820</v>
      </c>
      <c r="ER19" s="18">
        <v>2090</v>
      </c>
      <c r="ES19" s="18">
        <v>2080</v>
      </c>
      <c r="ET19" s="18">
        <v>2160</v>
      </c>
      <c r="EU19" s="18">
        <v>2110</v>
      </c>
      <c r="EV19" s="18">
        <v>2090</v>
      </c>
      <c r="EW19" s="18">
        <v>2150</v>
      </c>
      <c r="EX19" s="18">
        <v>2210</v>
      </c>
      <c r="EY19" s="18">
        <v>2110</v>
      </c>
      <c r="EZ19" s="18">
        <v>1990</v>
      </c>
      <c r="FA19" s="18">
        <v>1970</v>
      </c>
      <c r="FB19" s="18">
        <v>2090</v>
      </c>
      <c r="FC19" s="18">
        <v>2150</v>
      </c>
      <c r="FD19" s="18">
        <v>2390</v>
      </c>
      <c r="FE19" s="18">
        <v>2800</v>
      </c>
      <c r="FF19" s="18">
        <v>3280</v>
      </c>
      <c r="FG19" s="18">
        <v>3830</v>
      </c>
      <c r="FH19" s="18">
        <v>4210</v>
      </c>
      <c r="FI19" s="18">
        <v>4570</v>
      </c>
      <c r="FJ19" s="18">
        <v>4730</v>
      </c>
      <c r="FK19" s="18">
        <v>4600</v>
      </c>
      <c r="FL19" s="18">
        <v>4610</v>
      </c>
      <c r="FM19" s="18">
        <v>4940</v>
      </c>
      <c r="FN19" s="18">
        <v>5520</v>
      </c>
      <c r="FO19" s="18">
        <v>5590</v>
      </c>
      <c r="FP19" s="18">
        <v>6110</v>
      </c>
      <c r="FQ19" s="18">
        <v>5640</v>
      </c>
      <c r="FR19" s="18">
        <v>5280</v>
      </c>
      <c r="FS19" s="18">
        <v>4820</v>
      </c>
      <c r="FT19" s="18">
        <v>4360</v>
      </c>
      <c r="FU19" s="18">
        <v>4120</v>
      </c>
      <c r="FV19" s="18">
        <v>3920</v>
      </c>
      <c r="FW19" s="18">
        <v>3920</v>
      </c>
      <c r="FX19" s="18">
        <v>4330</v>
      </c>
      <c r="FY19" s="18">
        <v>4540</v>
      </c>
      <c r="FZ19" s="18">
        <v>5960</v>
      </c>
      <c r="GA19" s="18">
        <v>6410</v>
      </c>
      <c r="GB19" s="18">
        <v>7240</v>
      </c>
      <c r="GC19" s="18">
        <v>7210</v>
      </c>
      <c r="GD19" s="18">
        <v>6400</v>
      </c>
      <c r="GE19" s="18">
        <v>7380</v>
      </c>
      <c r="GF19" s="18">
        <v>7660</v>
      </c>
      <c r="GG19" s="18">
        <v>8180</v>
      </c>
      <c r="GH19" s="18">
        <v>8280</v>
      </c>
      <c r="GI19" s="18">
        <v>7960</v>
      </c>
      <c r="GJ19" s="18">
        <v>8110</v>
      </c>
      <c r="GK19" s="18">
        <v>8650</v>
      </c>
      <c r="GL19" s="18">
        <v>9850</v>
      </c>
      <c r="GM19" s="18">
        <v>13400</v>
      </c>
      <c r="GN19" s="18">
        <v>14000</v>
      </c>
      <c r="GO19" s="18">
        <v>12300</v>
      </c>
      <c r="GP19" s="18">
        <v>10600</v>
      </c>
      <c r="GQ19" s="18">
        <v>9120</v>
      </c>
      <c r="GR19" s="18">
        <v>8440</v>
      </c>
      <c r="GS19" s="18">
        <v>8540</v>
      </c>
      <c r="GT19" s="18">
        <v>8370</v>
      </c>
      <c r="GU19" s="18">
        <v>7920</v>
      </c>
      <c r="GV19" s="18">
        <v>7330</v>
      </c>
      <c r="GW19" s="18">
        <v>6890</v>
      </c>
      <c r="GX19" s="18">
        <v>6530</v>
      </c>
      <c r="GY19" s="18">
        <v>6640</v>
      </c>
      <c r="GZ19" s="18">
        <v>6940</v>
      </c>
      <c r="HA19" s="18">
        <v>6940</v>
      </c>
      <c r="HB19" s="18">
        <v>6860</v>
      </c>
      <c r="HC19" s="18">
        <v>6800</v>
      </c>
      <c r="HD19" s="18">
        <v>6650</v>
      </c>
      <c r="HE19" s="18">
        <v>6630</v>
      </c>
      <c r="HF19" s="18">
        <v>7170</v>
      </c>
      <c r="HG19" s="18">
        <v>8200</v>
      </c>
      <c r="HH19" s="18">
        <v>8480</v>
      </c>
      <c r="HI19" s="18">
        <v>8620</v>
      </c>
      <c r="HJ19" s="18">
        <v>9990</v>
      </c>
      <c r="HK19" s="18">
        <v>11700</v>
      </c>
      <c r="HL19" s="18">
        <v>11800</v>
      </c>
      <c r="HM19" s="18">
        <v>11600</v>
      </c>
      <c r="HN19" s="18">
        <v>12500</v>
      </c>
      <c r="HO19" s="18">
        <v>12400</v>
      </c>
      <c r="HP19" s="18">
        <v>12400</v>
      </c>
      <c r="HQ19" s="18">
        <v>12000</v>
      </c>
      <c r="HR19" s="18">
        <v>12600</v>
      </c>
      <c r="HS19" s="18">
        <v>13800</v>
      </c>
      <c r="HT19" s="18">
        <v>13100</v>
      </c>
      <c r="HU19" s="18">
        <v>11400</v>
      </c>
      <c r="HV19" s="18">
        <v>10100</v>
      </c>
      <c r="HW19" s="18">
        <v>9200</v>
      </c>
      <c r="HX19" s="18">
        <v>8570</v>
      </c>
      <c r="HY19" s="18">
        <v>7970</v>
      </c>
      <c r="HZ19" s="18">
        <v>7400</v>
      </c>
      <c r="IA19" s="18">
        <v>7210</v>
      </c>
      <c r="IB19" s="18">
        <v>7270</v>
      </c>
      <c r="IC19" s="18">
        <v>7590</v>
      </c>
      <c r="ID19" s="18">
        <v>9260</v>
      </c>
      <c r="IE19" s="18">
        <v>12900</v>
      </c>
      <c r="IF19" s="18">
        <v>17200</v>
      </c>
      <c r="IG19" s="18">
        <v>20900</v>
      </c>
      <c r="IH19" s="18">
        <v>23200</v>
      </c>
      <c r="II19" s="18">
        <v>23000</v>
      </c>
      <c r="IJ19" s="18">
        <v>23300</v>
      </c>
      <c r="IK19" s="18">
        <v>24400</v>
      </c>
      <c r="IL19" s="18">
        <v>25600</v>
      </c>
      <c r="IM19" s="18">
        <v>24600</v>
      </c>
      <c r="IN19" s="18">
        <v>22600</v>
      </c>
      <c r="IO19" s="18">
        <v>20300</v>
      </c>
      <c r="IP19" s="18">
        <v>18400</v>
      </c>
      <c r="IQ19" s="18">
        <v>18200</v>
      </c>
      <c r="IR19" s="18">
        <v>20600</v>
      </c>
      <c r="IS19" s="18">
        <v>19700</v>
      </c>
      <c r="IT19" s="18">
        <v>17400</v>
      </c>
      <c r="IU19" s="18">
        <v>15300</v>
      </c>
      <c r="IV19" s="18">
        <v>13800</v>
      </c>
      <c r="IW19" s="18">
        <v>12700</v>
      </c>
      <c r="IX19" s="18">
        <v>12000</v>
      </c>
      <c r="IY19" s="18">
        <v>12000</v>
      </c>
      <c r="IZ19" s="18">
        <v>13100</v>
      </c>
      <c r="JA19" s="18">
        <v>13200</v>
      </c>
      <c r="JB19" s="18">
        <v>12600</v>
      </c>
      <c r="JC19" s="18">
        <v>11800</v>
      </c>
      <c r="JD19" s="18">
        <v>11000</v>
      </c>
      <c r="JE19" s="18">
        <v>10400</v>
      </c>
      <c r="JF19" s="18">
        <v>10100</v>
      </c>
      <c r="JG19" s="18">
        <v>9890</v>
      </c>
      <c r="JH19" s="18">
        <v>10100</v>
      </c>
      <c r="JI19" s="18">
        <v>10600</v>
      </c>
      <c r="JJ19" s="18">
        <v>10600</v>
      </c>
      <c r="JK19" s="18">
        <v>10500</v>
      </c>
      <c r="JL19" s="18">
        <v>10600</v>
      </c>
      <c r="JM19" s="18">
        <v>11000</v>
      </c>
      <c r="JN19" s="18">
        <v>11700</v>
      </c>
      <c r="JO19" s="18">
        <v>11800</v>
      </c>
      <c r="JP19" s="18">
        <v>12300</v>
      </c>
      <c r="JQ19" s="18">
        <v>12900</v>
      </c>
      <c r="JR19" s="18">
        <v>13600</v>
      </c>
      <c r="JS19" s="18">
        <v>12600</v>
      </c>
      <c r="JT19" s="18">
        <v>11300</v>
      </c>
      <c r="JU19" s="18">
        <v>10400</v>
      </c>
      <c r="JV19" s="18">
        <v>9620</v>
      </c>
      <c r="JW19" s="18">
        <v>9100</v>
      </c>
      <c r="JX19" s="18">
        <v>8570</v>
      </c>
      <c r="JY19" s="18">
        <v>8190</v>
      </c>
      <c r="JZ19" s="18">
        <v>7820</v>
      </c>
      <c r="KA19" s="18">
        <v>7480</v>
      </c>
      <c r="KB19" s="18">
        <v>7210</v>
      </c>
      <c r="KC19" s="18">
        <v>7050</v>
      </c>
      <c r="KD19" s="18">
        <v>6790</v>
      </c>
      <c r="KE19" s="18">
        <v>6640</v>
      </c>
      <c r="KF19" s="18">
        <v>6610</v>
      </c>
      <c r="KG19" s="18">
        <v>6470</v>
      </c>
      <c r="KH19" s="18">
        <v>6610</v>
      </c>
      <c r="KI19" s="18">
        <v>6540</v>
      </c>
      <c r="KJ19" s="18">
        <v>6430</v>
      </c>
      <c r="KK19" s="18">
        <v>6280</v>
      </c>
      <c r="KL19" s="18">
        <v>5940</v>
      </c>
      <c r="KM19" s="18">
        <v>5630</v>
      </c>
      <c r="KN19" s="18">
        <v>5360</v>
      </c>
      <c r="KO19" s="18">
        <v>5170</v>
      </c>
      <c r="KP19" s="18">
        <v>5020</v>
      </c>
      <c r="KQ19" s="18">
        <v>4850</v>
      </c>
      <c r="KR19" s="18">
        <v>4740</v>
      </c>
      <c r="KS19" s="18">
        <v>4610</v>
      </c>
      <c r="KT19" s="18">
        <v>4480</v>
      </c>
      <c r="KU19" s="18">
        <v>4320</v>
      </c>
      <c r="KV19" s="18">
        <v>4200</v>
      </c>
      <c r="KW19" s="18">
        <v>4080</v>
      </c>
      <c r="KX19" s="18">
        <v>3970</v>
      </c>
      <c r="KY19" s="18">
        <v>3870</v>
      </c>
      <c r="KZ19" s="18">
        <v>3790</v>
      </c>
      <c r="LA19" s="18">
        <v>3720</v>
      </c>
      <c r="LB19" s="18">
        <v>3640</v>
      </c>
      <c r="LC19" s="18">
        <v>3560</v>
      </c>
      <c r="LD19" s="18">
        <v>3510</v>
      </c>
      <c r="LE19" s="18">
        <v>3440</v>
      </c>
      <c r="LF19" s="18">
        <v>3380</v>
      </c>
      <c r="LG19" s="18">
        <v>3330</v>
      </c>
      <c r="LH19" s="18">
        <v>3250</v>
      </c>
      <c r="LI19" s="18">
        <v>3200</v>
      </c>
      <c r="LJ19" s="18">
        <v>3130</v>
      </c>
      <c r="LK19" s="18">
        <v>3110</v>
      </c>
      <c r="LL19" s="18">
        <v>3050</v>
      </c>
      <c r="LM19" s="18">
        <v>3000</v>
      </c>
      <c r="LN19" s="18">
        <v>2980</v>
      </c>
      <c r="LO19" s="18">
        <v>2970</v>
      </c>
      <c r="LP19" s="18">
        <v>2920</v>
      </c>
      <c r="LQ19" s="18">
        <v>2880</v>
      </c>
      <c r="LR19" s="18">
        <v>2830</v>
      </c>
      <c r="LS19" s="18">
        <v>2760</v>
      </c>
      <c r="LT19" s="18">
        <v>2730</v>
      </c>
      <c r="LU19" s="18">
        <v>2680</v>
      </c>
      <c r="LV19" s="18">
        <v>2660</v>
      </c>
      <c r="LW19" s="18">
        <v>2630</v>
      </c>
      <c r="LX19" s="18">
        <v>2580</v>
      </c>
      <c r="LY19" s="18">
        <v>2550</v>
      </c>
      <c r="LZ19" s="18">
        <v>2520</v>
      </c>
      <c r="MA19" s="18">
        <v>2510</v>
      </c>
      <c r="MB19" s="18">
        <v>2490</v>
      </c>
      <c r="MC19" s="18">
        <v>2470</v>
      </c>
      <c r="MD19" s="18">
        <v>2420</v>
      </c>
      <c r="ME19" s="18">
        <v>2390</v>
      </c>
      <c r="MF19" s="18">
        <v>2350</v>
      </c>
      <c r="MG19" s="18">
        <v>2310</v>
      </c>
      <c r="MH19" s="18">
        <v>2260</v>
      </c>
      <c r="MI19" s="18">
        <v>2230</v>
      </c>
      <c r="MJ19" s="18">
        <v>2210</v>
      </c>
      <c r="MK19" s="18">
        <v>2180</v>
      </c>
      <c r="ML19" s="18">
        <v>2160</v>
      </c>
      <c r="MM19" s="18">
        <v>2150</v>
      </c>
      <c r="MN19" s="18">
        <v>2130</v>
      </c>
      <c r="MO19" s="18">
        <v>2120</v>
      </c>
      <c r="MP19" s="18">
        <v>2100</v>
      </c>
      <c r="MQ19" s="18">
        <v>2070</v>
      </c>
      <c r="MR19" s="18">
        <v>2030</v>
      </c>
      <c r="MS19" s="18">
        <v>2000</v>
      </c>
      <c r="MT19" s="18">
        <v>1980</v>
      </c>
      <c r="MU19" s="18">
        <v>1950</v>
      </c>
      <c r="MV19" s="18">
        <v>1940</v>
      </c>
      <c r="MW19" s="18">
        <v>1910</v>
      </c>
      <c r="MX19" s="18">
        <v>1870</v>
      </c>
      <c r="MY19" s="18">
        <v>1830</v>
      </c>
      <c r="MZ19" s="18">
        <v>1790</v>
      </c>
      <c r="NA19" s="18">
        <v>1760</v>
      </c>
      <c r="NB19" s="18">
        <v>1760</v>
      </c>
      <c r="NC19" s="18">
        <v>1730</v>
      </c>
      <c r="ND19" s="1">
        <v>1650</v>
      </c>
      <c r="NE19" s="1">
        <v>1360</v>
      </c>
      <c r="NF19" s="1">
        <v>1270</v>
      </c>
      <c r="NG19" s="1">
        <v>1340</v>
      </c>
      <c r="NH19" s="1">
        <v>1680</v>
      </c>
      <c r="NI19" s="1">
        <v>4100</v>
      </c>
      <c r="NJ19" s="1">
        <v>8230</v>
      </c>
      <c r="NK19" s="1">
        <v>12600</v>
      </c>
      <c r="NL19" s="1">
        <v>14400</v>
      </c>
      <c r="NM19" s="1">
        <v>7620</v>
      </c>
      <c r="NN19" s="1">
        <v>3270</v>
      </c>
      <c r="NO19" s="1">
        <v>2130</v>
      </c>
      <c r="NP19" s="1">
        <v>4992.0273972602736</v>
      </c>
      <c r="NQ19" s="1">
        <v>25600</v>
      </c>
      <c r="NR19" s="19">
        <v>42614</v>
      </c>
      <c r="NS19" s="1">
        <v>1080</v>
      </c>
      <c r="NT19" s="19">
        <v>42470</v>
      </c>
    </row>
    <row r="20" spans="1:384" x14ac:dyDescent="0.15">
      <c r="A20" s="1">
        <v>1967</v>
      </c>
      <c r="B20" s="18">
        <v>1730</v>
      </c>
      <c r="C20" s="18">
        <v>1720</v>
      </c>
      <c r="D20" s="18">
        <v>1690</v>
      </c>
      <c r="E20" s="18">
        <v>1680</v>
      </c>
      <c r="F20" s="18">
        <v>1670</v>
      </c>
      <c r="G20" s="18">
        <v>1660</v>
      </c>
      <c r="H20" s="18">
        <v>1650</v>
      </c>
      <c r="I20" s="18">
        <v>1630</v>
      </c>
      <c r="J20" s="18">
        <v>1610</v>
      </c>
      <c r="K20" s="18">
        <v>1610</v>
      </c>
      <c r="L20" s="18">
        <v>1590</v>
      </c>
      <c r="M20" s="18">
        <v>1590</v>
      </c>
      <c r="N20" s="18">
        <v>1590</v>
      </c>
      <c r="O20" s="18">
        <v>1590</v>
      </c>
      <c r="P20" s="18">
        <v>1590</v>
      </c>
      <c r="Q20" s="18">
        <v>1580</v>
      </c>
      <c r="R20" s="18">
        <v>1570</v>
      </c>
      <c r="S20" s="18">
        <v>1560</v>
      </c>
      <c r="T20" s="18">
        <v>1540</v>
      </c>
      <c r="U20" s="18">
        <v>1510</v>
      </c>
      <c r="V20" s="18">
        <v>1490</v>
      </c>
      <c r="W20" s="18">
        <v>1480</v>
      </c>
      <c r="X20" s="18">
        <v>1470</v>
      </c>
      <c r="Y20" s="18">
        <v>1460</v>
      </c>
      <c r="Z20" s="18">
        <v>1460</v>
      </c>
      <c r="AA20" s="18">
        <v>1440</v>
      </c>
      <c r="AB20" s="18">
        <v>1430</v>
      </c>
      <c r="AC20" s="18">
        <v>1430</v>
      </c>
      <c r="AD20" s="18">
        <v>1420</v>
      </c>
      <c r="AE20" s="18">
        <v>1410</v>
      </c>
      <c r="AF20" s="18">
        <v>1410</v>
      </c>
      <c r="AG20" s="18">
        <v>1410</v>
      </c>
      <c r="AH20" s="18">
        <v>1410</v>
      </c>
      <c r="AI20" s="18">
        <v>1410</v>
      </c>
      <c r="AJ20" s="18">
        <v>1420</v>
      </c>
      <c r="AK20" s="18">
        <v>1410</v>
      </c>
      <c r="AL20" s="18">
        <v>1400</v>
      </c>
      <c r="AM20" s="18">
        <v>1390</v>
      </c>
      <c r="AN20" s="18">
        <v>1380</v>
      </c>
      <c r="AO20" s="18">
        <v>1380</v>
      </c>
      <c r="AP20" s="18">
        <v>1380</v>
      </c>
      <c r="AQ20" s="18">
        <v>1370</v>
      </c>
      <c r="AR20" s="18">
        <v>1380</v>
      </c>
      <c r="AS20" s="18">
        <v>1370</v>
      </c>
      <c r="AT20" s="18">
        <v>1360</v>
      </c>
      <c r="AU20" s="18">
        <v>1360</v>
      </c>
      <c r="AV20" s="18">
        <v>1350</v>
      </c>
      <c r="AW20" s="18">
        <v>1340</v>
      </c>
      <c r="AX20" s="18">
        <v>1340</v>
      </c>
      <c r="AY20" s="18">
        <v>1330</v>
      </c>
      <c r="AZ20" s="18">
        <v>1330</v>
      </c>
      <c r="BA20" s="18">
        <v>1320</v>
      </c>
      <c r="BB20" s="18">
        <v>1310</v>
      </c>
      <c r="BC20" s="18">
        <v>1310</v>
      </c>
      <c r="BD20" s="18">
        <v>1310</v>
      </c>
      <c r="BE20" s="18">
        <v>1310</v>
      </c>
      <c r="BF20" s="18">
        <v>1320</v>
      </c>
      <c r="BG20" s="18">
        <v>1320</v>
      </c>
      <c r="BH20" s="18">
        <v>1310</v>
      </c>
      <c r="BI20" s="18"/>
      <c r="BJ20" s="18">
        <v>1310</v>
      </c>
      <c r="BK20" s="18">
        <v>1290</v>
      </c>
      <c r="BL20" s="18">
        <v>1280</v>
      </c>
      <c r="BM20" s="18">
        <v>1280</v>
      </c>
      <c r="BN20" s="18">
        <v>1260</v>
      </c>
      <c r="BO20" s="18">
        <v>1260</v>
      </c>
      <c r="BP20" s="18">
        <v>1260</v>
      </c>
      <c r="BQ20" s="18">
        <v>1260</v>
      </c>
      <c r="BR20" s="18">
        <v>1260</v>
      </c>
      <c r="BS20" s="18">
        <v>1260</v>
      </c>
      <c r="BT20" s="18">
        <v>1260</v>
      </c>
      <c r="BU20" s="18">
        <v>1260</v>
      </c>
      <c r="BV20" s="18">
        <v>1250</v>
      </c>
      <c r="BW20" s="18">
        <v>1240</v>
      </c>
      <c r="BX20" s="18">
        <v>1230</v>
      </c>
      <c r="BY20" s="18">
        <v>1220</v>
      </c>
      <c r="BZ20" s="18">
        <v>1220</v>
      </c>
      <c r="CA20" s="18">
        <v>1220</v>
      </c>
      <c r="CB20" s="18">
        <v>1220</v>
      </c>
      <c r="CC20" s="18">
        <v>1220</v>
      </c>
      <c r="CD20" s="18">
        <v>1220</v>
      </c>
      <c r="CE20" s="18">
        <v>1220</v>
      </c>
      <c r="CF20" s="18">
        <v>1220</v>
      </c>
      <c r="CG20" s="18">
        <v>1220</v>
      </c>
      <c r="CH20" s="18">
        <v>1220</v>
      </c>
      <c r="CI20" s="18">
        <v>1210</v>
      </c>
      <c r="CJ20" s="18">
        <v>1210</v>
      </c>
      <c r="CK20" s="18">
        <v>1210</v>
      </c>
      <c r="CL20" s="18">
        <v>1200</v>
      </c>
      <c r="CM20" s="18">
        <v>1210</v>
      </c>
      <c r="CN20" s="18">
        <v>1210</v>
      </c>
      <c r="CO20" s="18">
        <v>1220</v>
      </c>
      <c r="CP20" s="18">
        <v>1220</v>
      </c>
      <c r="CQ20" s="18">
        <v>1210</v>
      </c>
      <c r="CR20" s="18">
        <v>1210</v>
      </c>
      <c r="CS20" s="18">
        <v>1210</v>
      </c>
      <c r="CT20" s="18">
        <v>1210</v>
      </c>
      <c r="CU20" s="18">
        <v>1210</v>
      </c>
      <c r="CV20" s="18">
        <v>1210</v>
      </c>
      <c r="CW20" s="18">
        <v>1220</v>
      </c>
      <c r="CX20" s="18">
        <v>1230</v>
      </c>
      <c r="CY20" s="18">
        <v>1230</v>
      </c>
      <c r="CZ20" s="18">
        <v>1230</v>
      </c>
      <c r="DA20" s="18">
        <v>1220</v>
      </c>
      <c r="DB20" s="18">
        <v>1210</v>
      </c>
      <c r="DC20" s="18">
        <v>1200</v>
      </c>
      <c r="DD20" s="18">
        <v>1200</v>
      </c>
      <c r="DE20" s="18">
        <v>1200</v>
      </c>
      <c r="DF20" s="18">
        <v>1230</v>
      </c>
      <c r="DG20" s="18">
        <v>1260</v>
      </c>
      <c r="DH20" s="18">
        <v>1250</v>
      </c>
      <c r="DI20" s="18">
        <v>1260</v>
      </c>
      <c r="DJ20" s="18">
        <v>1270</v>
      </c>
      <c r="DK20" s="18">
        <v>1260</v>
      </c>
      <c r="DL20" s="18">
        <v>1260</v>
      </c>
      <c r="DM20" s="18">
        <v>1270</v>
      </c>
      <c r="DN20" s="18">
        <v>1310</v>
      </c>
      <c r="DO20" s="18">
        <v>1380</v>
      </c>
      <c r="DP20" s="18">
        <v>1390</v>
      </c>
      <c r="DQ20" s="18">
        <v>1380</v>
      </c>
      <c r="DR20" s="18">
        <v>1370</v>
      </c>
      <c r="DS20" s="18">
        <v>1370</v>
      </c>
      <c r="DT20" s="18">
        <v>1390</v>
      </c>
      <c r="DU20" s="18">
        <v>1430</v>
      </c>
      <c r="DV20" s="18">
        <v>1510</v>
      </c>
      <c r="DW20" s="18">
        <v>1620</v>
      </c>
      <c r="DX20" s="18">
        <v>1740</v>
      </c>
      <c r="DY20" s="18">
        <v>1810</v>
      </c>
      <c r="DZ20" s="18">
        <v>1910</v>
      </c>
      <c r="EA20" s="18">
        <v>1940</v>
      </c>
      <c r="EB20" s="18">
        <v>1910</v>
      </c>
      <c r="EC20" s="18">
        <v>1870</v>
      </c>
      <c r="ED20" s="18">
        <v>1850</v>
      </c>
      <c r="EE20" s="18">
        <v>1830</v>
      </c>
      <c r="EF20" s="18">
        <v>1830</v>
      </c>
      <c r="EG20" s="18">
        <v>1800</v>
      </c>
      <c r="EH20" s="18">
        <v>1830</v>
      </c>
      <c r="EI20" s="18">
        <v>1860</v>
      </c>
      <c r="EJ20" s="18">
        <v>1890</v>
      </c>
      <c r="EK20" s="18">
        <v>1880</v>
      </c>
      <c r="EL20" s="18">
        <v>1910</v>
      </c>
      <c r="EM20" s="18">
        <v>1980</v>
      </c>
      <c r="EN20" s="18">
        <v>2130</v>
      </c>
      <c r="EO20" s="18">
        <v>2260</v>
      </c>
      <c r="EP20" s="18">
        <v>2320</v>
      </c>
      <c r="EQ20" s="18">
        <v>2300</v>
      </c>
      <c r="ER20" s="18">
        <v>2230</v>
      </c>
      <c r="ES20" s="18">
        <v>2180</v>
      </c>
      <c r="ET20" s="18">
        <v>2100</v>
      </c>
      <c r="EU20" s="18">
        <v>2040</v>
      </c>
      <c r="EV20" s="18">
        <v>1980</v>
      </c>
      <c r="EW20" s="18">
        <v>1950</v>
      </c>
      <c r="EX20" s="18">
        <v>1980</v>
      </c>
      <c r="EY20" s="18">
        <v>2030</v>
      </c>
      <c r="EZ20" s="18">
        <v>2220</v>
      </c>
      <c r="FA20" s="18">
        <v>2380</v>
      </c>
      <c r="FB20" s="18">
        <v>2530</v>
      </c>
      <c r="FC20" s="18">
        <v>2720</v>
      </c>
      <c r="FD20" s="18">
        <v>2820</v>
      </c>
      <c r="FE20" s="18">
        <v>2730</v>
      </c>
      <c r="FF20" s="18">
        <v>2760</v>
      </c>
      <c r="FG20" s="18">
        <v>2780</v>
      </c>
      <c r="FH20" s="18">
        <v>2590</v>
      </c>
      <c r="FI20" s="18">
        <v>2180</v>
      </c>
      <c r="FJ20" s="18">
        <v>2170</v>
      </c>
      <c r="FK20" s="18">
        <v>2230</v>
      </c>
      <c r="FL20" s="18">
        <v>2100</v>
      </c>
      <c r="FM20" s="18">
        <v>2370</v>
      </c>
      <c r="FN20" s="18">
        <v>2600</v>
      </c>
      <c r="FO20" s="18">
        <v>2470</v>
      </c>
      <c r="FP20" s="18">
        <v>6830</v>
      </c>
      <c r="FQ20" s="18">
        <v>5360</v>
      </c>
      <c r="FR20" s="18">
        <v>3650</v>
      </c>
      <c r="FS20" s="18">
        <v>3500</v>
      </c>
      <c r="FT20" s="18">
        <v>3430</v>
      </c>
      <c r="FU20" s="18">
        <v>3430</v>
      </c>
      <c r="FV20" s="18">
        <v>3900</v>
      </c>
      <c r="FW20" s="18">
        <v>4370</v>
      </c>
      <c r="FX20" s="18">
        <v>4320</v>
      </c>
      <c r="FY20" s="18">
        <v>4660</v>
      </c>
      <c r="FZ20" s="18">
        <v>4460</v>
      </c>
      <c r="GA20" s="18">
        <v>4460</v>
      </c>
      <c r="GB20" s="18">
        <v>4420</v>
      </c>
      <c r="GC20" s="18">
        <v>4210</v>
      </c>
      <c r="GD20" s="18">
        <v>4150</v>
      </c>
      <c r="GE20" s="18">
        <v>3980</v>
      </c>
      <c r="GF20" s="18">
        <v>3780</v>
      </c>
      <c r="GG20" s="18">
        <v>3660</v>
      </c>
      <c r="GH20" s="18">
        <v>3770</v>
      </c>
      <c r="GI20" s="18">
        <v>3910</v>
      </c>
      <c r="GJ20" s="18">
        <v>4170</v>
      </c>
      <c r="GK20" s="18">
        <v>4420</v>
      </c>
      <c r="GL20" s="18">
        <v>4610</v>
      </c>
      <c r="GM20" s="18">
        <v>4560</v>
      </c>
      <c r="GN20" s="18">
        <v>4520</v>
      </c>
      <c r="GO20" s="18">
        <v>4930</v>
      </c>
      <c r="GP20" s="18">
        <v>5700</v>
      </c>
      <c r="GQ20" s="18">
        <v>5760</v>
      </c>
      <c r="GR20" s="18">
        <v>5620</v>
      </c>
      <c r="GS20" s="18">
        <v>5620</v>
      </c>
      <c r="GT20" s="18">
        <v>5390</v>
      </c>
      <c r="GU20" s="18">
        <v>5040</v>
      </c>
      <c r="GV20" s="18">
        <v>4700</v>
      </c>
      <c r="GW20" s="18">
        <v>4850</v>
      </c>
      <c r="GX20" s="18">
        <v>5730</v>
      </c>
      <c r="GY20" s="18">
        <v>7280</v>
      </c>
      <c r="GZ20" s="18">
        <v>8150</v>
      </c>
      <c r="HA20" s="18">
        <v>7970</v>
      </c>
      <c r="HB20" s="18">
        <v>8120</v>
      </c>
      <c r="HC20" s="18">
        <v>8270</v>
      </c>
      <c r="HD20" s="18">
        <v>8240</v>
      </c>
      <c r="HE20" s="18">
        <v>7700</v>
      </c>
      <c r="HF20" s="18">
        <v>7210</v>
      </c>
      <c r="HG20" s="18">
        <v>6840</v>
      </c>
      <c r="HH20" s="18">
        <v>6310</v>
      </c>
      <c r="HI20" s="18">
        <v>5690</v>
      </c>
      <c r="HJ20" s="18">
        <v>5310</v>
      </c>
      <c r="HK20" s="18">
        <v>5340</v>
      </c>
      <c r="HL20" s="18">
        <v>6020</v>
      </c>
      <c r="HM20" s="18">
        <v>6570</v>
      </c>
      <c r="HN20" s="18">
        <v>7290</v>
      </c>
      <c r="HO20" s="18">
        <v>8270</v>
      </c>
      <c r="HP20" s="18">
        <v>8340</v>
      </c>
      <c r="HQ20" s="18">
        <v>8000</v>
      </c>
      <c r="HR20" s="18">
        <v>7600</v>
      </c>
      <c r="HS20" s="18">
        <v>7080</v>
      </c>
      <c r="HT20" s="18">
        <v>6860</v>
      </c>
      <c r="HU20" s="18">
        <v>6820</v>
      </c>
      <c r="HV20" s="18">
        <v>7070</v>
      </c>
      <c r="HW20" s="18">
        <v>7310</v>
      </c>
      <c r="HX20" s="18">
        <v>7750</v>
      </c>
      <c r="HY20" s="18">
        <v>7870</v>
      </c>
      <c r="HZ20" s="18">
        <v>7970</v>
      </c>
      <c r="IA20" s="18">
        <v>7730</v>
      </c>
      <c r="IB20" s="18">
        <v>7210</v>
      </c>
      <c r="IC20" s="18">
        <v>6600</v>
      </c>
      <c r="ID20" s="18">
        <v>6050</v>
      </c>
      <c r="IE20" s="18">
        <v>5650</v>
      </c>
      <c r="IF20" s="18">
        <v>5540</v>
      </c>
      <c r="IG20" s="18">
        <v>5530</v>
      </c>
      <c r="IH20" s="18">
        <v>5430</v>
      </c>
      <c r="II20" s="18">
        <v>5340</v>
      </c>
      <c r="IJ20" s="18">
        <v>5320</v>
      </c>
      <c r="IK20" s="18">
        <v>5120</v>
      </c>
      <c r="IL20" s="18">
        <v>5110</v>
      </c>
      <c r="IM20" s="18">
        <v>5070</v>
      </c>
      <c r="IN20" s="18">
        <v>5270</v>
      </c>
      <c r="IO20" s="18">
        <v>5390</v>
      </c>
      <c r="IP20" s="18">
        <v>5610</v>
      </c>
      <c r="IQ20" s="18">
        <v>5580</v>
      </c>
      <c r="IR20" s="18">
        <v>5600</v>
      </c>
      <c r="IS20" s="18">
        <v>5650</v>
      </c>
      <c r="IT20" s="18">
        <v>5540</v>
      </c>
      <c r="IU20" s="18">
        <v>5640</v>
      </c>
      <c r="IV20" s="18">
        <v>6140</v>
      </c>
      <c r="IW20" s="18">
        <v>6620</v>
      </c>
      <c r="IX20" s="18">
        <v>6910</v>
      </c>
      <c r="IY20" s="18">
        <v>7130</v>
      </c>
      <c r="IZ20" s="18">
        <v>7200</v>
      </c>
      <c r="JA20" s="18">
        <v>6810</v>
      </c>
      <c r="JB20" s="18">
        <v>6240</v>
      </c>
      <c r="JC20" s="18">
        <v>5880</v>
      </c>
      <c r="JD20" s="18">
        <v>5890</v>
      </c>
      <c r="JE20" s="18">
        <v>6130</v>
      </c>
      <c r="JF20" s="18">
        <v>7040</v>
      </c>
      <c r="JG20" s="18">
        <v>7290</v>
      </c>
      <c r="JH20" s="18">
        <v>7290</v>
      </c>
      <c r="JI20" s="18">
        <v>6910</v>
      </c>
      <c r="JJ20" s="18">
        <v>6640</v>
      </c>
      <c r="JK20" s="18">
        <v>6510</v>
      </c>
      <c r="JL20" s="18">
        <v>6330</v>
      </c>
      <c r="JM20" s="18">
        <v>6070</v>
      </c>
      <c r="JN20" s="18">
        <v>5800</v>
      </c>
      <c r="JO20" s="18">
        <v>5690</v>
      </c>
      <c r="JP20" s="18">
        <v>5470</v>
      </c>
      <c r="JQ20" s="18">
        <v>5890</v>
      </c>
      <c r="JR20" s="18">
        <v>6240</v>
      </c>
      <c r="JS20" s="18">
        <v>6570</v>
      </c>
      <c r="JT20" s="18">
        <v>6770</v>
      </c>
      <c r="JU20" s="18">
        <v>6630</v>
      </c>
      <c r="JV20" s="18">
        <v>6730</v>
      </c>
      <c r="JW20" s="18">
        <v>6850</v>
      </c>
      <c r="JX20" s="18">
        <v>6450</v>
      </c>
      <c r="JY20" s="18">
        <v>6180</v>
      </c>
      <c r="JZ20" s="18">
        <v>5880</v>
      </c>
      <c r="KA20" s="18">
        <v>5640</v>
      </c>
      <c r="KB20" s="18">
        <v>5450</v>
      </c>
      <c r="KC20" s="18">
        <v>5400</v>
      </c>
      <c r="KD20" s="18">
        <v>5520</v>
      </c>
      <c r="KE20" s="18">
        <v>5740</v>
      </c>
      <c r="KF20" s="18">
        <v>5380</v>
      </c>
      <c r="KG20" s="18">
        <v>4990</v>
      </c>
      <c r="KH20" s="18">
        <v>4700</v>
      </c>
      <c r="KI20" s="18">
        <v>4500</v>
      </c>
      <c r="KJ20" s="18">
        <v>4340</v>
      </c>
      <c r="KK20" s="18">
        <v>4220</v>
      </c>
      <c r="KL20" s="18">
        <v>4100</v>
      </c>
      <c r="KM20" s="18">
        <v>3980</v>
      </c>
      <c r="KN20" s="18">
        <v>3930</v>
      </c>
      <c r="KO20" s="18">
        <v>4040</v>
      </c>
      <c r="KP20" s="18">
        <v>3990</v>
      </c>
      <c r="KQ20" s="18">
        <v>3840</v>
      </c>
      <c r="KR20" s="18">
        <v>3710</v>
      </c>
      <c r="KS20" s="18">
        <v>3590</v>
      </c>
      <c r="KT20" s="18">
        <v>3480</v>
      </c>
      <c r="KU20" s="18">
        <v>3380</v>
      </c>
      <c r="KV20" s="18">
        <v>3300</v>
      </c>
      <c r="KW20" s="18">
        <v>3210</v>
      </c>
      <c r="KX20" s="18">
        <v>3120</v>
      </c>
      <c r="KY20" s="18">
        <v>3040</v>
      </c>
      <c r="KZ20" s="18">
        <v>2970</v>
      </c>
      <c r="LA20" s="18">
        <v>2890</v>
      </c>
      <c r="LB20" s="18">
        <v>2810</v>
      </c>
      <c r="LC20" s="18">
        <v>2740</v>
      </c>
      <c r="LD20" s="18">
        <v>2670</v>
      </c>
      <c r="LE20" s="18">
        <v>2590</v>
      </c>
      <c r="LF20" s="18">
        <v>2520</v>
      </c>
      <c r="LG20" s="18">
        <v>2490</v>
      </c>
      <c r="LH20" s="18">
        <v>2430</v>
      </c>
      <c r="LI20" s="18">
        <v>2380</v>
      </c>
      <c r="LJ20" s="18">
        <v>2330</v>
      </c>
      <c r="LK20" s="18">
        <v>2290</v>
      </c>
      <c r="LL20" s="18">
        <v>2260</v>
      </c>
      <c r="LM20" s="18">
        <v>2220</v>
      </c>
      <c r="LN20" s="18">
        <v>2200</v>
      </c>
      <c r="LO20" s="18">
        <v>2150</v>
      </c>
      <c r="LP20" s="18">
        <v>2140</v>
      </c>
      <c r="LQ20" s="18">
        <v>2120</v>
      </c>
      <c r="LR20" s="18">
        <v>2080</v>
      </c>
      <c r="LS20" s="18">
        <v>2050</v>
      </c>
      <c r="LT20" s="18">
        <v>2050</v>
      </c>
      <c r="LU20" s="18">
        <v>2080</v>
      </c>
      <c r="LV20" s="18">
        <v>2030</v>
      </c>
      <c r="LW20" s="18">
        <v>1980</v>
      </c>
      <c r="LX20" s="18">
        <v>1940</v>
      </c>
      <c r="LY20" s="18">
        <v>1900</v>
      </c>
      <c r="LZ20" s="18">
        <v>1880</v>
      </c>
      <c r="MA20" s="18">
        <v>1860</v>
      </c>
      <c r="MB20" s="18">
        <v>1830</v>
      </c>
      <c r="MC20" s="18">
        <v>1810</v>
      </c>
      <c r="MD20" s="18">
        <v>1770</v>
      </c>
      <c r="ME20" s="18">
        <v>1730</v>
      </c>
      <c r="MF20" s="18">
        <v>1690</v>
      </c>
      <c r="MG20" s="18">
        <v>1660</v>
      </c>
      <c r="MH20" s="18">
        <v>1630</v>
      </c>
      <c r="MI20" s="18">
        <v>1600</v>
      </c>
      <c r="MJ20" s="18">
        <v>1570</v>
      </c>
      <c r="MK20" s="18">
        <v>1550</v>
      </c>
      <c r="ML20" s="18">
        <v>1550</v>
      </c>
      <c r="MM20" s="18">
        <v>1550</v>
      </c>
      <c r="MN20" s="18">
        <v>1540</v>
      </c>
      <c r="MO20" s="18">
        <v>1540</v>
      </c>
      <c r="MP20" s="18">
        <v>1520</v>
      </c>
      <c r="MQ20" s="18">
        <v>1500</v>
      </c>
      <c r="MR20" s="18">
        <v>1480</v>
      </c>
      <c r="MS20" s="18">
        <v>1460</v>
      </c>
      <c r="MT20" s="18">
        <v>1430</v>
      </c>
      <c r="MU20" s="18">
        <v>1420</v>
      </c>
      <c r="MV20" s="18">
        <v>1410</v>
      </c>
      <c r="MW20" s="18">
        <v>1410</v>
      </c>
      <c r="MX20" s="18">
        <v>1390</v>
      </c>
      <c r="MY20" s="18">
        <v>1370</v>
      </c>
      <c r="MZ20" s="18">
        <v>1360</v>
      </c>
      <c r="NA20" s="18">
        <v>1350</v>
      </c>
      <c r="NB20" s="18">
        <v>1340</v>
      </c>
      <c r="NC20" s="18">
        <v>1330</v>
      </c>
      <c r="ND20" s="1">
        <v>1560</v>
      </c>
      <c r="NE20" s="1">
        <v>1360</v>
      </c>
      <c r="NF20" s="1">
        <v>1240</v>
      </c>
      <c r="NG20" s="1">
        <v>1250</v>
      </c>
      <c r="NH20" s="1">
        <v>1890</v>
      </c>
      <c r="NI20" s="1">
        <v>3200</v>
      </c>
      <c r="NJ20" s="1">
        <v>5500</v>
      </c>
      <c r="NK20" s="1">
        <v>6640</v>
      </c>
      <c r="NL20" s="1">
        <v>6170</v>
      </c>
      <c r="NM20" s="1">
        <v>5170</v>
      </c>
      <c r="NN20" s="1">
        <v>2480</v>
      </c>
      <c r="NO20" s="1">
        <v>1560</v>
      </c>
      <c r="NP20" s="1">
        <v>3181.5068493150684</v>
      </c>
      <c r="NQ20" s="1">
        <v>8340</v>
      </c>
      <c r="NR20" s="19">
        <v>42592</v>
      </c>
      <c r="NS20" s="1">
        <v>1200</v>
      </c>
      <c r="NT20" s="19">
        <v>42458</v>
      </c>
    </row>
    <row r="21" spans="1:384" x14ac:dyDescent="0.15">
      <c r="A21" s="1">
        <v>1968</v>
      </c>
      <c r="B21" s="18">
        <v>1400</v>
      </c>
      <c r="C21" s="18">
        <v>1400</v>
      </c>
      <c r="D21" s="18">
        <v>1390</v>
      </c>
      <c r="E21" s="18">
        <v>1380</v>
      </c>
      <c r="F21" s="18">
        <v>1370</v>
      </c>
      <c r="G21" s="18">
        <v>1370</v>
      </c>
      <c r="H21" s="18">
        <v>1350</v>
      </c>
      <c r="I21" s="18">
        <v>1330</v>
      </c>
      <c r="J21" s="18">
        <v>1300</v>
      </c>
      <c r="K21" s="18">
        <v>1280</v>
      </c>
      <c r="L21" s="18">
        <v>1280</v>
      </c>
      <c r="M21" s="18">
        <v>1270</v>
      </c>
      <c r="N21" s="18">
        <v>1270</v>
      </c>
      <c r="O21" s="18">
        <v>1270</v>
      </c>
      <c r="P21" s="18">
        <v>1270</v>
      </c>
      <c r="Q21" s="18">
        <v>1290</v>
      </c>
      <c r="R21" s="18">
        <v>1300</v>
      </c>
      <c r="S21" s="18">
        <v>1300</v>
      </c>
      <c r="T21" s="18">
        <v>1290</v>
      </c>
      <c r="U21" s="18">
        <v>1270</v>
      </c>
      <c r="V21" s="18">
        <v>1250</v>
      </c>
      <c r="W21" s="18">
        <v>1220</v>
      </c>
      <c r="X21" s="18">
        <v>1190</v>
      </c>
      <c r="Y21" s="18">
        <v>1160</v>
      </c>
      <c r="Z21" s="18">
        <v>1150</v>
      </c>
      <c r="AA21" s="18">
        <v>1130</v>
      </c>
      <c r="AB21" s="18">
        <v>1120</v>
      </c>
      <c r="AC21" s="18">
        <v>1110</v>
      </c>
      <c r="AD21" s="18">
        <v>1090</v>
      </c>
      <c r="AE21" s="18">
        <v>1080</v>
      </c>
      <c r="AF21" s="18">
        <v>1080</v>
      </c>
      <c r="AG21" s="18">
        <v>1070</v>
      </c>
      <c r="AH21" s="18">
        <v>1050</v>
      </c>
      <c r="AI21" s="18">
        <v>1050</v>
      </c>
      <c r="AJ21" s="18">
        <v>1050</v>
      </c>
      <c r="AK21" s="18">
        <v>1050</v>
      </c>
      <c r="AL21" s="18">
        <v>1040</v>
      </c>
      <c r="AM21" s="18">
        <v>1040</v>
      </c>
      <c r="AN21" s="18">
        <v>1040</v>
      </c>
      <c r="AO21" s="18">
        <v>1040</v>
      </c>
      <c r="AP21" s="18">
        <v>1030</v>
      </c>
      <c r="AQ21" s="18">
        <v>1030</v>
      </c>
      <c r="AR21" s="18">
        <v>1030</v>
      </c>
      <c r="AS21" s="18">
        <v>1020</v>
      </c>
      <c r="AT21" s="18">
        <v>1030</v>
      </c>
      <c r="AU21" s="18">
        <v>1040</v>
      </c>
      <c r="AV21" s="18">
        <v>1050</v>
      </c>
      <c r="AW21" s="18">
        <v>1040</v>
      </c>
      <c r="AX21" s="18">
        <v>1030</v>
      </c>
      <c r="AY21" s="18">
        <v>1020</v>
      </c>
      <c r="AZ21" s="18">
        <v>1020</v>
      </c>
      <c r="BA21" s="18">
        <v>1020</v>
      </c>
      <c r="BB21" s="18">
        <v>1020</v>
      </c>
      <c r="BC21" s="18">
        <v>1020</v>
      </c>
      <c r="BD21" s="18">
        <v>1010</v>
      </c>
      <c r="BE21" s="18">
        <v>1010</v>
      </c>
      <c r="BF21" s="18">
        <v>1010</v>
      </c>
      <c r="BG21" s="18">
        <v>1000</v>
      </c>
      <c r="BH21" s="18">
        <v>1000</v>
      </c>
      <c r="BI21" s="18">
        <v>997</v>
      </c>
      <c r="BJ21" s="18">
        <v>997</v>
      </c>
      <c r="BK21" s="18">
        <v>993</v>
      </c>
      <c r="BL21" s="18">
        <v>993</v>
      </c>
      <c r="BM21" s="18">
        <v>990</v>
      </c>
      <c r="BN21" s="18">
        <v>990</v>
      </c>
      <c r="BO21" s="18">
        <v>986</v>
      </c>
      <c r="BP21" s="18">
        <v>983</v>
      </c>
      <c r="BQ21" s="18">
        <v>980</v>
      </c>
      <c r="BR21" s="18">
        <v>976</v>
      </c>
      <c r="BS21" s="18">
        <v>973</v>
      </c>
      <c r="BT21" s="18">
        <v>973</v>
      </c>
      <c r="BU21" s="18">
        <v>976</v>
      </c>
      <c r="BV21" s="18">
        <v>983</v>
      </c>
      <c r="BW21" s="18">
        <v>983</v>
      </c>
      <c r="BX21" s="18">
        <v>983</v>
      </c>
      <c r="BY21" s="18">
        <v>983</v>
      </c>
      <c r="BZ21" s="18">
        <v>983</v>
      </c>
      <c r="CA21" s="18">
        <v>983</v>
      </c>
      <c r="CB21" s="18">
        <v>986</v>
      </c>
      <c r="CC21" s="18">
        <v>990</v>
      </c>
      <c r="CD21" s="18">
        <v>997</v>
      </c>
      <c r="CE21" s="18">
        <v>1000</v>
      </c>
      <c r="CF21" s="18">
        <v>1010</v>
      </c>
      <c r="CG21" s="18">
        <v>1010</v>
      </c>
      <c r="CH21" s="18">
        <v>1010</v>
      </c>
      <c r="CI21" s="18">
        <v>1020</v>
      </c>
      <c r="CJ21" s="18">
        <v>1030</v>
      </c>
      <c r="CK21" s="18">
        <v>1030</v>
      </c>
      <c r="CL21" s="18">
        <v>1020</v>
      </c>
      <c r="CM21" s="18">
        <v>1020</v>
      </c>
      <c r="CN21" s="18">
        <v>1000</v>
      </c>
      <c r="CO21" s="18">
        <v>997</v>
      </c>
      <c r="CP21" s="18">
        <v>993</v>
      </c>
      <c r="CQ21" s="18">
        <v>993</v>
      </c>
      <c r="CR21" s="18">
        <v>1000</v>
      </c>
      <c r="CS21" s="18">
        <v>1020</v>
      </c>
      <c r="CT21" s="18">
        <v>1030</v>
      </c>
      <c r="CU21" s="18">
        <v>1040</v>
      </c>
      <c r="CV21" s="18">
        <v>1050</v>
      </c>
      <c r="CW21" s="18">
        <v>1050</v>
      </c>
      <c r="CX21" s="18">
        <v>1040</v>
      </c>
      <c r="CY21" s="18">
        <v>1040</v>
      </c>
      <c r="CZ21" s="18">
        <v>1060</v>
      </c>
      <c r="DA21" s="18">
        <v>1090</v>
      </c>
      <c r="DB21" s="18">
        <v>1170</v>
      </c>
      <c r="DC21" s="18">
        <v>1230</v>
      </c>
      <c r="DD21" s="18">
        <v>1260</v>
      </c>
      <c r="DE21" s="18">
        <v>1250</v>
      </c>
      <c r="DF21" s="18">
        <v>1250</v>
      </c>
      <c r="DG21" s="18">
        <v>1270</v>
      </c>
      <c r="DH21" s="18">
        <v>1330</v>
      </c>
      <c r="DI21" s="18">
        <v>1360</v>
      </c>
      <c r="DJ21" s="18">
        <v>1360</v>
      </c>
      <c r="DK21" s="18">
        <v>1320</v>
      </c>
      <c r="DL21" s="18">
        <v>1280</v>
      </c>
      <c r="DM21" s="18">
        <v>1250</v>
      </c>
      <c r="DN21" s="18">
        <v>1230</v>
      </c>
      <c r="DO21" s="18">
        <v>1260</v>
      </c>
      <c r="DP21" s="18">
        <v>1360</v>
      </c>
      <c r="DQ21" s="18">
        <v>1500</v>
      </c>
      <c r="DR21" s="18">
        <v>1600</v>
      </c>
      <c r="DS21" s="18">
        <v>1750</v>
      </c>
      <c r="DT21" s="18">
        <v>1680</v>
      </c>
      <c r="DU21" s="18">
        <v>1720</v>
      </c>
      <c r="DV21" s="18">
        <v>1940</v>
      </c>
      <c r="DW21" s="18">
        <v>2310</v>
      </c>
      <c r="DX21" s="18">
        <v>2570</v>
      </c>
      <c r="DY21" s="18">
        <v>2880</v>
      </c>
      <c r="DZ21" s="18">
        <v>3260</v>
      </c>
      <c r="EA21" s="18">
        <v>3390</v>
      </c>
      <c r="EB21" s="18">
        <v>3340</v>
      </c>
      <c r="EC21" s="18">
        <v>3270</v>
      </c>
      <c r="ED21" s="18">
        <v>3150</v>
      </c>
      <c r="EE21" s="18">
        <v>3050</v>
      </c>
      <c r="EF21" s="18">
        <v>2890</v>
      </c>
      <c r="EG21" s="18">
        <v>2800</v>
      </c>
      <c r="EH21" s="18">
        <v>2620</v>
      </c>
      <c r="EI21" s="18">
        <v>2360</v>
      </c>
      <c r="EJ21" s="18">
        <v>2130</v>
      </c>
      <c r="EK21" s="18">
        <v>1970</v>
      </c>
      <c r="EL21" s="18">
        <v>1880</v>
      </c>
      <c r="EM21" s="18">
        <v>1920</v>
      </c>
      <c r="EN21" s="18">
        <v>1970</v>
      </c>
      <c r="EO21" s="18">
        <v>2030</v>
      </c>
      <c r="EP21" s="18">
        <v>2150</v>
      </c>
      <c r="EQ21" s="18">
        <v>2120</v>
      </c>
      <c r="ER21" s="18">
        <v>2160</v>
      </c>
      <c r="ES21" s="18">
        <v>2320</v>
      </c>
      <c r="ET21" s="18">
        <v>2340</v>
      </c>
      <c r="EU21" s="18">
        <v>2460</v>
      </c>
      <c r="EV21" s="18">
        <v>2620</v>
      </c>
      <c r="EW21" s="18">
        <v>2790</v>
      </c>
      <c r="EX21" s="18">
        <v>2730</v>
      </c>
      <c r="EY21" s="18">
        <v>2740</v>
      </c>
      <c r="EZ21" s="18">
        <v>2800</v>
      </c>
      <c r="FA21" s="18">
        <v>2730</v>
      </c>
      <c r="FB21" s="18">
        <v>2630</v>
      </c>
      <c r="FC21" s="18">
        <v>2650</v>
      </c>
      <c r="FD21" s="18">
        <v>2970</v>
      </c>
      <c r="FE21" s="18">
        <v>3930</v>
      </c>
      <c r="FF21" s="18">
        <v>4400</v>
      </c>
      <c r="FG21" s="18">
        <v>4670</v>
      </c>
      <c r="FH21" s="18">
        <v>4580</v>
      </c>
      <c r="FI21" s="18">
        <v>4580</v>
      </c>
      <c r="FJ21" s="18">
        <v>4530</v>
      </c>
      <c r="FK21" s="18">
        <v>4390</v>
      </c>
      <c r="FL21" s="18">
        <v>4320</v>
      </c>
      <c r="FM21" s="18">
        <v>4400</v>
      </c>
      <c r="FN21" s="18">
        <v>5000</v>
      </c>
      <c r="FO21" s="18">
        <v>5250</v>
      </c>
      <c r="FP21" s="18">
        <v>6090</v>
      </c>
      <c r="FQ21" s="18">
        <v>6720</v>
      </c>
      <c r="FR21" s="18">
        <v>7610</v>
      </c>
      <c r="FS21" s="18">
        <v>8360</v>
      </c>
      <c r="FT21" s="18">
        <v>9230</v>
      </c>
      <c r="FU21" s="18">
        <v>9370</v>
      </c>
      <c r="FV21" s="18">
        <v>9760</v>
      </c>
      <c r="FW21" s="18">
        <v>9750</v>
      </c>
      <c r="FX21" s="18">
        <v>9690</v>
      </c>
      <c r="FY21" s="18">
        <v>8550</v>
      </c>
      <c r="FZ21" s="18">
        <v>7580</v>
      </c>
      <c r="GA21" s="18">
        <v>6890</v>
      </c>
      <c r="GB21" s="18">
        <v>6920</v>
      </c>
      <c r="GC21" s="18">
        <v>7610</v>
      </c>
      <c r="GD21" s="18">
        <v>8590</v>
      </c>
      <c r="GE21" s="18">
        <v>9490</v>
      </c>
      <c r="GF21" s="18">
        <v>9560</v>
      </c>
      <c r="GG21" s="18">
        <v>8730</v>
      </c>
      <c r="GH21" s="18">
        <v>8310</v>
      </c>
      <c r="GI21" s="18">
        <v>7900</v>
      </c>
      <c r="GJ21" s="18">
        <v>8340</v>
      </c>
      <c r="GK21" s="18">
        <v>8310</v>
      </c>
      <c r="GL21" s="18">
        <v>7990</v>
      </c>
      <c r="GM21" s="18">
        <v>7210</v>
      </c>
      <c r="GN21" s="18">
        <v>6770</v>
      </c>
      <c r="GO21" s="18">
        <v>7330</v>
      </c>
      <c r="GP21" s="18">
        <v>8030</v>
      </c>
      <c r="GQ21" s="18">
        <v>12500</v>
      </c>
      <c r="GR21" s="18">
        <v>13000</v>
      </c>
      <c r="GS21" s="18">
        <v>10800</v>
      </c>
      <c r="GT21" s="18">
        <v>9790</v>
      </c>
      <c r="GU21" s="18">
        <v>10000</v>
      </c>
      <c r="GV21" s="18">
        <v>9400</v>
      </c>
      <c r="GW21" s="18">
        <v>8990</v>
      </c>
      <c r="GX21" s="18">
        <v>8520</v>
      </c>
      <c r="GY21" s="18">
        <v>8140</v>
      </c>
      <c r="GZ21" s="18">
        <v>8070</v>
      </c>
      <c r="HA21" s="18">
        <v>8770</v>
      </c>
      <c r="HB21" s="18">
        <v>9560</v>
      </c>
      <c r="HC21" s="18">
        <v>10000</v>
      </c>
      <c r="HD21" s="18">
        <v>10200</v>
      </c>
      <c r="HE21" s="18">
        <v>11600</v>
      </c>
      <c r="HF21" s="18">
        <v>11200</v>
      </c>
      <c r="HG21" s="18">
        <v>10500</v>
      </c>
      <c r="HH21" s="18">
        <v>9790</v>
      </c>
      <c r="HI21" s="18">
        <v>9360</v>
      </c>
      <c r="HJ21" s="18">
        <v>9110</v>
      </c>
      <c r="HK21" s="18">
        <v>9170</v>
      </c>
      <c r="HL21" s="18">
        <v>9170</v>
      </c>
      <c r="HM21" s="18">
        <v>10300</v>
      </c>
      <c r="HN21" s="18">
        <v>12000</v>
      </c>
      <c r="HO21" s="18">
        <v>11100</v>
      </c>
      <c r="HP21" s="18">
        <v>11000</v>
      </c>
      <c r="HQ21" s="18">
        <v>11800</v>
      </c>
      <c r="HR21" s="18">
        <v>16100</v>
      </c>
      <c r="HS21" s="18">
        <v>17900</v>
      </c>
      <c r="HT21" s="18">
        <v>15400</v>
      </c>
      <c r="HU21" s="18">
        <v>12600</v>
      </c>
      <c r="HV21" s="18">
        <v>10800</v>
      </c>
      <c r="HW21" s="18">
        <v>10100</v>
      </c>
      <c r="HX21" s="18">
        <v>9840</v>
      </c>
      <c r="HY21" s="18">
        <v>9360</v>
      </c>
      <c r="HZ21" s="18">
        <v>9810</v>
      </c>
      <c r="IA21" s="18">
        <v>9200</v>
      </c>
      <c r="IB21" s="18">
        <v>8640</v>
      </c>
      <c r="IC21" s="18">
        <v>8270</v>
      </c>
      <c r="ID21" s="18">
        <v>9380</v>
      </c>
      <c r="IE21" s="18">
        <v>9460</v>
      </c>
      <c r="IF21" s="18">
        <v>9680</v>
      </c>
      <c r="IG21" s="18">
        <v>10100</v>
      </c>
      <c r="IH21" s="18">
        <v>9640</v>
      </c>
      <c r="II21" s="18">
        <v>8850</v>
      </c>
      <c r="IJ21" s="18">
        <v>8490</v>
      </c>
      <c r="IK21" s="18">
        <v>9130</v>
      </c>
      <c r="IL21" s="18">
        <v>9000</v>
      </c>
      <c r="IM21" s="18">
        <v>9180</v>
      </c>
      <c r="IN21" s="18">
        <v>10900</v>
      </c>
      <c r="IO21" s="18">
        <v>13700</v>
      </c>
      <c r="IP21" s="18">
        <v>16900</v>
      </c>
      <c r="IQ21" s="18">
        <v>15800</v>
      </c>
      <c r="IR21" s="18">
        <v>13000</v>
      </c>
      <c r="IS21" s="18">
        <v>11800</v>
      </c>
      <c r="IT21" s="18">
        <v>11300</v>
      </c>
      <c r="IU21" s="18">
        <v>10600</v>
      </c>
      <c r="IV21" s="18">
        <v>9880</v>
      </c>
      <c r="IW21" s="18">
        <v>9380</v>
      </c>
      <c r="IX21" s="18">
        <v>9120</v>
      </c>
      <c r="IY21" s="18">
        <v>9130</v>
      </c>
      <c r="IZ21" s="18">
        <v>9660</v>
      </c>
      <c r="JA21" s="18">
        <v>10800</v>
      </c>
      <c r="JB21" s="18">
        <v>11300</v>
      </c>
      <c r="JC21" s="18">
        <v>10500</v>
      </c>
      <c r="JD21" s="18">
        <v>9820</v>
      </c>
      <c r="JE21" s="18">
        <v>9750</v>
      </c>
      <c r="JF21" s="18">
        <v>11100</v>
      </c>
      <c r="JG21" s="18">
        <v>10600</v>
      </c>
      <c r="JH21" s="18">
        <v>12900</v>
      </c>
      <c r="JI21" s="18">
        <v>11900</v>
      </c>
      <c r="JJ21" s="18">
        <v>11500</v>
      </c>
      <c r="JK21" s="18">
        <v>11400</v>
      </c>
      <c r="JL21" s="18">
        <v>10600</v>
      </c>
      <c r="JM21" s="18">
        <v>10300</v>
      </c>
      <c r="JN21" s="18">
        <v>11700</v>
      </c>
      <c r="JO21" s="18">
        <v>11300</v>
      </c>
      <c r="JP21" s="18">
        <v>11300</v>
      </c>
      <c r="JQ21" s="18">
        <v>10800</v>
      </c>
      <c r="JR21" s="18">
        <v>10500</v>
      </c>
      <c r="JS21" s="18">
        <v>10100</v>
      </c>
      <c r="JT21" s="18">
        <v>9480</v>
      </c>
      <c r="JU21" s="18">
        <v>8830</v>
      </c>
      <c r="JV21" s="18">
        <v>8260</v>
      </c>
      <c r="JW21" s="18">
        <v>7720</v>
      </c>
      <c r="JX21" s="18">
        <v>7250</v>
      </c>
      <c r="JY21" s="18">
        <v>6860</v>
      </c>
      <c r="JZ21" s="18">
        <v>6550</v>
      </c>
      <c r="KA21" s="18">
        <v>6350</v>
      </c>
      <c r="KB21" s="18">
        <v>6280</v>
      </c>
      <c r="KC21" s="18">
        <v>6140</v>
      </c>
      <c r="KD21" s="18">
        <v>5940</v>
      </c>
      <c r="KE21" s="18">
        <v>5610</v>
      </c>
      <c r="KF21" s="18">
        <v>5390</v>
      </c>
      <c r="KG21" s="18">
        <v>5220</v>
      </c>
      <c r="KH21" s="18">
        <v>5010</v>
      </c>
      <c r="KI21" s="18">
        <v>4830</v>
      </c>
      <c r="KJ21" s="18">
        <v>4570</v>
      </c>
      <c r="KK21" s="18">
        <v>4540</v>
      </c>
      <c r="KL21" s="18">
        <v>4400</v>
      </c>
      <c r="KM21" s="18">
        <v>4290</v>
      </c>
      <c r="KN21" s="18">
        <v>4260</v>
      </c>
      <c r="KO21" s="18">
        <v>4230</v>
      </c>
      <c r="KP21" s="18">
        <v>4200</v>
      </c>
      <c r="KQ21" s="18">
        <v>4180</v>
      </c>
      <c r="KR21" s="18">
        <v>4020</v>
      </c>
      <c r="KS21" s="18">
        <v>3920</v>
      </c>
      <c r="KT21" s="18">
        <v>3830</v>
      </c>
      <c r="KU21" s="18">
        <v>3730</v>
      </c>
      <c r="KV21" s="18">
        <v>3640</v>
      </c>
      <c r="KW21" s="18">
        <v>3550</v>
      </c>
      <c r="KX21" s="18">
        <v>3470</v>
      </c>
      <c r="KY21" s="18">
        <v>3380</v>
      </c>
      <c r="KZ21" s="18">
        <v>3310</v>
      </c>
      <c r="LA21" s="18">
        <v>3260</v>
      </c>
      <c r="LB21" s="18">
        <v>3190</v>
      </c>
      <c r="LC21" s="18">
        <v>3130</v>
      </c>
      <c r="LD21" s="18">
        <v>3070</v>
      </c>
      <c r="LE21" s="18">
        <v>3020</v>
      </c>
      <c r="LF21" s="18">
        <v>2980</v>
      </c>
      <c r="LG21" s="18">
        <v>2910</v>
      </c>
      <c r="LH21" s="18">
        <v>2850</v>
      </c>
      <c r="LI21" s="18">
        <v>2790</v>
      </c>
      <c r="LJ21" s="18">
        <v>2730</v>
      </c>
      <c r="LK21" s="18">
        <v>2680</v>
      </c>
      <c r="LL21" s="18">
        <v>2610</v>
      </c>
      <c r="LM21" s="18">
        <v>2550</v>
      </c>
      <c r="LN21" s="18">
        <v>2500</v>
      </c>
      <c r="LO21" s="18">
        <v>2450</v>
      </c>
      <c r="LP21" s="18">
        <v>2390</v>
      </c>
      <c r="LQ21" s="18">
        <v>2350</v>
      </c>
      <c r="LR21" s="18">
        <v>2300</v>
      </c>
      <c r="LS21" s="18">
        <v>2250</v>
      </c>
      <c r="LT21" s="18">
        <v>2200</v>
      </c>
      <c r="LU21" s="18">
        <v>2170</v>
      </c>
      <c r="LV21" s="18">
        <v>2140</v>
      </c>
      <c r="LW21" s="18">
        <v>2120</v>
      </c>
      <c r="LX21" s="18">
        <v>2090</v>
      </c>
      <c r="LY21" s="18">
        <v>2060</v>
      </c>
      <c r="LZ21" s="18">
        <v>2030</v>
      </c>
      <c r="MA21" s="18">
        <v>1990</v>
      </c>
      <c r="MB21" s="18">
        <v>1960</v>
      </c>
      <c r="MC21" s="18">
        <v>1930</v>
      </c>
      <c r="MD21" s="18">
        <v>1890</v>
      </c>
      <c r="ME21" s="18">
        <v>1860</v>
      </c>
      <c r="MF21" s="18">
        <v>1830</v>
      </c>
      <c r="MG21" s="18">
        <v>1810</v>
      </c>
      <c r="MH21" s="18">
        <v>1770</v>
      </c>
      <c r="MI21" s="18">
        <v>1740</v>
      </c>
      <c r="MJ21" s="18">
        <v>1720</v>
      </c>
      <c r="MK21" s="18">
        <v>1700</v>
      </c>
      <c r="ML21" s="18">
        <v>1670</v>
      </c>
      <c r="MM21" s="18">
        <v>1640</v>
      </c>
      <c r="MN21" s="18">
        <v>1630</v>
      </c>
      <c r="MO21" s="18">
        <v>1610</v>
      </c>
      <c r="MP21" s="18">
        <v>1610</v>
      </c>
      <c r="MQ21" s="18">
        <v>1600</v>
      </c>
      <c r="MR21" s="18">
        <v>1590</v>
      </c>
      <c r="MS21" s="18">
        <v>1560</v>
      </c>
      <c r="MT21" s="18">
        <v>1550</v>
      </c>
      <c r="MU21" s="18">
        <v>1530</v>
      </c>
      <c r="MV21" s="18">
        <v>1520</v>
      </c>
      <c r="MW21" s="18">
        <v>1500</v>
      </c>
      <c r="MX21" s="18">
        <v>1490</v>
      </c>
      <c r="MY21" s="18">
        <v>1480</v>
      </c>
      <c r="MZ21" s="18">
        <v>1460</v>
      </c>
      <c r="NA21" s="18">
        <v>1450</v>
      </c>
      <c r="NB21" s="18">
        <v>1450</v>
      </c>
      <c r="NC21" s="18">
        <v>1440</v>
      </c>
      <c r="ND21" s="1">
        <v>1260</v>
      </c>
      <c r="NE21" s="1">
        <v>1030</v>
      </c>
      <c r="NF21" s="1">
        <v>995</v>
      </c>
      <c r="NG21" s="1">
        <v>1190</v>
      </c>
      <c r="NH21" s="1">
        <v>2450</v>
      </c>
      <c r="NI21" s="1">
        <v>5630</v>
      </c>
      <c r="NJ21" s="1">
        <v>9080</v>
      </c>
      <c r="NK21" s="1">
        <v>10500</v>
      </c>
      <c r="NL21" s="1">
        <v>11200</v>
      </c>
      <c r="NM21" s="1">
        <v>6290</v>
      </c>
      <c r="NN21" s="1">
        <v>2790</v>
      </c>
      <c r="NO21" s="1">
        <v>1680</v>
      </c>
      <c r="NP21" s="1">
        <v>4517.2431693989074</v>
      </c>
      <c r="NQ21" s="1">
        <v>17900</v>
      </c>
      <c r="NR21" s="19">
        <v>42595</v>
      </c>
      <c r="NS21" s="1">
        <v>973</v>
      </c>
      <c r="NT21" s="19">
        <v>42439</v>
      </c>
    </row>
    <row r="22" spans="1:384" x14ac:dyDescent="0.15">
      <c r="A22" s="1">
        <v>1969</v>
      </c>
      <c r="B22" s="18">
        <v>1490</v>
      </c>
      <c r="C22" s="18">
        <v>1480</v>
      </c>
      <c r="D22" s="18">
        <v>1450</v>
      </c>
      <c r="E22" s="18">
        <v>1430</v>
      </c>
      <c r="F22" s="18">
        <v>1400</v>
      </c>
      <c r="G22" s="18">
        <v>1390</v>
      </c>
      <c r="H22" s="18">
        <v>1370</v>
      </c>
      <c r="I22" s="18">
        <v>1370</v>
      </c>
      <c r="J22" s="18">
        <v>1360</v>
      </c>
      <c r="K22" s="18">
        <v>1360</v>
      </c>
      <c r="L22" s="18">
        <v>1370</v>
      </c>
      <c r="M22" s="18">
        <v>1350</v>
      </c>
      <c r="N22" s="18">
        <v>1340</v>
      </c>
      <c r="O22" s="18">
        <v>1320</v>
      </c>
      <c r="P22" s="18">
        <v>1300</v>
      </c>
      <c r="Q22" s="18">
        <v>1300</v>
      </c>
      <c r="R22" s="18">
        <v>1300</v>
      </c>
      <c r="S22" s="18">
        <v>1300</v>
      </c>
      <c r="T22" s="18">
        <v>1290</v>
      </c>
      <c r="U22" s="18">
        <v>1270</v>
      </c>
      <c r="V22" s="18">
        <v>1250</v>
      </c>
      <c r="W22" s="18">
        <v>1240</v>
      </c>
      <c r="X22" s="18">
        <v>1220</v>
      </c>
      <c r="Y22" s="18">
        <v>1200</v>
      </c>
      <c r="Z22" s="18">
        <v>1190</v>
      </c>
      <c r="AA22" s="18">
        <v>1180</v>
      </c>
      <c r="AB22" s="18">
        <v>1170</v>
      </c>
      <c r="AC22" s="18">
        <v>1160</v>
      </c>
      <c r="AD22" s="18">
        <v>1160</v>
      </c>
      <c r="AE22" s="18">
        <v>1150</v>
      </c>
      <c r="AF22" s="18">
        <v>1150</v>
      </c>
      <c r="AG22" s="18">
        <v>1160</v>
      </c>
      <c r="AH22" s="18">
        <v>1160</v>
      </c>
      <c r="AI22" s="18">
        <v>1160</v>
      </c>
      <c r="AJ22" s="18">
        <v>1150</v>
      </c>
      <c r="AK22" s="18">
        <v>1130</v>
      </c>
      <c r="AL22" s="18">
        <v>1130</v>
      </c>
      <c r="AM22" s="18">
        <v>1130</v>
      </c>
      <c r="AN22" s="18">
        <v>1120</v>
      </c>
      <c r="AO22" s="18">
        <v>1120</v>
      </c>
      <c r="AP22" s="18">
        <v>1110</v>
      </c>
      <c r="AQ22" s="18">
        <v>1100</v>
      </c>
      <c r="AR22" s="18">
        <v>1100</v>
      </c>
      <c r="AS22" s="18">
        <v>1090</v>
      </c>
      <c r="AT22" s="18">
        <v>1080</v>
      </c>
      <c r="AU22" s="18">
        <v>1070</v>
      </c>
      <c r="AV22" s="18">
        <v>1060</v>
      </c>
      <c r="AW22" s="18">
        <v>1050</v>
      </c>
      <c r="AX22" s="18">
        <v>1050</v>
      </c>
      <c r="AY22" s="18">
        <v>1050</v>
      </c>
      <c r="AZ22" s="18">
        <v>1050</v>
      </c>
      <c r="BA22" s="18">
        <v>1040</v>
      </c>
      <c r="BB22" s="18">
        <v>1030</v>
      </c>
      <c r="BC22" s="18">
        <v>1020</v>
      </c>
      <c r="BD22" s="18">
        <v>1010</v>
      </c>
      <c r="BE22" s="18">
        <v>1010</v>
      </c>
      <c r="BF22" s="18">
        <v>1000</v>
      </c>
      <c r="BG22" s="18">
        <v>998</v>
      </c>
      <c r="BH22" s="18">
        <v>989</v>
      </c>
      <c r="BI22" s="18"/>
      <c r="BJ22" s="18">
        <v>980</v>
      </c>
      <c r="BK22" s="18">
        <v>975</v>
      </c>
      <c r="BL22" s="18">
        <v>975</v>
      </c>
      <c r="BM22" s="18">
        <v>966</v>
      </c>
      <c r="BN22" s="18">
        <v>971</v>
      </c>
      <c r="BO22" s="18">
        <v>971</v>
      </c>
      <c r="BP22" s="18">
        <v>966</v>
      </c>
      <c r="BQ22" s="18">
        <v>966</v>
      </c>
      <c r="BR22" s="18">
        <v>957</v>
      </c>
      <c r="BS22" s="18">
        <v>957</v>
      </c>
      <c r="BT22" s="18">
        <v>957</v>
      </c>
      <c r="BU22" s="18">
        <v>962</v>
      </c>
      <c r="BV22" s="18">
        <v>962</v>
      </c>
      <c r="BW22" s="18">
        <v>957</v>
      </c>
      <c r="BX22" s="18">
        <v>957</v>
      </c>
      <c r="BY22" s="18">
        <v>957</v>
      </c>
      <c r="BZ22" s="18">
        <v>962</v>
      </c>
      <c r="CA22" s="18">
        <v>957</v>
      </c>
      <c r="CB22" s="18">
        <v>957</v>
      </c>
      <c r="CC22" s="18">
        <v>957</v>
      </c>
      <c r="CD22" s="18">
        <v>957</v>
      </c>
      <c r="CE22" s="18">
        <v>957</v>
      </c>
      <c r="CF22" s="18">
        <v>962</v>
      </c>
      <c r="CG22" s="18">
        <v>971</v>
      </c>
      <c r="CH22" s="18">
        <v>980</v>
      </c>
      <c r="CI22" s="18">
        <v>984</v>
      </c>
      <c r="CJ22" s="18">
        <v>989</v>
      </c>
      <c r="CK22" s="18">
        <v>984</v>
      </c>
      <c r="CL22" s="18">
        <v>975</v>
      </c>
      <c r="CM22" s="18">
        <v>975</v>
      </c>
      <c r="CN22" s="18">
        <v>975</v>
      </c>
      <c r="CO22" s="18">
        <v>980</v>
      </c>
      <c r="CP22" s="18">
        <v>980</v>
      </c>
      <c r="CQ22" s="18">
        <v>984</v>
      </c>
      <c r="CR22" s="18">
        <v>989</v>
      </c>
      <c r="CS22" s="18">
        <v>993</v>
      </c>
      <c r="CT22" s="18">
        <v>984</v>
      </c>
      <c r="CU22" s="18">
        <v>984</v>
      </c>
      <c r="CV22" s="18">
        <v>989</v>
      </c>
      <c r="CW22" s="18">
        <v>993</v>
      </c>
      <c r="CX22" s="18">
        <v>1010</v>
      </c>
      <c r="CY22" s="18">
        <v>1000</v>
      </c>
      <c r="CZ22" s="18">
        <v>989</v>
      </c>
      <c r="DA22" s="18">
        <v>975</v>
      </c>
      <c r="DB22" s="18">
        <v>971</v>
      </c>
      <c r="DC22" s="18">
        <v>984</v>
      </c>
      <c r="DD22" s="18">
        <v>993</v>
      </c>
      <c r="DE22" s="18">
        <v>1010</v>
      </c>
      <c r="DF22" s="18">
        <v>1020</v>
      </c>
      <c r="DG22" s="18">
        <v>1020</v>
      </c>
      <c r="DH22" s="18">
        <v>1030</v>
      </c>
      <c r="DI22" s="18">
        <v>1040</v>
      </c>
      <c r="DJ22" s="18">
        <v>1060</v>
      </c>
      <c r="DK22" s="18">
        <v>1060</v>
      </c>
      <c r="DL22" s="18">
        <v>1080</v>
      </c>
      <c r="DM22" s="18">
        <v>1080</v>
      </c>
      <c r="DN22" s="18">
        <v>1070</v>
      </c>
      <c r="DO22" s="18">
        <v>1060</v>
      </c>
      <c r="DP22" s="18">
        <v>1050</v>
      </c>
      <c r="DQ22" s="18">
        <v>1030</v>
      </c>
      <c r="DR22" s="18">
        <v>1020</v>
      </c>
      <c r="DS22" s="18">
        <v>1010</v>
      </c>
      <c r="DT22" s="18">
        <v>984</v>
      </c>
      <c r="DU22" s="18">
        <v>971</v>
      </c>
      <c r="DV22" s="18">
        <v>953</v>
      </c>
      <c r="DW22" s="18">
        <v>939</v>
      </c>
      <c r="DX22" s="18">
        <v>930</v>
      </c>
      <c r="DY22" s="18">
        <v>926</v>
      </c>
      <c r="DZ22" s="18">
        <v>926</v>
      </c>
      <c r="EA22" s="18">
        <v>917</v>
      </c>
      <c r="EB22" s="18">
        <v>917</v>
      </c>
      <c r="EC22" s="18">
        <v>926</v>
      </c>
      <c r="ED22" s="18">
        <v>935</v>
      </c>
      <c r="EE22" s="18">
        <v>930</v>
      </c>
      <c r="EF22" s="18">
        <v>935</v>
      </c>
      <c r="EG22" s="18">
        <v>944</v>
      </c>
      <c r="EH22" s="18">
        <v>957</v>
      </c>
      <c r="EI22" s="18">
        <v>966</v>
      </c>
      <c r="EJ22" s="18">
        <v>971</v>
      </c>
      <c r="EK22" s="18">
        <v>984</v>
      </c>
      <c r="EL22" s="18">
        <v>1010</v>
      </c>
      <c r="EM22" s="18">
        <v>1030</v>
      </c>
      <c r="EN22" s="18">
        <v>1030</v>
      </c>
      <c r="EO22" s="18">
        <v>1040</v>
      </c>
      <c r="EP22" s="18">
        <v>1060</v>
      </c>
      <c r="EQ22" s="18">
        <v>1070</v>
      </c>
      <c r="ER22" s="18">
        <v>1090</v>
      </c>
      <c r="ES22" s="18">
        <v>1110</v>
      </c>
      <c r="ET22" s="18">
        <v>1150</v>
      </c>
      <c r="EU22" s="18">
        <v>1130</v>
      </c>
      <c r="EV22" s="18">
        <v>1090</v>
      </c>
      <c r="EW22" s="18">
        <v>1070</v>
      </c>
      <c r="EX22" s="18">
        <v>1040</v>
      </c>
      <c r="EY22" s="18">
        <v>993</v>
      </c>
      <c r="EZ22" s="18">
        <v>1110</v>
      </c>
      <c r="FA22" s="18">
        <v>1060</v>
      </c>
      <c r="FB22" s="18">
        <v>1140</v>
      </c>
      <c r="FC22" s="18">
        <v>1090</v>
      </c>
      <c r="FD22" s="18">
        <v>1160</v>
      </c>
      <c r="FE22" s="18">
        <v>1210</v>
      </c>
      <c r="FF22" s="18">
        <v>1160</v>
      </c>
      <c r="FG22" s="18">
        <v>1190</v>
      </c>
      <c r="FH22" s="18">
        <v>1260</v>
      </c>
      <c r="FI22" s="18">
        <v>1410</v>
      </c>
      <c r="FJ22" s="18">
        <v>1740</v>
      </c>
      <c r="FK22" s="18">
        <v>1910</v>
      </c>
      <c r="FL22" s="18">
        <v>2010</v>
      </c>
      <c r="FM22" s="18">
        <v>2030</v>
      </c>
      <c r="FN22" s="18">
        <v>2030</v>
      </c>
      <c r="FO22" s="18">
        <v>2030</v>
      </c>
      <c r="FP22" s="18">
        <v>2290</v>
      </c>
      <c r="FQ22" s="18">
        <v>2480</v>
      </c>
      <c r="FR22" s="18">
        <v>2810</v>
      </c>
      <c r="FS22" s="18">
        <v>3420</v>
      </c>
      <c r="FT22" s="18">
        <v>3530</v>
      </c>
      <c r="FU22" s="18">
        <v>3550</v>
      </c>
      <c r="FV22" s="18">
        <v>3570</v>
      </c>
      <c r="FW22" s="18">
        <v>3590</v>
      </c>
      <c r="FX22" s="18">
        <v>3690</v>
      </c>
      <c r="FY22" s="18">
        <v>3790</v>
      </c>
      <c r="FZ22" s="18">
        <v>3610</v>
      </c>
      <c r="GA22" s="18">
        <v>3540</v>
      </c>
      <c r="GB22" s="18">
        <v>3590</v>
      </c>
      <c r="GC22" s="18">
        <v>4240</v>
      </c>
      <c r="GD22" s="18">
        <v>4310</v>
      </c>
      <c r="GE22" s="18">
        <v>4300</v>
      </c>
      <c r="GF22" s="18">
        <v>4540</v>
      </c>
      <c r="GG22" s="18">
        <v>5130</v>
      </c>
      <c r="GH22" s="18">
        <v>5450</v>
      </c>
      <c r="GI22" s="18">
        <v>6220</v>
      </c>
      <c r="GJ22" s="18">
        <v>6970</v>
      </c>
      <c r="GK22" s="18">
        <v>6660</v>
      </c>
      <c r="GL22" s="18">
        <v>6470</v>
      </c>
      <c r="GM22" s="18">
        <v>6450</v>
      </c>
      <c r="GN22" s="18">
        <v>7290</v>
      </c>
      <c r="GO22" s="18">
        <v>6800</v>
      </c>
      <c r="GP22" s="18">
        <v>6560</v>
      </c>
      <c r="GQ22" s="18">
        <v>6950</v>
      </c>
      <c r="GR22" s="18">
        <v>6990</v>
      </c>
      <c r="GS22" s="18">
        <v>7630</v>
      </c>
      <c r="GT22" s="18">
        <v>7480</v>
      </c>
      <c r="GU22" s="18">
        <v>7640</v>
      </c>
      <c r="GV22" s="18">
        <v>9150</v>
      </c>
      <c r="GW22" s="18">
        <v>10900</v>
      </c>
      <c r="GX22" s="18">
        <v>10400</v>
      </c>
      <c r="GY22" s="18">
        <v>9150</v>
      </c>
      <c r="GZ22" s="18">
        <v>7880</v>
      </c>
      <c r="HA22" s="18">
        <v>7310</v>
      </c>
      <c r="HB22" s="18">
        <v>7100</v>
      </c>
      <c r="HC22" s="18">
        <v>6870</v>
      </c>
      <c r="HD22" s="18">
        <v>6690</v>
      </c>
      <c r="HE22" s="18">
        <v>6330</v>
      </c>
      <c r="HF22" s="18">
        <v>6040</v>
      </c>
      <c r="HG22" s="18">
        <v>5850</v>
      </c>
      <c r="HH22" s="18">
        <v>5760</v>
      </c>
      <c r="HI22" s="18">
        <v>5720</v>
      </c>
      <c r="HJ22" s="18">
        <v>5550</v>
      </c>
      <c r="HK22" s="18">
        <v>5360</v>
      </c>
      <c r="HL22" s="18">
        <v>5110</v>
      </c>
      <c r="HM22" s="18">
        <v>4940</v>
      </c>
      <c r="HN22" s="18">
        <v>4860</v>
      </c>
      <c r="HO22" s="18">
        <v>5140</v>
      </c>
      <c r="HP22" s="18">
        <v>5550</v>
      </c>
      <c r="HQ22" s="18">
        <v>6290</v>
      </c>
      <c r="HR22" s="18">
        <v>7760</v>
      </c>
      <c r="HS22" s="18">
        <v>8150</v>
      </c>
      <c r="HT22" s="18">
        <v>7310</v>
      </c>
      <c r="HU22" s="18">
        <v>6400</v>
      </c>
      <c r="HV22" s="18">
        <v>5890</v>
      </c>
      <c r="HW22" s="18">
        <v>5570</v>
      </c>
      <c r="HX22" s="18">
        <v>5770</v>
      </c>
      <c r="HY22" s="18">
        <v>7030</v>
      </c>
      <c r="HZ22" s="18">
        <v>7960</v>
      </c>
      <c r="IA22" s="18">
        <v>7700</v>
      </c>
      <c r="IB22" s="18">
        <v>6960</v>
      </c>
      <c r="IC22" s="18">
        <v>6620</v>
      </c>
      <c r="ID22" s="18">
        <v>6560</v>
      </c>
      <c r="IE22" s="18">
        <v>6500</v>
      </c>
      <c r="IF22" s="18">
        <v>6870</v>
      </c>
      <c r="IG22" s="18">
        <v>7190</v>
      </c>
      <c r="IH22" s="18">
        <v>7380</v>
      </c>
      <c r="II22" s="18">
        <v>8650</v>
      </c>
      <c r="IJ22" s="18">
        <v>10000</v>
      </c>
      <c r="IK22" s="18">
        <v>11400</v>
      </c>
      <c r="IL22" s="18">
        <v>12000</v>
      </c>
      <c r="IM22" s="18">
        <v>11300</v>
      </c>
      <c r="IN22" s="18">
        <v>11100</v>
      </c>
      <c r="IO22" s="18">
        <v>12800</v>
      </c>
      <c r="IP22" s="18">
        <v>10800</v>
      </c>
      <c r="IQ22" s="18">
        <v>10300</v>
      </c>
      <c r="IR22" s="18">
        <v>11600</v>
      </c>
      <c r="IS22" s="18">
        <v>12100</v>
      </c>
      <c r="IT22" s="18">
        <v>11800</v>
      </c>
      <c r="IU22" s="18">
        <v>11000</v>
      </c>
      <c r="IV22" s="18">
        <v>10800</v>
      </c>
      <c r="IW22" s="18">
        <v>10600</v>
      </c>
      <c r="IX22" s="18">
        <v>10400</v>
      </c>
      <c r="IY22" s="18">
        <v>10600</v>
      </c>
      <c r="IZ22" s="18">
        <v>11300</v>
      </c>
      <c r="JA22" s="18">
        <v>11000</v>
      </c>
      <c r="JB22" s="18">
        <v>10200</v>
      </c>
      <c r="JC22" s="18">
        <v>9290</v>
      </c>
      <c r="JD22" s="18">
        <v>8420</v>
      </c>
      <c r="JE22" s="18">
        <v>7760</v>
      </c>
      <c r="JF22" s="18">
        <v>7200</v>
      </c>
      <c r="JG22" s="18">
        <v>6710</v>
      </c>
      <c r="JH22" s="18">
        <v>6420</v>
      </c>
      <c r="JI22" s="18">
        <v>6180</v>
      </c>
      <c r="JJ22" s="18">
        <v>5940</v>
      </c>
      <c r="JK22" s="18">
        <v>5710</v>
      </c>
      <c r="JL22" s="18">
        <v>5550</v>
      </c>
      <c r="JM22" s="18">
        <v>5420</v>
      </c>
      <c r="JN22" s="18">
        <v>5320</v>
      </c>
      <c r="JO22" s="18">
        <v>5240</v>
      </c>
      <c r="JP22" s="18">
        <v>5520</v>
      </c>
      <c r="JQ22" s="18">
        <v>5690</v>
      </c>
      <c r="JR22" s="18">
        <v>5600</v>
      </c>
      <c r="JS22" s="18">
        <v>5480</v>
      </c>
      <c r="JT22" s="18">
        <v>5370</v>
      </c>
      <c r="JU22" s="18">
        <v>5250</v>
      </c>
      <c r="JV22" s="18">
        <v>5040</v>
      </c>
      <c r="JW22" s="18">
        <v>4950</v>
      </c>
      <c r="JX22" s="18">
        <v>5050</v>
      </c>
      <c r="JY22" s="18">
        <v>4890</v>
      </c>
      <c r="JZ22" s="18">
        <v>5020</v>
      </c>
      <c r="KA22" s="18">
        <v>4990</v>
      </c>
      <c r="KB22" s="18">
        <v>4790</v>
      </c>
      <c r="KC22" s="18">
        <v>4640</v>
      </c>
      <c r="KD22" s="18">
        <v>4510</v>
      </c>
      <c r="KE22" s="18">
        <v>4370</v>
      </c>
      <c r="KF22" s="18">
        <v>4190</v>
      </c>
      <c r="KG22" s="18">
        <v>4060</v>
      </c>
      <c r="KH22" s="18">
        <v>3950</v>
      </c>
      <c r="KI22" s="18">
        <v>3840</v>
      </c>
      <c r="KJ22" s="18">
        <v>3730</v>
      </c>
      <c r="KK22" s="18">
        <v>3650</v>
      </c>
      <c r="KL22" s="18">
        <v>3580</v>
      </c>
      <c r="KM22" s="18">
        <v>3500</v>
      </c>
      <c r="KN22" s="18">
        <v>3400</v>
      </c>
      <c r="KO22" s="18">
        <v>3330</v>
      </c>
      <c r="KP22" s="18">
        <v>3260</v>
      </c>
      <c r="KQ22" s="18">
        <v>3180</v>
      </c>
      <c r="KR22" s="18">
        <v>3120</v>
      </c>
      <c r="KS22" s="18">
        <v>3070</v>
      </c>
      <c r="KT22" s="18">
        <v>3000</v>
      </c>
      <c r="KU22" s="18">
        <v>2920</v>
      </c>
      <c r="KV22" s="18">
        <v>2880</v>
      </c>
      <c r="KW22" s="18">
        <v>2840</v>
      </c>
      <c r="KX22" s="18">
        <v>2810</v>
      </c>
      <c r="KY22" s="18">
        <v>2760</v>
      </c>
      <c r="KZ22" s="18">
        <v>2700</v>
      </c>
      <c r="LA22" s="18">
        <v>2640</v>
      </c>
      <c r="LB22" s="18">
        <v>2590</v>
      </c>
      <c r="LC22" s="18">
        <v>2540</v>
      </c>
      <c r="LD22" s="18">
        <v>2510</v>
      </c>
      <c r="LE22" s="18">
        <v>2450</v>
      </c>
      <c r="LF22" s="18">
        <v>2410</v>
      </c>
      <c r="LG22" s="18">
        <v>2370</v>
      </c>
      <c r="LH22" s="18">
        <v>2320</v>
      </c>
      <c r="LI22" s="18">
        <v>2290</v>
      </c>
      <c r="LJ22" s="18">
        <v>2260</v>
      </c>
      <c r="LK22" s="18">
        <v>2220</v>
      </c>
      <c r="LL22" s="18">
        <v>2190</v>
      </c>
      <c r="LM22" s="18">
        <v>2160</v>
      </c>
      <c r="LN22" s="18">
        <v>2110</v>
      </c>
      <c r="LO22" s="18">
        <v>2090</v>
      </c>
      <c r="LP22" s="18">
        <v>2070</v>
      </c>
      <c r="LQ22" s="18">
        <v>2020</v>
      </c>
      <c r="LR22" s="18">
        <v>2000</v>
      </c>
      <c r="LS22" s="18">
        <v>1970</v>
      </c>
      <c r="LT22" s="18">
        <v>1950</v>
      </c>
      <c r="LU22" s="18">
        <v>1920</v>
      </c>
      <c r="LV22" s="18">
        <v>1900</v>
      </c>
      <c r="LW22" s="18">
        <v>1880</v>
      </c>
      <c r="LX22" s="18">
        <v>1870</v>
      </c>
      <c r="LY22" s="18">
        <v>1840</v>
      </c>
      <c r="LZ22" s="18">
        <v>1800</v>
      </c>
      <c r="MA22" s="18">
        <v>1770</v>
      </c>
      <c r="MB22" s="18">
        <v>1730</v>
      </c>
      <c r="MC22" s="18">
        <v>1700</v>
      </c>
      <c r="MD22" s="18">
        <v>1680</v>
      </c>
      <c r="ME22" s="18">
        <v>1660</v>
      </c>
      <c r="MF22" s="18">
        <v>1640</v>
      </c>
      <c r="MG22" s="18">
        <v>1630</v>
      </c>
      <c r="MH22" s="18">
        <v>1610</v>
      </c>
      <c r="MI22" s="18">
        <v>1590</v>
      </c>
      <c r="MJ22" s="18">
        <v>1580</v>
      </c>
      <c r="MK22" s="18">
        <v>1560</v>
      </c>
      <c r="ML22" s="18">
        <v>1520</v>
      </c>
      <c r="MM22" s="18">
        <v>1510</v>
      </c>
      <c r="MN22" s="18">
        <v>1490</v>
      </c>
      <c r="MO22" s="18">
        <v>1480</v>
      </c>
      <c r="MP22" s="18">
        <v>1470</v>
      </c>
      <c r="MQ22" s="18">
        <v>1470</v>
      </c>
      <c r="MR22" s="18">
        <v>1450</v>
      </c>
      <c r="MS22" s="18">
        <v>1430</v>
      </c>
      <c r="MT22" s="18">
        <v>1400</v>
      </c>
      <c r="MU22" s="18">
        <v>1380</v>
      </c>
      <c r="MV22" s="18">
        <v>1370</v>
      </c>
      <c r="MW22" s="18">
        <v>1360</v>
      </c>
      <c r="MX22" s="18">
        <v>1340</v>
      </c>
      <c r="MY22" s="18">
        <v>1330</v>
      </c>
      <c r="MZ22" s="18">
        <v>1320</v>
      </c>
      <c r="NA22" s="18">
        <v>1300</v>
      </c>
      <c r="NB22" s="18">
        <v>1280</v>
      </c>
      <c r="NC22" s="18">
        <v>1270</v>
      </c>
      <c r="ND22" s="1">
        <v>1300</v>
      </c>
      <c r="NE22" s="1">
        <v>1080</v>
      </c>
      <c r="NF22" s="1">
        <v>967</v>
      </c>
      <c r="NG22" s="1">
        <v>1010</v>
      </c>
      <c r="NH22" s="1">
        <v>997</v>
      </c>
      <c r="NI22" s="1">
        <v>2180</v>
      </c>
      <c r="NJ22" s="1">
        <v>6760</v>
      </c>
      <c r="NK22" s="1">
        <v>6700</v>
      </c>
      <c r="NL22" s="1">
        <v>9160</v>
      </c>
      <c r="NM22" s="1">
        <v>4320</v>
      </c>
      <c r="NN22" s="1">
        <v>2320</v>
      </c>
      <c r="NO22" s="1">
        <v>1510</v>
      </c>
      <c r="NP22" s="1">
        <v>3205.4712328767123</v>
      </c>
      <c r="NQ22" s="1">
        <v>12800</v>
      </c>
      <c r="NR22" s="19">
        <v>42617</v>
      </c>
      <c r="NS22" s="1">
        <v>917</v>
      </c>
      <c r="NT22" s="19">
        <v>42499</v>
      </c>
    </row>
    <row r="23" spans="1:384" x14ac:dyDescent="0.15">
      <c r="A23" s="1">
        <v>1970</v>
      </c>
      <c r="B23" s="18">
        <v>1260</v>
      </c>
      <c r="C23" s="18">
        <v>1240</v>
      </c>
      <c r="D23" s="18">
        <v>1230</v>
      </c>
      <c r="E23" s="18">
        <v>1220</v>
      </c>
      <c r="F23" s="18">
        <v>1210</v>
      </c>
      <c r="G23" s="18">
        <v>1210</v>
      </c>
      <c r="H23" s="18">
        <v>1190</v>
      </c>
      <c r="I23" s="18">
        <v>1180</v>
      </c>
      <c r="J23" s="18">
        <v>1170</v>
      </c>
      <c r="K23" s="18">
        <v>1160</v>
      </c>
      <c r="L23" s="18">
        <v>1160</v>
      </c>
      <c r="M23" s="18">
        <v>1170</v>
      </c>
      <c r="N23" s="18">
        <v>1160</v>
      </c>
      <c r="O23" s="18">
        <v>1150</v>
      </c>
      <c r="P23" s="18">
        <v>1140</v>
      </c>
      <c r="Q23" s="18">
        <v>1130</v>
      </c>
      <c r="R23" s="18">
        <v>1120</v>
      </c>
      <c r="S23" s="18">
        <v>1100</v>
      </c>
      <c r="T23" s="18">
        <v>1100</v>
      </c>
      <c r="U23" s="18">
        <v>1090</v>
      </c>
      <c r="V23" s="18">
        <v>1090</v>
      </c>
      <c r="W23" s="18">
        <v>1090</v>
      </c>
      <c r="X23" s="18">
        <v>1090</v>
      </c>
      <c r="Y23" s="18">
        <v>1080</v>
      </c>
      <c r="Z23" s="18">
        <v>1080</v>
      </c>
      <c r="AA23" s="18">
        <v>1080</v>
      </c>
      <c r="AB23" s="18">
        <v>1080</v>
      </c>
      <c r="AC23" s="18">
        <v>1070</v>
      </c>
      <c r="AD23" s="18">
        <v>1060</v>
      </c>
      <c r="AE23" s="18">
        <v>1060</v>
      </c>
      <c r="AF23" s="18">
        <v>1060</v>
      </c>
      <c r="AG23" s="18">
        <v>1040</v>
      </c>
      <c r="AH23" s="18">
        <v>1030</v>
      </c>
      <c r="AI23" s="18">
        <v>1030</v>
      </c>
      <c r="AJ23" s="18">
        <v>1020</v>
      </c>
      <c r="AK23" s="18">
        <v>1010</v>
      </c>
      <c r="AL23" s="18">
        <v>1010</v>
      </c>
      <c r="AM23" s="18">
        <v>1010</v>
      </c>
      <c r="AN23" s="18">
        <v>1010</v>
      </c>
      <c r="AO23" s="18">
        <v>1010</v>
      </c>
      <c r="AP23" s="18">
        <v>1010</v>
      </c>
      <c r="AQ23" s="18">
        <v>1000</v>
      </c>
      <c r="AR23" s="18">
        <v>993</v>
      </c>
      <c r="AS23" s="18">
        <v>987</v>
      </c>
      <c r="AT23" s="18">
        <v>982</v>
      </c>
      <c r="AU23" s="18">
        <v>976</v>
      </c>
      <c r="AV23" s="18">
        <v>971</v>
      </c>
      <c r="AW23" s="18">
        <v>965</v>
      </c>
      <c r="AX23" s="18">
        <v>960</v>
      </c>
      <c r="AY23" s="18">
        <v>960</v>
      </c>
      <c r="AZ23" s="18">
        <v>954</v>
      </c>
      <c r="BA23" s="18">
        <v>943</v>
      </c>
      <c r="BB23" s="18">
        <v>938</v>
      </c>
      <c r="BC23" s="18">
        <v>938</v>
      </c>
      <c r="BD23" s="18">
        <v>932</v>
      </c>
      <c r="BE23" s="18">
        <v>943</v>
      </c>
      <c r="BF23" s="18">
        <v>960</v>
      </c>
      <c r="BG23" s="18">
        <v>965</v>
      </c>
      <c r="BH23" s="18">
        <v>960</v>
      </c>
      <c r="BI23" s="18"/>
      <c r="BJ23" s="18">
        <v>954</v>
      </c>
      <c r="BK23" s="18">
        <v>949</v>
      </c>
      <c r="BL23" s="18">
        <v>938</v>
      </c>
      <c r="BM23" s="18">
        <v>932</v>
      </c>
      <c r="BN23" s="18">
        <v>921</v>
      </c>
      <c r="BO23" s="18">
        <v>932</v>
      </c>
      <c r="BP23" s="18">
        <v>927</v>
      </c>
      <c r="BQ23" s="18">
        <v>927</v>
      </c>
      <c r="BR23" s="18">
        <v>927</v>
      </c>
      <c r="BS23" s="18">
        <v>927</v>
      </c>
      <c r="BT23" s="18">
        <v>921</v>
      </c>
      <c r="BU23" s="18">
        <v>916</v>
      </c>
      <c r="BV23" s="18">
        <v>910</v>
      </c>
      <c r="BW23" s="18">
        <v>910</v>
      </c>
      <c r="BX23" s="18">
        <v>910</v>
      </c>
      <c r="BY23" s="18">
        <v>922</v>
      </c>
      <c r="BZ23" s="18">
        <v>928</v>
      </c>
      <c r="CA23" s="18">
        <v>928</v>
      </c>
      <c r="CB23" s="18">
        <v>928</v>
      </c>
      <c r="CC23" s="18">
        <v>916</v>
      </c>
      <c r="CD23" s="18">
        <v>910</v>
      </c>
      <c r="CE23" s="18">
        <v>916</v>
      </c>
      <c r="CF23" s="18">
        <v>922</v>
      </c>
      <c r="CG23" s="18">
        <v>928</v>
      </c>
      <c r="CH23" s="18">
        <v>946</v>
      </c>
      <c r="CI23" s="18">
        <v>958</v>
      </c>
      <c r="CJ23" s="18">
        <v>964</v>
      </c>
      <c r="CK23" s="18">
        <v>977</v>
      </c>
      <c r="CL23" s="18">
        <v>977</v>
      </c>
      <c r="CM23" s="18">
        <v>977</v>
      </c>
      <c r="CN23" s="18">
        <v>970</v>
      </c>
      <c r="CO23" s="18">
        <v>977</v>
      </c>
      <c r="CP23" s="18">
        <v>1010</v>
      </c>
      <c r="CQ23" s="18">
        <v>1050</v>
      </c>
      <c r="CR23" s="18">
        <v>1230</v>
      </c>
      <c r="CS23" s="18">
        <v>1330</v>
      </c>
      <c r="CT23" s="18">
        <v>1230</v>
      </c>
      <c r="CU23" s="18">
        <v>1130</v>
      </c>
      <c r="CV23" s="18">
        <v>1080</v>
      </c>
      <c r="CW23" s="18">
        <v>1050</v>
      </c>
      <c r="CX23" s="18">
        <v>1030</v>
      </c>
      <c r="CY23" s="18">
        <v>1030</v>
      </c>
      <c r="CZ23" s="18">
        <v>1050</v>
      </c>
      <c r="DA23" s="18">
        <v>1070</v>
      </c>
      <c r="DB23" s="18">
        <v>1100</v>
      </c>
      <c r="DC23" s="18">
        <v>1130</v>
      </c>
      <c r="DD23" s="18">
        <v>1130</v>
      </c>
      <c r="DE23" s="18">
        <v>1090</v>
      </c>
      <c r="DF23" s="18">
        <v>1060</v>
      </c>
      <c r="DG23" s="18">
        <v>1050</v>
      </c>
      <c r="DH23" s="18">
        <v>1080</v>
      </c>
      <c r="DI23" s="18">
        <v>1160</v>
      </c>
      <c r="DJ23" s="18">
        <v>1180</v>
      </c>
      <c r="DK23" s="18">
        <v>1220</v>
      </c>
      <c r="DL23" s="18">
        <v>1200</v>
      </c>
      <c r="DM23" s="18">
        <v>1210</v>
      </c>
      <c r="DN23" s="18">
        <v>1240</v>
      </c>
      <c r="DO23" s="18">
        <v>1290</v>
      </c>
      <c r="DP23" s="18">
        <v>1340</v>
      </c>
      <c r="DQ23" s="18">
        <v>1410</v>
      </c>
      <c r="DR23" s="18">
        <v>1570</v>
      </c>
      <c r="DS23" s="18">
        <v>1630</v>
      </c>
      <c r="DT23" s="18">
        <v>1740</v>
      </c>
      <c r="DU23" s="18">
        <v>2000</v>
      </c>
      <c r="DV23" s="18">
        <v>2280</v>
      </c>
      <c r="DW23" s="18">
        <v>2360</v>
      </c>
      <c r="DX23" s="18">
        <v>2230</v>
      </c>
      <c r="DY23" s="18">
        <v>2070</v>
      </c>
      <c r="DZ23" s="18">
        <v>1930</v>
      </c>
      <c r="EA23" s="18">
        <v>1870</v>
      </c>
      <c r="EB23" s="18">
        <v>1880</v>
      </c>
      <c r="EC23" s="18">
        <v>2060</v>
      </c>
      <c r="ED23" s="18">
        <v>2180</v>
      </c>
      <c r="EE23" s="18">
        <v>2220</v>
      </c>
      <c r="EF23" s="18">
        <v>2250</v>
      </c>
      <c r="EG23" s="18">
        <v>2270</v>
      </c>
      <c r="EH23" s="18">
        <v>2340</v>
      </c>
      <c r="EI23" s="18">
        <v>2400</v>
      </c>
      <c r="EJ23" s="18">
        <v>2470</v>
      </c>
      <c r="EK23" s="18">
        <v>2620</v>
      </c>
      <c r="EL23" s="18">
        <v>2940</v>
      </c>
      <c r="EM23" s="18">
        <v>2920</v>
      </c>
      <c r="EN23" s="18">
        <v>2890</v>
      </c>
      <c r="EO23" s="18">
        <v>2700</v>
      </c>
      <c r="EP23" s="18">
        <v>2430</v>
      </c>
      <c r="EQ23" s="18">
        <v>2280</v>
      </c>
      <c r="ER23" s="18">
        <v>2160</v>
      </c>
      <c r="ES23" s="18">
        <v>2120</v>
      </c>
      <c r="ET23" s="18">
        <v>2170</v>
      </c>
      <c r="EU23" s="18">
        <v>2160</v>
      </c>
      <c r="EV23" s="18">
        <v>2200</v>
      </c>
      <c r="EW23" s="18">
        <v>2180</v>
      </c>
      <c r="EX23" s="18">
        <v>2210</v>
      </c>
      <c r="EY23" s="18">
        <v>2210</v>
      </c>
      <c r="EZ23" s="18">
        <v>2230</v>
      </c>
      <c r="FA23" s="18">
        <v>2280</v>
      </c>
      <c r="FB23" s="18">
        <v>2390</v>
      </c>
      <c r="FC23" s="18">
        <v>2360</v>
      </c>
      <c r="FD23" s="18">
        <v>2290</v>
      </c>
      <c r="FE23" s="18">
        <v>2250</v>
      </c>
      <c r="FF23" s="18">
        <v>2230</v>
      </c>
      <c r="FG23" s="18">
        <v>2200</v>
      </c>
      <c r="FH23" s="18">
        <v>2190</v>
      </c>
      <c r="FI23" s="18">
        <v>2300</v>
      </c>
      <c r="FJ23" s="18">
        <v>2340</v>
      </c>
      <c r="FK23" s="18">
        <v>2380</v>
      </c>
      <c r="FL23" s="18">
        <v>2450</v>
      </c>
      <c r="FM23" s="18">
        <v>2450</v>
      </c>
      <c r="FN23" s="18">
        <v>2300</v>
      </c>
      <c r="FO23" s="18">
        <v>2290</v>
      </c>
      <c r="FP23" s="18">
        <v>2390</v>
      </c>
      <c r="FQ23" s="18">
        <v>2930</v>
      </c>
      <c r="FR23" s="18">
        <v>3210</v>
      </c>
      <c r="FS23" s="18">
        <v>3990</v>
      </c>
      <c r="FT23" s="18">
        <v>4670</v>
      </c>
      <c r="FU23" s="18">
        <v>5430</v>
      </c>
      <c r="FV23" s="18">
        <v>6950</v>
      </c>
      <c r="FW23" s="18">
        <v>8310</v>
      </c>
      <c r="FX23" s="18">
        <v>8560</v>
      </c>
      <c r="FY23" s="18">
        <v>8340</v>
      </c>
      <c r="FZ23" s="18">
        <v>7410</v>
      </c>
      <c r="GA23" s="18">
        <v>6420</v>
      </c>
      <c r="GB23" s="18">
        <v>5630</v>
      </c>
      <c r="GC23" s="18">
        <v>4880</v>
      </c>
      <c r="GD23" s="18">
        <v>4490</v>
      </c>
      <c r="GE23" s="18">
        <v>4330</v>
      </c>
      <c r="GF23" s="18">
        <v>4150</v>
      </c>
      <c r="GG23" s="18">
        <v>3920</v>
      </c>
      <c r="GH23" s="18">
        <v>3760</v>
      </c>
      <c r="GI23" s="18">
        <v>3810</v>
      </c>
      <c r="GJ23" s="18">
        <v>4210</v>
      </c>
      <c r="GK23" s="18">
        <v>4910</v>
      </c>
      <c r="GL23" s="18">
        <v>6670</v>
      </c>
      <c r="GM23" s="18">
        <v>8200</v>
      </c>
      <c r="GN23" s="18">
        <v>8370</v>
      </c>
      <c r="GO23" s="18">
        <v>10700</v>
      </c>
      <c r="GP23" s="18">
        <v>13600</v>
      </c>
      <c r="GQ23" s="18">
        <v>14400</v>
      </c>
      <c r="GR23" s="18">
        <v>13300</v>
      </c>
      <c r="GS23" s="18">
        <v>12800</v>
      </c>
      <c r="GT23" s="18">
        <v>14100</v>
      </c>
      <c r="GU23" s="18">
        <v>18500</v>
      </c>
      <c r="GV23" s="18">
        <v>18300</v>
      </c>
      <c r="GW23" s="18">
        <v>16400</v>
      </c>
      <c r="GX23" s="18">
        <v>14400</v>
      </c>
      <c r="GY23" s="18">
        <v>13300</v>
      </c>
      <c r="GZ23" s="18">
        <v>13400</v>
      </c>
      <c r="HA23" s="18">
        <v>13400</v>
      </c>
      <c r="HB23" s="18">
        <v>13200</v>
      </c>
      <c r="HC23" s="18">
        <v>12900</v>
      </c>
      <c r="HD23" s="18">
        <v>12600</v>
      </c>
      <c r="HE23" s="18">
        <v>12600</v>
      </c>
      <c r="HF23" s="18">
        <v>13400</v>
      </c>
      <c r="HG23" s="18">
        <v>13900</v>
      </c>
      <c r="HH23" s="18">
        <v>12900</v>
      </c>
      <c r="HI23" s="18">
        <v>12200</v>
      </c>
      <c r="HJ23" s="18">
        <v>12100</v>
      </c>
      <c r="HK23" s="18">
        <v>12800</v>
      </c>
      <c r="HL23" s="18">
        <v>13500</v>
      </c>
      <c r="HM23" s="18">
        <v>13800</v>
      </c>
      <c r="HN23" s="18">
        <v>13500</v>
      </c>
      <c r="HO23" s="18">
        <v>13200</v>
      </c>
      <c r="HP23" s="18">
        <v>13400</v>
      </c>
      <c r="HQ23" s="18">
        <v>13500</v>
      </c>
      <c r="HR23" s="18">
        <v>13000</v>
      </c>
      <c r="HS23" s="18">
        <v>12000</v>
      </c>
      <c r="HT23" s="18">
        <v>11200</v>
      </c>
      <c r="HU23" s="18">
        <v>10700</v>
      </c>
      <c r="HV23" s="18">
        <v>10100</v>
      </c>
      <c r="HW23" s="18">
        <v>9390</v>
      </c>
      <c r="HX23" s="18">
        <v>8770</v>
      </c>
      <c r="HY23" s="18">
        <v>8160</v>
      </c>
      <c r="HZ23" s="18">
        <v>7850</v>
      </c>
      <c r="IA23" s="18">
        <v>7500</v>
      </c>
      <c r="IB23" s="18">
        <v>7380</v>
      </c>
      <c r="IC23" s="18">
        <v>7610</v>
      </c>
      <c r="ID23" s="18">
        <v>8240</v>
      </c>
      <c r="IE23" s="18">
        <v>8260</v>
      </c>
      <c r="IF23" s="18">
        <v>7830</v>
      </c>
      <c r="IG23" s="18">
        <v>7350</v>
      </c>
      <c r="IH23" s="18">
        <v>7440</v>
      </c>
      <c r="II23" s="18">
        <v>8370</v>
      </c>
      <c r="IJ23" s="18">
        <v>8640</v>
      </c>
      <c r="IK23" s="18">
        <v>8510</v>
      </c>
      <c r="IL23" s="18">
        <v>8440</v>
      </c>
      <c r="IM23" s="18">
        <v>8070</v>
      </c>
      <c r="IN23" s="18">
        <v>7530</v>
      </c>
      <c r="IO23" s="18">
        <v>6860</v>
      </c>
      <c r="IP23" s="18">
        <v>6380</v>
      </c>
      <c r="IQ23" s="18">
        <v>5970</v>
      </c>
      <c r="IR23" s="18">
        <v>5700</v>
      </c>
      <c r="IS23" s="18">
        <v>5460</v>
      </c>
      <c r="IT23" s="18">
        <v>5230</v>
      </c>
      <c r="IU23" s="18">
        <v>5030</v>
      </c>
      <c r="IV23" s="18">
        <v>4960</v>
      </c>
      <c r="IW23" s="18">
        <v>5050</v>
      </c>
      <c r="IX23" s="18">
        <v>5380</v>
      </c>
      <c r="IY23" s="18">
        <v>5100</v>
      </c>
      <c r="IZ23" s="18">
        <v>5190</v>
      </c>
      <c r="JA23" s="18">
        <v>5860</v>
      </c>
      <c r="JB23" s="18">
        <v>5230</v>
      </c>
      <c r="JC23" s="18">
        <v>5020</v>
      </c>
      <c r="JD23" s="18">
        <v>5410</v>
      </c>
      <c r="JE23" s="18">
        <v>5500</v>
      </c>
      <c r="JF23" s="18">
        <v>5950</v>
      </c>
      <c r="JG23" s="18">
        <v>5610</v>
      </c>
      <c r="JH23" s="18">
        <v>5230</v>
      </c>
      <c r="JI23" s="18">
        <v>5250</v>
      </c>
      <c r="JJ23" s="18">
        <v>6270</v>
      </c>
      <c r="JK23" s="18">
        <v>6840</v>
      </c>
      <c r="JL23" s="18">
        <v>7470</v>
      </c>
      <c r="JM23" s="18">
        <v>7910</v>
      </c>
      <c r="JN23" s="18">
        <v>9140</v>
      </c>
      <c r="JO23" s="18">
        <v>9190</v>
      </c>
      <c r="JP23" s="18">
        <v>8680</v>
      </c>
      <c r="JQ23" s="18">
        <v>8340</v>
      </c>
      <c r="JR23" s="18">
        <v>8040</v>
      </c>
      <c r="JS23" s="18">
        <v>8070</v>
      </c>
      <c r="JT23" s="18">
        <v>8210</v>
      </c>
      <c r="JU23" s="18">
        <v>7950</v>
      </c>
      <c r="JV23" s="18">
        <v>7260</v>
      </c>
      <c r="JW23" s="18">
        <v>6750</v>
      </c>
      <c r="JX23" s="18">
        <v>6370</v>
      </c>
      <c r="JY23" s="18">
        <v>6160</v>
      </c>
      <c r="JZ23" s="18">
        <v>6190</v>
      </c>
      <c r="KA23" s="18">
        <v>6030</v>
      </c>
      <c r="KB23" s="18">
        <v>6250</v>
      </c>
      <c r="KC23" s="18">
        <v>6110</v>
      </c>
      <c r="KD23" s="18">
        <v>5770</v>
      </c>
      <c r="KE23" s="18">
        <v>5590</v>
      </c>
      <c r="KF23" s="18">
        <v>5470</v>
      </c>
      <c r="KG23" s="18">
        <v>5230</v>
      </c>
      <c r="KH23" s="18">
        <v>4990</v>
      </c>
      <c r="KI23" s="18">
        <v>4790</v>
      </c>
      <c r="KJ23" s="18">
        <v>4600</v>
      </c>
      <c r="KK23" s="18">
        <v>4390</v>
      </c>
      <c r="KL23" s="18">
        <v>4260</v>
      </c>
      <c r="KM23" s="18">
        <v>4130</v>
      </c>
      <c r="KN23" s="18">
        <v>4030</v>
      </c>
      <c r="KO23" s="18">
        <v>3960</v>
      </c>
      <c r="KP23" s="18">
        <v>3900</v>
      </c>
      <c r="KQ23" s="18">
        <v>3840</v>
      </c>
      <c r="KR23" s="18">
        <v>3800</v>
      </c>
      <c r="KS23" s="18">
        <v>3760</v>
      </c>
      <c r="KT23" s="18">
        <v>3710</v>
      </c>
      <c r="KU23" s="18">
        <v>3710</v>
      </c>
      <c r="KV23" s="18">
        <v>3720</v>
      </c>
      <c r="KW23" s="18">
        <v>3600</v>
      </c>
      <c r="KX23" s="18">
        <v>3510</v>
      </c>
      <c r="KY23" s="18">
        <v>3450</v>
      </c>
      <c r="KZ23" s="18">
        <v>3360</v>
      </c>
      <c r="LA23" s="18">
        <v>3290</v>
      </c>
      <c r="LB23" s="18">
        <v>3240</v>
      </c>
      <c r="LC23" s="18">
        <v>3170</v>
      </c>
      <c r="LD23" s="18">
        <v>3130</v>
      </c>
      <c r="LE23" s="18">
        <v>3090</v>
      </c>
      <c r="LF23" s="18">
        <v>3110</v>
      </c>
      <c r="LG23" s="18">
        <v>3120</v>
      </c>
      <c r="LH23" s="18">
        <v>3100</v>
      </c>
      <c r="LI23" s="18">
        <v>3090</v>
      </c>
      <c r="LJ23" s="18">
        <v>3200</v>
      </c>
      <c r="LK23" s="18">
        <v>3140</v>
      </c>
      <c r="LL23" s="18">
        <v>3070</v>
      </c>
      <c r="LM23" s="18">
        <v>2970</v>
      </c>
      <c r="LN23" s="18">
        <v>2890</v>
      </c>
      <c r="LO23" s="18">
        <v>2810</v>
      </c>
      <c r="LP23" s="18">
        <v>2710</v>
      </c>
      <c r="LQ23" s="18">
        <v>2650</v>
      </c>
      <c r="LR23" s="18">
        <v>2600</v>
      </c>
      <c r="LS23" s="18">
        <v>2540</v>
      </c>
      <c r="LT23" s="18">
        <v>2480</v>
      </c>
      <c r="LU23" s="18">
        <v>2440</v>
      </c>
      <c r="LV23" s="18">
        <v>2390</v>
      </c>
      <c r="LW23" s="18">
        <v>2350</v>
      </c>
      <c r="LX23" s="18">
        <v>2300</v>
      </c>
      <c r="LY23" s="18">
        <v>2270</v>
      </c>
      <c r="LZ23" s="18">
        <v>2330</v>
      </c>
      <c r="MA23" s="18">
        <v>2510</v>
      </c>
      <c r="MB23" s="18">
        <v>2540</v>
      </c>
      <c r="MC23" s="18">
        <v>2420</v>
      </c>
      <c r="MD23" s="18">
        <v>2330</v>
      </c>
      <c r="ME23" s="18">
        <v>2240</v>
      </c>
      <c r="MF23" s="18">
        <v>2180</v>
      </c>
      <c r="MG23" s="18">
        <v>2120</v>
      </c>
      <c r="MH23" s="18">
        <v>2070</v>
      </c>
      <c r="MI23" s="18">
        <v>2030</v>
      </c>
      <c r="MJ23" s="18">
        <v>2020</v>
      </c>
      <c r="MK23" s="18">
        <v>1980</v>
      </c>
      <c r="ML23" s="18">
        <v>1950</v>
      </c>
      <c r="MM23" s="18">
        <v>1920</v>
      </c>
      <c r="MN23" s="18">
        <v>1920</v>
      </c>
      <c r="MO23" s="18">
        <v>1920</v>
      </c>
      <c r="MP23" s="18">
        <v>1900</v>
      </c>
      <c r="MQ23" s="18">
        <v>1870</v>
      </c>
      <c r="MR23" s="18">
        <v>1840</v>
      </c>
      <c r="MS23" s="18">
        <v>1830</v>
      </c>
      <c r="MT23" s="18">
        <v>1810</v>
      </c>
      <c r="MU23" s="18">
        <v>1790</v>
      </c>
      <c r="MV23" s="18">
        <v>1780</v>
      </c>
      <c r="MW23" s="18">
        <v>1760</v>
      </c>
      <c r="MX23" s="18">
        <v>1740</v>
      </c>
      <c r="MY23" s="18">
        <v>1720</v>
      </c>
      <c r="MZ23" s="18">
        <v>1710</v>
      </c>
      <c r="NA23" s="18">
        <v>1690</v>
      </c>
      <c r="NB23" s="18">
        <v>1680</v>
      </c>
      <c r="NC23" s="18">
        <v>1670</v>
      </c>
      <c r="ND23" s="1">
        <v>1140</v>
      </c>
      <c r="NE23" s="1">
        <v>982</v>
      </c>
      <c r="NF23" s="1">
        <v>934</v>
      </c>
      <c r="NG23" s="1">
        <v>1160</v>
      </c>
      <c r="NH23" s="1">
        <v>2260</v>
      </c>
      <c r="NI23" s="1">
        <v>3670</v>
      </c>
      <c r="NJ23" s="1">
        <v>10300</v>
      </c>
      <c r="NK23" s="1">
        <v>10400</v>
      </c>
      <c r="NL23" s="1">
        <v>6210</v>
      </c>
      <c r="NM23" s="1">
        <v>5700</v>
      </c>
      <c r="NN23" s="1">
        <v>3010</v>
      </c>
      <c r="NO23" s="1">
        <v>1990</v>
      </c>
      <c r="NP23" s="1">
        <v>4007.4027397260274</v>
      </c>
      <c r="NQ23" s="1">
        <v>18500</v>
      </c>
      <c r="NR23" s="19">
        <v>42571</v>
      </c>
      <c r="NS23" s="1">
        <v>910</v>
      </c>
      <c r="NT23" s="19">
        <v>42442</v>
      </c>
    </row>
    <row r="24" spans="1:384" x14ac:dyDescent="0.15">
      <c r="A24" s="1">
        <v>1971</v>
      </c>
      <c r="B24" s="18">
        <v>1650</v>
      </c>
      <c r="C24" s="18">
        <v>1650</v>
      </c>
      <c r="D24" s="18">
        <v>1630</v>
      </c>
      <c r="E24" s="18">
        <v>1600</v>
      </c>
      <c r="F24" s="18">
        <v>1580</v>
      </c>
      <c r="G24" s="18">
        <v>1560</v>
      </c>
      <c r="H24" s="18">
        <v>1540</v>
      </c>
      <c r="I24" s="18">
        <v>1530</v>
      </c>
      <c r="J24" s="18">
        <v>1510</v>
      </c>
      <c r="K24" s="18">
        <v>1500</v>
      </c>
      <c r="L24" s="18">
        <v>1480</v>
      </c>
      <c r="M24" s="18">
        <v>1470</v>
      </c>
      <c r="N24" s="18">
        <v>1440</v>
      </c>
      <c r="O24" s="18">
        <v>1400</v>
      </c>
      <c r="P24" s="18">
        <v>1370</v>
      </c>
      <c r="Q24" s="18">
        <v>1350</v>
      </c>
      <c r="R24" s="18">
        <v>1340</v>
      </c>
      <c r="S24" s="18">
        <v>1340</v>
      </c>
      <c r="T24" s="18">
        <v>1360</v>
      </c>
      <c r="U24" s="18">
        <v>1370</v>
      </c>
      <c r="V24" s="18">
        <v>1370</v>
      </c>
      <c r="W24" s="18">
        <v>1360</v>
      </c>
      <c r="X24" s="18">
        <v>1340</v>
      </c>
      <c r="Y24" s="18">
        <v>1320</v>
      </c>
      <c r="Z24" s="18">
        <v>1320</v>
      </c>
      <c r="AA24" s="18">
        <v>1320</v>
      </c>
      <c r="AB24" s="18">
        <v>1300</v>
      </c>
      <c r="AC24" s="18">
        <v>1280</v>
      </c>
      <c r="AD24" s="18">
        <v>1280</v>
      </c>
      <c r="AE24" s="18">
        <v>1280</v>
      </c>
      <c r="AF24" s="18">
        <v>1280</v>
      </c>
      <c r="AG24" s="18">
        <v>1280</v>
      </c>
      <c r="AH24" s="18">
        <v>1270</v>
      </c>
      <c r="AI24" s="18">
        <v>1270</v>
      </c>
      <c r="AJ24" s="18">
        <v>1260</v>
      </c>
      <c r="AK24" s="18">
        <v>1250</v>
      </c>
      <c r="AL24" s="18">
        <v>1250</v>
      </c>
      <c r="AM24" s="18">
        <v>1250</v>
      </c>
      <c r="AN24" s="18">
        <v>1230</v>
      </c>
      <c r="AO24" s="18">
        <v>1220</v>
      </c>
      <c r="AP24" s="18">
        <v>1210</v>
      </c>
      <c r="AQ24" s="18">
        <v>1200</v>
      </c>
      <c r="AR24" s="18">
        <v>1200</v>
      </c>
      <c r="AS24" s="18">
        <v>1190</v>
      </c>
      <c r="AT24" s="18">
        <v>1180</v>
      </c>
      <c r="AU24" s="18">
        <v>1170</v>
      </c>
      <c r="AV24" s="18">
        <v>1170</v>
      </c>
      <c r="AW24" s="18">
        <v>1170</v>
      </c>
      <c r="AX24" s="18">
        <v>1170</v>
      </c>
      <c r="AY24" s="18">
        <v>1160</v>
      </c>
      <c r="AZ24" s="18">
        <v>1150</v>
      </c>
      <c r="BA24" s="18">
        <v>1140</v>
      </c>
      <c r="BB24" s="18">
        <v>1130</v>
      </c>
      <c r="BC24" s="18">
        <v>1130</v>
      </c>
      <c r="BD24" s="18">
        <v>1130</v>
      </c>
      <c r="BE24" s="18">
        <v>1140</v>
      </c>
      <c r="BF24" s="18">
        <v>1140</v>
      </c>
      <c r="BG24" s="18">
        <v>1140</v>
      </c>
      <c r="BH24" s="18">
        <v>1130</v>
      </c>
      <c r="BI24" s="18"/>
      <c r="BJ24" s="18">
        <v>1130</v>
      </c>
      <c r="BK24" s="18">
        <v>1120</v>
      </c>
      <c r="BL24" s="18">
        <v>1110</v>
      </c>
      <c r="BM24" s="18">
        <v>1110</v>
      </c>
      <c r="BN24" s="18">
        <v>1100</v>
      </c>
      <c r="BO24" s="18">
        <v>1100</v>
      </c>
      <c r="BP24" s="18">
        <v>1100</v>
      </c>
      <c r="BQ24" s="18">
        <v>1100</v>
      </c>
      <c r="BR24" s="18">
        <v>1110</v>
      </c>
      <c r="BS24" s="18">
        <v>1110</v>
      </c>
      <c r="BT24" s="18">
        <v>1120</v>
      </c>
      <c r="BU24" s="18">
        <v>1120</v>
      </c>
      <c r="BV24" s="18">
        <v>1120</v>
      </c>
      <c r="BW24" s="18">
        <v>1120</v>
      </c>
      <c r="BX24" s="18">
        <v>1120</v>
      </c>
      <c r="BY24" s="18">
        <v>1130</v>
      </c>
      <c r="BZ24" s="18">
        <v>1130</v>
      </c>
      <c r="CA24" s="18">
        <v>1130</v>
      </c>
      <c r="CB24" s="18">
        <v>1130</v>
      </c>
      <c r="CC24" s="18">
        <v>1130</v>
      </c>
      <c r="CD24" s="18">
        <v>1110</v>
      </c>
      <c r="CE24" s="18">
        <v>1110</v>
      </c>
      <c r="CF24" s="18">
        <v>1100</v>
      </c>
      <c r="CG24" s="18">
        <v>1100</v>
      </c>
      <c r="CH24" s="18">
        <v>1100</v>
      </c>
      <c r="CI24" s="18">
        <v>1100</v>
      </c>
      <c r="CJ24" s="18">
        <v>1100</v>
      </c>
      <c r="CK24" s="18">
        <v>1100</v>
      </c>
      <c r="CL24" s="18">
        <v>1100</v>
      </c>
      <c r="CM24" s="18">
        <v>1100</v>
      </c>
      <c r="CN24" s="18">
        <v>1100</v>
      </c>
      <c r="CO24" s="18">
        <v>1110</v>
      </c>
      <c r="CP24" s="18">
        <v>1120</v>
      </c>
      <c r="CQ24" s="18">
        <v>1140</v>
      </c>
      <c r="CR24" s="18">
        <v>1160</v>
      </c>
      <c r="CS24" s="18">
        <v>1160</v>
      </c>
      <c r="CT24" s="18">
        <v>1160</v>
      </c>
      <c r="CU24" s="18">
        <v>1150</v>
      </c>
      <c r="CV24" s="18">
        <v>1150</v>
      </c>
      <c r="CW24" s="18">
        <v>1190</v>
      </c>
      <c r="CX24" s="18">
        <v>1200</v>
      </c>
      <c r="CY24" s="18">
        <v>1200</v>
      </c>
      <c r="CZ24" s="18">
        <v>1200</v>
      </c>
      <c r="DA24" s="18">
        <v>1210</v>
      </c>
      <c r="DB24" s="18">
        <v>1200</v>
      </c>
      <c r="DC24" s="18">
        <v>1200</v>
      </c>
      <c r="DD24" s="18">
        <v>1210</v>
      </c>
      <c r="DE24" s="18">
        <v>1250</v>
      </c>
      <c r="DF24" s="18">
        <v>1280</v>
      </c>
      <c r="DG24" s="18">
        <v>1290</v>
      </c>
      <c r="DH24" s="18">
        <v>1290</v>
      </c>
      <c r="DI24" s="18">
        <v>1280</v>
      </c>
      <c r="DJ24" s="18">
        <v>1280</v>
      </c>
      <c r="DK24" s="18">
        <v>1270</v>
      </c>
      <c r="DL24" s="18">
        <v>1260</v>
      </c>
      <c r="DM24" s="18">
        <v>1270</v>
      </c>
      <c r="DN24" s="18">
        <v>1280</v>
      </c>
      <c r="DO24" s="18">
        <v>1280</v>
      </c>
      <c r="DP24" s="18">
        <v>1270</v>
      </c>
      <c r="DQ24" s="18">
        <v>1280</v>
      </c>
      <c r="DR24" s="18">
        <v>1280</v>
      </c>
      <c r="DS24" s="18">
        <v>1280</v>
      </c>
      <c r="DT24" s="18">
        <v>1280</v>
      </c>
      <c r="DU24" s="18">
        <v>1260</v>
      </c>
      <c r="DV24" s="18">
        <v>1230</v>
      </c>
      <c r="DW24" s="18">
        <v>1210</v>
      </c>
      <c r="DX24" s="18">
        <v>1210</v>
      </c>
      <c r="DY24" s="18">
        <v>1230</v>
      </c>
      <c r="DZ24" s="18">
        <v>1280</v>
      </c>
      <c r="EA24" s="18">
        <v>1380</v>
      </c>
      <c r="EB24" s="18">
        <v>1430</v>
      </c>
      <c r="EC24" s="18">
        <v>1510</v>
      </c>
      <c r="ED24" s="18">
        <v>1610</v>
      </c>
      <c r="EE24" s="18">
        <v>1750</v>
      </c>
      <c r="EF24" s="18">
        <v>1820</v>
      </c>
      <c r="EG24" s="18">
        <v>1930</v>
      </c>
      <c r="EH24" s="18">
        <v>1970</v>
      </c>
      <c r="EI24" s="18">
        <v>2020</v>
      </c>
      <c r="EJ24" s="18">
        <v>2070</v>
      </c>
      <c r="EK24" s="18">
        <v>2220</v>
      </c>
      <c r="EL24" s="18">
        <v>2240</v>
      </c>
      <c r="EM24" s="18">
        <v>2280</v>
      </c>
      <c r="EN24" s="18">
        <v>2340</v>
      </c>
      <c r="EO24" s="18">
        <v>2380</v>
      </c>
      <c r="EP24" s="18">
        <v>2420</v>
      </c>
      <c r="EQ24" s="18">
        <v>2450</v>
      </c>
      <c r="ER24" s="18">
        <v>2350</v>
      </c>
      <c r="ES24" s="18">
        <v>2340</v>
      </c>
      <c r="ET24" s="18">
        <v>2290</v>
      </c>
      <c r="EU24" s="18">
        <v>2350</v>
      </c>
      <c r="EV24" s="18">
        <v>2430</v>
      </c>
      <c r="EW24" s="18">
        <v>2490</v>
      </c>
      <c r="EX24" s="18">
        <v>2690</v>
      </c>
      <c r="EY24" s="18">
        <v>2640</v>
      </c>
      <c r="EZ24" s="18">
        <v>2710</v>
      </c>
      <c r="FA24" s="18">
        <v>2920</v>
      </c>
      <c r="FB24" s="18">
        <v>2670</v>
      </c>
      <c r="FC24" s="18">
        <v>2600</v>
      </c>
      <c r="FD24" s="18">
        <v>2790</v>
      </c>
      <c r="FE24" s="18">
        <v>3020</v>
      </c>
      <c r="FF24" s="18">
        <v>3410</v>
      </c>
      <c r="FG24" s="18">
        <v>3460</v>
      </c>
      <c r="FH24" s="18">
        <v>3350</v>
      </c>
      <c r="FI24" s="18">
        <v>3290</v>
      </c>
      <c r="FJ24" s="18">
        <v>3460</v>
      </c>
      <c r="FK24" s="18">
        <v>3560</v>
      </c>
      <c r="FL24" s="18">
        <v>4050</v>
      </c>
      <c r="FM24" s="18">
        <v>4780</v>
      </c>
      <c r="FN24" s="18">
        <v>5380</v>
      </c>
      <c r="FO24" s="18">
        <v>5630</v>
      </c>
      <c r="FP24" s="18">
        <v>6340</v>
      </c>
      <c r="FQ24" s="18">
        <v>6810</v>
      </c>
      <c r="FR24" s="18">
        <v>6600</v>
      </c>
      <c r="FS24" s="18">
        <v>6760</v>
      </c>
      <c r="FT24" s="18">
        <v>7410</v>
      </c>
      <c r="FU24" s="18">
        <v>7230</v>
      </c>
      <c r="FV24" s="18">
        <v>6570</v>
      </c>
      <c r="FW24" s="18">
        <v>6340</v>
      </c>
      <c r="FX24" s="18">
        <v>6250</v>
      </c>
      <c r="FY24" s="18">
        <v>5860</v>
      </c>
      <c r="FZ24" s="18">
        <v>5420</v>
      </c>
      <c r="GA24" s="18">
        <v>5430</v>
      </c>
      <c r="GB24" s="18">
        <v>6290</v>
      </c>
      <c r="GC24" s="18">
        <v>6740</v>
      </c>
      <c r="GD24" s="18">
        <v>6130</v>
      </c>
      <c r="GE24" s="18">
        <v>5350</v>
      </c>
      <c r="GF24" s="18">
        <v>5300</v>
      </c>
      <c r="GG24" s="18">
        <v>6170</v>
      </c>
      <c r="GH24" s="18">
        <v>5800</v>
      </c>
      <c r="GI24" s="18">
        <v>5260</v>
      </c>
      <c r="GJ24" s="18">
        <v>5000</v>
      </c>
      <c r="GK24" s="18">
        <v>5030</v>
      </c>
      <c r="GL24" s="18">
        <v>5860</v>
      </c>
      <c r="GM24" s="18">
        <v>7460</v>
      </c>
      <c r="GN24" s="18">
        <v>8880</v>
      </c>
      <c r="GO24" s="18">
        <v>10500</v>
      </c>
      <c r="GP24" s="18">
        <v>11500</v>
      </c>
      <c r="GQ24" s="18">
        <v>10700</v>
      </c>
      <c r="GR24" s="18">
        <v>9200</v>
      </c>
      <c r="GS24" s="18">
        <v>8420</v>
      </c>
      <c r="GT24" s="18">
        <v>7750</v>
      </c>
      <c r="GU24" s="18">
        <v>7190</v>
      </c>
      <c r="GV24" s="18">
        <v>6860</v>
      </c>
      <c r="GW24" s="18">
        <v>7020</v>
      </c>
      <c r="GX24" s="18">
        <v>7210</v>
      </c>
      <c r="GY24" s="18">
        <v>7170</v>
      </c>
      <c r="GZ24" s="18">
        <v>6810</v>
      </c>
      <c r="HA24" s="18">
        <v>6430</v>
      </c>
      <c r="HB24" s="18">
        <v>6040</v>
      </c>
      <c r="HC24" s="18">
        <v>5870</v>
      </c>
      <c r="HD24" s="18">
        <v>5790</v>
      </c>
      <c r="HE24" s="18">
        <v>5830</v>
      </c>
      <c r="HF24" s="18">
        <v>6070</v>
      </c>
      <c r="HG24" s="18">
        <v>7230</v>
      </c>
      <c r="HH24" s="18">
        <v>8550</v>
      </c>
      <c r="HI24" s="18">
        <v>8770</v>
      </c>
      <c r="HJ24" s="18">
        <v>8150</v>
      </c>
      <c r="HK24" s="18">
        <v>7580</v>
      </c>
      <c r="HL24" s="18">
        <v>6960</v>
      </c>
      <c r="HM24" s="18">
        <v>6720</v>
      </c>
      <c r="HN24" s="18">
        <v>7000</v>
      </c>
      <c r="HO24" s="18">
        <v>6950</v>
      </c>
      <c r="HP24" s="18">
        <v>6710</v>
      </c>
      <c r="HQ24" s="18">
        <v>7150</v>
      </c>
      <c r="HR24" s="18">
        <v>7730</v>
      </c>
      <c r="HS24" s="18">
        <v>8100</v>
      </c>
      <c r="HT24" s="18">
        <v>9200</v>
      </c>
      <c r="HU24" s="18">
        <v>9740</v>
      </c>
      <c r="HV24" s="18">
        <v>9850</v>
      </c>
      <c r="HW24" s="18">
        <v>11300</v>
      </c>
      <c r="HX24" s="18">
        <v>12000</v>
      </c>
      <c r="HY24" s="18">
        <v>11000</v>
      </c>
      <c r="HZ24" s="18">
        <v>9650</v>
      </c>
      <c r="IA24" s="18">
        <v>8520</v>
      </c>
      <c r="IB24" s="18">
        <v>7640</v>
      </c>
      <c r="IC24" s="18">
        <v>7080</v>
      </c>
      <c r="ID24" s="18">
        <v>7470</v>
      </c>
      <c r="IE24" s="18">
        <v>9650</v>
      </c>
      <c r="IF24" s="18">
        <v>10300</v>
      </c>
      <c r="IG24" s="18">
        <v>10700</v>
      </c>
      <c r="IH24" s="18">
        <v>10100</v>
      </c>
      <c r="II24" s="18">
        <v>9130</v>
      </c>
      <c r="IJ24" s="18">
        <v>8360</v>
      </c>
      <c r="IK24" s="18">
        <v>7950</v>
      </c>
      <c r="IL24" s="18">
        <v>7420</v>
      </c>
      <c r="IM24" s="18">
        <v>6800</v>
      </c>
      <c r="IN24" s="18">
        <v>6230</v>
      </c>
      <c r="IO24" s="18">
        <v>5770</v>
      </c>
      <c r="IP24" s="18">
        <v>5400</v>
      </c>
      <c r="IQ24" s="18">
        <v>5060</v>
      </c>
      <c r="IR24" s="18">
        <v>4960</v>
      </c>
      <c r="IS24" s="18">
        <v>5000</v>
      </c>
      <c r="IT24" s="18">
        <v>5060</v>
      </c>
      <c r="IU24" s="18">
        <v>5140</v>
      </c>
      <c r="IV24" s="18">
        <v>5150</v>
      </c>
      <c r="IW24" s="18">
        <v>5230</v>
      </c>
      <c r="IX24" s="18">
        <v>5330</v>
      </c>
      <c r="IY24" s="18">
        <v>5560</v>
      </c>
      <c r="IZ24" s="18">
        <v>6720</v>
      </c>
      <c r="JA24" s="18">
        <v>7110</v>
      </c>
      <c r="JB24" s="18">
        <v>9380</v>
      </c>
      <c r="JC24" s="18">
        <v>8850</v>
      </c>
      <c r="JD24" s="18">
        <v>8580</v>
      </c>
      <c r="JE24" s="18">
        <v>8620</v>
      </c>
      <c r="JF24" s="18">
        <v>8190</v>
      </c>
      <c r="JG24" s="18">
        <v>7690</v>
      </c>
      <c r="JH24" s="18">
        <v>7040</v>
      </c>
      <c r="JI24" s="18">
        <v>7100</v>
      </c>
      <c r="JJ24" s="18">
        <v>7490</v>
      </c>
      <c r="JK24" s="18">
        <v>8620</v>
      </c>
      <c r="JL24" s="18">
        <v>7940</v>
      </c>
      <c r="JM24" s="18">
        <v>7150</v>
      </c>
      <c r="JN24" s="18">
        <v>6520</v>
      </c>
      <c r="JO24" s="18">
        <v>6070</v>
      </c>
      <c r="JP24" s="18">
        <v>5730</v>
      </c>
      <c r="JQ24" s="18">
        <v>5610</v>
      </c>
      <c r="JR24" s="18">
        <v>5420</v>
      </c>
      <c r="JS24" s="18">
        <v>5300</v>
      </c>
      <c r="JT24" s="18">
        <v>5540</v>
      </c>
      <c r="JU24" s="18">
        <v>6030</v>
      </c>
      <c r="JV24" s="18">
        <v>5670</v>
      </c>
      <c r="JW24" s="18">
        <v>5660</v>
      </c>
      <c r="JX24" s="18">
        <v>5670</v>
      </c>
      <c r="JY24" s="18">
        <v>5870</v>
      </c>
      <c r="JZ24" s="18">
        <v>5950</v>
      </c>
      <c r="KA24" s="18">
        <v>5790</v>
      </c>
      <c r="KB24" s="18">
        <v>5850</v>
      </c>
      <c r="KC24" s="18">
        <v>5970</v>
      </c>
      <c r="KD24" s="18">
        <v>5780</v>
      </c>
      <c r="KE24" s="18">
        <v>5510</v>
      </c>
      <c r="KF24" s="18">
        <v>5330</v>
      </c>
      <c r="KG24" s="18">
        <v>5150</v>
      </c>
      <c r="KH24" s="18">
        <v>4990</v>
      </c>
      <c r="KI24" s="18">
        <v>4730</v>
      </c>
      <c r="KJ24" s="18">
        <v>4590</v>
      </c>
      <c r="KK24" s="18">
        <v>4470</v>
      </c>
      <c r="KL24" s="18">
        <v>4410</v>
      </c>
      <c r="KM24" s="18">
        <v>4340</v>
      </c>
      <c r="KN24" s="18">
        <v>4260</v>
      </c>
      <c r="KO24" s="18">
        <v>4250</v>
      </c>
      <c r="KP24" s="18">
        <v>4330</v>
      </c>
      <c r="KQ24" s="18">
        <v>4400</v>
      </c>
      <c r="KR24" s="18">
        <v>4710</v>
      </c>
      <c r="KS24" s="18">
        <v>4430</v>
      </c>
      <c r="KT24" s="18">
        <v>4130</v>
      </c>
      <c r="KU24" s="18">
        <v>3920</v>
      </c>
      <c r="KV24" s="18">
        <v>3770</v>
      </c>
      <c r="KW24" s="18">
        <v>3640</v>
      </c>
      <c r="KX24" s="18">
        <v>3550</v>
      </c>
      <c r="KY24" s="18">
        <v>3470</v>
      </c>
      <c r="KZ24" s="18">
        <v>3370</v>
      </c>
      <c r="LA24" s="18">
        <v>3290</v>
      </c>
      <c r="LB24" s="18">
        <v>3220</v>
      </c>
      <c r="LC24" s="18">
        <v>3150</v>
      </c>
      <c r="LD24" s="18">
        <v>3070</v>
      </c>
      <c r="LE24" s="18">
        <v>3000</v>
      </c>
      <c r="LF24" s="18">
        <v>2960</v>
      </c>
      <c r="LG24" s="18">
        <v>2910</v>
      </c>
      <c r="LH24" s="18">
        <v>2870</v>
      </c>
      <c r="LI24" s="18">
        <v>2830</v>
      </c>
      <c r="LJ24" s="18">
        <v>2760</v>
      </c>
      <c r="LK24" s="18">
        <v>2670</v>
      </c>
      <c r="LL24" s="18">
        <v>2600</v>
      </c>
      <c r="LM24" s="18">
        <v>2520</v>
      </c>
      <c r="LN24" s="18">
        <v>2480</v>
      </c>
      <c r="LO24" s="18">
        <v>2420</v>
      </c>
      <c r="LP24" s="18">
        <v>2400</v>
      </c>
      <c r="LQ24" s="18">
        <v>2360</v>
      </c>
      <c r="LR24" s="18">
        <v>2300</v>
      </c>
      <c r="LS24" s="18">
        <v>2250</v>
      </c>
      <c r="LT24" s="18">
        <v>2200</v>
      </c>
      <c r="LU24" s="18">
        <v>2150</v>
      </c>
      <c r="LV24" s="18">
        <v>2120</v>
      </c>
      <c r="LW24" s="18">
        <v>2100</v>
      </c>
      <c r="LX24" s="18">
        <v>2060</v>
      </c>
      <c r="LY24" s="18">
        <v>2020</v>
      </c>
      <c r="LZ24" s="18">
        <v>2000</v>
      </c>
      <c r="MA24" s="18">
        <v>1980</v>
      </c>
      <c r="MB24" s="18">
        <v>1930</v>
      </c>
      <c r="MC24" s="18">
        <v>1910</v>
      </c>
      <c r="MD24" s="18">
        <v>1880</v>
      </c>
      <c r="ME24" s="18">
        <v>1850</v>
      </c>
      <c r="MF24" s="18">
        <v>1820</v>
      </c>
      <c r="MG24" s="18">
        <v>1780</v>
      </c>
      <c r="MH24" s="18">
        <v>1750</v>
      </c>
      <c r="MI24" s="18">
        <v>1730</v>
      </c>
      <c r="MJ24" s="18">
        <v>1710</v>
      </c>
      <c r="MK24" s="18">
        <v>1690</v>
      </c>
      <c r="ML24" s="18">
        <v>1670</v>
      </c>
      <c r="MM24" s="18">
        <v>1630</v>
      </c>
      <c r="MN24" s="18">
        <v>1590</v>
      </c>
      <c r="MO24" s="18">
        <v>1560</v>
      </c>
      <c r="MP24" s="18">
        <v>1550</v>
      </c>
      <c r="MQ24" s="18">
        <v>1530</v>
      </c>
      <c r="MR24" s="18">
        <v>1530</v>
      </c>
      <c r="MS24" s="18">
        <v>1520</v>
      </c>
      <c r="MT24" s="18">
        <v>1480</v>
      </c>
      <c r="MU24" s="18">
        <v>1450</v>
      </c>
      <c r="MV24" s="18">
        <v>1440</v>
      </c>
      <c r="MW24" s="18">
        <v>1420</v>
      </c>
      <c r="MX24" s="18">
        <v>1410</v>
      </c>
      <c r="MY24" s="18">
        <v>1420</v>
      </c>
      <c r="MZ24" s="18">
        <v>1420</v>
      </c>
      <c r="NA24" s="18">
        <v>1420</v>
      </c>
      <c r="NB24" s="18">
        <v>1410</v>
      </c>
      <c r="NC24" s="18">
        <v>1410</v>
      </c>
      <c r="ND24" s="1">
        <v>1420</v>
      </c>
      <c r="NE24" s="1">
        <v>1190</v>
      </c>
      <c r="NF24" s="1">
        <v>1110</v>
      </c>
      <c r="NG24" s="1">
        <v>1220</v>
      </c>
      <c r="NH24" s="1">
        <v>1870</v>
      </c>
      <c r="NI24" s="1">
        <v>4650</v>
      </c>
      <c r="NJ24" s="1">
        <v>6960</v>
      </c>
      <c r="NK24" s="1">
        <v>8620</v>
      </c>
      <c r="NL24" s="1">
        <v>6710</v>
      </c>
      <c r="NM24" s="1">
        <v>5160</v>
      </c>
      <c r="NN24" s="1">
        <v>2810</v>
      </c>
      <c r="NO24" s="1">
        <v>1640</v>
      </c>
      <c r="NP24" s="1">
        <v>3630.821917808219</v>
      </c>
      <c r="NQ24" s="1">
        <v>12000</v>
      </c>
      <c r="NR24" s="19">
        <v>42600</v>
      </c>
      <c r="NS24" s="1">
        <v>1100</v>
      </c>
      <c r="NT24" s="19">
        <v>42434</v>
      </c>
    </row>
    <row r="25" spans="1:384" x14ac:dyDescent="0.15">
      <c r="A25" s="1">
        <v>1972</v>
      </c>
      <c r="B25" s="18">
        <v>1430</v>
      </c>
      <c r="C25" s="18">
        <v>1410</v>
      </c>
      <c r="D25" s="18">
        <v>1410</v>
      </c>
      <c r="E25" s="18">
        <v>1410</v>
      </c>
      <c r="F25" s="18">
        <v>1400</v>
      </c>
      <c r="G25" s="18">
        <v>1390</v>
      </c>
      <c r="H25" s="18">
        <v>1380</v>
      </c>
      <c r="I25" s="18">
        <v>1390</v>
      </c>
      <c r="J25" s="18">
        <v>1380</v>
      </c>
      <c r="K25" s="18">
        <v>1370</v>
      </c>
      <c r="L25" s="18">
        <v>1370</v>
      </c>
      <c r="M25" s="18">
        <v>1360</v>
      </c>
      <c r="N25" s="18">
        <v>1350</v>
      </c>
      <c r="O25" s="18">
        <v>1340</v>
      </c>
      <c r="P25" s="18">
        <v>1330</v>
      </c>
      <c r="Q25" s="18">
        <v>1310</v>
      </c>
      <c r="R25" s="18">
        <v>1300</v>
      </c>
      <c r="S25" s="18">
        <v>1290</v>
      </c>
      <c r="T25" s="18">
        <v>1270</v>
      </c>
      <c r="U25" s="18">
        <v>1260</v>
      </c>
      <c r="V25" s="18">
        <v>1250</v>
      </c>
      <c r="W25" s="18">
        <v>1240</v>
      </c>
      <c r="X25" s="18">
        <v>1220</v>
      </c>
      <c r="Y25" s="18">
        <v>1210</v>
      </c>
      <c r="Z25" s="18">
        <v>1200</v>
      </c>
      <c r="AA25" s="18">
        <v>1190</v>
      </c>
      <c r="AB25" s="18">
        <v>1190</v>
      </c>
      <c r="AC25" s="18">
        <v>1170</v>
      </c>
      <c r="AD25" s="18">
        <v>1160</v>
      </c>
      <c r="AE25" s="18">
        <v>1170</v>
      </c>
      <c r="AF25" s="18">
        <v>1170</v>
      </c>
      <c r="AG25" s="18">
        <v>1160</v>
      </c>
      <c r="AH25" s="18">
        <v>1150</v>
      </c>
      <c r="AI25" s="18">
        <v>1150</v>
      </c>
      <c r="AJ25" s="18">
        <v>1150</v>
      </c>
      <c r="AK25" s="18">
        <v>1140</v>
      </c>
      <c r="AL25" s="18">
        <v>1150</v>
      </c>
      <c r="AM25" s="18">
        <v>1160</v>
      </c>
      <c r="AN25" s="18">
        <v>1160</v>
      </c>
      <c r="AO25" s="18">
        <v>1170</v>
      </c>
      <c r="AP25" s="18">
        <v>1170</v>
      </c>
      <c r="AQ25" s="18">
        <v>1160</v>
      </c>
      <c r="AR25" s="18">
        <v>1150</v>
      </c>
      <c r="AS25" s="18">
        <v>1140</v>
      </c>
      <c r="AT25" s="18">
        <v>1130</v>
      </c>
      <c r="AU25" s="18">
        <v>1120</v>
      </c>
      <c r="AV25" s="18">
        <v>1110</v>
      </c>
      <c r="AW25" s="18">
        <v>1110</v>
      </c>
      <c r="AX25" s="18">
        <v>1100</v>
      </c>
      <c r="AY25" s="18">
        <v>1100</v>
      </c>
      <c r="AZ25" s="18">
        <v>1090</v>
      </c>
      <c r="BA25" s="18">
        <v>1090</v>
      </c>
      <c r="BB25" s="18">
        <v>1070</v>
      </c>
      <c r="BC25" s="18">
        <v>1070</v>
      </c>
      <c r="BD25" s="18">
        <v>1060</v>
      </c>
      <c r="BE25" s="18">
        <v>1050</v>
      </c>
      <c r="BF25" s="18">
        <v>1050</v>
      </c>
      <c r="BG25" s="18">
        <v>1050</v>
      </c>
      <c r="BH25" s="18">
        <v>1040</v>
      </c>
      <c r="BI25" s="18">
        <v>1050</v>
      </c>
      <c r="BJ25" s="18">
        <v>1050</v>
      </c>
      <c r="BK25" s="18">
        <v>1070</v>
      </c>
      <c r="BL25" s="18">
        <v>1080</v>
      </c>
      <c r="BM25" s="18">
        <v>1090</v>
      </c>
      <c r="BN25" s="18">
        <v>1110</v>
      </c>
      <c r="BO25" s="18">
        <v>1110</v>
      </c>
      <c r="BP25" s="18">
        <v>1110</v>
      </c>
      <c r="BQ25" s="18">
        <v>1090</v>
      </c>
      <c r="BR25" s="18">
        <v>1080</v>
      </c>
      <c r="BS25" s="18">
        <v>1080</v>
      </c>
      <c r="BT25" s="18">
        <v>1070</v>
      </c>
      <c r="BU25" s="18">
        <v>1080</v>
      </c>
      <c r="BV25" s="18">
        <v>1070</v>
      </c>
      <c r="BW25" s="18">
        <v>1070</v>
      </c>
      <c r="BX25" s="18">
        <v>1070</v>
      </c>
      <c r="BY25" s="18">
        <v>1060</v>
      </c>
      <c r="BZ25" s="18">
        <v>1050</v>
      </c>
      <c r="CA25" s="18">
        <v>1050</v>
      </c>
      <c r="CB25" s="18">
        <v>1070</v>
      </c>
      <c r="CC25" s="18">
        <v>1080</v>
      </c>
      <c r="CD25" s="18">
        <v>1080</v>
      </c>
      <c r="CE25" s="18">
        <v>1080</v>
      </c>
      <c r="CF25" s="18">
        <v>1080</v>
      </c>
      <c r="CG25" s="18">
        <v>1090</v>
      </c>
      <c r="CH25" s="18">
        <v>1090</v>
      </c>
      <c r="CI25" s="18">
        <v>1090</v>
      </c>
      <c r="CJ25" s="18">
        <v>1110</v>
      </c>
      <c r="CK25" s="18">
        <v>1110</v>
      </c>
      <c r="CL25" s="18">
        <v>1090</v>
      </c>
      <c r="CM25" s="18">
        <v>1080</v>
      </c>
      <c r="CN25" s="18">
        <v>1070</v>
      </c>
      <c r="CO25" s="18">
        <v>1070</v>
      </c>
      <c r="CP25" s="18">
        <v>1110</v>
      </c>
      <c r="CQ25" s="18">
        <v>1130</v>
      </c>
      <c r="CR25" s="18">
        <v>1160</v>
      </c>
      <c r="CS25" s="18">
        <v>1170</v>
      </c>
      <c r="CT25" s="18">
        <v>1190</v>
      </c>
      <c r="CU25" s="18">
        <v>1230</v>
      </c>
      <c r="CV25" s="18">
        <v>1240</v>
      </c>
      <c r="CW25" s="18">
        <v>1240</v>
      </c>
      <c r="CX25" s="18">
        <v>1220</v>
      </c>
      <c r="CY25" s="18">
        <v>1210</v>
      </c>
      <c r="CZ25" s="18">
        <v>1200</v>
      </c>
      <c r="DA25" s="18">
        <v>1190</v>
      </c>
      <c r="DB25" s="18">
        <v>1180</v>
      </c>
      <c r="DC25" s="18">
        <v>1170</v>
      </c>
      <c r="DD25" s="18">
        <v>1160</v>
      </c>
      <c r="DE25" s="18">
        <v>1160</v>
      </c>
      <c r="DF25" s="18">
        <v>1160</v>
      </c>
      <c r="DG25" s="18">
        <v>1160</v>
      </c>
      <c r="DH25" s="18">
        <v>1160</v>
      </c>
      <c r="DI25" s="18">
        <v>1140</v>
      </c>
      <c r="DJ25" s="18">
        <v>1130</v>
      </c>
      <c r="DK25" s="18">
        <v>1140</v>
      </c>
      <c r="DL25" s="18">
        <v>1160</v>
      </c>
      <c r="DM25" s="18">
        <v>1220</v>
      </c>
      <c r="DN25" s="18">
        <v>1350</v>
      </c>
      <c r="DO25" s="18">
        <v>1480</v>
      </c>
      <c r="DP25" s="18">
        <v>1550</v>
      </c>
      <c r="DQ25" s="18">
        <v>1560</v>
      </c>
      <c r="DR25" s="18">
        <v>1510</v>
      </c>
      <c r="DS25" s="18">
        <v>1470</v>
      </c>
      <c r="DT25" s="18">
        <v>1460</v>
      </c>
      <c r="DU25" s="18">
        <v>1470</v>
      </c>
      <c r="DV25" s="18">
        <v>1460</v>
      </c>
      <c r="DW25" s="18">
        <v>1470</v>
      </c>
      <c r="DX25" s="18">
        <v>1490</v>
      </c>
      <c r="DY25" s="18">
        <v>1540</v>
      </c>
      <c r="DZ25" s="18">
        <v>1590</v>
      </c>
      <c r="EA25" s="18">
        <v>1590</v>
      </c>
      <c r="EB25" s="18">
        <v>1600</v>
      </c>
      <c r="EC25" s="18">
        <v>1620</v>
      </c>
      <c r="ED25" s="18">
        <v>1700</v>
      </c>
      <c r="EE25" s="18">
        <v>1800</v>
      </c>
      <c r="EF25" s="18">
        <v>1800</v>
      </c>
      <c r="EG25" s="18">
        <v>1900</v>
      </c>
      <c r="EH25" s="18">
        <v>1890</v>
      </c>
      <c r="EI25" s="18">
        <v>1940</v>
      </c>
      <c r="EJ25" s="18">
        <v>1950</v>
      </c>
      <c r="EK25" s="18">
        <v>2010</v>
      </c>
      <c r="EL25" s="18">
        <v>2090</v>
      </c>
      <c r="EM25" s="18">
        <v>2220</v>
      </c>
      <c r="EN25" s="18">
        <v>2320</v>
      </c>
      <c r="EO25" s="18">
        <v>2320</v>
      </c>
      <c r="EP25" s="18">
        <v>2270</v>
      </c>
      <c r="EQ25" s="18">
        <v>2310</v>
      </c>
      <c r="ER25" s="18">
        <v>2350</v>
      </c>
      <c r="ES25" s="18">
        <v>2300</v>
      </c>
      <c r="ET25" s="18">
        <v>2240</v>
      </c>
      <c r="EU25" s="18">
        <v>2180</v>
      </c>
      <c r="EV25" s="18">
        <v>2200</v>
      </c>
      <c r="EW25" s="18">
        <v>2450</v>
      </c>
      <c r="EX25" s="18">
        <v>2610</v>
      </c>
      <c r="EY25" s="18">
        <v>2760</v>
      </c>
      <c r="EZ25" s="18">
        <v>2940</v>
      </c>
      <c r="FA25" s="18">
        <v>3130</v>
      </c>
      <c r="FB25" s="18">
        <v>3180</v>
      </c>
      <c r="FC25" s="18">
        <v>3000</v>
      </c>
      <c r="FD25" s="18">
        <v>2690</v>
      </c>
      <c r="FE25" s="18">
        <v>2650</v>
      </c>
      <c r="FF25" s="18">
        <v>2640</v>
      </c>
      <c r="FG25" s="18">
        <v>2450</v>
      </c>
      <c r="FH25" s="18">
        <v>2520</v>
      </c>
      <c r="FI25" s="18">
        <v>2690</v>
      </c>
      <c r="FJ25" s="18">
        <v>3300</v>
      </c>
      <c r="FK25" s="18">
        <v>3110</v>
      </c>
      <c r="FL25" s="18">
        <v>3160</v>
      </c>
      <c r="FM25" s="18">
        <v>3380</v>
      </c>
      <c r="FN25" s="18">
        <v>4040</v>
      </c>
      <c r="FO25" s="18">
        <v>5310</v>
      </c>
      <c r="FP25" s="18">
        <v>6040</v>
      </c>
      <c r="FQ25" s="18">
        <v>6120</v>
      </c>
      <c r="FR25" s="18">
        <v>5940</v>
      </c>
      <c r="FS25" s="18">
        <v>5460</v>
      </c>
      <c r="FT25" s="18">
        <v>4890</v>
      </c>
      <c r="FU25" s="18">
        <v>4840</v>
      </c>
      <c r="FV25" s="18">
        <v>4740</v>
      </c>
      <c r="FW25" s="18">
        <v>4770</v>
      </c>
      <c r="FX25" s="18">
        <v>4600</v>
      </c>
      <c r="FY25" s="18">
        <v>4600</v>
      </c>
      <c r="FZ25" s="18">
        <v>4740</v>
      </c>
      <c r="GA25" s="18">
        <v>4510</v>
      </c>
      <c r="GB25" s="18">
        <v>4390</v>
      </c>
      <c r="GC25" s="18">
        <v>4240</v>
      </c>
      <c r="GD25" s="18">
        <v>4120</v>
      </c>
      <c r="GE25" s="18">
        <v>4170</v>
      </c>
      <c r="GF25" s="18">
        <v>4080</v>
      </c>
      <c r="GG25" s="18">
        <v>4150</v>
      </c>
      <c r="GH25" s="18">
        <v>4000</v>
      </c>
      <c r="GI25" s="18">
        <v>3820</v>
      </c>
      <c r="GJ25" s="18">
        <v>3660</v>
      </c>
      <c r="GK25" s="18">
        <v>3500</v>
      </c>
      <c r="GL25" s="18">
        <v>3470</v>
      </c>
      <c r="GM25" s="18">
        <v>3580</v>
      </c>
      <c r="GN25" s="18">
        <v>4410</v>
      </c>
      <c r="GO25" s="18">
        <v>4870</v>
      </c>
      <c r="GP25" s="18">
        <v>5530</v>
      </c>
      <c r="GQ25" s="18">
        <v>7310</v>
      </c>
      <c r="GR25" s="18">
        <v>7610</v>
      </c>
      <c r="GS25" s="18">
        <v>7270</v>
      </c>
      <c r="GT25" s="18">
        <v>7130</v>
      </c>
      <c r="GU25" s="18">
        <v>6790</v>
      </c>
      <c r="GV25" s="18">
        <v>6540</v>
      </c>
      <c r="GW25" s="18">
        <v>7370</v>
      </c>
      <c r="GX25" s="18">
        <v>7540</v>
      </c>
      <c r="GY25" s="18">
        <v>7970</v>
      </c>
      <c r="GZ25" s="18">
        <v>8830</v>
      </c>
      <c r="HA25" s="18">
        <v>11200</v>
      </c>
      <c r="HB25" s="18">
        <v>12800</v>
      </c>
      <c r="HC25" s="18">
        <v>14500</v>
      </c>
      <c r="HD25" s="18">
        <v>15200</v>
      </c>
      <c r="HE25" s="18">
        <v>15000</v>
      </c>
      <c r="HF25" s="18">
        <v>14500</v>
      </c>
      <c r="HG25" s="18">
        <v>15400</v>
      </c>
      <c r="HH25" s="18">
        <v>16900</v>
      </c>
      <c r="HI25" s="18">
        <v>16800</v>
      </c>
      <c r="HJ25" s="18">
        <v>15100</v>
      </c>
      <c r="HK25" s="18">
        <v>13100</v>
      </c>
      <c r="HL25" s="18">
        <v>12000</v>
      </c>
      <c r="HM25" s="18">
        <v>11100</v>
      </c>
      <c r="HN25" s="18">
        <v>10400</v>
      </c>
      <c r="HO25" s="18">
        <v>10500</v>
      </c>
      <c r="HP25" s="18">
        <v>10500</v>
      </c>
      <c r="HQ25" s="18">
        <v>9720</v>
      </c>
      <c r="HR25" s="18">
        <v>8840</v>
      </c>
      <c r="HS25" s="18">
        <v>8060</v>
      </c>
      <c r="HT25" s="18">
        <v>7460</v>
      </c>
      <c r="HU25" s="18">
        <v>6940</v>
      </c>
      <c r="HV25" s="18">
        <v>6470</v>
      </c>
      <c r="HW25" s="18">
        <v>6040</v>
      </c>
      <c r="HX25" s="18">
        <v>5690</v>
      </c>
      <c r="HY25" s="18">
        <v>5370</v>
      </c>
      <c r="HZ25" s="18">
        <v>5090</v>
      </c>
      <c r="IA25" s="18">
        <v>4820</v>
      </c>
      <c r="IB25" s="18">
        <v>4780</v>
      </c>
      <c r="IC25" s="18">
        <v>4680</v>
      </c>
      <c r="ID25" s="18">
        <v>4480</v>
      </c>
      <c r="IE25" s="18">
        <v>4700</v>
      </c>
      <c r="IF25" s="18">
        <v>4960</v>
      </c>
      <c r="IG25" s="18">
        <v>4820</v>
      </c>
      <c r="IH25" s="18">
        <v>4740</v>
      </c>
      <c r="II25" s="18">
        <v>4660</v>
      </c>
      <c r="IJ25" s="18">
        <v>4520</v>
      </c>
      <c r="IK25" s="18">
        <v>4340</v>
      </c>
      <c r="IL25" s="18">
        <v>4160</v>
      </c>
      <c r="IM25" s="18">
        <v>4110</v>
      </c>
      <c r="IN25" s="18">
        <v>4720</v>
      </c>
      <c r="IO25" s="18">
        <v>5810</v>
      </c>
      <c r="IP25" s="18">
        <v>5650</v>
      </c>
      <c r="IQ25" s="18">
        <v>5800</v>
      </c>
      <c r="IR25" s="18">
        <v>6300</v>
      </c>
      <c r="IS25" s="18">
        <v>7460</v>
      </c>
      <c r="IT25" s="18">
        <v>7730</v>
      </c>
      <c r="IU25" s="18">
        <v>7460</v>
      </c>
      <c r="IV25" s="18">
        <v>7290</v>
      </c>
      <c r="IW25" s="18">
        <v>7100</v>
      </c>
      <c r="IX25" s="18">
        <v>6730</v>
      </c>
      <c r="IY25" s="18">
        <v>6820</v>
      </c>
      <c r="IZ25" s="18">
        <v>6370</v>
      </c>
      <c r="JA25" s="18">
        <v>5960</v>
      </c>
      <c r="JB25" s="18">
        <v>6440</v>
      </c>
      <c r="JC25" s="18">
        <v>6330</v>
      </c>
      <c r="JD25" s="18">
        <v>6630</v>
      </c>
      <c r="JE25" s="18">
        <v>7420</v>
      </c>
      <c r="JF25" s="18">
        <v>7530</v>
      </c>
      <c r="JG25" s="18">
        <v>7380</v>
      </c>
      <c r="JH25" s="18">
        <v>7160</v>
      </c>
      <c r="JI25" s="18">
        <v>6620</v>
      </c>
      <c r="JJ25" s="18">
        <v>6410</v>
      </c>
      <c r="JK25" s="18">
        <v>5930</v>
      </c>
      <c r="JL25" s="18">
        <v>5700</v>
      </c>
      <c r="JM25" s="18">
        <v>5660</v>
      </c>
      <c r="JN25" s="18">
        <v>5620</v>
      </c>
      <c r="JO25" s="18">
        <v>5450</v>
      </c>
      <c r="JP25" s="18">
        <v>5320</v>
      </c>
      <c r="JQ25" s="18">
        <v>5160</v>
      </c>
      <c r="JR25" s="18">
        <v>5070</v>
      </c>
      <c r="JS25" s="18">
        <v>4910</v>
      </c>
      <c r="JT25" s="18">
        <v>4810</v>
      </c>
      <c r="JU25" s="18">
        <v>4630</v>
      </c>
      <c r="JV25" s="18">
        <v>4450</v>
      </c>
      <c r="JW25" s="18">
        <v>4350</v>
      </c>
      <c r="JX25" s="18">
        <v>4260</v>
      </c>
      <c r="JY25" s="18">
        <v>4300</v>
      </c>
      <c r="JZ25" s="18">
        <v>4250</v>
      </c>
      <c r="KA25" s="18">
        <v>4230</v>
      </c>
      <c r="KB25" s="18">
        <v>4290</v>
      </c>
      <c r="KC25" s="18">
        <v>4230</v>
      </c>
      <c r="KD25" s="18">
        <v>4110</v>
      </c>
      <c r="KE25" s="18">
        <v>4000</v>
      </c>
      <c r="KF25" s="18">
        <v>3890</v>
      </c>
      <c r="KG25" s="18">
        <v>3760</v>
      </c>
      <c r="KH25" s="18">
        <v>3640</v>
      </c>
      <c r="KI25" s="18">
        <v>3550</v>
      </c>
      <c r="KJ25" s="18">
        <v>3470</v>
      </c>
      <c r="KK25" s="18">
        <v>3390</v>
      </c>
      <c r="KL25" s="18">
        <v>3300</v>
      </c>
      <c r="KM25" s="18">
        <v>3220</v>
      </c>
      <c r="KN25" s="18">
        <v>3150</v>
      </c>
      <c r="KO25" s="18">
        <v>3060</v>
      </c>
      <c r="KP25" s="18">
        <v>2980</v>
      </c>
      <c r="KQ25" s="18">
        <v>2920</v>
      </c>
      <c r="KR25" s="18">
        <v>2850</v>
      </c>
      <c r="KS25" s="18">
        <v>2790</v>
      </c>
      <c r="KT25" s="18">
        <v>2730</v>
      </c>
      <c r="KU25" s="18">
        <v>2680</v>
      </c>
      <c r="KV25" s="18">
        <v>2630</v>
      </c>
      <c r="KW25" s="18">
        <v>2570</v>
      </c>
      <c r="KX25" s="18">
        <v>2530</v>
      </c>
      <c r="KY25" s="18">
        <v>2510</v>
      </c>
      <c r="KZ25" s="18">
        <v>2470</v>
      </c>
      <c r="LA25" s="18">
        <v>2460</v>
      </c>
      <c r="LB25" s="18">
        <v>2530</v>
      </c>
      <c r="LC25" s="18">
        <v>2620</v>
      </c>
      <c r="LD25" s="18">
        <v>2520</v>
      </c>
      <c r="LE25" s="18">
        <v>2400</v>
      </c>
      <c r="LF25" s="18">
        <v>2300</v>
      </c>
      <c r="LG25" s="18">
        <v>2240</v>
      </c>
      <c r="LH25" s="18">
        <v>2190</v>
      </c>
      <c r="LI25" s="18">
        <v>2150</v>
      </c>
      <c r="LJ25" s="18">
        <v>2100</v>
      </c>
      <c r="LK25" s="18">
        <v>2080</v>
      </c>
      <c r="LL25" s="18">
        <v>2050</v>
      </c>
      <c r="LM25" s="18">
        <v>2030</v>
      </c>
      <c r="LN25" s="18">
        <v>2000</v>
      </c>
      <c r="LO25" s="18">
        <v>1960</v>
      </c>
      <c r="LP25" s="18">
        <v>1920</v>
      </c>
      <c r="LQ25" s="18">
        <v>1900</v>
      </c>
      <c r="LR25" s="18">
        <v>1850</v>
      </c>
      <c r="LS25" s="18">
        <v>1820</v>
      </c>
      <c r="LT25" s="18">
        <v>1780</v>
      </c>
      <c r="LU25" s="18">
        <v>1740</v>
      </c>
      <c r="LV25" s="18">
        <v>1710</v>
      </c>
      <c r="LW25" s="18">
        <v>1710</v>
      </c>
      <c r="LX25" s="18">
        <v>1720</v>
      </c>
      <c r="LY25" s="18">
        <v>1740</v>
      </c>
      <c r="LZ25" s="18">
        <v>1780</v>
      </c>
      <c r="MA25" s="18">
        <v>1740</v>
      </c>
      <c r="MB25" s="18">
        <v>1710</v>
      </c>
      <c r="MC25" s="18">
        <v>1710</v>
      </c>
      <c r="MD25" s="18">
        <v>1660</v>
      </c>
      <c r="ME25" s="18">
        <v>1630</v>
      </c>
      <c r="MF25" s="18">
        <v>1600</v>
      </c>
      <c r="MG25" s="18">
        <v>1580</v>
      </c>
      <c r="MH25" s="18">
        <v>1550</v>
      </c>
      <c r="MI25" s="18">
        <v>1530</v>
      </c>
      <c r="MJ25" s="18">
        <v>1520</v>
      </c>
      <c r="MK25" s="18">
        <v>1510</v>
      </c>
      <c r="ML25" s="18">
        <v>1500</v>
      </c>
      <c r="MM25" s="18">
        <v>1500</v>
      </c>
      <c r="MN25" s="18">
        <v>1490</v>
      </c>
      <c r="MO25" s="18">
        <v>1480</v>
      </c>
      <c r="MP25" s="18">
        <v>1480</v>
      </c>
      <c r="MQ25" s="18">
        <v>1450</v>
      </c>
      <c r="MR25" s="18">
        <v>1420</v>
      </c>
      <c r="MS25" s="18">
        <v>1400</v>
      </c>
      <c r="MT25" s="18">
        <v>1380</v>
      </c>
      <c r="MU25" s="18">
        <v>1370</v>
      </c>
      <c r="MV25" s="18">
        <v>1360</v>
      </c>
      <c r="MW25" s="18">
        <v>1360</v>
      </c>
      <c r="MX25" s="18">
        <v>1340</v>
      </c>
      <c r="MY25" s="18">
        <v>1350</v>
      </c>
      <c r="MZ25" s="18">
        <v>1340</v>
      </c>
      <c r="NA25" s="18">
        <v>1340</v>
      </c>
      <c r="NB25" s="18">
        <v>1320</v>
      </c>
      <c r="NC25" s="18">
        <v>1310</v>
      </c>
      <c r="ND25" s="1">
        <v>1300</v>
      </c>
      <c r="NE25" s="1">
        <v>1110</v>
      </c>
      <c r="NF25" s="1">
        <v>1080</v>
      </c>
      <c r="NG25" s="1">
        <v>1230</v>
      </c>
      <c r="NH25" s="1">
        <v>1900</v>
      </c>
      <c r="NI25" s="1">
        <v>3890</v>
      </c>
      <c r="NJ25" s="1">
        <v>7080</v>
      </c>
      <c r="NK25" s="1">
        <v>8160</v>
      </c>
      <c r="NL25" s="1">
        <v>6330</v>
      </c>
      <c r="NM25" s="1">
        <v>3910</v>
      </c>
      <c r="NN25" s="1">
        <v>2170</v>
      </c>
      <c r="NO25" s="1">
        <v>1500</v>
      </c>
      <c r="NP25" s="1">
        <v>3316.0109289617485</v>
      </c>
      <c r="NQ25" s="1">
        <v>16900</v>
      </c>
      <c r="NR25" s="19">
        <v>42584</v>
      </c>
      <c r="NS25" s="1">
        <v>1040</v>
      </c>
      <c r="NT25" s="19">
        <v>42428</v>
      </c>
    </row>
    <row r="26" spans="1:384" x14ac:dyDescent="0.15">
      <c r="A26" s="1">
        <v>1973</v>
      </c>
      <c r="B26" s="18">
        <v>1300</v>
      </c>
      <c r="C26" s="18">
        <v>1290</v>
      </c>
      <c r="D26" s="18">
        <v>1290</v>
      </c>
      <c r="E26" s="18">
        <v>1280</v>
      </c>
      <c r="F26" s="18">
        <v>1270</v>
      </c>
      <c r="G26" s="18">
        <v>1270</v>
      </c>
      <c r="H26" s="18">
        <v>1260</v>
      </c>
      <c r="I26" s="18">
        <v>1250</v>
      </c>
      <c r="J26" s="18">
        <v>1240</v>
      </c>
      <c r="K26" s="18">
        <v>1240</v>
      </c>
      <c r="L26" s="18">
        <v>1220</v>
      </c>
      <c r="M26" s="18">
        <v>1210</v>
      </c>
      <c r="N26" s="18">
        <v>1190</v>
      </c>
      <c r="O26" s="18">
        <v>1190</v>
      </c>
      <c r="P26" s="18">
        <v>1180</v>
      </c>
      <c r="Q26" s="18">
        <v>1170</v>
      </c>
      <c r="R26" s="18">
        <v>1160</v>
      </c>
      <c r="S26" s="18">
        <v>1150</v>
      </c>
      <c r="T26" s="18">
        <v>1150</v>
      </c>
      <c r="U26" s="18">
        <v>1150</v>
      </c>
      <c r="V26" s="18">
        <v>1140</v>
      </c>
      <c r="W26" s="18">
        <v>1130</v>
      </c>
      <c r="X26" s="18">
        <v>1120</v>
      </c>
      <c r="Y26" s="18">
        <v>1100</v>
      </c>
      <c r="Z26" s="18">
        <v>1090</v>
      </c>
      <c r="AA26" s="18">
        <v>1080</v>
      </c>
      <c r="AB26" s="18">
        <v>1080</v>
      </c>
      <c r="AC26" s="18">
        <v>1070</v>
      </c>
      <c r="AD26" s="18">
        <v>1070</v>
      </c>
      <c r="AE26" s="18">
        <v>1070</v>
      </c>
      <c r="AF26" s="18">
        <v>1070</v>
      </c>
      <c r="AG26" s="18">
        <v>1060</v>
      </c>
      <c r="AH26" s="18">
        <v>1060</v>
      </c>
      <c r="AI26" s="18">
        <v>1050</v>
      </c>
      <c r="AJ26" s="18">
        <v>1050</v>
      </c>
      <c r="AK26" s="18">
        <v>1050</v>
      </c>
      <c r="AL26" s="18">
        <v>1040</v>
      </c>
      <c r="AM26" s="18">
        <v>1040</v>
      </c>
      <c r="AN26" s="18">
        <v>1040</v>
      </c>
      <c r="AO26" s="18">
        <v>1030</v>
      </c>
      <c r="AP26" s="18">
        <v>1020</v>
      </c>
      <c r="AQ26" s="18">
        <v>1010</v>
      </c>
      <c r="AR26" s="18">
        <v>1010</v>
      </c>
      <c r="AS26" s="18">
        <v>1010</v>
      </c>
      <c r="AT26" s="18">
        <v>1030</v>
      </c>
      <c r="AU26" s="18">
        <v>1050</v>
      </c>
      <c r="AV26" s="18">
        <v>1050</v>
      </c>
      <c r="AW26" s="18">
        <v>1060</v>
      </c>
      <c r="AX26" s="18">
        <v>1070</v>
      </c>
      <c r="AY26" s="18">
        <v>1070</v>
      </c>
      <c r="AZ26" s="18">
        <v>1080</v>
      </c>
      <c r="BA26" s="18">
        <v>1070</v>
      </c>
      <c r="BB26" s="18">
        <v>1070</v>
      </c>
      <c r="BC26" s="18">
        <v>1050</v>
      </c>
      <c r="BD26" s="18">
        <v>1050</v>
      </c>
      <c r="BE26" s="18">
        <v>1040</v>
      </c>
      <c r="BF26" s="18">
        <v>1040</v>
      </c>
      <c r="BG26" s="18">
        <v>1030</v>
      </c>
      <c r="BH26" s="18">
        <v>1020</v>
      </c>
      <c r="BI26" s="18"/>
      <c r="BJ26" s="18">
        <v>1030</v>
      </c>
      <c r="BK26" s="18">
        <v>1030</v>
      </c>
      <c r="BL26" s="18">
        <v>1030</v>
      </c>
      <c r="BM26" s="18">
        <v>1030</v>
      </c>
      <c r="BN26" s="18">
        <v>1020</v>
      </c>
      <c r="BO26" s="18">
        <v>1030</v>
      </c>
      <c r="BP26" s="18">
        <v>1020</v>
      </c>
      <c r="BQ26" s="18">
        <v>1020</v>
      </c>
      <c r="BR26" s="18">
        <v>1020</v>
      </c>
      <c r="BS26" s="18">
        <v>1040</v>
      </c>
      <c r="BT26" s="18">
        <v>1040</v>
      </c>
      <c r="BU26" s="18">
        <v>1040</v>
      </c>
      <c r="BV26" s="18">
        <v>1040</v>
      </c>
      <c r="BW26" s="18">
        <v>1030</v>
      </c>
      <c r="BX26" s="18">
        <v>1020</v>
      </c>
      <c r="BY26" s="18">
        <v>1020</v>
      </c>
      <c r="BZ26" s="18">
        <v>1020</v>
      </c>
      <c r="CA26" s="18">
        <v>1020</v>
      </c>
      <c r="CB26" s="18">
        <v>1020</v>
      </c>
      <c r="CC26" s="18">
        <v>1030</v>
      </c>
      <c r="CD26" s="18">
        <v>1040</v>
      </c>
      <c r="CE26" s="18">
        <v>1050</v>
      </c>
      <c r="CF26" s="18">
        <v>1060</v>
      </c>
      <c r="CG26" s="18">
        <v>1060</v>
      </c>
      <c r="CH26" s="18">
        <v>1050</v>
      </c>
      <c r="CI26" s="18">
        <v>1040</v>
      </c>
      <c r="CJ26" s="18">
        <v>1030</v>
      </c>
      <c r="CK26" s="18">
        <v>1020</v>
      </c>
      <c r="CL26" s="18">
        <v>1010</v>
      </c>
      <c r="CM26" s="18">
        <v>995</v>
      </c>
      <c r="CN26" s="18">
        <v>1000</v>
      </c>
      <c r="CO26" s="18">
        <v>1010</v>
      </c>
      <c r="CP26" s="18">
        <v>1040</v>
      </c>
      <c r="CQ26" s="18">
        <v>1070</v>
      </c>
      <c r="CR26" s="18">
        <v>1100</v>
      </c>
      <c r="CS26" s="18">
        <v>1110</v>
      </c>
      <c r="CT26" s="18">
        <v>1120</v>
      </c>
      <c r="CU26" s="18">
        <v>1130</v>
      </c>
      <c r="CV26" s="18">
        <v>1150</v>
      </c>
      <c r="CW26" s="18">
        <v>1160</v>
      </c>
      <c r="CX26" s="18">
        <v>1160</v>
      </c>
      <c r="CY26" s="18">
        <v>1150</v>
      </c>
      <c r="CZ26" s="18">
        <v>1140</v>
      </c>
      <c r="DA26" s="18">
        <v>1160</v>
      </c>
      <c r="DB26" s="18">
        <v>1190</v>
      </c>
      <c r="DC26" s="18">
        <v>1200</v>
      </c>
      <c r="DD26" s="18">
        <v>1190</v>
      </c>
      <c r="DE26" s="18">
        <v>1180</v>
      </c>
      <c r="DF26" s="18">
        <v>1170</v>
      </c>
      <c r="DG26" s="18">
        <v>1190</v>
      </c>
      <c r="DH26" s="18">
        <v>1330</v>
      </c>
      <c r="DI26" s="18">
        <v>1380</v>
      </c>
      <c r="DJ26" s="18">
        <v>1380</v>
      </c>
      <c r="DK26" s="18">
        <v>1340</v>
      </c>
      <c r="DL26" s="18">
        <v>1260</v>
      </c>
      <c r="DM26" s="18">
        <v>1240</v>
      </c>
      <c r="DN26" s="18">
        <v>1240</v>
      </c>
      <c r="DO26" s="18">
        <v>1220</v>
      </c>
      <c r="DP26" s="18">
        <v>1230</v>
      </c>
      <c r="DQ26" s="18">
        <v>1270</v>
      </c>
      <c r="DR26" s="18">
        <v>1320</v>
      </c>
      <c r="DS26" s="18">
        <v>1420</v>
      </c>
      <c r="DT26" s="18">
        <v>1530</v>
      </c>
      <c r="DU26" s="18">
        <v>1630</v>
      </c>
      <c r="DV26" s="18">
        <v>1700</v>
      </c>
      <c r="DW26" s="18">
        <v>1720</v>
      </c>
      <c r="DX26" s="18">
        <v>1720</v>
      </c>
      <c r="DY26" s="18">
        <v>1700</v>
      </c>
      <c r="DZ26" s="18">
        <v>1670</v>
      </c>
      <c r="EA26" s="18">
        <v>1670</v>
      </c>
      <c r="EB26" s="18">
        <v>1810</v>
      </c>
      <c r="EC26" s="18">
        <v>1910</v>
      </c>
      <c r="ED26" s="18">
        <v>1880</v>
      </c>
      <c r="EE26" s="18">
        <v>1960</v>
      </c>
      <c r="EF26" s="18">
        <v>2030</v>
      </c>
      <c r="EG26" s="18">
        <v>2070</v>
      </c>
      <c r="EH26" s="18">
        <v>2040</v>
      </c>
      <c r="EI26" s="18">
        <v>1960</v>
      </c>
      <c r="EJ26" s="18">
        <v>1880</v>
      </c>
      <c r="EK26" s="18">
        <v>1840</v>
      </c>
      <c r="EL26" s="18">
        <v>1800</v>
      </c>
      <c r="EM26" s="18">
        <v>1750</v>
      </c>
      <c r="EN26" s="18">
        <v>1750</v>
      </c>
      <c r="EO26" s="18">
        <v>1790</v>
      </c>
      <c r="EP26" s="18">
        <v>1670</v>
      </c>
      <c r="EQ26" s="18">
        <v>1600</v>
      </c>
      <c r="ER26" s="18">
        <v>1710</v>
      </c>
      <c r="ES26" s="18">
        <v>1890</v>
      </c>
      <c r="ET26" s="18">
        <v>1960</v>
      </c>
      <c r="EU26" s="18">
        <v>1990</v>
      </c>
      <c r="EV26" s="18">
        <v>2000</v>
      </c>
      <c r="EW26" s="18">
        <v>1980</v>
      </c>
      <c r="EX26" s="18">
        <v>1880</v>
      </c>
      <c r="EY26" s="18">
        <v>1800</v>
      </c>
      <c r="EZ26" s="18">
        <v>1810</v>
      </c>
      <c r="FA26" s="18">
        <v>1830</v>
      </c>
      <c r="FB26" s="18">
        <v>1850</v>
      </c>
      <c r="FC26" s="18">
        <v>1870</v>
      </c>
      <c r="FD26" s="18">
        <v>2040</v>
      </c>
      <c r="FE26" s="18">
        <v>2390</v>
      </c>
      <c r="FF26" s="18">
        <v>2750</v>
      </c>
      <c r="FG26" s="18">
        <v>3030</v>
      </c>
      <c r="FH26" s="18">
        <v>2770</v>
      </c>
      <c r="FI26" s="18">
        <v>2880</v>
      </c>
      <c r="FJ26" s="18">
        <v>2980</v>
      </c>
      <c r="FK26" s="18">
        <v>3490</v>
      </c>
      <c r="FL26" s="18">
        <v>3490</v>
      </c>
      <c r="FM26" s="18">
        <v>3860</v>
      </c>
      <c r="FN26" s="18">
        <v>4420</v>
      </c>
      <c r="FO26" s="18">
        <v>5810</v>
      </c>
      <c r="FP26" s="18">
        <v>6150</v>
      </c>
      <c r="FQ26" s="18">
        <v>6460</v>
      </c>
      <c r="FR26" s="18">
        <v>6240</v>
      </c>
      <c r="FS26" s="18">
        <v>5740</v>
      </c>
      <c r="FT26" s="18">
        <v>5280</v>
      </c>
      <c r="FU26" s="18">
        <v>5050</v>
      </c>
      <c r="FV26" s="18">
        <v>4970</v>
      </c>
      <c r="FW26" s="18">
        <v>4860</v>
      </c>
      <c r="FX26" s="18">
        <v>5000</v>
      </c>
      <c r="FY26" s="18">
        <v>4950</v>
      </c>
      <c r="FZ26" s="18">
        <v>4870</v>
      </c>
      <c r="GA26" s="18">
        <v>4760</v>
      </c>
      <c r="GB26" s="18">
        <v>4690</v>
      </c>
      <c r="GC26" s="18">
        <v>5010</v>
      </c>
      <c r="GD26" s="18">
        <v>5050</v>
      </c>
      <c r="GE26" s="18">
        <v>4590</v>
      </c>
      <c r="GF26" s="18">
        <v>4190</v>
      </c>
      <c r="GG26" s="18">
        <v>3860</v>
      </c>
      <c r="GH26" s="18">
        <v>3660</v>
      </c>
      <c r="GI26" s="18">
        <v>3600</v>
      </c>
      <c r="GJ26" s="18">
        <v>3410</v>
      </c>
      <c r="GK26" s="18">
        <v>3270</v>
      </c>
      <c r="GL26" s="18">
        <v>3280</v>
      </c>
      <c r="GM26" s="18">
        <v>3270</v>
      </c>
      <c r="GN26" s="18">
        <v>3350</v>
      </c>
      <c r="GO26" s="18">
        <v>3780</v>
      </c>
      <c r="GP26" s="18">
        <v>5000</v>
      </c>
      <c r="GQ26" s="18">
        <v>6640</v>
      </c>
      <c r="GR26" s="18">
        <v>6570</v>
      </c>
      <c r="GS26" s="18">
        <v>5710</v>
      </c>
      <c r="GT26" s="18">
        <v>4820</v>
      </c>
      <c r="GU26" s="18">
        <v>4370</v>
      </c>
      <c r="GV26" s="18">
        <v>3970</v>
      </c>
      <c r="GW26" s="18">
        <v>3620</v>
      </c>
      <c r="GX26" s="18">
        <v>3850</v>
      </c>
      <c r="GY26" s="18">
        <v>3920</v>
      </c>
      <c r="GZ26" s="18">
        <v>3700</v>
      </c>
      <c r="HA26" s="18">
        <v>3670</v>
      </c>
      <c r="HB26" s="18">
        <v>4820</v>
      </c>
      <c r="HC26" s="18">
        <v>6340</v>
      </c>
      <c r="HD26" s="18">
        <v>6850</v>
      </c>
      <c r="HE26" s="18">
        <v>7100</v>
      </c>
      <c r="HF26" s="18">
        <v>6960</v>
      </c>
      <c r="HG26" s="18">
        <v>6450</v>
      </c>
      <c r="HH26" s="18">
        <v>6300</v>
      </c>
      <c r="HI26" s="18">
        <v>7300</v>
      </c>
      <c r="HJ26" s="18">
        <v>10100</v>
      </c>
      <c r="HK26" s="18">
        <v>11200</v>
      </c>
      <c r="HL26" s="18">
        <v>10800</v>
      </c>
      <c r="HM26" s="18">
        <v>9520</v>
      </c>
      <c r="HN26" s="18">
        <v>8700</v>
      </c>
      <c r="HO26" s="18">
        <v>9210</v>
      </c>
      <c r="HP26" s="18">
        <v>9000</v>
      </c>
      <c r="HQ26" s="18">
        <v>8550</v>
      </c>
      <c r="HR26" s="18">
        <v>7800</v>
      </c>
      <c r="HS26" s="18">
        <v>6800</v>
      </c>
      <c r="HT26" s="18">
        <v>6180</v>
      </c>
      <c r="HU26" s="18">
        <v>6110</v>
      </c>
      <c r="HV26" s="18">
        <v>6590</v>
      </c>
      <c r="HW26" s="18">
        <v>6910</v>
      </c>
      <c r="HX26" s="18">
        <v>6250</v>
      </c>
      <c r="HY26" s="18">
        <v>6270</v>
      </c>
      <c r="HZ26" s="18">
        <v>6420</v>
      </c>
      <c r="IA26" s="18">
        <v>6290</v>
      </c>
      <c r="IB26" s="18">
        <v>6210</v>
      </c>
      <c r="IC26" s="18">
        <v>6040</v>
      </c>
      <c r="ID26" s="18">
        <v>5720</v>
      </c>
      <c r="IE26" s="18">
        <v>5380</v>
      </c>
      <c r="IF26" s="18">
        <v>5020</v>
      </c>
      <c r="IG26" s="18">
        <v>4920</v>
      </c>
      <c r="IH26" s="18">
        <v>5230</v>
      </c>
      <c r="II26" s="18">
        <v>5590</v>
      </c>
      <c r="IJ26" s="18">
        <v>5870</v>
      </c>
      <c r="IK26" s="18">
        <v>6270</v>
      </c>
      <c r="IL26" s="18">
        <v>7410</v>
      </c>
      <c r="IM26" s="18">
        <v>7250</v>
      </c>
      <c r="IN26" s="18">
        <v>6480</v>
      </c>
      <c r="IO26" s="18">
        <v>5790</v>
      </c>
      <c r="IP26" s="18">
        <v>5270</v>
      </c>
      <c r="IQ26" s="18">
        <v>4850</v>
      </c>
      <c r="IR26" s="18">
        <v>4540</v>
      </c>
      <c r="IS26" s="18">
        <v>4330</v>
      </c>
      <c r="IT26" s="18">
        <v>4680</v>
      </c>
      <c r="IU26" s="18">
        <v>5150</v>
      </c>
      <c r="IV26" s="18">
        <v>5120</v>
      </c>
      <c r="IW26" s="18">
        <v>6240</v>
      </c>
      <c r="IX26" s="18">
        <v>8470</v>
      </c>
      <c r="IY26" s="18">
        <v>7340</v>
      </c>
      <c r="IZ26" s="18">
        <v>6600</v>
      </c>
      <c r="JA26" s="18">
        <v>7510</v>
      </c>
      <c r="JB26" s="18">
        <v>8400</v>
      </c>
      <c r="JC26" s="18">
        <v>11000</v>
      </c>
      <c r="JD26" s="18">
        <v>14300</v>
      </c>
      <c r="JE26" s="18">
        <v>15000</v>
      </c>
      <c r="JF26" s="18">
        <v>12800</v>
      </c>
      <c r="JG26" s="18">
        <v>10600</v>
      </c>
      <c r="JH26" s="18">
        <v>8940</v>
      </c>
      <c r="JI26" s="18">
        <v>7790</v>
      </c>
      <c r="JJ26" s="18">
        <v>6950</v>
      </c>
      <c r="JK26" s="18">
        <v>6640</v>
      </c>
      <c r="JL26" s="18">
        <v>6620</v>
      </c>
      <c r="JM26" s="18">
        <v>6220</v>
      </c>
      <c r="JN26" s="18">
        <v>5900</v>
      </c>
      <c r="JO26" s="18">
        <v>5780</v>
      </c>
      <c r="JP26" s="18">
        <v>5790</v>
      </c>
      <c r="JQ26" s="18">
        <v>5450</v>
      </c>
      <c r="JR26" s="18">
        <v>4960</v>
      </c>
      <c r="JS26" s="18">
        <v>4640</v>
      </c>
      <c r="JT26" s="18">
        <v>4380</v>
      </c>
      <c r="JU26" s="18">
        <v>4180</v>
      </c>
      <c r="JV26" s="18">
        <v>4130</v>
      </c>
      <c r="JW26" s="18">
        <v>4280</v>
      </c>
      <c r="JX26" s="18">
        <v>4330</v>
      </c>
      <c r="JY26" s="18">
        <v>4050</v>
      </c>
      <c r="JZ26" s="18">
        <v>3830</v>
      </c>
      <c r="KA26" s="18">
        <v>3720</v>
      </c>
      <c r="KB26" s="18">
        <v>3670</v>
      </c>
      <c r="KC26" s="18">
        <v>3620</v>
      </c>
      <c r="KD26" s="18">
        <v>3630</v>
      </c>
      <c r="KE26" s="18">
        <v>3600</v>
      </c>
      <c r="KF26" s="18">
        <v>3680</v>
      </c>
      <c r="KG26" s="18">
        <v>3830</v>
      </c>
      <c r="KH26" s="18">
        <v>3850</v>
      </c>
      <c r="KI26" s="18">
        <v>3720</v>
      </c>
      <c r="KJ26" s="18">
        <v>3580</v>
      </c>
      <c r="KK26" s="18">
        <v>3480</v>
      </c>
      <c r="KL26" s="18">
        <v>3410</v>
      </c>
      <c r="KM26" s="18">
        <v>3330</v>
      </c>
      <c r="KN26" s="18">
        <v>3370</v>
      </c>
      <c r="KO26" s="18">
        <v>3550</v>
      </c>
      <c r="KP26" s="18">
        <v>3480</v>
      </c>
      <c r="KQ26" s="18">
        <v>3320</v>
      </c>
      <c r="KR26" s="18">
        <v>3170</v>
      </c>
      <c r="KS26" s="18">
        <v>3050</v>
      </c>
      <c r="KT26" s="18">
        <v>2990</v>
      </c>
      <c r="KU26" s="18">
        <v>2970</v>
      </c>
      <c r="KV26" s="18">
        <v>2930</v>
      </c>
      <c r="KW26" s="18">
        <v>2850</v>
      </c>
      <c r="KX26" s="18">
        <v>2780</v>
      </c>
      <c r="KY26" s="18">
        <v>2720</v>
      </c>
      <c r="KZ26" s="18">
        <v>2690</v>
      </c>
      <c r="LA26" s="18">
        <v>2750</v>
      </c>
      <c r="LB26" s="18">
        <v>3140</v>
      </c>
      <c r="LC26" s="18">
        <v>3330</v>
      </c>
      <c r="LD26" s="18">
        <v>3050</v>
      </c>
      <c r="LE26" s="18">
        <v>2880</v>
      </c>
      <c r="LF26" s="18">
        <v>2750</v>
      </c>
      <c r="LG26" s="18">
        <v>2660</v>
      </c>
      <c r="LH26" s="18">
        <v>2580</v>
      </c>
      <c r="LI26" s="18">
        <v>2510</v>
      </c>
      <c r="LJ26" s="18">
        <v>2440</v>
      </c>
      <c r="LK26" s="18">
        <v>2390</v>
      </c>
      <c r="LL26" s="18">
        <v>2360</v>
      </c>
      <c r="LM26" s="18">
        <v>2490</v>
      </c>
      <c r="LN26" s="18">
        <v>2780</v>
      </c>
      <c r="LO26" s="18">
        <v>3030</v>
      </c>
      <c r="LP26" s="18">
        <v>2880</v>
      </c>
      <c r="LQ26" s="18">
        <v>2680</v>
      </c>
      <c r="LR26" s="18">
        <v>2510</v>
      </c>
      <c r="LS26" s="18">
        <v>2390</v>
      </c>
      <c r="LT26" s="18">
        <v>2300</v>
      </c>
      <c r="LU26" s="18">
        <v>2210</v>
      </c>
      <c r="LV26" s="18">
        <v>2150</v>
      </c>
      <c r="LW26" s="18">
        <v>2100</v>
      </c>
      <c r="LX26" s="18">
        <v>2040</v>
      </c>
      <c r="LY26" s="18">
        <v>1980</v>
      </c>
      <c r="LZ26" s="18">
        <v>1930</v>
      </c>
      <c r="MA26" s="18">
        <v>1910</v>
      </c>
      <c r="MB26" s="18">
        <v>1880</v>
      </c>
      <c r="MC26" s="18">
        <v>1840</v>
      </c>
      <c r="MD26" s="18">
        <v>1790</v>
      </c>
      <c r="ME26" s="18">
        <v>1750</v>
      </c>
      <c r="MF26" s="18">
        <v>1720</v>
      </c>
      <c r="MG26" s="18">
        <v>1690</v>
      </c>
      <c r="MH26" s="18">
        <v>1670</v>
      </c>
      <c r="MI26" s="18">
        <v>1660</v>
      </c>
      <c r="MJ26" s="18">
        <v>1650</v>
      </c>
      <c r="MK26" s="18">
        <v>1630</v>
      </c>
      <c r="ML26" s="18">
        <v>1620</v>
      </c>
      <c r="MM26" s="18">
        <v>1610</v>
      </c>
      <c r="MN26" s="18">
        <v>1590</v>
      </c>
      <c r="MO26" s="18">
        <v>1570</v>
      </c>
      <c r="MP26" s="18">
        <v>1550</v>
      </c>
      <c r="MQ26" s="18">
        <v>1520</v>
      </c>
      <c r="MR26" s="18">
        <v>1480</v>
      </c>
      <c r="MS26" s="18">
        <v>1440</v>
      </c>
      <c r="MT26" s="18">
        <v>1400</v>
      </c>
      <c r="MU26" s="18">
        <v>1380</v>
      </c>
      <c r="MV26" s="18">
        <v>1360</v>
      </c>
      <c r="MW26" s="18">
        <v>1360</v>
      </c>
      <c r="MX26" s="18">
        <v>1340</v>
      </c>
      <c r="MY26" s="18">
        <v>1330</v>
      </c>
      <c r="MZ26" s="18">
        <v>1320</v>
      </c>
      <c r="NA26" s="18">
        <v>1290</v>
      </c>
      <c r="NB26" s="18">
        <v>1280</v>
      </c>
      <c r="NC26" s="18">
        <v>1270</v>
      </c>
      <c r="ND26" s="1">
        <v>1180</v>
      </c>
      <c r="NE26" s="1">
        <v>1040</v>
      </c>
      <c r="NF26" s="1">
        <v>1030</v>
      </c>
      <c r="NG26" s="1">
        <v>1190</v>
      </c>
      <c r="NH26" s="1">
        <v>1810</v>
      </c>
      <c r="NI26" s="1">
        <v>3840</v>
      </c>
      <c r="NJ26" s="1">
        <v>4610</v>
      </c>
      <c r="NK26" s="1">
        <v>7060</v>
      </c>
      <c r="NL26" s="1">
        <v>7470</v>
      </c>
      <c r="NM26" s="1">
        <v>3870</v>
      </c>
      <c r="NN26" s="1">
        <v>2640</v>
      </c>
      <c r="NO26" s="1">
        <v>1570</v>
      </c>
      <c r="NP26" s="1">
        <v>3120.2328767123286</v>
      </c>
      <c r="NQ26" s="1">
        <v>15000</v>
      </c>
      <c r="NR26" s="19">
        <v>42633</v>
      </c>
      <c r="NS26" s="1">
        <v>995</v>
      </c>
      <c r="NT26" s="19">
        <v>42459</v>
      </c>
    </row>
    <row r="27" spans="1:384" x14ac:dyDescent="0.15">
      <c r="A27" s="1">
        <v>1974</v>
      </c>
      <c r="B27" s="18">
        <v>1270</v>
      </c>
      <c r="C27" s="18">
        <v>1270</v>
      </c>
      <c r="D27" s="18">
        <v>1260</v>
      </c>
      <c r="E27" s="18">
        <v>1240</v>
      </c>
      <c r="F27" s="18">
        <v>1210</v>
      </c>
      <c r="G27" s="18">
        <v>1160</v>
      </c>
      <c r="H27" s="18">
        <v>1140</v>
      </c>
      <c r="I27" s="18">
        <v>1130</v>
      </c>
      <c r="J27" s="18">
        <v>1120</v>
      </c>
      <c r="K27" s="18">
        <v>1120</v>
      </c>
      <c r="L27" s="18">
        <v>1120</v>
      </c>
      <c r="M27" s="18">
        <v>1110</v>
      </c>
      <c r="N27" s="18">
        <v>1110</v>
      </c>
      <c r="O27" s="18">
        <v>1100</v>
      </c>
      <c r="P27" s="18">
        <v>1090</v>
      </c>
      <c r="Q27" s="18">
        <v>1090</v>
      </c>
      <c r="R27" s="18">
        <v>1090</v>
      </c>
      <c r="S27" s="18">
        <v>1080</v>
      </c>
      <c r="T27" s="18">
        <v>1080</v>
      </c>
      <c r="U27" s="18">
        <v>1070</v>
      </c>
      <c r="V27" s="18">
        <v>1070</v>
      </c>
      <c r="W27" s="18">
        <v>1060</v>
      </c>
      <c r="X27" s="18">
        <v>1080</v>
      </c>
      <c r="Y27" s="18">
        <v>1080</v>
      </c>
      <c r="Z27" s="18">
        <v>1070</v>
      </c>
      <c r="AA27" s="18">
        <v>1040</v>
      </c>
      <c r="AB27" s="18">
        <v>1030</v>
      </c>
      <c r="AC27" s="18">
        <v>1010</v>
      </c>
      <c r="AD27" s="18">
        <v>999</v>
      </c>
      <c r="AE27" s="18">
        <v>990</v>
      </c>
      <c r="AF27" s="18">
        <v>982</v>
      </c>
      <c r="AG27" s="18">
        <v>974</v>
      </c>
      <c r="AH27" s="18">
        <v>965</v>
      </c>
      <c r="AI27" s="18">
        <v>970</v>
      </c>
      <c r="AJ27" s="18">
        <v>965</v>
      </c>
      <c r="AK27" s="18">
        <v>965</v>
      </c>
      <c r="AL27" s="18">
        <v>961</v>
      </c>
      <c r="AM27" s="18">
        <v>961</v>
      </c>
      <c r="AN27" s="18">
        <v>953</v>
      </c>
      <c r="AO27" s="18">
        <v>949</v>
      </c>
      <c r="AP27" s="18">
        <v>953</v>
      </c>
      <c r="AQ27" s="18">
        <v>957</v>
      </c>
      <c r="AR27" s="18">
        <v>953</v>
      </c>
      <c r="AS27" s="18">
        <v>953</v>
      </c>
      <c r="AT27" s="18">
        <v>957</v>
      </c>
      <c r="AU27" s="18">
        <v>957</v>
      </c>
      <c r="AV27" s="18">
        <v>949</v>
      </c>
      <c r="AW27" s="18">
        <v>945</v>
      </c>
      <c r="AX27" s="18">
        <v>942</v>
      </c>
      <c r="AY27" s="18">
        <v>938</v>
      </c>
      <c r="AZ27" s="18">
        <v>927</v>
      </c>
      <c r="BA27" s="18">
        <v>912</v>
      </c>
      <c r="BB27" s="18">
        <v>909</v>
      </c>
      <c r="BC27" s="18">
        <v>906</v>
      </c>
      <c r="BD27" s="18">
        <v>899</v>
      </c>
      <c r="BE27" s="18">
        <v>896</v>
      </c>
      <c r="BF27" s="18">
        <v>896</v>
      </c>
      <c r="BG27" s="18">
        <v>893</v>
      </c>
      <c r="BH27" s="18">
        <v>896</v>
      </c>
      <c r="BI27" s="18"/>
      <c r="BJ27" s="18">
        <v>899</v>
      </c>
      <c r="BK27" s="18">
        <v>909</v>
      </c>
      <c r="BL27" s="18">
        <v>923</v>
      </c>
      <c r="BM27" s="18">
        <v>919</v>
      </c>
      <c r="BN27" s="18">
        <v>906</v>
      </c>
      <c r="BO27" s="18">
        <v>902</v>
      </c>
      <c r="BP27" s="18">
        <v>899</v>
      </c>
      <c r="BQ27" s="18">
        <v>896</v>
      </c>
      <c r="BR27" s="18">
        <v>893</v>
      </c>
      <c r="BS27" s="18">
        <v>896</v>
      </c>
      <c r="BT27" s="18">
        <v>896</v>
      </c>
      <c r="BU27" s="18">
        <v>893</v>
      </c>
      <c r="BV27" s="18">
        <v>890</v>
      </c>
      <c r="BW27" s="18">
        <v>886</v>
      </c>
      <c r="BX27" s="18">
        <v>883</v>
      </c>
      <c r="BY27" s="18">
        <v>883</v>
      </c>
      <c r="BZ27" s="18">
        <v>883</v>
      </c>
      <c r="CA27" s="18">
        <v>892</v>
      </c>
      <c r="CB27" s="18">
        <v>892</v>
      </c>
      <c r="CC27" s="18">
        <v>899</v>
      </c>
      <c r="CD27" s="18">
        <v>911</v>
      </c>
      <c r="CE27" s="18">
        <v>917</v>
      </c>
      <c r="CF27" s="18">
        <v>930</v>
      </c>
      <c r="CG27" s="18">
        <v>923</v>
      </c>
      <c r="CH27" s="18">
        <v>911</v>
      </c>
      <c r="CI27" s="18">
        <v>905</v>
      </c>
      <c r="CJ27" s="18">
        <v>899</v>
      </c>
      <c r="CK27" s="18">
        <v>911</v>
      </c>
      <c r="CL27" s="18">
        <v>948</v>
      </c>
      <c r="CM27" s="18">
        <v>986</v>
      </c>
      <c r="CN27" s="18">
        <v>1020</v>
      </c>
      <c r="CO27" s="18">
        <v>1020</v>
      </c>
      <c r="CP27" s="18">
        <v>1020</v>
      </c>
      <c r="CQ27" s="18">
        <v>1040</v>
      </c>
      <c r="CR27" s="18">
        <v>1030</v>
      </c>
      <c r="CS27" s="18">
        <v>1040</v>
      </c>
      <c r="CT27" s="18">
        <v>1040</v>
      </c>
      <c r="CU27" s="18">
        <v>1050</v>
      </c>
      <c r="CV27" s="18">
        <v>1040</v>
      </c>
      <c r="CW27" s="18">
        <v>1040</v>
      </c>
      <c r="CX27" s="18">
        <v>1060</v>
      </c>
      <c r="CY27" s="18">
        <v>1060</v>
      </c>
      <c r="CZ27" s="18">
        <v>1060</v>
      </c>
      <c r="DA27" s="18">
        <v>1060</v>
      </c>
      <c r="DB27" s="18">
        <v>1070</v>
      </c>
      <c r="DC27" s="18">
        <v>1080</v>
      </c>
      <c r="DD27" s="18">
        <v>1080</v>
      </c>
      <c r="DE27" s="18">
        <v>1080</v>
      </c>
      <c r="DF27" s="18">
        <v>1070</v>
      </c>
      <c r="DG27" s="18">
        <v>1060</v>
      </c>
      <c r="DH27" s="18">
        <v>1040</v>
      </c>
      <c r="DI27" s="18">
        <v>1100</v>
      </c>
      <c r="DJ27" s="18">
        <v>1250</v>
      </c>
      <c r="DK27" s="18">
        <v>1400</v>
      </c>
      <c r="DL27" s="18">
        <v>1450</v>
      </c>
      <c r="DM27" s="18">
        <v>1440</v>
      </c>
      <c r="DN27" s="18">
        <v>1430</v>
      </c>
      <c r="DO27" s="18">
        <v>1470</v>
      </c>
      <c r="DP27" s="18">
        <v>1480</v>
      </c>
      <c r="DQ27" s="18">
        <v>1560</v>
      </c>
      <c r="DR27" s="18">
        <v>1680</v>
      </c>
      <c r="DS27" s="18">
        <v>1700</v>
      </c>
      <c r="DT27" s="18">
        <v>1660</v>
      </c>
      <c r="DU27" s="18">
        <v>1620</v>
      </c>
      <c r="DV27" s="18">
        <v>1640</v>
      </c>
      <c r="DW27" s="18">
        <v>1730</v>
      </c>
      <c r="DX27" s="18">
        <v>1810</v>
      </c>
      <c r="DY27" s="18">
        <v>1870</v>
      </c>
      <c r="DZ27" s="18">
        <v>1950</v>
      </c>
      <c r="EA27" s="18">
        <v>2020</v>
      </c>
      <c r="EB27" s="18">
        <v>1990</v>
      </c>
      <c r="EC27" s="18">
        <v>2040</v>
      </c>
      <c r="ED27" s="18">
        <v>2070</v>
      </c>
      <c r="EE27" s="18">
        <v>2050</v>
      </c>
      <c r="EF27" s="18">
        <v>1990</v>
      </c>
      <c r="EG27" s="18">
        <v>1920</v>
      </c>
      <c r="EH27" s="18">
        <v>1940</v>
      </c>
      <c r="EI27" s="18">
        <v>1970</v>
      </c>
      <c r="EJ27" s="18">
        <v>1990</v>
      </c>
      <c r="EK27" s="18">
        <v>1960</v>
      </c>
      <c r="EL27" s="18">
        <v>1880</v>
      </c>
      <c r="EM27" s="18">
        <v>1820</v>
      </c>
      <c r="EN27" s="18">
        <v>1760</v>
      </c>
      <c r="EO27" s="18">
        <v>1730</v>
      </c>
      <c r="EP27" s="18">
        <v>1760</v>
      </c>
      <c r="EQ27" s="18">
        <v>1820</v>
      </c>
      <c r="ER27" s="18">
        <v>2170</v>
      </c>
      <c r="ES27" s="18">
        <v>2510</v>
      </c>
      <c r="ET27" s="18">
        <v>2460</v>
      </c>
      <c r="EU27" s="18">
        <v>2710</v>
      </c>
      <c r="EV27" s="18">
        <v>3400</v>
      </c>
      <c r="EW27" s="18">
        <v>3980</v>
      </c>
      <c r="EX27" s="18">
        <v>3880</v>
      </c>
      <c r="EY27" s="18">
        <v>3790</v>
      </c>
      <c r="EZ27" s="18">
        <v>3810</v>
      </c>
      <c r="FA27" s="18">
        <v>4050</v>
      </c>
      <c r="FB27" s="18">
        <v>4580</v>
      </c>
      <c r="FC27" s="18">
        <v>5060</v>
      </c>
      <c r="FD27" s="18">
        <v>5820</v>
      </c>
      <c r="FE27" s="18">
        <v>6580</v>
      </c>
      <c r="FF27" s="18">
        <v>6290</v>
      </c>
      <c r="FG27" s="18">
        <v>5810</v>
      </c>
      <c r="FH27" s="18">
        <v>5680</v>
      </c>
      <c r="FI27" s="18">
        <v>5420</v>
      </c>
      <c r="FJ27" s="18">
        <v>5100</v>
      </c>
      <c r="FK27" s="18">
        <v>5170</v>
      </c>
      <c r="FL27" s="18">
        <v>5110</v>
      </c>
      <c r="FM27" s="18">
        <v>5000</v>
      </c>
      <c r="FN27" s="18">
        <v>4940</v>
      </c>
      <c r="FO27" s="18">
        <v>5180</v>
      </c>
      <c r="FP27" s="18">
        <v>5330</v>
      </c>
      <c r="FQ27" s="18">
        <v>5600</v>
      </c>
      <c r="FR27" s="18">
        <v>6260</v>
      </c>
      <c r="FS27" s="18">
        <v>6780</v>
      </c>
      <c r="FT27" s="18">
        <v>7030</v>
      </c>
      <c r="FU27" s="18">
        <v>7490</v>
      </c>
      <c r="FV27" s="18">
        <v>8110</v>
      </c>
      <c r="FW27" s="18">
        <v>8070</v>
      </c>
      <c r="FX27" s="18">
        <v>8740</v>
      </c>
      <c r="FY27" s="18">
        <v>9660</v>
      </c>
      <c r="FZ27" s="18">
        <v>9730</v>
      </c>
      <c r="GA27" s="18">
        <v>11100</v>
      </c>
      <c r="GB27" s="18">
        <v>12100</v>
      </c>
      <c r="GC27" s="18">
        <v>11600</v>
      </c>
      <c r="GD27" s="18">
        <v>12400</v>
      </c>
      <c r="GE27" s="18">
        <v>12500</v>
      </c>
      <c r="GF27" s="18">
        <v>11500</v>
      </c>
      <c r="GG27" s="18">
        <v>10300</v>
      </c>
      <c r="GH27" s="18">
        <v>9900</v>
      </c>
      <c r="GI27" s="18">
        <v>9690</v>
      </c>
      <c r="GJ27" s="18">
        <v>10600</v>
      </c>
      <c r="GK27" s="18">
        <v>11400</v>
      </c>
      <c r="GL27" s="18">
        <v>11500</v>
      </c>
      <c r="GM27" s="18">
        <v>11800</v>
      </c>
      <c r="GN27" s="18">
        <v>13100</v>
      </c>
      <c r="GO27" s="18">
        <v>13400</v>
      </c>
      <c r="GP27" s="18">
        <v>14000</v>
      </c>
      <c r="GQ27" s="18">
        <v>14300</v>
      </c>
      <c r="GR27" s="18">
        <v>14400</v>
      </c>
      <c r="GS27" s="18">
        <v>14100</v>
      </c>
      <c r="GT27" s="18">
        <v>13500</v>
      </c>
      <c r="GU27" s="18">
        <v>12700</v>
      </c>
      <c r="GV27" s="18">
        <v>11500</v>
      </c>
      <c r="GW27" s="18">
        <v>10400</v>
      </c>
      <c r="GX27" s="18">
        <v>9840</v>
      </c>
      <c r="GY27" s="18">
        <v>9870</v>
      </c>
      <c r="GZ27" s="18">
        <v>10300</v>
      </c>
      <c r="HA27" s="18">
        <v>10100</v>
      </c>
      <c r="HB27" s="18">
        <v>9860</v>
      </c>
      <c r="HC27" s="18">
        <v>12600</v>
      </c>
      <c r="HD27" s="18">
        <v>13000</v>
      </c>
      <c r="HE27" s="18">
        <v>11700</v>
      </c>
      <c r="HF27" s="18">
        <v>11000</v>
      </c>
      <c r="HG27" s="18">
        <v>10400</v>
      </c>
      <c r="HH27" s="18">
        <v>10100</v>
      </c>
      <c r="HI27" s="18">
        <v>10500</v>
      </c>
      <c r="HJ27" s="18">
        <v>13600</v>
      </c>
      <c r="HK27" s="18">
        <v>16100</v>
      </c>
      <c r="HL27" s="18">
        <v>17700</v>
      </c>
      <c r="HM27" s="18">
        <v>16600</v>
      </c>
      <c r="HN27" s="18">
        <v>14900</v>
      </c>
      <c r="HO27" s="18">
        <v>15100</v>
      </c>
      <c r="HP27" s="18">
        <v>15400</v>
      </c>
      <c r="HQ27" s="18">
        <v>13700</v>
      </c>
      <c r="HR27" s="18">
        <v>12000</v>
      </c>
      <c r="HS27" s="18">
        <v>10400</v>
      </c>
      <c r="HT27" s="18">
        <v>9310</v>
      </c>
      <c r="HU27" s="18">
        <v>8520</v>
      </c>
      <c r="HV27" s="18">
        <v>7980</v>
      </c>
      <c r="HW27" s="18">
        <v>7700</v>
      </c>
      <c r="HX27" s="18">
        <v>8320</v>
      </c>
      <c r="HY27" s="18">
        <v>8950</v>
      </c>
      <c r="HZ27" s="18">
        <v>8670</v>
      </c>
      <c r="IA27" s="18">
        <v>8420</v>
      </c>
      <c r="IB27" s="18">
        <v>8390</v>
      </c>
      <c r="IC27" s="18">
        <v>8740</v>
      </c>
      <c r="ID27" s="18">
        <v>9250</v>
      </c>
      <c r="IE27" s="18">
        <v>9660</v>
      </c>
      <c r="IF27" s="18">
        <v>10400</v>
      </c>
      <c r="IG27" s="18">
        <v>12500</v>
      </c>
      <c r="IH27" s="18">
        <v>14800</v>
      </c>
      <c r="II27" s="18">
        <v>16400</v>
      </c>
      <c r="IJ27" s="18">
        <v>18900</v>
      </c>
      <c r="IK27" s="18">
        <v>20400</v>
      </c>
      <c r="IL27" s="18">
        <v>21400</v>
      </c>
      <c r="IM27" s="18">
        <v>21800</v>
      </c>
      <c r="IN27" s="18">
        <v>20100</v>
      </c>
      <c r="IO27" s="18">
        <v>17900</v>
      </c>
      <c r="IP27" s="18">
        <v>16300</v>
      </c>
      <c r="IQ27" s="18">
        <v>14600</v>
      </c>
      <c r="IR27" s="18">
        <v>14600</v>
      </c>
      <c r="IS27" s="18">
        <v>14000</v>
      </c>
      <c r="IT27" s="18">
        <v>12800</v>
      </c>
      <c r="IU27" s="18">
        <v>12100</v>
      </c>
      <c r="IV27" s="18">
        <v>11600</v>
      </c>
      <c r="IW27" s="18">
        <v>11100</v>
      </c>
      <c r="IX27" s="18">
        <v>10800</v>
      </c>
      <c r="IY27" s="18">
        <v>10400</v>
      </c>
      <c r="IZ27" s="18">
        <v>10100</v>
      </c>
      <c r="JA27" s="18">
        <v>10400</v>
      </c>
      <c r="JB27" s="18">
        <v>10400</v>
      </c>
      <c r="JC27" s="18">
        <v>10400</v>
      </c>
      <c r="JD27" s="18">
        <v>10900</v>
      </c>
      <c r="JE27" s="18">
        <v>11300</v>
      </c>
      <c r="JF27" s="18">
        <v>11600</v>
      </c>
      <c r="JG27" s="18">
        <v>12400</v>
      </c>
      <c r="JH27" s="18">
        <v>12400</v>
      </c>
      <c r="JI27" s="18">
        <v>12900</v>
      </c>
      <c r="JJ27" s="18">
        <v>13100</v>
      </c>
      <c r="JK27" s="18">
        <v>12700</v>
      </c>
      <c r="JL27" s="18">
        <v>11700</v>
      </c>
      <c r="JM27" s="18">
        <v>10900</v>
      </c>
      <c r="JN27" s="18">
        <v>10100</v>
      </c>
      <c r="JO27" s="18">
        <v>9430</v>
      </c>
      <c r="JP27" s="18">
        <v>8900</v>
      </c>
      <c r="JQ27" s="18">
        <v>8400</v>
      </c>
      <c r="JR27" s="18">
        <v>7930</v>
      </c>
      <c r="JS27" s="18">
        <v>7580</v>
      </c>
      <c r="JT27" s="18">
        <v>7300</v>
      </c>
      <c r="JU27" s="18">
        <v>7430</v>
      </c>
      <c r="JV27" s="18">
        <v>7310</v>
      </c>
      <c r="JW27" s="18">
        <v>6960</v>
      </c>
      <c r="JX27" s="18">
        <v>6710</v>
      </c>
      <c r="JY27" s="18">
        <v>6900</v>
      </c>
      <c r="JZ27" s="18">
        <v>6630</v>
      </c>
      <c r="KA27" s="18">
        <v>6440</v>
      </c>
      <c r="KB27" s="18">
        <v>6130</v>
      </c>
      <c r="KC27" s="18">
        <v>5800</v>
      </c>
      <c r="KD27" s="18">
        <v>5590</v>
      </c>
      <c r="KE27" s="18">
        <v>5420</v>
      </c>
      <c r="KF27" s="18">
        <v>5280</v>
      </c>
      <c r="KG27" s="18">
        <v>5100</v>
      </c>
      <c r="KH27" s="18">
        <v>5000</v>
      </c>
      <c r="KI27" s="18">
        <v>4850</v>
      </c>
      <c r="KJ27" s="18">
        <v>4690</v>
      </c>
      <c r="KK27" s="18">
        <v>4570</v>
      </c>
      <c r="KL27" s="18">
        <v>4490</v>
      </c>
      <c r="KM27" s="18">
        <v>4470</v>
      </c>
      <c r="KN27" s="18">
        <v>4390</v>
      </c>
      <c r="KO27" s="18">
        <v>4300</v>
      </c>
      <c r="KP27" s="18">
        <v>4200</v>
      </c>
      <c r="KQ27" s="18">
        <v>4070</v>
      </c>
      <c r="KR27" s="18">
        <v>4130</v>
      </c>
      <c r="KS27" s="18">
        <v>4170</v>
      </c>
      <c r="KT27" s="18">
        <v>4080</v>
      </c>
      <c r="KU27" s="18">
        <v>3970</v>
      </c>
      <c r="KV27" s="18">
        <v>3880</v>
      </c>
      <c r="KW27" s="18">
        <v>3790</v>
      </c>
      <c r="KX27" s="18">
        <v>3670</v>
      </c>
      <c r="KY27" s="18">
        <v>3570</v>
      </c>
      <c r="KZ27" s="18">
        <v>3470</v>
      </c>
      <c r="LA27" s="18">
        <v>3400</v>
      </c>
      <c r="LB27" s="18">
        <v>3330</v>
      </c>
      <c r="LC27" s="18">
        <v>3260</v>
      </c>
      <c r="LD27" s="18">
        <v>3180</v>
      </c>
      <c r="LE27" s="18">
        <v>3110</v>
      </c>
      <c r="LF27" s="18">
        <v>3060</v>
      </c>
      <c r="LG27" s="18">
        <v>3000</v>
      </c>
      <c r="LH27" s="18">
        <v>2950</v>
      </c>
      <c r="LI27" s="18">
        <v>2910</v>
      </c>
      <c r="LJ27" s="18">
        <v>2870</v>
      </c>
      <c r="LK27" s="18">
        <v>2850</v>
      </c>
      <c r="LL27" s="18">
        <v>2830</v>
      </c>
      <c r="LM27" s="18">
        <v>2800</v>
      </c>
      <c r="LN27" s="18">
        <v>2740</v>
      </c>
      <c r="LO27" s="18">
        <v>2680</v>
      </c>
      <c r="LP27" s="18">
        <v>2630</v>
      </c>
      <c r="LQ27" s="18">
        <v>2580</v>
      </c>
      <c r="LR27" s="18">
        <v>2550</v>
      </c>
      <c r="LS27" s="18">
        <v>2520</v>
      </c>
      <c r="LT27" s="18">
        <v>2480</v>
      </c>
      <c r="LU27" s="18">
        <v>2450</v>
      </c>
      <c r="LV27" s="18">
        <v>2420</v>
      </c>
      <c r="LW27" s="18">
        <v>2390</v>
      </c>
      <c r="LX27" s="18">
        <v>2360</v>
      </c>
      <c r="LY27" s="18">
        <v>2330</v>
      </c>
      <c r="LZ27" s="18">
        <v>2310</v>
      </c>
      <c r="MA27" s="18">
        <v>2290</v>
      </c>
      <c r="MB27" s="18">
        <v>2270</v>
      </c>
      <c r="MC27" s="18">
        <v>2250</v>
      </c>
      <c r="MD27" s="18">
        <v>2220</v>
      </c>
      <c r="ME27" s="18">
        <v>2190</v>
      </c>
      <c r="MF27" s="18">
        <v>2160</v>
      </c>
      <c r="MG27" s="18">
        <v>2130</v>
      </c>
      <c r="MH27" s="18">
        <v>2100</v>
      </c>
      <c r="MI27" s="18">
        <v>2070</v>
      </c>
      <c r="MJ27" s="18">
        <v>2040</v>
      </c>
      <c r="MK27" s="18">
        <v>2010</v>
      </c>
      <c r="ML27" s="18">
        <v>1980</v>
      </c>
      <c r="MM27" s="18">
        <v>1950</v>
      </c>
      <c r="MN27" s="18">
        <v>1940</v>
      </c>
      <c r="MO27" s="18">
        <v>1910</v>
      </c>
      <c r="MP27" s="18">
        <v>1890</v>
      </c>
      <c r="MQ27" s="18">
        <v>1870</v>
      </c>
      <c r="MR27" s="18">
        <v>1840</v>
      </c>
      <c r="MS27" s="18">
        <v>1820</v>
      </c>
      <c r="MT27" s="18">
        <v>1800</v>
      </c>
      <c r="MU27" s="18">
        <v>1790</v>
      </c>
      <c r="MV27" s="18">
        <v>1760</v>
      </c>
      <c r="MW27" s="18">
        <v>1760</v>
      </c>
      <c r="MX27" s="18">
        <v>1740</v>
      </c>
      <c r="MY27" s="18">
        <v>1730</v>
      </c>
      <c r="MZ27" s="18">
        <v>1710</v>
      </c>
      <c r="NA27" s="18">
        <v>1700</v>
      </c>
      <c r="NB27" s="18">
        <v>1680</v>
      </c>
      <c r="NC27" s="18">
        <v>1670</v>
      </c>
      <c r="ND27" s="1">
        <v>1110</v>
      </c>
      <c r="NE27" s="1">
        <v>939</v>
      </c>
      <c r="NF27" s="1">
        <v>910</v>
      </c>
      <c r="NG27" s="1">
        <v>1180</v>
      </c>
      <c r="NH27" s="1">
        <v>2060</v>
      </c>
      <c r="NI27" s="1">
        <v>6170</v>
      </c>
      <c r="NJ27" s="1">
        <v>11800</v>
      </c>
      <c r="NK27" s="1">
        <v>12100</v>
      </c>
      <c r="NL27" s="1">
        <v>13000</v>
      </c>
      <c r="NM27" s="1">
        <v>5780</v>
      </c>
      <c r="NN27" s="1">
        <v>2990</v>
      </c>
      <c r="NO27" s="1">
        <v>1960</v>
      </c>
      <c r="NP27" s="1">
        <v>5019.1561643835612</v>
      </c>
      <c r="NQ27" s="1">
        <v>21800</v>
      </c>
      <c r="NR27" s="19">
        <v>42615</v>
      </c>
      <c r="NS27" s="1">
        <v>883</v>
      </c>
      <c r="NT27" s="19">
        <v>42444</v>
      </c>
    </row>
    <row r="28" spans="1:384" x14ac:dyDescent="0.15">
      <c r="A28" s="1">
        <v>1975</v>
      </c>
      <c r="B28" s="18">
        <v>1650</v>
      </c>
      <c r="C28" s="18">
        <v>1630</v>
      </c>
      <c r="D28" s="18">
        <v>1610</v>
      </c>
      <c r="E28" s="18">
        <v>1610</v>
      </c>
      <c r="F28" s="18">
        <v>1600</v>
      </c>
      <c r="G28" s="18">
        <v>1590</v>
      </c>
      <c r="H28" s="18">
        <v>1580</v>
      </c>
      <c r="I28" s="18">
        <v>1580</v>
      </c>
      <c r="J28" s="18">
        <v>1570</v>
      </c>
      <c r="K28" s="18">
        <v>1560</v>
      </c>
      <c r="L28" s="18">
        <v>1550</v>
      </c>
      <c r="M28" s="18">
        <v>1540</v>
      </c>
      <c r="N28" s="18">
        <v>1550</v>
      </c>
      <c r="O28" s="18">
        <v>1560</v>
      </c>
      <c r="P28" s="18">
        <v>1540</v>
      </c>
      <c r="Q28" s="18">
        <v>1540</v>
      </c>
      <c r="R28" s="18">
        <v>1530</v>
      </c>
      <c r="S28" s="18">
        <v>1520</v>
      </c>
      <c r="T28" s="18">
        <v>1500</v>
      </c>
      <c r="U28" s="18">
        <v>1480</v>
      </c>
      <c r="V28" s="18">
        <v>1470</v>
      </c>
      <c r="W28" s="18">
        <v>1450</v>
      </c>
      <c r="X28" s="18">
        <v>1440</v>
      </c>
      <c r="Y28" s="18">
        <v>1430</v>
      </c>
      <c r="Z28" s="18">
        <v>1420</v>
      </c>
      <c r="AA28" s="18">
        <v>1410</v>
      </c>
      <c r="AB28" s="18">
        <v>1420</v>
      </c>
      <c r="AC28" s="18">
        <v>1420</v>
      </c>
      <c r="AD28" s="18">
        <v>1410</v>
      </c>
      <c r="AE28" s="18">
        <v>1400</v>
      </c>
      <c r="AF28" s="18">
        <v>1380</v>
      </c>
      <c r="AG28" s="18">
        <v>1360</v>
      </c>
      <c r="AH28" s="18">
        <v>1350</v>
      </c>
      <c r="AI28" s="18">
        <v>1340</v>
      </c>
      <c r="AJ28" s="18">
        <v>1340</v>
      </c>
      <c r="AK28" s="18">
        <v>1340</v>
      </c>
      <c r="AL28" s="18">
        <v>1350</v>
      </c>
      <c r="AM28" s="18">
        <v>1340</v>
      </c>
      <c r="AN28" s="18">
        <v>1330</v>
      </c>
      <c r="AO28" s="18">
        <v>1310</v>
      </c>
      <c r="AP28" s="18">
        <v>1310</v>
      </c>
      <c r="AQ28" s="18">
        <v>1310</v>
      </c>
      <c r="AR28" s="18">
        <v>1320</v>
      </c>
      <c r="AS28" s="18">
        <v>1340</v>
      </c>
      <c r="AT28" s="18">
        <v>1350</v>
      </c>
      <c r="AU28" s="18">
        <v>1340</v>
      </c>
      <c r="AV28" s="18">
        <v>1340</v>
      </c>
      <c r="AW28" s="18">
        <v>1320</v>
      </c>
      <c r="AX28" s="18">
        <v>1310</v>
      </c>
      <c r="AY28" s="18">
        <v>1290</v>
      </c>
      <c r="AZ28" s="18">
        <v>1280</v>
      </c>
      <c r="BA28" s="18">
        <v>1280</v>
      </c>
      <c r="BB28" s="18">
        <v>1270</v>
      </c>
      <c r="BC28" s="18">
        <v>1270</v>
      </c>
      <c r="BD28" s="18">
        <v>1230</v>
      </c>
      <c r="BE28" s="18">
        <v>1220</v>
      </c>
      <c r="BF28" s="18">
        <v>1220</v>
      </c>
      <c r="BG28" s="18">
        <v>1220</v>
      </c>
      <c r="BH28" s="18">
        <v>1230</v>
      </c>
      <c r="BI28" s="18"/>
      <c r="BJ28" s="18">
        <v>1230</v>
      </c>
      <c r="BK28" s="18">
        <v>1220</v>
      </c>
      <c r="BL28" s="18">
        <v>1230</v>
      </c>
      <c r="BM28" s="18">
        <v>1220</v>
      </c>
      <c r="BN28" s="18">
        <v>1220</v>
      </c>
      <c r="BO28" s="18">
        <v>1220</v>
      </c>
      <c r="BP28" s="18">
        <v>1220</v>
      </c>
      <c r="BQ28" s="18">
        <v>1210</v>
      </c>
      <c r="BR28" s="18">
        <v>1190</v>
      </c>
      <c r="BS28" s="18">
        <v>1190</v>
      </c>
      <c r="BT28" s="18">
        <v>1180</v>
      </c>
      <c r="BU28" s="18">
        <v>1190</v>
      </c>
      <c r="BV28" s="18">
        <v>1200</v>
      </c>
      <c r="BW28" s="18">
        <v>1190</v>
      </c>
      <c r="BX28" s="18">
        <v>1180</v>
      </c>
      <c r="BY28" s="18">
        <v>1170</v>
      </c>
      <c r="BZ28" s="18">
        <v>1170</v>
      </c>
      <c r="CA28" s="18">
        <v>1170</v>
      </c>
      <c r="CB28" s="18">
        <v>1180</v>
      </c>
      <c r="CC28" s="18">
        <v>1180</v>
      </c>
      <c r="CD28" s="18">
        <v>1180</v>
      </c>
      <c r="CE28" s="18">
        <v>1170</v>
      </c>
      <c r="CF28" s="18">
        <v>1170</v>
      </c>
      <c r="CG28" s="18">
        <v>1170</v>
      </c>
      <c r="CH28" s="18">
        <v>1160</v>
      </c>
      <c r="CI28" s="18">
        <v>1150</v>
      </c>
      <c r="CJ28" s="18">
        <v>1150</v>
      </c>
      <c r="CK28" s="18">
        <v>1150</v>
      </c>
      <c r="CL28" s="18">
        <v>1140</v>
      </c>
      <c r="CM28" s="18">
        <v>1150</v>
      </c>
      <c r="CN28" s="18">
        <v>1170</v>
      </c>
      <c r="CO28" s="18">
        <v>1170</v>
      </c>
      <c r="CP28" s="18">
        <v>1190</v>
      </c>
      <c r="CQ28" s="18">
        <v>1210</v>
      </c>
      <c r="CR28" s="18">
        <v>1230</v>
      </c>
      <c r="CS28" s="18">
        <v>1210</v>
      </c>
      <c r="CT28" s="18">
        <v>1190</v>
      </c>
      <c r="CU28" s="18">
        <v>1180</v>
      </c>
      <c r="CV28" s="18">
        <v>1170</v>
      </c>
      <c r="CW28" s="18">
        <v>1180</v>
      </c>
      <c r="CX28" s="18">
        <v>1190</v>
      </c>
      <c r="CY28" s="18">
        <v>1230</v>
      </c>
      <c r="CZ28" s="18">
        <v>1270</v>
      </c>
      <c r="DA28" s="18">
        <v>1300</v>
      </c>
      <c r="DB28" s="18">
        <v>1380</v>
      </c>
      <c r="DC28" s="18">
        <v>1550</v>
      </c>
      <c r="DD28" s="18">
        <v>1590</v>
      </c>
      <c r="DE28" s="18">
        <v>1540</v>
      </c>
      <c r="DF28" s="18">
        <v>1460</v>
      </c>
      <c r="DG28" s="18">
        <v>1440</v>
      </c>
      <c r="DH28" s="18">
        <v>1440</v>
      </c>
      <c r="DI28" s="18">
        <v>1410</v>
      </c>
      <c r="DJ28" s="18">
        <v>1360</v>
      </c>
      <c r="DK28" s="18">
        <v>1320</v>
      </c>
      <c r="DL28" s="18">
        <v>1280</v>
      </c>
      <c r="DM28" s="18">
        <v>1260</v>
      </c>
      <c r="DN28" s="18">
        <v>1270</v>
      </c>
      <c r="DO28" s="18">
        <v>1320</v>
      </c>
      <c r="DP28" s="18">
        <v>1450</v>
      </c>
      <c r="DQ28" s="18">
        <v>1700</v>
      </c>
      <c r="DR28" s="18">
        <v>1920</v>
      </c>
      <c r="DS28" s="18">
        <v>2110</v>
      </c>
      <c r="DT28" s="18">
        <v>2200</v>
      </c>
      <c r="DU28" s="18">
        <v>2150</v>
      </c>
      <c r="DV28" s="18">
        <v>2040</v>
      </c>
      <c r="DW28" s="18">
        <v>1880</v>
      </c>
      <c r="DX28" s="18">
        <v>1760</v>
      </c>
      <c r="DY28" s="18">
        <v>1670</v>
      </c>
      <c r="DZ28" s="18">
        <v>1580</v>
      </c>
      <c r="EA28" s="18">
        <v>1510</v>
      </c>
      <c r="EB28" s="18">
        <v>1470</v>
      </c>
      <c r="EC28" s="18">
        <v>1430</v>
      </c>
      <c r="ED28" s="18">
        <v>1440</v>
      </c>
      <c r="EE28" s="18">
        <v>1440</v>
      </c>
      <c r="EF28" s="18">
        <v>1460</v>
      </c>
      <c r="EG28" s="18">
        <v>1470</v>
      </c>
      <c r="EH28" s="18">
        <v>1480</v>
      </c>
      <c r="EI28" s="18">
        <v>1510</v>
      </c>
      <c r="EJ28" s="18">
        <v>1510</v>
      </c>
      <c r="EK28" s="18">
        <v>1480</v>
      </c>
      <c r="EL28" s="18">
        <v>1480</v>
      </c>
      <c r="EM28" s="18">
        <v>1490</v>
      </c>
      <c r="EN28" s="18">
        <v>1500</v>
      </c>
      <c r="EO28" s="18">
        <v>1560</v>
      </c>
      <c r="EP28" s="18">
        <v>1600</v>
      </c>
      <c r="EQ28" s="18">
        <v>1620</v>
      </c>
      <c r="ER28" s="18">
        <v>1720</v>
      </c>
      <c r="ES28" s="18">
        <v>1950</v>
      </c>
      <c r="ET28" s="18">
        <v>2470</v>
      </c>
      <c r="EU28" s="18">
        <v>2780</v>
      </c>
      <c r="EV28" s="18">
        <v>2760</v>
      </c>
      <c r="EW28" s="18">
        <v>2640</v>
      </c>
      <c r="EX28" s="18">
        <v>2510</v>
      </c>
      <c r="EY28" s="18">
        <v>2310</v>
      </c>
      <c r="EZ28" s="18">
        <v>2140</v>
      </c>
      <c r="FA28" s="18">
        <v>1950</v>
      </c>
      <c r="FB28" s="18">
        <v>1910</v>
      </c>
      <c r="FC28" s="18">
        <v>2090</v>
      </c>
      <c r="FD28" s="18">
        <v>2280</v>
      </c>
      <c r="FE28" s="18">
        <v>2330</v>
      </c>
      <c r="FF28" s="18">
        <v>2340</v>
      </c>
      <c r="FG28" s="18">
        <v>2400</v>
      </c>
      <c r="FH28" s="18">
        <v>2510</v>
      </c>
      <c r="FI28" s="18">
        <v>2660</v>
      </c>
      <c r="FJ28" s="18">
        <v>3210</v>
      </c>
      <c r="FK28" s="18">
        <v>3920</v>
      </c>
      <c r="FL28" s="18">
        <v>4890</v>
      </c>
      <c r="FM28" s="18">
        <v>6420</v>
      </c>
      <c r="FN28" s="18">
        <v>7110</v>
      </c>
      <c r="FO28" s="18">
        <v>6370</v>
      </c>
      <c r="FP28" s="18">
        <v>5630</v>
      </c>
      <c r="FQ28" s="18">
        <v>5050</v>
      </c>
      <c r="FR28" s="18">
        <v>4660</v>
      </c>
      <c r="FS28" s="18">
        <v>4210</v>
      </c>
      <c r="FT28" s="18">
        <v>3880</v>
      </c>
      <c r="FU28" s="18">
        <v>3770</v>
      </c>
      <c r="FV28" s="18">
        <v>3680</v>
      </c>
      <c r="FW28" s="18">
        <v>3840</v>
      </c>
      <c r="FX28" s="18">
        <v>4200</v>
      </c>
      <c r="FY28" s="18">
        <v>4930</v>
      </c>
      <c r="FZ28" s="18">
        <v>5490</v>
      </c>
      <c r="GA28" s="18">
        <v>5720</v>
      </c>
      <c r="GB28" s="18">
        <v>6350</v>
      </c>
      <c r="GC28" s="18">
        <v>7030</v>
      </c>
      <c r="GD28" s="18">
        <v>7590</v>
      </c>
      <c r="GE28" s="18">
        <v>7170</v>
      </c>
      <c r="GF28" s="18">
        <v>6890</v>
      </c>
      <c r="GG28" s="18">
        <v>6550</v>
      </c>
      <c r="GH28" s="18">
        <v>6190</v>
      </c>
      <c r="GI28" s="18">
        <v>6060</v>
      </c>
      <c r="GJ28" s="18">
        <v>6050</v>
      </c>
      <c r="GK28" s="18">
        <v>6020</v>
      </c>
      <c r="GL28" s="18">
        <v>6110</v>
      </c>
      <c r="GM28" s="18">
        <v>6720</v>
      </c>
      <c r="GN28" s="18">
        <v>7210</v>
      </c>
      <c r="GO28" s="18">
        <v>8840</v>
      </c>
      <c r="GP28" s="18">
        <v>10100</v>
      </c>
      <c r="GQ28" s="18">
        <v>9800</v>
      </c>
      <c r="GR28" s="18">
        <v>9130</v>
      </c>
      <c r="GS28" s="18">
        <v>8110</v>
      </c>
      <c r="GT28" s="18">
        <v>7430</v>
      </c>
      <c r="GU28" s="18">
        <v>7230</v>
      </c>
      <c r="GV28" s="18">
        <v>7230</v>
      </c>
      <c r="GW28" s="18">
        <v>6760</v>
      </c>
      <c r="GX28" s="18">
        <v>6570</v>
      </c>
      <c r="GY28" s="18">
        <v>6630</v>
      </c>
      <c r="GZ28" s="18">
        <v>6730</v>
      </c>
      <c r="HA28" s="18">
        <v>6690</v>
      </c>
      <c r="HB28" s="18">
        <v>7300</v>
      </c>
      <c r="HC28" s="18">
        <v>8490</v>
      </c>
      <c r="HD28" s="18">
        <v>9680</v>
      </c>
      <c r="HE28" s="18">
        <v>10500</v>
      </c>
      <c r="HF28" s="18">
        <v>10700</v>
      </c>
      <c r="HG28" s="18">
        <v>11100</v>
      </c>
      <c r="HH28" s="18">
        <v>11200</v>
      </c>
      <c r="HI28" s="18">
        <v>10800</v>
      </c>
      <c r="HJ28" s="18">
        <v>10700</v>
      </c>
      <c r="HK28" s="18">
        <v>10900</v>
      </c>
      <c r="HL28" s="18">
        <v>10600</v>
      </c>
      <c r="HM28" s="18">
        <v>9930</v>
      </c>
      <c r="HN28" s="18">
        <v>9260</v>
      </c>
      <c r="HO28" s="18">
        <v>8520</v>
      </c>
      <c r="HP28" s="18">
        <v>7890</v>
      </c>
      <c r="HQ28" s="18">
        <v>7560</v>
      </c>
      <c r="HR28" s="18">
        <v>7190</v>
      </c>
      <c r="HS28" s="18">
        <v>6830</v>
      </c>
      <c r="HT28" s="18">
        <v>6550</v>
      </c>
      <c r="HU28" s="18">
        <v>6290</v>
      </c>
      <c r="HV28" s="18">
        <v>6290</v>
      </c>
      <c r="HW28" s="18">
        <v>6280</v>
      </c>
      <c r="HX28" s="18">
        <v>6260</v>
      </c>
      <c r="HY28" s="18">
        <v>6120</v>
      </c>
      <c r="HZ28" s="18">
        <v>5910</v>
      </c>
      <c r="IA28" s="18">
        <v>5740</v>
      </c>
      <c r="IB28" s="18">
        <v>5610</v>
      </c>
      <c r="IC28" s="18">
        <v>5520</v>
      </c>
      <c r="ID28" s="18">
        <v>5310</v>
      </c>
      <c r="IE28" s="18">
        <v>5130</v>
      </c>
      <c r="IF28" s="18">
        <v>5000</v>
      </c>
      <c r="IG28" s="18">
        <v>4900</v>
      </c>
      <c r="IH28" s="18">
        <v>4720</v>
      </c>
      <c r="II28" s="18">
        <v>4560</v>
      </c>
      <c r="IJ28" s="18">
        <v>4430</v>
      </c>
      <c r="IK28" s="18">
        <v>4570</v>
      </c>
      <c r="IL28" s="18">
        <v>4620</v>
      </c>
      <c r="IM28" s="18">
        <v>4870</v>
      </c>
      <c r="IN28" s="18">
        <v>5210</v>
      </c>
      <c r="IO28" s="18">
        <v>5280</v>
      </c>
      <c r="IP28" s="18">
        <v>5430</v>
      </c>
      <c r="IQ28" s="18">
        <v>6110</v>
      </c>
      <c r="IR28" s="18">
        <v>7860</v>
      </c>
      <c r="IS28" s="18">
        <v>9180</v>
      </c>
      <c r="IT28" s="18">
        <v>9200</v>
      </c>
      <c r="IU28" s="18">
        <v>8620</v>
      </c>
      <c r="IV28" s="18">
        <v>7590</v>
      </c>
      <c r="IW28" s="18">
        <v>6840</v>
      </c>
      <c r="IX28" s="18">
        <v>6450</v>
      </c>
      <c r="IY28" s="18">
        <v>6390</v>
      </c>
      <c r="IZ28" s="18">
        <v>6480</v>
      </c>
      <c r="JA28" s="18">
        <v>7220</v>
      </c>
      <c r="JB28" s="18">
        <v>7160</v>
      </c>
      <c r="JC28" s="18">
        <v>7100</v>
      </c>
      <c r="JD28" s="18">
        <v>7200</v>
      </c>
      <c r="JE28" s="18">
        <v>7200</v>
      </c>
      <c r="JF28" s="18">
        <v>6890</v>
      </c>
      <c r="JG28" s="18">
        <v>7290</v>
      </c>
      <c r="JH28" s="18">
        <v>6930</v>
      </c>
      <c r="JI28" s="18">
        <v>6530</v>
      </c>
      <c r="JJ28" s="18">
        <v>6080</v>
      </c>
      <c r="JK28" s="18">
        <v>5710</v>
      </c>
      <c r="JL28" s="18">
        <v>5420</v>
      </c>
      <c r="JM28" s="18">
        <v>5190</v>
      </c>
      <c r="JN28" s="18">
        <v>5080</v>
      </c>
      <c r="JO28" s="18">
        <v>5000</v>
      </c>
      <c r="JP28" s="18">
        <v>4850</v>
      </c>
      <c r="JQ28" s="18">
        <v>4840</v>
      </c>
      <c r="JR28" s="18">
        <v>4930</v>
      </c>
      <c r="JS28" s="18">
        <v>5110</v>
      </c>
      <c r="JT28" s="18">
        <v>5430</v>
      </c>
      <c r="JU28" s="18">
        <v>5360</v>
      </c>
      <c r="JV28" s="18">
        <v>5050</v>
      </c>
      <c r="JW28" s="18">
        <v>4910</v>
      </c>
      <c r="JX28" s="18">
        <v>4740</v>
      </c>
      <c r="JY28" s="18">
        <v>4650</v>
      </c>
      <c r="JZ28" s="18">
        <v>4570</v>
      </c>
      <c r="KA28" s="18">
        <v>4470</v>
      </c>
      <c r="KB28" s="18">
        <v>4560</v>
      </c>
      <c r="KC28" s="18">
        <v>4850</v>
      </c>
      <c r="KD28" s="18">
        <v>4910</v>
      </c>
      <c r="KE28" s="18">
        <v>4680</v>
      </c>
      <c r="KF28" s="18">
        <v>4570</v>
      </c>
      <c r="KG28" s="18">
        <v>4510</v>
      </c>
      <c r="KH28" s="18">
        <v>4410</v>
      </c>
      <c r="KI28" s="18">
        <v>4280</v>
      </c>
      <c r="KJ28" s="18">
        <v>4170</v>
      </c>
      <c r="KK28" s="18">
        <v>4040</v>
      </c>
      <c r="KL28" s="18">
        <v>3930</v>
      </c>
      <c r="KM28" s="18">
        <v>3820</v>
      </c>
      <c r="KN28" s="18">
        <v>3730</v>
      </c>
      <c r="KO28" s="18">
        <v>3600</v>
      </c>
      <c r="KP28" s="18">
        <v>3480</v>
      </c>
      <c r="KQ28" s="18">
        <v>3380</v>
      </c>
      <c r="KR28" s="18">
        <v>3270</v>
      </c>
      <c r="KS28" s="18">
        <v>3180</v>
      </c>
      <c r="KT28" s="18">
        <v>3140</v>
      </c>
      <c r="KU28" s="18">
        <v>3120</v>
      </c>
      <c r="KV28" s="18">
        <v>3110</v>
      </c>
      <c r="KW28" s="18">
        <v>3110</v>
      </c>
      <c r="KX28" s="18">
        <v>3040</v>
      </c>
      <c r="KY28" s="18">
        <v>3110</v>
      </c>
      <c r="KZ28" s="18">
        <v>3130</v>
      </c>
      <c r="LA28" s="18">
        <v>2940</v>
      </c>
      <c r="LB28" s="18">
        <v>2840</v>
      </c>
      <c r="LC28" s="18">
        <v>2740</v>
      </c>
      <c r="LD28" s="18">
        <v>2640</v>
      </c>
      <c r="LE28" s="18">
        <v>2580</v>
      </c>
      <c r="LF28" s="18">
        <v>2540</v>
      </c>
      <c r="LG28" s="18">
        <v>2600</v>
      </c>
      <c r="LH28" s="18">
        <v>2690</v>
      </c>
      <c r="LI28" s="18">
        <v>2600</v>
      </c>
      <c r="LJ28" s="18">
        <v>2520</v>
      </c>
      <c r="LK28" s="18">
        <v>2450</v>
      </c>
      <c r="LL28" s="18">
        <v>2380</v>
      </c>
      <c r="LM28" s="18">
        <v>2310</v>
      </c>
      <c r="LN28" s="18">
        <v>2260</v>
      </c>
      <c r="LO28" s="18">
        <v>2230</v>
      </c>
      <c r="LP28" s="18">
        <v>2190</v>
      </c>
      <c r="LQ28" s="18">
        <v>2160</v>
      </c>
      <c r="LR28" s="18">
        <v>2130</v>
      </c>
      <c r="LS28" s="18">
        <v>2100</v>
      </c>
      <c r="LT28" s="18">
        <v>2070</v>
      </c>
      <c r="LU28" s="18">
        <v>2040</v>
      </c>
      <c r="LV28" s="18">
        <v>2010</v>
      </c>
      <c r="LW28" s="18">
        <v>1980</v>
      </c>
      <c r="LX28" s="18">
        <v>1960</v>
      </c>
      <c r="LY28" s="18">
        <v>1920</v>
      </c>
      <c r="LZ28" s="18">
        <v>1860</v>
      </c>
      <c r="MA28" s="18">
        <v>1810</v>
      </c>
      <c r="MB28" s="18">
        <v>1780</v>
      </c>
      <c r="MC28" s="18">
        <v>1750</v>
      </c>
      <c r="MD28" s="18">
        <v>1690</v>
      </c>
      <c r="ME28" s="18">
        <v>1650</v>
      </c>
      <c r="MF28" s="18">
        <v>1620</v>
      </c>
      <c r="MG28" s="18">
        <v>1600</v>
      </c>
      <c r="MH28" s="18">
        <v>1580</v>
      </c>
      <c r="MI28" s="18">
        <v>1560</v>
      </c>
      <c r="MJ28" s="18">
        <v>1560</v>
      </c>
      <c r="MK28" s="18">
        <v>1520</v>
      </c>
      <c r="ML28" s="18">
        <v>1500</v>
      </c>
      <c r="MM28" s="18">
        <v>1460</v>
      </c>
      <c r="MN28" s="18">
        <v>1440</v>
      </c>
      <c r="MO28" s="18">
        <v>1420</v>
      </c>
      <c r="MP28" s="18">
        <v>1390</v>
      </c>
      <c r="MQ28" s="18">
        <v>1370</v>
      </c>
      <c r="MR28" s="18">
        <v>1340</v>
      </c>
      <c r="MS28" s="18">
        <v>1310</v>
      </c>
      <c r="MT28" s="18">
        <v>1290</v>
      </c>
      <c r="MU28" s="18">
        <v>1260</v>
      </c>
      <c r="MV28" s="18">
        <v>1250</v>
      </c>
      <c r="MW28" s="18">
        <v>1240</v>
      </c>
      <c r="MX28" s="18">
        <v>1230</v>
      </c>
      <c r="MY28" s="18">
        <v>1210</v>
      </c>
      <c r="MZ28" s="18">
        <v>1200</v>
      </c>
      <c r="NA28" s="18">
        <v>1190</v>
      </c>
      <c r="NB28" s="18">
        <v>1180</v>
      </c>
      <c r="NC28" s="18">
        <v>1170</v>
      </c>
      <c r="ND28" s="1">
        <v>1510</v>
      </c>
      <c r="NE28" s="1">
        <v>1300</v>
      </c>
      <c r="NF28" s="1">
        <v>1180</v>
      </c>
      <c r="NG28" s="1">
        <v>1350</v>
      </c>
      <c r="NH28" s="1">
        <v>1780</v>
      </c>
      <c r="NI28" s="1">
        <v>3810</v>
      </c>
      <c r="NJ28" s="1">
        <v>7540</v>
      </c>
      <c r="NK28" s="1">
        <v>7150</v>
      </c>
      <c r="NL28" s="1">
        <v>6540</v>
      </c>
      <c r="NM28" s="1">
        <v>4370</v>
      </c>
      <c r="NN28" s="1">
        <v>2520</v>
      </c>
      <c r="NO28" s="1">
        <v>1460</v>
      </c>
      <c r="NP28" s="1">
        <v>3392.2191780821918</v>
      </c>
      <c r="NQ28" s="1">
        <v>11200</v>
      </c>
      <c r="NR28" s="19">
        <v>42584</v>
      </c>
      <c r="NS28" s="1">
        <v>1140</v>
      </c>
      <c r="NT28" s="19">
        <v>42458</v>
      </c>
    </row>
    <row r="29" spans="1:384" x14ac:dyDescent="0.15">
      <c r="A29" s="1">
        <v>1976</v>
      </c>
      <c r="B29" s="18">
        <v>1180</v>
      </c>
      <c r="C29" s="18">
        <v>1180</v>
      </c>
      <c r="D29" s="18">
        <v>1180</v>
      </c>
      <c r="E29" s="18">
        <v>1180</v>
      </c>
      <c r="F29" s="18">
        <v>1180</v>
      </c>
      <c r="G29" s="18">
        <v>1170</v>
      </c>
      <c r="H29" s="18">
        <v>1170</v>
      </c>
      <c r="I29" s="18">
        <v>1170</v>
      </c>
      <c r="J29" s="18">
        <v>1160</v>
      </c>
      <c r="K29" s="18">
        <v>1150</v>
      </c>
      <c r="L29" s="18">
        <v>1140</v>
      </c>
      <c r="M29" s="18">
        <v>1130</v>
      </c>
      <c r="N29" s="18">
        <v>1120</v>
      </c>
      <c r="O29" s="18">
        <v>1110</v>
      </c>
      <c r="P29" s="18">
        <v>1100</v>
      </c>
      <c r="Q29" s="18">
        <v>1090</v>
      </c>
      <c r="R29" s="18">
        <v>1080</v>
      </c>
      <c r="S29" s="18">
        <v>1070</v>
      </c>
      <c r="T29" s="18">
        <v>1070</v>
      </c>
      <c r="U29" s="18">
        <v>1060</v>
      </c>
      <c r="V29" s="18">
        <v>1060</v>
      </c>
      <c r="W29" s="18">
        <v>1060</v>
      </c>
      <c r="X29" s="18">
        <v>1070</v>
      </c>
      <c r="Y29" s="18">
        <v>1070</v>
      </c>
      <c r="Z29" s="18">
        <v>1070</v>
      </c>
      <c r="AA29" s="18">
        <v>1060</v>
      </c>
      <c r="AB29" s="18">
        <v>1060</v>
      </c>
      <c r="AC29" s="18">
        <v>1050</v>
      </c>
      <c r="AD29" s="18">
        <v>1050</v>
      </c>
      <c r="AE29" s="18">
        <v>1030</v>
      </c>
      <c r="AF29" s="18">
        <v>1030</v>
      </c>
      <c r="AG29" s="18">
        <v>1030</v>
      </c>
      <c r="AH29" s="18">
        <v>1020</v>
      </c>
      <c r="AI29" s="18">
        <v>1020</v>
      </c>
      <c r="AJ29" s="18">
        <v>1020</v>
      </c>
      <c r="AK29" s="18">
        <v>1010</v>
      </c>
      <c r="AL29" s="18">
        <v>1010</v>
      </c>
      <c r="AM29" s="18">
        <v>998</v>
      </c>
      <c r="AN29" s="18">
        <v>994</v>
      </c>
      <c r="AO29" s="18">
        <v>989</v>
      </c>
      <c r="AP29" s="18">
        <v>985</v>
      </c>
      <c r="AQ29" s="18">
        <v>981</v>
      </c>
      <c r="AR29" s="18">
        <v>977</v>
      </c>
      <c r="AS29" s="18">
        <v>973</v>
      </c>
      <c r="AT29" s="18">
        <v>966</v>
      </c>
      <c r="AU29" s="18">
        <v>962</v>
      </c>
      <c r="AV29" s="18">
        <v>958</v>
      </c>
      <c r="AW29" s="18">
        <v>954</v>
      </c>
      <c r="AX29" s="18">
        <v>947</v>
      </c>
      <c r="AY29" s="18">
        <v>944</v>
      </c>
      <c r="AZ29" s="18">
        <v>944</v>
      </c>
      <c r="BA29" s="18">
        <v>944</v>
      </c>
      <c r="BB29" s="18">
        <v>940</v>
      </c>
      <c r="BC29" s="18">
        <v>940</v>
      </c>
      <c r="BD29" s="18">
        <v>937</v>
      </c>
      <c r="BE29" s="18">
        <v>934</v>
      </c>
      <c r="BF29" s="18">
        <v>934</v>
      </c>
      <c r="BG29" s="18">
        <v>928</v>
      </c>
      <c r="BH29" s="18">
        <v>928</v>
      </c>
      <c r="BI29" s="18">
        <v>924</v>
      </c>
      <c r="BJ29" s="18">
        <v>928</v>
      </c>
      <c r="BK29" s="18">
        <v>924</v>
      </c>
      <c r="BL29" s="18">
        <v>924</v>
      </c>
      <c r="BM29" s="18">
        <v>934</v>
      </c>
      <c r="BN29" s="18">
        <v>940</v>
      </c>
      <c r="BO29" s="18">
        <v>947</v>
      </c>
      <c r="BP29" s="18">
        <v>950</v>
      </c>
      <c r="BQ29" s="18">
        <v>947</v>
      </c>
      <c r="BR29" s="18">
        <v>940</v>
      </c>
      <c r="BS29" s="18">
        <v>937</v>
      </c>
      <c r="BT29" s="18">
        <v>937</v>
      </c>
      <c r="BU29" s="18">
        <v>944</v>
      </c>
      <c r="BV29" s="18">
        <v>940</v>
      </c>
      <c r="BW29" s="18">
        <v>937</v>
      </c>
      <c r="BX29" s="18">
        <v>928</v>
      </c>
      <c r="BY29" s="18">
        <v>921</v>
      </c>
      <c r="BZ29" s="18">
        <v>918</v>
      </c>
      <c r="CA29" s="18">
        <v>912</v>
      </c>
      <c r="CB29" s="18">
        <v>906</v>
      </c>
      <c r="CC29" s="18">
        <v>903</v>
      </c>
      <c r="CD29" s="18">
        <v>900</v>
      </c>
      <c r="CE29" s="18">
        <v>900</v>
      </c>
      <c r="CF29" s="18">
        <v>914</v>
      </c>
      <c r="CG29" s="18">
        <v>928</v>
      </c>
      <c r="CH29" s="18">
        <v>935</v>
      </c>
      <c r="CI29" s="18">
        <v>935</v>
      </c>
      <c r="CJ29" s="18">
        <v>977</v>
      </c>
      <c r="CK29" s="18">
        <v>984</v>
      </c>
      <c r="CL29" s="18">
        <v>963</v>
      </c>
      <c r="CM29" s="18">
        <v>949</v>
      </c>
      <c r="CN29" s="18">
        <v>942</v>
      </c>
      <c r="CO29" s="18">
        <v>949</v>
      </c>
      <c r="CP29" s="18">
        <v>977</v>
      </c>
      <c r="CQ29" s="18">
        <v>991</v>
      </c>
      <c r="CR29" s="18">
        <v>991</v>
      </c>
      <c r="CS29" s="18">
        <v>984</v>
      </c>
      <c r="CT29" s="18">
        <v>977</v>
      </c>
      <c r="CU29" s="18">
        <v>984</v>
      </c>
      <c r="CV29" s="18">
        <v>991</v>
      </c>
      <c r="CW29" s="18">
        <v>991</v>
      </c>
      <c r="CX29" s="18">
        <v>991</v>
      </c>
      <c r="CY29" s="18">
        <v>991</v>
      </c>
      <c r="CZ29" s="18">
        <v>1010</v>
      </c>
      <c r="DA29" s="18">
        <v>1030</v>
      </c>
      <c r="DB29" s="18">
        <v>1030</v>
      </c>
      <c r="DC29" s="18">
        <v>1030</v>
      </c>
      <c r="DD29" s="18">
        <v>1050</v>
      </c>
      <c r="DE29" s="18">
        <v>1060</v>
      </c>
      <c r="DF29" s="18">
        <v>1050</v>
      </c>
      <c r="DG29" s="18">
        <v>1030</v>
      </c>
      <c r="DH29" s="18">
        <v>1010</v>
      </c>
      <c r="DI29" s="18">
        <v>1020</v>
      </c>
      <c r="DJ29" s="18">
        <v>1040</v>
      </c>
      <c r="DK29" s="18">
        <v>1040</v>
      </c>
      <c r="DL29" s="18">
        <v>1040</v>
      </c>
      <c r="DM29" s="18">
        <v>1040</v>
      </c>
      <c r="DN29" s="18">
        <v>1080</v>
      </c>
      <c r="DO29" s="18">
        <v>1130</v>
      </c>
      <c r="DP29" s="18">
        <v>1190</v>
      </c>
      <c r="DQ29" s="18">
        <v>1200</v>
      </c>
      <c r="DR29" s="18">
        <v>1240</v>
      </c>
      <c r="DS29" s="18">
        <v>1310</v>
      </c>
      <c r="DT29" s="18">
        <v>1470</v>
      </c>
      <c r="DU29" s="18">
        <v>1670</v>
      </c>
      <c r="DV29" s="18">
        <v>1750</v>
      </c>
      <c r="DW29" s="18">
        <v>1770</v>
      </c>
      <c r="DX29" s="18">
        <v>1890</v>
      </c>
      <c r="DY29" s="18">
        <v>1870</v>
      </c>
      <c r="DZ29" s="18">
        <v>1810</v>
      </c>
      <c r="EA29" s="18">
        <v>1740</v>
      </c>
      <c r="EB29" s="18">
        <v>1660</v>
      </c>
      <c r="EC29" s="18">
        <v>1630</v>
      </c>
      <c r="ED29" s="18">
        <v>1640</v>
      </c>
      <c r="EE29" s="18">
        <v>1680</v>
      </c>
      <c r="EF29" s="18">
        <v>1740</v>
      </c>
      <c r="EG29" s="18">
        <v>1760</v>
      </c>
      <c r="EH29" s="18">
        <v>1790</v>
      </c>
      <c r="EI29" s="18">
        <v>1850</v>
      </c>
      <c r="EJ29" s="18">
        <v>1850</v>
      </c>
      <c r="EK29" s="18">
        <v>1800</v>
      </c>
      <c r="EL29" s="18">
        <v>1780</v>
      </c>
      <c r="EM29" s="18">
        <v>1790</v>
      </c>
      <c r="EN29" s="18">
        <v>1870</v>
      </c>
      <c r="EO29" s="18">
        <v>2010</v>
      </c>
      <c r="EP29" s="18">
        <v>2120</v>
      </c>
      <c r="EQ29" s="18">
        <v>2200</v>
      </c>
      <c r="ER29" s="18">
        <v>2250</v>
      </c>
      <c r="ES29" s="18">
        <v>2320</v>
      </c>
      <c r="ET29" s="18">
        <v>2370</v>
      </c>
      <c r="EU29" s="18">
        <v>2530</v>
      </c>
      <c r="EV29" s="18">
        <v>2870</v>
      </c>
      <c r="EW29" s="18">
        <v>3020</v>
      </c>
      <c r="EX29" s="18">
        <v>2880</v>
      </c>
      <c r="EY29" s="18">
        <v>2930</v>
      </c>
      <c r="EZ29" s="18">
        <v>3120</v>
      </c>
      <c r="FA29" s="18">
        <v>3140</v>
      </c>
      <c r="FB29" s="18">
        <v>3260</v>
      </c>
      <c r="FC29" s="18">
        <v>3230</v>
      </c>
      <c r="FD29" s="18">
        <v>3040</v>
      </c>
      <c r="FE29" s="18">
        <v>2880</v>
      </c>
      <c r="FF29" s="18">
        <v>2890</v>
      </c>
      <c r="FG29" s="18">
        <v>3180</v>
      </c>
      <c r="FH29" s="18">
        <v>3460</v>
      </c>
      <c r="FI29" s="18">
        <v>3790</v>
      </c>
      <c r="FJ29" s="18">
        <v>4060</v>
      </c>
      <c r="FK29" s="18">
        <v>4270</v>
      </c>
      <c r="FL29" s="18">
        <v>4440</v>
      </c>
      <c r="FM29" s="18">
        <v>4560</v>
      </c>
      <c r="FN29" s="18">
        <v>4570</v>
      </c>
      <c r="FO29" s="18">
        <v>4610</v>
      </c>
      <c r="FP29" s="18">
        <v>4470</v>
      </c>
      <c r="FQ29" s="18">
        <v>4280</v>
      </c>
      <c r="FR29" s="18">
        <v>4220</v>
      </c>
      <c r="FS29" s="18">
        <v>4170</v>
      </c>
      <c r="FT29" s="18">
        <v>4180</v>
      </c>
      <c r="FU29" s="18">
        <v>4280</v>
      </c>
      <c r="FV29" s="18">
        <v>4410</v>
      </c>
      <c r="FW29" s="18">
        <v>4520</v>
      </c>
      <c r="FX29" s="18">
        <v>5300</v>
      </c>
      <c r="FY29" s="18">
        <v>6580</v>
      </c>
      <c r="FZ29" s="18">
        <v>9680</v>
      </c>
      <c r="GA29" s="18">
        <v>9690</v>
      </c>
      <c r="GB29" s="18">
        <v>8750</v>
      </c>
      <c r="GC29" s="18">
        <v>8240</v>
      </c>
      <c r="GD29" s="18">
        <v>8720</v>
      </c>
      <c r="GE29" s="18">
        <v>9550</v>
      </c>
      <c r="GF29" s="18">
        <v>10400</v>
      </c>
      <c r="GG29" s="18">
        <v>11100</v>
      </c>
      <c r="GH29" s="18">
        <v>12300</v>
      </c>
      <c r="GI29" s="18">
        <v>13000</v>
      </c>
      <c r="GJ29" s="18">
        <v>13200</v>
      </c>
      <c r="GK29" s="18">
        <v>11600</v>
      </c>
      <c r="GL29" s="18">
        <v>10100</v>
      </c>
      <c r="GM29" s="18">
        <v>8930</v>
      </c>
      <c r="GN29" s="18">
        <v>8150</v>
      </c>
      <c r="GO29" s="18">
        <v>7470</v>
      </c>
      <c r="GP29" s="18">
        <v>7820</v>
      </c>
      <c r="GQ29" s="18">
        <v>8450</v>
      </c>
      <c r="GR29" s="18">
        <v>8670</v>
      </c>
      <c r="GS29" s="18">
        <v>8170</v>
      </c>
      <c r="GT29" s="18">
        <v>7640</v>
      </c>
      <c r="GU29" s="18">
        <v>7470</v>
      </c>
      <c r="GV29" s="18">
        <v>7660</v>
      </c>
      <c r="GW29" s="18">
        <v>7460</v>
      </c>
      <c r="GX29" s="18">
        <v>7280</v>
      </c>
      <c r="GY29" s="18">
        <v>6660</v>
      </c>
      <c r="GZ29" s="18">
        <v>5910</v>
      </c>
      <c r="HA29" s="18">
        <v>5350</v>
      </c>
      <c r="HB29" s="18">
        <v>4920</v>
      </c>
      <c r="HC29" s="18">
        <v>4580</v>
      </c>
      <c r="HD29" s="18">
        <v>4300</v>
      </c>
      <c r="HE29" s="18">
        <v>4110</v>
      </c>
      <c r="HF29" s="18">
        <v>3950</v>
      </c>
      <c r="HG29" s="18">
        <v>3790</v>
      </c>
      <c r="HH29" s="18">
        <v>3690</v>
      </c>
      <c r="HI29" s="18">
        <v>3810</v>
      </c>
      <c r="HJ29" s="18">
        <v>4420</v>
      </c>
      <c r="HK29" s="18">
        <v>4540</v>
      </c>
      <c r="HL29" s="18">
        <v>4190</v>
      </c>
      <c r="HM29" s="18">
        <v>3970</v>
      </c>
      <c r="HN29" s="18">
        <v>3810</v>
      </c>
      <c r="HO29" s="18">
        <v>3790</v>
      </c>
      <c r="HP29" s="18">
        <v>4020</v>
      </c>
      <c r="HQ29" s="18">
        <v>4360</v>
      </c>
      <c r="HR29" s="18">
        <v>4420</v>
      </c>
      <c r="HS29" s="18">
        <v>4710</v>
      </c>
      <c r="HT29" s="18">
        <v>5650</v>
      </c>
      <c r="HU29" s="18">
        <v>5970</v>
      </c>
      <c r="HV29" s="18">
        <v>6150</v>
      </c>
      <c r="HW29" s="18">
        <v>6630</v>
      </c>
      <c r="HX29" s="18">
        <v>6210</v>
      </c>
      <c r="HY29" s="18">
        <v>5790</v>
      </c>
      <c r="HZ29" s="18">
        <v>6320</v>
      </c>
      <c r="IA29" s="18">
        <v>8100</v>
      </c>
      <c r="IB29" s="18">
        <v>8260</v>
      </c>
      <c r="IC29" s="18">
        <v>7250</v>
      </c>
      <c r="ID29" s="18">
        <v>7010</v>
      </c>
      <c r="IE29" s="18">
        <v>6660</v>
      </c>
      <c r="IF29" s="18">
        <v>6670</v>
      </c>
      <c r="IG29" s="18">
        <v>7030</v>
      </c>
      <c r="IH29" s="18">
        <v>6900</v>
      </c>
      <c r="II29" s="18">
        <v>6850</v>
      </c>
      <c r="IJ29" s="18">
        <v>6710</v>
      </c>
      <c r="IK29" s="18">
        <v>6630</v>
      </c>
      <c r="IL29" s="18">
        <v>6600</v>
      </c>
      <c r="IM29" s="18">
        <v>6730</v>
      </c>
      <c r="IN29" s="18">
        <v>7260</v>
      </c>
      <c r="IO29" s="18">
        <v>7520</v>
      </c>
      <c r="IP29" s="18">
        <v>7660</v>
      </c>
      <c r="IQ29" s="18">
        <v>7490</v>
      </c>
      <c r="IR29" s="18">
        <v>7280</v>
      </c>
      <c r="IS29" s="18">
        <v>7530</v>
      </c>
      <c r="IT29" s="18">
        <v>6870</v>
      </c>
      <c r="IU29" s="18">
        <v>6390</v>
      </c>
      <c r="IV29" s="18">
        <v>6040</v>
      </c>
      <c r="IW29" s="18">
        <v>5910</v>
      </c>
      <c r="IX29" s="18">
        <v>6060</v>
      </c>
      <c r="IY29" s="18">
        <v>5670</v>
      </c>
      <c r="IZ29" s="18">
        <v>5320</v>
      </c>
      <c r="JA29" s="18">
        <v>5220</v>
      </c>
      <c r="JB29" s="18">
        <v>5470</v>
      </c>
      <c r="JC29" s="18">
        <v>6150</v>
      </c>
      <c r="JD29" s="18">
        <v>6350</v>
      </c>
      <c r="JE29" s="18">
        <v>6440</v>
      </c>
      <c r="JF29" s="18">
        <v>6680</v>
      </c>
      <c r="JG29" s="18">
        <v>7090</v>
      </c>
      <c r="JH29" s="18">
        <v>7330</v>
      </c>
      <c r="JI29" s="18">
        <v>7560</v>
      </c>
      <c r="JJ29" s="18">
        <v>7990</v>
      </c>
      <c r="JK29" s="18">
        <v>8940</v>
      </c>
      <c r="JL29" s="18">
        <v>9110</v>
      </c>
      <c r="JM29" s="18">
        <v>8280</v>
      </c>
      <c r="JN29" s="18">
        <v>7570</v>
      </c>
      <c r="JO29" s="18">
        <v>7170</v>
      </c>
      <c r="JP29" s="18">
        <v>6820</v>
      </c>
      <c r="JQ29" s="18">
        <v>6390</v>
      </c>
      <c r="JR29" s="18">
        <v>6060</v>
      </c>
      <c r="JS29" s="18">
        <v>5650</v>
      </c>
      <c r="JT29" s="18">
        <v>5460</v>
      </c>
      <c r="JU29" s="18">
        <v>5280</v>
      </c>
      <c r="JV29" s="18">
        <v>5350</v>
      </c>
      <c r="JW29" s="18">
        <v>5490</v>
      </c>
      <c r="JX29" s="18">
        <v>5340</v>
      </c>
      <c r="JY29" s="18">
        <v>5180</v>
      </c>
      <c r="JZ29" s="18">
        <v>4950</v>
      </c>
      <c r="KA29" s="18">
        <v>4770</v>
      </c>
      <c r="KB29" s="18">
        <v>4640</v>
      </c>
      <c r="KC29" s="18">
        <v>4630</v>
      </c>
      <c r="KD29" s="18">
        <v>4650</v>
      </c>
      <c r="KE29" s="18">
        <v>4700</v>
      </c>
      <c r="KF29" s="18">
        <v>4490</v>
      </c>
      <c r="KG29" s="18">
        <v>4220</v>
      </c>
      <c r="KH29" s="18">
        <v>4070</v>
      </c>
      <c r="KI29" s="18">
        <v>4000</v>
      </c>
      <c r="KJ29" s="18">
        <v>3790</v>
      </c>
      <c r="KK29" s="18">
        <v>3690</v>
      </c>
      <c r="KL29" s="18">
        <v>3640</v>
      </c>
      <c r="KM29" s="18">
        <v>3520</v>
      </c>
      <c r="KN29" s="18">
        <v>3440</v>
      </c>
      <c r="KO29" s="18">
        <v>3340</v>
      </c>
      <c r="KP29" s="18">
        <v>3240</v>
      </c>
      <c r="KQ29" s="18">
        <v>3130</v>
      </c>
      <c r="KR29" s="18">
        <v>3160</v>
      </c>
      <c r="KS29" s="18">
        <v>3100</v>
      </c>
      <c r="KT29" s="18">
        <v>2970</v>
      </c>
      <c r="KU29" s="18">
        <v>2870</v>
      </c>
      <c r="KV29" s="18">
        <v>2760</v>
      </c>
      <c r="KW29" s="18">
        <v>2690</v>
      </c>
      <c r="KX29" s="18">
        <v>2610</v>
      </c>
      <c r="KY29" s="18">
        <v>2540</v>
      </c>
      <c r="KZ29" s="18">
        <v>2500</v>
      </c>
      <c r="LA29" s="18">
        <v>2470</v>
      </c>
      <c r="LB29" s="18">
        <v>2420</v>
      </c>
      <c r="LC29" s="18">
        <v>2390</v>
      </c>
      <c r="LD29" s="18">
        <v>2360</v>
      </c>
      <c r="LE29" s="18">
        <v>2300</v>
      </c>
      <c r="LF29" s="18">
        <v>2280</v>
      </c>
      <c r="LG29" s="18">
        <v>2290</v>
      </c>
      <c r="LH29" s="18">
        <v>2230</v>
      </c>
      <c r="LI29" s="18">
        <v>2200</v>
      </c>
      <c r="LJ29" s="18">
        <v>2170</v>
      </c>
      <c r="LK29" s="18">
        <v>2150</v>
      </c>
      <c r="LL29" s="18">
        <v>2120</v>
      </c>
      <c r="LM29" s="18">
        <v>2060</v>
      </c>
      <c r="LN29" s="18">
        <v>2030</v>
      </c>
      <c r="LO29" s="18">
        <v>2000</v>
      </c>
      <c r="LP29" s="18">
        <v>2000</v>
      </c>
      <c r="LQ29" s="18">
        <v>1980</v>
      </c>
      <c r="LR29" s="18">
        <v>1960</v>
      </c>
      <c r="LS29" s="18">
        <v>1940</v>
      </c>
      <c r="LT29" s="18">
        <v>1920</v>
      </c>
      <c r="LU29" s="18">
        <v>1910</v>
      </c>
      <c r="LV29" s="18">
        <v>1890</v>
      </c>
      <c r="LW29" s="18">
        <v>1880</v>
      </c>
      <c r="LX29" s="18">
        <v>1870</v>
      </c>
      <c r="LY29" s="18">
        <v>1850</v>
      </c>
      <c r="LZ29" s="18">
        <v>1840</v>
      </c>
      <c r="MA29" s="18">
        <v>1830</v>
      </c>
      <c r="MB29" s="18">
        <v>1800</v>
      </c>
      <c r="MC29" s="18">
        <v>1780</v>
      </c>
      <c r="MD29" s="18">
        <v>1740</v>
      </c>
      <c r="ME29" s="18">
        <v>1710</v>
      </c>
      <c r="MF29" s="18">
        <v>1700</v>
      </c>
      <c r="MG29" s="18">
        <v>1680</v>
      </c>
      <c r="MH29" s="18">
        <v>1660</v>
      </c>
      <c r="MI29" s="18">
        <v>1640</v>
      </c>
      <c r="MJ29" s="18">
        <v>1620</v>
      </c>
      <c r="MK29" s="18">
        <v>1600</v>
      </c>
      <c r="ML29" s="18">
        <v>1570</v>
      </c>
      <c r="MM29" s="18">
        <v>1550</v>
      </c>
      <c r="MN29" s="18">
        <v>1530</v>
      </c>
      <c r="MO29" s="18">
        <v>1510</v>
      </c>
      <c r="MP29" s="18">
        <v>1470</v>
      </c>
      <c r="MQ29" s="18">
        <v>1440</v>
      </c>
      <c r="MR29" s="18">
        <v>1410</v>
      </c>
      <c r="MS29" s="18">
        <v>1380</v>
      </c>
      <c r="MT29" s="18">
        <v>1360</v>
      </c>
      <c r="MU29" s="18">
        <v>1360</v>
      </c>
      <c r="MV29" s="18">
        <v>1340</v>
      </c>
      <c r="MW29" s="18">
        <v>1310</v>
      </c>
      <c r="MX29" s="18">
        <v>1290</v>
      </c>
      <c r="MY29" s="18">
        <v>1280</v>
      </c>
      <c r="MZ29" s="18">
        <v>1270</v>
      </c>
      <c r="NA29" s="18">
        <v>1260</v>
      </c>
      <c r="NB29" s="18">
        <v>1260</v>
      </c>
      <c r="NC29" s="18">
        <v>1260</v>
      </c>
      <c r="ND29" s="1">
        <v>1110</v>
      </c>
      <c r="NE29" s="1">
        <v>969</v>
      </c>
      <c r="NF29" s="1">
        <v>934</v>
      </c>
      <c r="NG29" s="1">
        <v>1040</v>
      </c>
      <c r="NH29" s="1">
        <v>1930</v>
      </c>
      <c r="NI29" s="1">
        <v>4340</v>
      </c>
      <c r="NJ29" s="1">
        <v>8130</v>
      </c>
      <c r="NK29" s="1">
        <v>5620</v>
      </c>
      <c r="NL29" s="1">
        <v>6920</v>
      </c>
      <c r="NM29" s="1">
        <v>4490</v>
      </c>
      <c r="NN29" s="1">
        <v>2230</v>
      </c>
      <c r="NO29" s="1">
        <v>1530</v>
      </c>
      <c r="NP29" s="1">
        <v>3277.3825136612022</v>
      </c>
      <c r="NQ29" s="1">
        <v>13200</v>
      </c>
      <c r="NR29" s="19">
        <v>42560</v>
      </c>
      <c r="NS29" s="1">
        <v>900</v>
      </c>
      <c r="NT29" s="19">
        <v>42450</v>
      </c>
    </row>
    <row r="30" spans="1:384" x14ac:dyDescent="0.15">
      <c r="A30" s="1">
        <v>1977</v>
      </c>
      <c r="B30" s="18">
        <v>1270</v>
      </c>
      <c r="C30" s="18">
        <v>1260</v>
      </c>
      <c r="D30" s="18">
        <v>1250</v>
      </c>
      <c r="E30" s="18">
        <v>1250</v>
      </c>
      <c r="F30" s="18">
        <v>1230</v>
      </c>
      <c r="G30" s="18">
        <v>1220</v>
      </c>
      <c r="H30" s="18">
        <v>1180</v>
      </c>
      <c r="I30" s="18">
        <v>1170</v>
      </c>
      <c r="J30" s="18">
        <v>1160</v>
      </c>
      <c r="K30" s="18">
        <v>1160</v>
      </c>
      <c r="L30" s="18">
        <v>1150</v>
      </c>
      <c r="M30" s="18">
        <v>1150</v>
      </c>
      <c r="N30" s="18">
        <v>1140</v>
      </c>
      <c r="O30" s="18">
        <v>1130</v>
      </c>
      <c r="P30" s="18">
        <v>1130</v>
      </c>
      <c r="Q30" s="18">
        <v>1120</v>
      </c>
      <c r="R30" s="18">
        <v>1100</v>
      </c>
      <c r="S30" s="18">
        <v>1100</v>
      </c>
      <c r="T30" s="18">
        <v>1100</v>
      </c>
      <c r="U30" s="18">
        <v>1100</v>
      </c>
      <c r="V30" s="18">
        <v>1100</v>
      </c>
      <c r="W30" s="18">
        <v>1090</v>
      </c>
      <c r="X30" s="18">
        <v>1090</v>
      </c>
      <c r="Y30" s="18">
        <v>1070</v>
      </c>
      <c r="Z30" s="18">
        <v>1060</v>
      </c>
      <c r="AA30" s="18">
        <v>1060</v>
      </c>
      <c r="AB30" s="18">
        <v>1050</v>
      </c>
      <c r="AC30" s="18">
        <v>1030</v>
      </c>
      <c r="AD30" s="18">
        <v>1020</v>
      </c>
      <c r="AE30" s="18">
        <v>1020</v>
      </c>
      <c r="AF30" s="18">
        <v>1020</v>
      </c>
      <c r="AG30" s="18">
        <v>1020</v>
      </c>
      <c r="AH30" s="18">
        <v>1020</v>
      </c>
      <c r="AI30" s="18">
        <v>1020</v>
      </c>
      <c r="AJ30" s="18">
        <v>1020</v>
      </c>
      <c r="AK30" s="18">
        <v>1010</v>
      </c>
      <c r="AL30" s="18">
        <v>1010</v>
      </c>
      <c r="AM30" s="18">
        <v>1000</v>
      </c>
      <c r="AN30" s="18">
        <v>1010</v>
      </c>
      <c r="AO30" s="18">
        <v>1020</v>
      </c>
      <c r="AP30" s="18">
        <v>1040</v>
      </c>
      <c r="AQ30" s="18">
        <v>1050</v>
      </c>
      <c r="AR30" s="18">
        <v>1040</v>
      </c>
      <c r="AS30" s="18">
        <v>1030</v>
      </c>
      <c r="AT30" s="18">
        <v>1010</v>
      </c>
      <c r="AU30" s="18">
        <v>995</v>
      </c>
      <c r="AV30" s="18">
        <v>989</v>
      </c>
      <c r="AW30" s="18">
        <v>987</v>
      </c>
      <c r="AX30" s="18">
        <v>986</v>
      </c>
      <c r="AY30" s="18">
        <v>992</v>
      </c>
      <c r="AZ30" s="18">
        <v>995</v>
      </c>
      <c r="BA30" s="18">
        <v>996</v>
      </c>
      <c r="BB30" s="18">
        <v>996</v>
      </c>
      <c r="BC30" s="18">
        <v>1000</v>
      </c>
      <c r="BD30" s="18">
        <v>1010</v>
      </c>
      <c r="BE30" s="18">
        <v>1010</v>
      </c>
      <c r="BF30" s="18">
        <v>1010</v>
      </c>
      <c r="BG30" s="18">
        <v>1000</v>
      </c>
      <c r="BH30" s="18">
        <v>998</v>
      </c>
      <c r="BI30" s="18"/>
      <c r="BJ30" s="18">
        <v>992</v>
      </c>
      <c r="BK30" s="18">
        <v>990</v>
      </c>
      <c r="BL30" s="18">
        <v>985</v>
      </c>
      <c r="BM30" s="18">
        <v>976</v>
      </c>
      <c r="BN30" s="18">
        <v>963</v>
      </c>
      <c r="BO30" s="18">
        <v>962</v>
      </c>
      <c r="BP30" s="18">
        <v>972</v>
      </c>
      <c r="BQ30" s="18">
        <v>983</v>
      </c>
      <c r="BR30" s="18">
        <v>988</v>
      </c>
      <c r="BS30" s="18">
        <v>983</v>
      </c>
      <c r="BT30" s="18">
        <v>974</v>
      </c>
      <c r="BU30" s="18">
        <v>963</v>
      </c>
      <c r="BV30" s="18">
        <v>954</v>
      </c>
      <c r="BW30" s="18">
        <v>951</v>
      </c>
      <c r="BX30" s="18">
        <v>948</v>
      </c>
      <c r="BY30" s="18">
        <v>951</v>
      </c>
      <c r="BZ30" s="18">
        <v>951</v>
      </c>
      <c r="CA30" s="18">
        <v>951</v>
      </c>
      <c r="CB30" s="18">
        <v>951</v>
      </c>
      <c r="CC30" s="18">
        <v>946</v>
      </c>
      <c r="CD30" s="18">
        <v>939</v>
      </c>
      <c r="CE30" s="18">
        <v>933</v>
      </c>
      <c r="CF30" s="18">
        <v>933</v>
      </c>
      <c r="CG30" s="18">
        <v>933</v>
      </c>
      <c r="CH30" s="18">
        <v>943</v>
      </c>
      <c r="CI30" s="18">
        <v>970</v>
      </c>
      <c r="CJ30" s="18">
        <v>990</v>
      </c>
      <c r="CK30" s="18">
        <v>968</v>
      </c>
      <c r="CL30" s="18">
        <v>940</v>
      </c>
      <c r="CM30" s="18">
        <v>939</v>
      </c>
      <c r="CN30" s="18">
        <v>965</v>
      </c>
      <c r="CO30" s="18">
        <v>1120</v>
      </c>
      <c r="CP30" s="18">
        <v>1300</v>
      </c>
      <c r="CQ30" s="18">
        <v>1330</v>
      </c>
      <c r="CR30" s="18">
        <v>1300</v>
      </c>
      <c r="CS30" s="18">
        <v>1280</v>
      </c>
      <c r="CT30" s="18">
        <v>1280</v>
      </c>
      <c r="CU30" s="18">
        <v>1330</v>
      </c>
      <c r="CV30" s="18">
        <v>1350</v>
      </c>
      <c r="CW30" s="18">
        <v>1380</v>
      </c>
      <c r="CX30" s="18">
        <v>1390</v>
      </c>
      <c r="CY30" s="18">
        <v>1420</v>
      </c>
      <c r="CZ30" s="18">
        <v>1520</v>
      </c>
      <c r="DA30" s="18">
        <v>1540</v>
      </c>
      <c r="DB30" s="18">
        <v>1480</v>
      </c>
      <c r="DC30" s="18">
        <v>1410</v>
      </c>
      <c r="DD30" s="18">
        <v>1390</v>
      </c>
      <c r="DE30" s="18">
        <v>1420</v>
      </c>
      <c r="DF30" s="18">
        <v>1490</v>
      </c>
      <c r="DG30" s="18">
        <v>1490</v>
      </c>
      <c r="DH30" s="18">
        <v>1450</v>
      </c>
      <c r="DI30" s="18">
        <v>1420</v>
      </c>
      <c r="DJ30" s="18">
        <v>1420</v>
      </c>
      <c r="DK30" s="18">
        <v>1420</v>
      </c>
      <c r="DL30" s="18">
        <v>1430</v>
      </c>
      <c r="DM30" s="18">
        <v>1480</v>
      </c>
      <c r="DN30" s="18">
        <v>1570</v>
      </c>
      <c r="DO30" s="18">
        <v>1660</v>
      </c>
      <c r="DP30" s="18">
        <v>1650</v>
      </c>
      <c r="DQ30" s="18">
        <v>1640</v>
      </c>
      <c r="DR30" s="18">
        <v>1600</v>
      </c>
      <c r="DS30" s="18">
        <v>1560</v>
      </c>
      <c r="DT30" s="18">
        <v>1550</v>
      </c>
      <c r="DU30" s="18">
        <v>1540</v>
      </c>
      <c r="DV30" s="18">
        <v>1540</v>
      </c>
      <c r="DW30" s="18">
        <v>1540</v>
      </c>
      <c r="DX30" s="18">
        <v>1540</v>
      </c>
      <c r="DY30" s="18">
        <v>1490</v>
      </c>
      <c r="DZ30" s="18">
        <v>1440</v>
      </c>
      <c r="EA30" s="18">
        <v>1410</v>
      </c>
      <c r="EB30" s="18">
        <v>1410</v>
      </c>
      <c r="EC30" s="18">
        <v>1390</v>
      </c>
      <c r="ED30" s="18">
        <v>1360</v>
      </c>
      <c r="EE30" s="18">
        <v>1370</v>
      </c>
      <c r="EF30" s="18">
        <v>1460</v>
      </c>
      <c r="EG30" s="18">
        <v>1640</v>
      </c>
      <c r="EH30" s="18">
        <v>1740</v>
      </c>
      <c r="EI30" s="18">
        <v>1860</v>
      </c>
      <c r="EJ30" s="18">
        <v>2020</v>
      </c>
      <c r="EK30" s="18">
        <v>2140</v>
      </c>
      <c r="EL30" s="18">
        <v>2270</v>
      </c>
      <c r="EM30" s="18">
        <v>2350</v>
      </c>
      <c r="EN30" s="18">
        <v>2460</v>
      </c>
      <c r="EO30" s="18">
        <v>2470</v>
      </c>
      <c r="EP30" s="18">
        <v>2320</v>
      </c>
      <c r="EQ30" s="18">
        <v>2170</v>
      </c>
      <c r="ER30" s="18">
        <v>2140</v>
      </c>
      <c r="ES30" s="18">
        <v>2140</v>
      </c>
      <c r="ET30" s="18">
        <v>2140</v>
      </c>
      <c r="EU30" s="18">
        <v>2120</v>
      </c>
      <c r="EV30" s="18">
        <v>2070</v>
      </c>
      <c r="EW30" s="18">
        <v>2090</v>
      </c>
      <c r="EX30" s="18">
        <v>2190</v>
      </c>
      <c r="EY30" s="18">
        <v>2360</v>
      </c>
      <c r="EZ30" s="18">
        <v>2590</v>
      </c>
      <c r="FA30" s="18">
        <v>2690</v>
      </c>
      <c r="FB30" s="18">
        <v>2600</v>
      </c>
      <c r="FC30" s="18">
        <v>2520</v>
      </c>
      <c r="FD30" s="18">
        <v>2560</v>
      </c>
      <c r="FE30" s="18">
        <v>2790</v>
      </c>
      <c r="FF30" s="18">
        <v>2920</v>
      </c>
      <c r="FG30" s="18">
        <v>3020</v>
      </c>
      <c r="FH30" s="18">
        <v>3210</v>
      </c>
      <c r="FI30" s="18">
        <v>3300</v>
      </c>
      <c r="FJ30" s="18">
        <v>3360</v>
      </c>
      <c r="FK30" s="18">
        <v>3570</v>
      </c>
      <c r="FL30" s="18">
        <v>3690</v>
      </c>
      <c r="FM30" s="18">
        <v>3670</v>
      </c>
      <c r="FN30" s="18">
        <v>3690</v>
      </c>
      <c r="FO30" s="18">
        <v>3820</v>
      </c>
      <c r="FP30" s="18">
        <v>4060</v>
      </c>
      <c r="FQ30" s="18">
        <v>4360</v>
      </c>
      <c r="FR30" s="18">
        <v>5290</v>
      </c>
      <c r="FS30" s="18">
        <v>5690</v>
      </c>
      <c r="FT30" s="18">
        <v>6240</v>
      </c>
      <c r="FU30" s="18">
        <v>6330</v>
      </c>
      <c r="FV30" s="18">
        <v>5840</v>
      </c>
      <c r="FW30" s="18">
        <v>5210</v>
      </c>
      <c r="FX30" s="18">
        <v>4640</v>
      </c>
      <c r="FY30" s="18">
        <v>4310</v>
      </c>
      <c r="FZ30" s="18">
        <v>4270</v>
      </c>
      <c r="GA30" s="18">
        <v>4250</v>
      </c>
      <c r="GB30" s="18">
        <v>4190</v>
      </c>
      <c r="GC30" s="18">
        <v>4000</v>
      </c>
      <c r="GD30" s="18">
        <v>4140</v>
      </c>
      <c r="GE30" s="18">
        <v>4240</v>
      </c>
      <c r="GF30" s="18">
        <v>4030</v>
      </c>
      <c r="GG30" s="18">
        <v>4130</v>
      </c>
      <c r="GH30" s="18">
        <v>4400</v>
      </c>
      <c r="GI30" s="18">
        <v>4650</v>
      </c>
      <c r="GJ30" s="18">
        <v>4740</v>
      </c>
      <c r="GK30" s="18">
        <v>4830</v>
      </c>
      <c r="GL30" s="18">
        <v>4920</v>
      </c>
      <c r="GM30" s="18">
        <v>5120</v>
      </c>
      <c r="GN30" s="18">
        <v>5500</v>
      </c>
      <c r="GO30" s="18">
        <v>5560</v>
      </c>
      <c r="GP30" s="18">
        <v>5260</v>
      </c>
      <c r="GQ30" s="18">
        <v>5000</v>
      </c>
      <c r="GR30" s="18">
        <v>4560</v>
      </c>
      <c r="GS30" s="18">
        <v>4340</v>
      </c>
      <c r="GT30" s="18">
        <v>4510</v>
      </c>
      <c r="GU30" s="18">
        <v>5300</v>
      </c>
      <c r="GV30" s="18">
        <v>5080</v>
      </c>
      <c r="GW30" s="18">
        <v>5150</v>
      </c>
      <c r="GX30" s="18">
        <v>5780</v>
      </c>
      <c r="GY30" s="18">
        <v>6320</v>
      </c>
      <c r="GZ30" s="18">
        <v>6530</v>
      </c>
      <c r="HA30" s="18">
        <v>7680</v>
      </c>
      <c r="HB30" s="18">
        <v>8050</v>
      </c>
      <c r="HC30" s="18">
        <v>7610</v>
      </c>
      <c r="HD30" s="18">
        <v>7420</v>
      </c>
      <c r="HE30" s="18">
        <v>8720</v>
      </c>
      <c r="HF30" s="18">
        <v>10000</v>
      </c>
      <c r="HG30" s="18">
        <v>10700</v>
      </c>
      <c r="HH30" s="18">
        <v>10600</v>
      </c>
      <c r="HI30" s="18">
        <v>9240</v>
      </c>
      <c r="HJ30" s="18">
        <v>7890</v>
      </c>
      <c r="HK30" s="18">
        <v>7010</v>
      </c>
      <c r="HL30" s="18">
        <v>6180</v>
      </c>
      <c r="HM30" s="18">
        <v>5670</v>
      </c>
      <c r="HN30" s="18">
        <v>5320</v>
      </c>
      <c r="HO30" s="18">
        <v>5060</v>
      </c>
      <c r="HP30" s="18">
        <v>4850</v>
      </c>
      <c r="HQ30" s="18">
        <v>4730</v>
      </c>
      <c r="HR30" s="18">
        <v>4610</v>
      </c>
      <c r="HS30" s="18">
        <v>5030</v>
      </c>
      <c r="HT30" s="18">
        <v>5850</v>
      </c>
      <c r="HU30" s="18">
        <v>6170</v>
      </c>
      <c r="HV30" s="18">
        <v>6500</v>
      </c>
      <c r="HW30" s="18">
        <v>7090</v>
      </c>
      <c r="HX30" s="18">
        <v>7720</v>
      </c>
      <c r="HY30" s="18">
        <v>7720</v>
      </c>
      <c r="HZ30" s="18">
        <v>7570</v>
      </c>
      <c r="IA30" s="18">
        <v>8600</v>
      </c>
      <c r="IB30" s="18">
        <v>11200</v>
      </c>
      <c r="IC30" s="18">
        <v>11900</v>
      </c>
      <c r="ID30" s="18">
        <v>10500</v>
      </c>
      <c r="IE30" s="18">
        <v>10100</v>
      </c>
      <c r="IF30" s="18">
        <v>10300</v>
      </c>
      <c r="IG30" s="18">
        <v>10400</v>
      </c>
      <c r="IH30" s="18">
        <v>11200</v>
      </c>
      <c r="II30" s="18">
        <v>11800</v>
      </c>
      <c r="IJ30" s="18">
        <v>11100</v>
      </c>
      <c r="IK30" s="18">
        <v>9940</v>
      </c>
      <c r="IL30" s="18">
        <v>8650</v>
      </c>
      <c r="IM30" s="18">
        <v>7710</v>
      </c>
      <c r="IN30" s="18">
        <v>7170</v>
      </c>
      <c r="IO30" s="18">
        <v>6940</v>
      </c>
      <c r="IP30" s="18">
        <v>6720</v>
      </c>
      <c r="IQ30" s="18">
        <v>6430</v>
      </c>
      <c r="IR30" s="18">
        <v>6080</v>
      </c>
      <c r="IS30" s="18">
        <v>5910</v>
      </c>
      <c r="IT30" s="18">
        <v>5890</v>
      </c>
      <c r="IU30" s="18">
        <v>5820</v>
      </c>
      <c r="IV30" s="18">
        <v>5570</v>
      </c>
      <c r="IW30" s="18">
        <v>5510</v>
      </c>
      <c r="IX30" s="18">
        <v>5370</v>
      </c>
      <c r="IY30" s="18">
        <v>5490</v>
      </c>
      <c r="IZ30" s="18">
        <v>6170</v>
      </c>
      <c r="JA30" s="18">
        <v>6580</v>
      </c>
      <c r="JB30" s="18">
        <v>6560</v>
      </c>
      <c r="JC30" s="18">
        <v>6790</v>
      </c>
      <c r="JD30" s="18">
        <v>8210</v>
      </c>
      <c r="JE30" s="18">
        <v>8410</v>
      </c>
      <c r="JF30" s="18">
        <v>8420</v>
      </c>
      <c r="JG30" s="18">
        <v>8730</v>
      </c>
      <c r="JH30" s="18">
        <v>9250</v>
      </c>
      <c r="JI30" s="18">
        <v>9570</v>
      </c>
      <c r="JJ30" s="18">
        <v>9040</v>
      </c>
      <c r="JK30" s="18">
        <v>8150</v>
      </c>
      <c r="JL30" s="18">
        <v>7480</v>
      </c>
      <c r="JM30" s="18">
        <v>6900</v>
      </c>
      <c r="JN30" s="18">
        <v>6450</v>
      </c>
      <c r="JO30" s="18">
        <v>6210</v>
      </c>
      <c r="JP30" s="18">
        <v>6510</v>
      </c>
      <c r="JQ30" s="18">
        <v>6960</v>
      </c>
      <c r="JR30" s="18">
        <v>7250</v>
      </c>
      <c r="JS30" s="18">
        <v>7460</v>
      </c>
      <c r="JT30" s="18">
        <v>7230</v>
      </c>
      <c r="JU30" s="18">
        <v>6870</v>
      </c>
      <c r="JV30" s="18">
        <v>6780</v>
      </c>
      <c r="JW30" s="18">
        <v>6850</v>
      </c>
      <c r="JX30" s="18">
        <v>6560</v>
      </c>
      <c r="JY30" s="18">
        <v>6410</v>
      </c>
      <c r="JZ30" s="18">
        <v>6250</v>
      </c>
      <c r="KA30" s="18">
        <v>6090</v>
      </c>
      <c r="KB30" s="18">
        <v>5940</v>
      </c>
      <c r="KC30" s="18">
        <v>5810</v>
      </c>
      <c r="KD30" s="18">
        <v>5640</v>
      </c>
      <c r="KE30" s="18">
        <v>5520</v>
      </c>
      <c r="KF30" s="18">
        <v>5420</v>
      </c>
      <c r="KG30" s="18">
        <v>5280</v>
      </c>
      <c r="KH30" s="18">
        <v>5140</v>
      </c>
      <c r="KI30" s="18">
        <v>4940</v>
      </c>
      <c r="KJ30" s="18">
        <v>4750</v>
      </c>
      <c r="KK30" s="18">
        <v>4580</v>
      </c>
      <c r="KL30" s="18">
        <v>4430</v>
      </c>
      <c r="KM30" s="18">
        <v>4290</v>
      </c>
      <c r="KN30" s="18">
        <v>4160</v>
      </c>
      <c r="KO30" s="18">
        <v>4040</v>
      </c>
      <c r="KP30" s="18">
        <v>3900</v>
      </c>
      <c r="KQ30" s="18">
        <v>3760</v>
      </c>
      <c r="KR30" s="18">
        <v>3640</v>
      </c>
      <c r="KS30" s="18">
        <v>3560</v>
      </c>
      <c r="KT30" s="18">
        <v>3470</v>
      </c>
      <c r="KU30" s="18">
        <v>3360</v>
      </c>
      <c r="KV30" s="18">
        <v>3270</v>
      </c>
      <c r="KW30" s="18">
        <v>3250</v>
      </c>
      <c r="KX30" s="18">
        <v>3220</v>
      </c>
      <c r="KY30" s="18">
        <v>3110</v>
      </c>
      <c r="KZ30" s="18">
        <v>3030</v>
      </c>
      <c r="LA30" s="18">
        <v>2990</v>
      </c>
      <c r="LB30" s="18">
        <v>2950</v>
      </c>
      <c r="LC30" s="18">
        <v>2920</v>
      </c>
      <c r="LD30" s="18">
        <v>2870</v>
      </c>
      <c r="LE30" s="18">
        <v>2800</v>
      </c>
      <c r="LF30" s="18">
        <v>2740</v>
      </c>
      <c r="LG30" s="18">
        <v>2680</v>
      </c>
      <c r="LH30" s="18">
        <v>2640</v>
      </c>
      <c r="LI30" s="18">
        <v>2650</v>
      </c>
      <c r="LJ30" s="18">
        <v>2620</v>
      </c>
      <c r="LK30" s="18">
        <v>2560</v>
      </c>
      <c r="LL30" s="18">
        <v>2500</v>
      </c>
      <c r="LM30" s="18">
        <v>2440</v>
      </c>
      <c r="LN30" s="18">
        <v>2380</v>
      </c>
      <c r="LO30" s="18">
        <v>2340</v>
      </c>
      <c r="LP30" s="18">
        <v>2290</v>
      </c>
      <c r="LQ30" s="18">
        <v>2230</v>
      </c>
      <c r="LR30" s="18">
        <v>2190</v>
      </c>
      <c r="LS30" s="18">
        <v>2150</v>
      </c>
      <c r="LT30" s="18">
        <v>2110</v>
      </c>
      <c r="LU30" s="18">
        <v>2070</v>
      </c>
      <c r="LV30" s="18">
        <v>2060</v>
      </c>
      <c r="LW30" s="18">
        <v>2040</v>
      </c>
      <c r="LX30" s="18">
        <v>2020</v>
      </c>
      <c r="LY30" s="18">
        <v>2020</v>
      </c>
      <c r="LZ30" s="18">
        <v>1990</v>
      </c>
      <c r="MA30" s="18">
        <v>1970</v>
      </c>
      <c r="MB30" s="18">
        <v>1940</v>
      </c>
      <c r="MC30" s="18">
        <v>1940</v>
      </c>
      <c r="MD30" s="18">
        <v>1930</v>
      </c>
      <c r="ME30" s="18">
        <v>1910</v>
      </c>
      <c r="MF30" s="18">
        <v>1890</v>
      </c>
      <c r="MG30" s="18">
        <v>1880</v>
      </c>
      <c r="MH30" s="18">
        <v>1840</v>
      </c>
      <c r="MI30" s="18">
        <v>1820</v>
      </c>
      <c r="MJ30" s="18">
        <v>1800</v>
      </c>
      <c r="MK30" s="18">
        <v>1770</v>
      </c>
      <c r="ML30" s="18">
        <v>1730</v>
      </c>
      <c r="MM30" s="18">
        <v>1700</v>
      </c>
      <c r="MN30" s="18">
        <v>1670</v>
      </c>
      <c r="MO30" s="18">
        <v>1650</v>
      </c>
      <c r="MP30" s="18">
        <v>1630</v>
      </c>
      <c r="MQ30" s="18">
        <v>1620</v>
      </c>
      <c r="MR30" s="18">
        <v>1600</v>
      </c>
      <c r="MS30" s="18">
        <v>1590</v>
      </c>
      <c r="MT30" s="18">
        <v>1570</v>
      </c>
      <c r="MU30" s="18">
        <v>1540</v>
      </c>
      <c r="MV30" s="18">
        <v>1520</v>
      </c>
      <c r="MW30" s="18">
        <v>1500</v>
      </c>
      <c r="MX30" s="18">
        <v>1490</v>
      </c>
      <c r="MY30" s="18">
        <v>1480</v>
      </c>
      <c r="MZ30" s="18">
        <v>1470</v>
      </c>
      <c r="NA30" s="18">
        <v>1460</v>
      </c>
      <c r="NB30" s="18">
        <v>1440</v>
      </c>
      <c r="NC30" s="18">
        <v>1420</v>
      </c>
      <c r="ND30" s="1">
        <v>1130</v>
      </c>
      <c r="NE30" s="1">
        <v>1010</v>
      </c>
      <c r="NF30" s="1">
        <v>961</v>
      </c>
      <c r="NG30" s="1">
        <v>1430</v>
      </c>
      <c r="NH30" s="1">
        <v>1830</v>
      </c>
      <c r="NI30" s="1">
        <v>3840</v>
      </c>
      <c r="NJ30" s="1">
        <v>5540</v>
      </c>
      <c r="NK30" s="1">
        <v>8150</v>
      </c>
      <c r="NL30" s="1">
        <v>7070</v>
      </c>
      <c r="NM30" s="1">
        <v>5470</v>
      </c>
      <c r="NN30" s="1">
        <v>2620</v>
      </c>
      <c r="NO30" s="1">
        <v>1700</v>
      </c>
      <c r="NP30" s="1">
        <v>3410.9890410958906</v>
      </c>
      <c r="NQ30" s="1">
        <v>11900</v>
      </c>
      <c r="NR30" s="19">
        <v>42605</v>
      </c>
      <c r="NS30" s="1">
        <v>933</v>
      </c>
      <c r="NT30" s="19">
        <v>42451</v>
      </c>
    </row>
    <row r="31" spans="1:384" x14ac:dyDescent="0.15">
      <c r="A31" s="1">
        <v>1978</v>
      </c>
      <c r="B31" s="18">
        <v>1410</v>
      </c>
      <c r="C31" s="18">
        <v>1410</v>
      </c>
      <c r="D31" s="18">
        <v>1420</v>
      </c>
      <c r="E31" s="18">
        <v>1420</v>
      </c>
      <c r="F31" s="18">
        <v>1410</v>
      </c>
      <c r="G31" s="18">
        <v>1390</v>
      </c>
      <c r="H31" s="18">
        <v>1380</v>
      </c>
      <c r="I31" s="18">
        <v>1350</v>
      </c>
      <c r="J31" s="18">
        <v>1330</v>
      </c>
      <c r="K31" s="18">
        <v>1320</v>
      </c>
      <c r="L31" s="18">
        <v>1310</v>
      </c>
      <c r="M31" s="18">
        <v>1290</v>
      </c>
      <c r="N31" s="18">
        <v>1290</v>
      </c>
      <c r="O31" s="18">
        <v>1280</v>
      </c>
      <c r="P31" s="18">
        <v>1260</v>
      </c>
      <c r="Q31" s="18">
        <v>1250</v>
      </c>
      <c r="R31" s="18">
        <v>1240</v>
      </c>
      <c r="S31" s="18">
        <v>1220</v>
      </c>
      <c r="T31" s="18">
        <v>1220</v>
      </c>
      <c r="U31" s="18">
        <v>1200</v>
      </c>
      <c r="V31" s="18">
        <v>1210</v>
      </c>
      <c r="W31" s="18">
        <v>1220</v>
      </c>
      <c r="X31" s="18">
        <v>1210</v>
      </c>
      <c r="Y31" s="18">
        <v>1200</v>
      </c>
      <c r="Z31" s="18">
        <v>1190</v>
      </c>
      <c r="AA31" s="18">
        <v>1170</v>
      </c>
      <c r="AB31" s="18">
        <v>1160</v>
      </c>
      <c r="AC31" s="18">
        <v>1150</v>
      </c>
      <c r="AD31" s="18">
        <v>1130</v>
      </c>
      <c r="AE31" s="18">
        <v>1120</v>
      </c>
      <c r="AF31" s="18">
        <v>1110</v>
      </c>
      <c r="AG31" s="18">
        <v>1110</v>
      </c>
      <c r="AH31" s="18">
        <v>1090</v>
      </c>
      <c r="AI31" s="18">
        <v>1090</v>
      </c>
      <c r="AJ31" s="18">
        <v>1090</v>
      </c>
      <c r="AK31" s="18">
        <v>1090</v>
      </c>
      <c r="AL31" s="18">
        <v>1090</v>
      </c>
      <c r="AM31" s="18">
        <v>1090</v>
      </c>
      <c r="AN31" s="18">
        <v>1080</v>
      </c>
      <c r="AO31" s="18">
        <v>1090</v>
      </c>
      <c r="AP31" s="18">
        <v>1080</v>
      </c>
      <c r="AQ31" s="18">
        <v>1070</v>
      </c>
      <c r="AR31" s="18">
        <v>1070</v>
      </c>
      <c r="AS31" s="18">
        <v>1050</v>
      </c>
      <c r="AT31" s="18">
        <v>1050</v>
      </c>
      <c r="AU31" s="18">
        <v>1040</v>
      </c>
      <c r="AV31" s="18">
        <v>1030</v>
      </c>
      <c r="AW31" s="18">
        <v>1020</v>
      </c>
      <c r="AX31" s="18">
        <v>1010</v>
      </c>
      <c r="AY31" s="18">
        <v>1010</v>
      </c>
      <c r="AZ31" s="18">
        <v>1010</v>
      </c>
      <c r="BA31" s="18">
        <v>1010</v>
      </c>
      <c r="BB31" s="18">
        <v>1030</v>
      </c>
      <c r="BC31" s="18">
        <v>1030</v>
      </c>
      <c r="BD31" s="18">
        <v>1050</v>
      </c>
      <c r="BE31" s="18">
        <v>1050</v>
      </c>
      <c r="BF31" s="18">
        <v>1030</v>
      </c>
      <c r="BG31" s="18">
        <v>1020</v>
      </c>
      <c r="BH31" s="18">
        <v>1020</v>
      </c>
      <c r="BI31" s="18"/>
      <c r="BJ31" s="18">
        <v>1010</v>
      </c>
      <c r="BK31" s="18">
        <v>992</v>
      </c>
      <c r="BL31" s="18">
        <v>975</v>
      </c>
      <c r="BM31" s="18">
        <v>973</v>
      </c>
      <c r="BN31" s="18">
        <v>970</v>
      </c>
      <c r="BO31" s="18">
        <v>970</v>
      </c>
      <c r="BP31" s="18">
        <v>967</v>
      </c>
      <c r="BQ31" s="18">
        <v>967</v>
      </c>
      <c r="BR31" s="18">
        <v>972</v>
      </c>
      <c r="BS31" s="18">
        <v>973</v>
      </c>
      <c r="BT31" s="18">
        <v>970</v>
      </c>
      <c r="BU31" s="18">
        <v>967</v>
      </c>
      <c r="BV31" s="18">
        <v>964</v>
      </c>
      <c r="BW31" s="18">
        <v>956</v>
      </c>
      <c r="BX31" s="18">
        <v>949</v>
      </c>
      <c r="BY31" s="18">
        <v>949</v>
      </c>
      <c r="BZ31" s="18">
        <v>962</v>
      </c>
      <c r="CA31" s="18">
        <v>970</v>
      </c>
      <c r="CB31" s="18">
        <v>965</v>
      </c>
      <c r="CC31" s="18">
        <v>966</v>
      </c>
      <c r="CD31" s="18">
        <v>964</v>
      </c>
      <c r="CE31" s="18">
        <v>951</v>
      </c>
      <c r="CF31" s="18">
        <v>949</v>
      </c>
      <c r="CG31" s="18">
        <v>960</v>
      </c>
      <c r="CH31" s="18">
        <v>972</v>
      </c>
      <c r="CI31" s="18">
        <v>978</v>
      </c>
      <c r="CJ31" s="18">
        <v>982</v>
      </c>
      <c r="CK31" s="18">
        <v>980</v>
      </c>
      <c r="CL31" s="18">
        <v>968</v>
      </c>
      <c r="CM31" s="18">
        <v>958</v>
      </c>
      <c r="CN31" s="18">
        <v>947</v>
      </c>
      <c r="CO31" s="18">
        <v>954</v>
      </c>
      <c r="CP31" s="18">
        <v>956</v>
      </c>
      <c r="CQ31" s="18">
        <v>960</v>
      </c>
      <c r="CR31" s="18">
        <v>962</v>
      </c>
      <c r="CS31" s="18">
        <v>963</v>
      </c>
      <c r="CT31" s="18">
        <v>958</v>
      </c>
      <c r="CU31" s="18">
        <v>945</v>
      </c>
      <c r="CV31" s="18">
        <v>940</v>
      </c>
      <c r="CW31" s="18">
        <v>945</v>
      </c>
      <c r="CX31" s="18">
        <v>965</v>
      </c>
      <c r="CY31" s="18">
        <v>967</v>
      </c>
      <c r="CZ31" s="18">
        <v>967</v>
      </c>
      <c r="DA31" s="18">
        <v>972</v>
      </c>
      <c r="DB31" s="18">
        <v>976</v>
      </c>
      <c r="DC31" s="18">
        <v>971</v>
      </c>
      <c r="DD31" s="18">
        <v>979</v>
      </c>
      <c r="DE31" s="18">
        <v>997</v>
      </c>
      <c r="DF31" s="18">
        <v>1030</v>
      </c>
      <c r="DG31" s="18">
        <v>1110</v>
      </c>
      <c r="DH31" s="18">
        <v>1200</v>
      </c>
      <c r="DI31" s="18">
        <v>1280</v>
      </c>
      <c r="DJ31" s="18">
        <v>1340</v>
      </c>
      <c r="DK31" s="18">
        <v>1400</v>
      </c>
      <c r="DL31" s="18">
        <v>1540</v>
      </c>
      <c r="DM31" s="18">
        <v>1710</v>
      </c>
      <c r="DN31" s="18">
        <v>1740</v>
      </c>
      <c r="DO31" s="18">
        <v>1720</v>
      </c>
      <c r="DP31" s="18">
        <v>1690</v>
      </c>
      <c r="DQ31" s="18">
        <v>1680</v>
      </c>
      <c r="DR31" s="18">
        <v>1750</v>
      </c>
      <c r="DS31" s="18">
        <v>1880</v>
      </c>
      <c r="DT31" s="18">
        <v>1930</v>
      </c>
      <c r="DU31" s="18">
        <v>1840</v>
      </c>
      <c r="DV31" s="18">
        <v>1750</v>
      </c>
      <c r="DW31" s="18">
        <v>1690</v>
      </c>
      <c r="DX31" s="18">
        <v>1800</v>
      </c>
      <c r="DY31" s="18">
        <v>1960</v>
      </c>
      <c r="DZ31" s="18">
        <v>2000</v>
      </c>
      <c r="EA31" s="18">
        <v>1930</v>
      </c>
      <c r="EB31" s="18">
        <v>1840</v>
      </c>
      <c r="EC31" s="18">
        <v>1790</v>
      </c>
      <c r="ED31" s="18">
        <v>1880</v>
      </c>
      <c r="EE31" s="18">
        <v>2050</v>
      </c>
      <c r="EF31" s="18">
        <v>2090</v>
      </c>
      <c r="EG31" s="18">
        <v>2080</v>
      </c>
      <c r="EH31" s="18">
        <v>1990</v>
      </c>
      <c r="EI31" s="18">
        <v>2090</v>
      </c>
      <c r="EJ31" s="18">
        <v>2140</v>
      </c>
      <c r="EK31" s="18">
        <v>2200</v>
      </c>
      <c r="EL31" s="18">
        <v>2410</v>
      </c>
      <c r="EM31" s="18">
        <v>2720</v>
      </c>
      <c r="EN31" s="18">
        <v>3380</v>
      </c>
      <c r="EO31" s="18">
        <v>3940</v>
      </c>
      <c r="EP31" s="18">
        <v>4100</v>
      </c>
      <c r="EQ31" s="18">
        <v>3970</v>
      </c>
      <c r="ER31" s="18">
        <v>3820</v>
      </c>
      <c r="ES31" s="18">
        <v>3710</v>
      </c>
      <c r="ET31" s="18">
        <v>3890</v>
      </c>
      <c r="EU31" s="18">
        <v>3760</v>
      </c>
      <c r="EV31" s="18">
        <v>3670</v>
      </c>
      <c r="EW31" s="18">
        <v>3570</v>
      </c>
      <c r="EX31" s="18">
        <v>3410</v>
      </c>
      <c r="EY31" s="18">
        <v>3520</v>
      </c>
      <c r="EZ31" s="18">
        <v>3760</v>
      </c>
      <c r="FA31" s="18">
        <v>4090</v>
      </c>
      <c r="FB31" s="18">
        <v>4190</v>
      </c>
      <c r="FC31" s="18">
        <v>4380</v>
      </c>
      <c r="FD31" s="18">
        <v>4640</v>
      </c>
      <c r="FE31" s="18">
        <v>4710</v>
      </c>
      <c r="FF31" s="18">
        <v>4790</v>
      </c>
      <c r="FG31" s="18">
        <v>4940</v>
      </c>
      <c r="FH31" s="18">
        <v>4620</v>
      </c>
      <c r="FI31" s="18">
        <v>4390</v>
      </c>
      <c r="FJ31" s="18">
        <v>4400</v>
      </c>
      <c r="FK31" s="18">
        <v>4340</v>
      </c>
      <c r="FL31" s="18">
        <v>4310</v>
      </c>
      <c r="FM31" s="18">
        <v>4460</v>
      </c>
      <c r="FN31" s="18">
        <v>4950</v>
      </c>
      <c r="FO31" s="18">
        <v>5460</v>
      </c>
      <c r="FP31" s="18">
        <v>6320</v>
      </c>
      <c r="FQ31" s="18">
        <v>6950</v>
      </c>
      <c r="FR31" s="18">
        <v>8610</v>
      </c>
      <c r="FS31" s="18">
        <v>11300</v>
      </c>
      <c r="FT31" s="18">
        <v>10700</v>
      </c>
      <c r="FU31" s="18">
        <v>9400</v>
      </c>
      <c r="FV31" s="18">
        <v>8540</v>
      </c>
      <c r="FW31" s="18">
        <v>8280</v>
      </c>
      <c r="FX31" s="18">
        <v>8700</v>
      </c>
      <c r="FY31" s="18">
        <v>9470</v>
      </c>
      <c r="FZ31" s="18">
        <v>10300</v>
      </c>
      <c r="GA31" s="18">
        <v>9950</v>
      </c>
      <c r="GB31" s="18">
        <v>9370</v>
      </c>
      <c r="GC31" s="18">
        <v>8140</v>
      </c>
      <c r="GD31" s="18">
        <v>7140</v>
      </c>
      <c r="GE31" s="18">
        <v>6600</v>
      </c>
      <c r="GF31" s="18">
        <v>6930</v>
      </c>
      <c r="GG31" s="18">
        <v>8030</v>
      </c>
      <c r="GH31" s="18">
        <v>10000</v>
      </c>
      <c r="GI31" s="18">
        <v>10500</v>
      </c>
      <c r="GJ31" s="18">
        <v>9530</v>
      </c>
      <c r="GK31" s="18">
        <v>8330</v>
      </c>
      <c r="GL31" s="18">
        <v>7530</v>
      </c>
      <c r="GM31" s="18">
        <v>6790</v>
      </c>
      <c r="GN31" s="18">
        <v>6280</v>
      </c>
      <c r="GO31" s="18">
        <v>5900</v>
      </c>
      <c r="GP31" s="18">
        <v>5710</v>
      </c>
      <c r="GQ31" s="18">
        <v>5710</v>
      </c>
      <c r="GR31" s="18">
        <v>6150</v>
      </c>
      <c r="GS31" s="18">
        <v>7610</v>
      </c>
      <c r="GT31" s="18">
        <v>9130</v>
      </c>
      <c r="GU31" s="18">
        <v>10000</v>
      </c>
      <c r="GV31" s="18">
        <v>9320</v>
      </c>
      <c r="GW31" s="18">
        <v>8210</v>
      </c>
      <c r="GX31" s="18">
        <v>7580</v>
      </c>
      <c r="GY31" s="18">
        <v>7340</v>
      </c>
      <c r="GZ31" s="18">
        <v>7260</v>
      </c>
      <c r="HA31" s="18">
        <v>6940</v>
      </c>
      <c r="HB31" s="18">
        <v>7040</v>
      </c>
      <c r="HC31" s="18">
        <v>7400</v>
      </c>
      <c r="HD31" s="18">
        <v>8260</v>
      </c>
      <c r="HE31" s="18">
        <v>8750</v>
      </c>
      <c r="HF31" s="18">
        <v>9640</v>
      </c>
      <c r="HG31" s="18">
        <v>9730</v>
      </c>
      <c r="HH31" s="18">
        <v>9970</v>
      </c>
      <c r="HI31" s="18">
        <v>11200</v>
      </c>
      <c r="HJ31" s="18">
        <v>11400</v>
      </c>
      <c r="HK31" s="18">
        <v>11000</v>
      </c>
      <c r="HL31" s="18">
        <v>10600</v>
      </c>
      <c r="HM31" s="18">
        <v>10600</v>
      </c>
      <c r="HN31" s="18">
        <v>10000</v>
      </c>
      <c r="HO31" s="18">
        <v>9650</v>
      </c>
      <c r="HP31" s="18">
        <v>9420</v>
      </c>
      <c r="HQ31" s="18">
        <v>10500</v>
      </c>
      <c r="HR31" s="18">
        <v>11700</v>
      </c>
      <c r="HS31" s="18">
        <v>11300</v>
      </c>
      <c r="HT31" s="18">
        <v>10100</v>
      </c>
      <c r="HU31" s="18">
        <v>8800</v>
      </c>
      <c r="HV31" s="18">
        <v>7950</v>
      </c>
      <c r="HW31" s="18">
        <v>7850</v>
      </c>
      <c r="HX31" s="18">
        <v>7790</v>
      </c>
      <c r="HY31" s="18">
        <v>8120</v>
      </c>
      <c r="HZ31" s="18">
        <v>8100</v>
      </c>
      <c r="IA31" s="18">
        <v>7900</v>
      </c>
      <c r="IB31" s="18">
        <v>7440</v>
      </c>
      <c r="IC31" s="18">
        <v>6850</v>
      </c>
      <c r="ID31" s="18">
        <v>6310</v>
      </c>
      <c r="IE31" s="18">
        <v>5930</v>
      </c>
      <c r="IF31" s="18">
        <v>5710</v>
      </c>
      <c r="IG31" s="18">
        <v>5510</v>
      </c>
      <c r="IH31" s="18">
        <v>5400</v>
      </c>
      <c r="II31" s="18">
        <v>5240</v>
      </c>
      <c r="IJ31" s="18">
        <v>5080</v>
      </c>
      <c r="IK31" s="18">
        <v>4990</v>
      </c>
      <c r="IL31" s="18">
        <v>4920</v>
      </c>
      <c r="IM31" s="18">
        <v>4850</v>
      </c>
      <c r="IN31" s="18">
        <v>4910</v>
      </c>
      <c r="IO31" s="18">
        <v>5280</v>
      </c>
      <c r="IP31" s="18">
        <v>5630</v>
      </c>
      <c r="IQ31" s="18">
        <v>6120</v>
      </c>
      <c r="IR31" s="18">
        <v>6810</v>
      </c>
      <c r="IS31" s="18">
        <v>7110</v>
      </c>
      <c r="IT31" s="18">
        <v>7120</v>
      </c>
      <c r="IU31" s="18">
        <v>6890</v>
      </c>
      <c r="IV31" s="18">
        <v>6760</v>
      </c>
      <c r="IW31" s="18">
        <v>6900</v>
      </c>
      <c r="IX31" s="18">
        <v>6890</v>
      </c>
      <c r="IY31" s="18">
        <v>7590</v>
      </c>
      <c r="IZ31" s="18">
        <v>7990</v>
      </c>
      <c r="JA31" s="18">
        <v>8260</v>
      </c>
      <c r="JB31" s="18">
        <v>8010</v>
      </c>
      <c r="JC31" s="18">
        <v>7670</v>
      </c>
      <c r="JD31" s="18">
        <v>8490</v>
      </c>
      <c r="JE31" s="18">
        <v>8000</v>
      </c>
      <c r="JF31" s="18">
        <v>7720</v>
      </c>
      <c r="JG31" s="18">
        <v>7820</v>
      </c>
      <c r="JH31" s="18">
        <v>8130</v>
      </c>
      <c r="JI31" s="18">
        <v>8620</v>
      </c>
      <c r="JJ31" s="18">
        <v>8660</v>
      </c>
      <c r="JK31" s="18">
        <v>8640</v>
      </c>
      <c r="JL31" s="18">
        <v>8500</v>
      </c>
      <c r="JM31" s="18">
        <v>8740</v>
      </c>
      <c r="JN31" s="18">
        <v>9200</v>
      </c>
      <c r="JO31" s="18">
        <v>8910</v>
      </c>
      <c r="JP31" s="18">
        <v>8130</v>
      </c>
      <c r="JQ31" s="18">
        <v>7390</v>
      </c>
      <c r="JR31" s="18">
        <v>6860</v>
      </c>
      <c r="JS31" s="18">
        <v>6460</v>
      </c>
      <c r="JT31" s="18">
        <v>6160</v>
      </c>
      <c r="JU31" s="18">
        <v>5950</v>
      </c>
      <c r="JV31" s="18">
        <v>5810</v>
      </c>
      <c r="JW31" s="18">
        <v>5640</v>
      </c>
      <c r="JX31" s="18">
        <v>5520</v>
      </c>
      <c r="JY31" s="18">
        <v>5450</v>
      </c>
      <c r="JZ31" s="18">
        <v>5330</v>
      </c>
      <c r="KA31" s="18">
        <v>5200</v>
      </c>
      <c r="KB31" s="18">
        <v>5080</v>
      </c>
      <c r="KC31" s="18">
        <v>5040</v>
      </c>
      <c r="KD31" s="18">
        <v>5030</v>
      </c>
      <c r="KE31" s="18">
        <v>4960</v>
      </c>
      <c r="KF31" s="18">
        <v>4880</v>
      </c>
      <c r="KG31" s="18">
        <v>4730</v>
      </c>
      <c r="KH31" s="18">
        <v>4580</v>
      </c>
      <c r="KI31" s="18">
        <v>4480</v>
      </c>
      <c r="KJ31" s="18">
        <v>4470</v>
      </c>
      <c r="KK31" s="18">
        <v>4320</v>
      </c>
      <c r="KL31" s="18">
        <v>4170</v>
      </c>
      <c r="KM31" s="18">
        <v>4060</v>
      </c>
      <c r="KN31" s="18">
        <v>3980</v>
      </c>
      <c r="KO31" s="18">
        <v>3870</v>
      </c>
      <c r="KP31" s="18">
        <v>3740</v>
      </c>
      <c r="KQ31" s="18">
        <v>3630</v>
      </c>
      <c r="KR31" s="18">
        <v>3520</v>
      </c>
      <c r="KS31" s="18">
        <v>3430</v>
      </c>
      <c r="KT31" s="18">
        <v>3330</v>
      </c>
      <c r="KU31" s="18">
        <v>3230</v>
      </c>
      <c r="KV31" s="18">
        <v>3160</v>
      </c>
      <c r="KW31" s="18">
        <v>3080</v>
      </c>
      <c r="KX31" s="18">
        <v>3000</v>
      </c>
      <c r="KY31" s="18">
        <v>2950</v>
      </c>
      <c r="KZ31" s="18">
        <v>2910</v>
      </c>
      <c r="LA31" s="18">
        <v>2860</v>
      </c>
      <c r="LB31" s="18">
        <v>2810</v>
      </c>
      <c r="LC31" s="18">
        <v>2750</v>
      </c>
      <c r="LD31" s="18">
        <v>2720</v>
      </c>
      <c r="LE31" s="18">
        <v>2710</v>
      </c>
      <c r="LF31" s="18">
        <v>2710</v>
      </c>
      <c r="LG31" s="18">
        <v>2660</v>
      </c>
      <c r="LH31" s="18">
        <v>2610</v>
      </c>
      <c r="LI31" s="18">
        <v>2540</v>
      </c>
      <c r="LJ31" s="18">
        <v>2490</v>
      </c>
      <c r="LK31" s="18">
        <v>2470</v>
      </c>
      <c r="LL31" s="18">
        <v>2440</v>
      </c>
      <c r="LM31" s="18">
        <v>2390</v>
      </c>
      <c r="LN31" s="18">
        <v>2350</v>
      </c>
      <c r="LO31" s="18">
        <v>2310</v>
      </c>
      <c r="LP31" s="18">
        <v>2290</v>
      </c>
      <c r="LQ31" s="18">
        <v>2270</v>
      </c>
      <c r="LR31" s="18">
        <v>2240</v>
      </c>
      <c r="LS31" s="18">
        <v>2210</v>
      </c>
      <c r="LT31" s="18">
        <v>2180</v>
      </c>
      <c r="LU31" s="18">
        <v>2150</v>
      </c>
      <c r="LV31" s="18">
        <v>2110</v>
      </c>
      <c r="LW31" s="18">
        <v>2080</v>
      </c>
      <c r="LX31" s="18">
        <v>2060</v>
      </c>
      <c r="LY31" s="18">
        <v>2040</v>
      </c>
      <c r="LZ31" s="18">
        <v>2030</v>
      </c>
      <c r="MA31" s="18">
        <v>2000</v>
      </c>
      <c r="MB31" s="18">
        <v>1970</v>
      </c>
      <c r="MC31" s="18">
        <v>1930</v>
      </c>
      <c r="MD31" s="18">
        <v>1910</v>
      </c>
      <c r="ME31" s="18">
        <v>1880</v>
      </c>
      <c r="MF31" s="18">
        <v>1860</v>
      </c>
      <c r="MG31" s="18">
        <v>1830</v>
      </c>
      <c r="MH31" s="18">
        <v>1780</v>
      </c>
      <c r="MI31" s="18">
        <v>1750</v>
      </c>
      <c r="MJ31" s="18">
        <v>1730</v>
      </c>
      <c r="MK31" s="18">
        <v>1720</v>
      </c>
      <c r="ML31" s="18">
        <v>1710</v>
      </c>
      <c r="MM31" s="18">
        <v>1690</v>
      </c>
      <c r="MN31" s="18">
        <v>1680</v>
      </c>
      <c r="MO31" s="18">
        <v>1660</v>
      </c>
      <c r="MP31" s="18">
        <v>1640</v>
      </c>
      <c r="MQ31" s="18">
        <v>1630</v>
      </c>
      <c r="MR31" s="18">
        <v>1620</v>
      </c>
      <c r="MS31" s="18">
        <v>1610</v>
      </c>
      <c r="MT31" s="18">
        <v>1590</v>
      </c>
      <c r="MU31" s="18">
        <v>1590</v>
      </c>
      <c r="MV31" s="18">
        <v>1570</v>
      </c>
      <c r="MW31" s="18">
        <v>1560</v>
      </c>
      <c r="MX31" s="18">
        <v>1550</v>
      </c>
      <c r="MY31" s="18">
        <v>1540</v>
      </c>
      <c r="MZ31" s="18">
        <v>1530</v>
      </c>
      <c r="NA31" s="18">
        <v>1520</v>
      </c>
      <c r="NB31" s="18">
        <v>1510</v>
      </c>
      <c r="NC31" s="18">
        <v>1510</v>
      </c>
      <c r="ND31" s="1">
        <v>1270</v>
      </c>
      <c r="NE31" s="1">
        <v>1050</v>
      </c>
      <c r="NF31" s="1">
        <v>968</v>
      </c>
      <c r="NG31" s="1">
        <v>1190</v>
      </c>
      <c r="NH31" s="1">
        <v>2580</v>
      </c>
      <c r="NI31" s="1">
        <v>6260</v>
      </c>
      <c r="NJ31" s="1">
        <v>7840</v>
      </c>
      <c r="NK31" s="1">
        <v>8460</v>
      </c>
      <c r="NL31" s="1">
        <v>7370</v>
      </c>
      <c r="NM31" s="1">
        <v>5010</v>
      </c>
      <c r="NN31" s="1">
        <v>2560</v>
      </c>
      <c r="NO31" s="1">
        <v>1710</v>
      </c>
      <c r="NP31" s="1">
        <v>3872.7753424657535</v>
      </c>
      <c r="NQ31" s="1">
        <v>11700</v>
      </c>
      <c r="NR31" s="19">
        <v>42594</v>
      </c>
      <c r="NS31" s="1">
        <v>940</v>
      </c>
      <c r="NT31" s="19">
        <v>42468</v>
      </c>
    </row>
    <row r="32" spans="1:384" x14ac:dyDescent="0.15">
      <c r="A32" s="1">
        <v>1979</v>
      </c>
      <c r="B32" s="18">
        <v>1490</v>
      </c>
      <c r="C32" s="18">
        <v>1460</v>
      </c>
      <c r="D32" s="18">
        <v>1440</v>
      </c>
      <c r="E32" s="18">
        <v>1420</v>
      </c>
      <c r="F32" s="18">
        <v>1410</v>
      </c>
      <c r="G32" s="18">
        <v>1400</v>
      </c>
      <c r="H32" s="18">
        <v>1390</v>
      </c>
      <c r="I32" s="18">
        <v>1370</v>
      </c>
      <c r="J32" s="18">
        <v>1360</v>
      </c>
      <c r="K32" s="18">
        <v>1340</v>
      </c>
      <c r="L32" s="18">
        <v>1330</v>
      </c>
      <c r="M32" s="18">
        <v>1310</v>
      </c>
      <c r="N32" s="18">
        <v>1280</v>
      </c>
      <c r="O32" s="18">
        <v>1270</v>
      </c>
      <c r="P32" s="18">
        <v>1260</v>
      </c>
      <c r="Q32" s="18">
        <v>1260</v>
      </c>
      <c r="R32" s="18">
        <v>1250</v>
      </c>
      <c r="S32" s="18">
        <v>1250</v>
      </c>
      <c r="T32" s="18">
        <v>1250</v>
      </c>
      <c r="U32" s="18">
        <v>1250</v>
      </c>
      <c r="V32" s="18">
        <v>1230</v>
      </c>
      <c r="W32" s="18">
        <v>1230</v>
      </c>
      <c r="X32" s="18">
        <v>1230</v>
      </c>
      <c r="Y32" s="18">
        <v>1230</v>
      </c>
      <c r="Z32" s="18">
        <v>1210</v>
      </c>
      <c r="AA32" s="18">
        <v>1200</v>
      </c>
      <c r="AB32" s="18">
        <v>1200</v>
      </c>
      <c r="AC32" s="18">
        <v>1190</v>
      </c>
      <c r="AD32" s="18">
        <v>1180</v>
      </c>
      <c r="AE32" s="18">
        <v>1170</v>
      </c>
      <c r="AF32" s="18">
        <v>1170</v>
      </c>
      <c r="AG32" s="18">
        <v>1160</v>
      </c>
      <c r="AH32" s="18">
        <v>1150</v>
      </c>
      <c r="AI32" s="18">
        <v>1150</v>
      </c>
      <c r="AJ32" s="18">
        <v>1150</v>
      </c>
      <c r="AK32" s="18">
        <v>1150</v>
      </c>
      <c r="AL32" s="18">
        <v>1140</v>
      </c>
      <c r="AM32" s="18">
        <v>1120</v>
      </c>
      <c r="AN32" s="18">
        <v>1110</v>
      </c>
      <c r="AO32" s="18">
        <v>1100</v>
      </c>
      <c r="AP32" s="18">
        <v>1090</v>
      </c>
      <c r="AQ32" s="18">
        <v>1080</v>
      </c>
      <c r="AR32" s="18">
        <v>1080</v>
      </c>
      <c r="AS32" s="18">
        <v>1080</v>
      </c>
      <c r="AT32" s="18">
        <v>1080</v>
      </c>
      <c r="AU32" s="18">
        <v>1080</v>
      </c>
      <c r="AV32" s="18">
        <v>1070</v>
      </c>
      <c r="AW32" s="18">
        <v>1060</v>
      </c>
      <c r="AX32" s="18">
        <v>1060</v>
      </c>
      <c r="AY32" s="18">
        <v>1040</v>
      </c>
      <c r="AZ32" s="18">
        <v>1040</v>
      </c>
      <c r="BA32" s="18">
        <v>1040</v>
      </c>
      <c r="BB32" s="18">
        <v>1040</v>
      </c>
      <c r="BC32" s="18">
        <v>1030</v>
      </c>
      <c r="BD32" s="18">
        <v>1020</v>
      </c>
      <c r="BE32" s="18">
        <v>1020</v>
      </c>
      <c r="BF32" s="18">
        <v>999</v>
      </c>
      <c r="BG32" s="18">
        <v>986</v>
      </c>
      <c r="BH32" s="18">
        <v>982</v>
      </c>
      <c r="BI32" s="18"/>
      <c r="BJ32" s="18">
        <v>974</v>
      </c>
      <c r="BK32" s="18">
        <v>965</v>
      </c>
      <c r="BL32" s="18">
        <v>959</v>
      </c>
      <c r="BM32" s="18">
        <v>953</v>
      </c>
      <c r="BN32" s="18">
        <v>948</v>
      </c>
      <c r="BO32" s="18">
        <v>947</v>
      </c>
      <c r="BP32" s="18">
        <v>942</v>
      </c>
      <c r="BQ32" s="18">
        <v>930</v>
      </c>
      <c r="BR32" s="18">
        <v>925</v>
      </c>
      <c r="BS32" s="18">
        <v>925</v>
      </c>
      <c r="BT32" s="18">
        <v>928</v>
      </c>
      <c r="BU32" s="18">
        <v>938</v>
      </c>
      <c r="BV32" s="18">
        <v>942</v>
      </c>
      <c r="BW32" s="18">
        <v>951</v>
      </c>
      <c r="BX32" s="18">
        <v>966</v>
      </c>
      <c r="BY32" s="18">
        <v>965</v>
      </c>
      <c r="BZ32" s="18">
        <v>960</v>
      </c>
      <c r="CA32" s="18">
        <v>964</v>
      </c>
      <c r="CB32" s="18">
        <v>957</v>
      </c>
      <c r="CC32" s="18">
        <v>956</v>
      </c>
      <c r="CD32" s="18">
        <v>964</v>
      </c>
      <c r="CE32" s="18">
        <v>967</v>
      </c>
      <c r="CF32" s="18">
        <v>970</v>
      </c>
      <c r="CG32" s="18">
        <v>968</v>
      </c>
      <c r="CH32" s="18">
        <v>965</v>
      </c>
      <c r="CI32" s="18">
        <v>952</v>
      </c>
      <c r="CJ32" s="18">
        <v>942</v>
      </c>
      <c r="CK32" s="18">
        <v>937</v>
      </c>
      <c r="CL32" s="18">
        <v>929</v>
      </c>
      <c r="CM32" s="18">
        <v>926</v>
      </c>
      <c r="CN32" s="18">
        <v>929</v>
      </c>
      <c r="CO32" s="18">
        <v>929</v>
      </c>
      <c r="CP32" s="18">
        <v>929</v>
      </c>
      <c r="CQ32" s="18">
        <v>941</v>
      </c>
      <c r="CR32" s="18">
        <v>960</v>
      </c>
      <c r="CS32" s="18">
        <v>970</v>
      </c>
      <c r="CT32" s="18">
        <v>991</v>
      </c>
      <c r="CU32" s="18">
        <v>1010</v>
      </c>
      <c r="CV32" s="18">
        <v>1020</v>
      </c>
      <c r="CW32" s="18">
        <v>1040</v>
      </c>
      <c r="CX32" s="18">
        <v>1090</v>
      </c>
      <c r="CY32" s="18">
        <v>1200</v>
      </c>
      <c r="CZ32" s="18">
        <v>1240</v>
      </c>
      <c r="DA32" s="18">
        <v>1240</v>
      </c>
      <c r="DB32" s="18">
        <v>1240</v>
      </c>
      <c r="DC32" s="18">
        <v>1230</v>
      </c>
      <c r="DD32" s="18">
        <v>1230</v>
      </c>
      <c r="DE32" s="18">
        <v>1230</v>
      </c>
      <c r="DF32" s="18">
        <v>1250</v>
      </c>
      <c r="DG32" s="18">
        <v>1260</v>
      </c>
      <c r="DH32" s="18">
        <v>1270</v>
      </c>
      <c r="DI32" s="18">
        <v>1450</v>
      </c>
      <c r="DJ32" s="18">
        <v>1670</v>
      </c>
      <c r="DK32" s="18">
        <v>1720</v>
      </c>
      <c r="DL32" s="18">
        <v>1700</v>
      </c>
      <c r="DM32" s="18">
        <v>1660</v>
      </c>
      <c r="DN32" s="18">
        <v>1710</v>
      </c>
      <c r="DO32" s="18">
        <v>1790</v>
      </c>
      <c r="DP32" s="18">
        <v>1730</v>
      </c>
      <c r="DQ32" s="18">
        <v>1640</v>
      </c>
      <c r="DR32" s="18">
        <v>1540</v>
      </c>
      <c r="DS32" s="18">
        <v>1470</v>
      </c>
      <c r="DT32" s="18">
        <v>1450</v>
      </c>
      <c r="DU32" s="18">
        <v>1440</v>
      </c>
      <c r="DV32" s="18">
        <v>1450</v>
      </c>
      <c r="DW32" s="18">
        <v>1530</v>
      </c>
      <c r="DX32" s="18">
        <v>1660</v>
      </c>
      <c r="DY32" s="18">
        <v>1750</v>
      </c>
      <c r="DZ32" s="18">
        <v>1700</v>
      </c>
      <c r="EA32" s="18">
        <v>1640</v>
      </c>
      <c r="EB32" s="18">
        <v>1620</v>
      </c>
      <c r="EC32" s="18">
        <v>1630</v>
      </c>
      <c r="ED32" s="18">
        <v>1630</v>
      </c>
      <c r="EE32" s="18">
        <v>1620</v>
      </c>
      <c r="EF32" s="18">
        <v>1560</v>
      </c>
      <c r="EG32" s="18">
        <v>1500</v>
      </c>
      <c r="EH32" s="18">
        <v>1490</v>
      </c>
      <c r="EI32" s="18">
        <v>1500</v>
      </c>
      <c r="EJ32" s="18">
        <v>1570</v>
      </c>
      <c r="EK32" s="18">
        <v>1610</v>
      </c>
      <c r="EL32" s="18">
        <v>1680</v>
      </c>
      <c r="EM32" s="18">
        <v>1750</v>
      </c>
      <c r="EN32" s="18">
        <v>1830</v>
      </c>
      <c r="EO32" s="18">
        <v>1880</v>
      </c>
      <c r="EP32" s="18">
        <v>1870</v>
      </c>
      <c r="EQ32" s="18">
        <v>1890</v>
      </c>
      <c r="ER32" s="18">
        <v>1890</v>
      </c>
      <c r="ES32" s="18">
        <v>1810</v>
      </c>
      <c r="ET32" s="18">
        <v>1740</v>
      </c>
      <c r="EU32" s="18">
        <v>1670</v>
      </c>
      <c r="EV32" s="18">
        <v>1620</v>
      </c>
      <c r="EW32" s="18">
        <v>1590</v>
      </c>
      <c r="EX32" s="18">
        <v>1580</v>
      </c>
      <c r="EY32" s="18">
        <v>1570</v>
      </c>
      <c r="EZ32" s="18">
        <v>1520</v>
      </c>
      <c r="FA32" s="18">
        <v>1460</v>
      </c>
      <c r="FB32" s="18">
        <v>1410</v>
      </c>
      <c r="FC32" s="18">
        <v>1360</v>
      </c>
      <c r="FD32" s="18">
        <v>1330</v>
      </c>
      <c r="FE32" s="18">
        <v>1280</v>
      </c>
      <c r="FF32" s="18">
        <v>1260</v>
      </c>
      <c r="FG32" s="18">
        <v>1330</v>
      </c>
      <c r="FH32" s="18">
        <v>1470</v>
      </c>
      <c r="FI32" s="18">
        <v>1610</v>
      </c>
      <c r="FJ32" s="18">
        <v>1760</v>
      </c>
      <c r="FK32" s="18">
        <v>1830</v>
      </c>
      <c r="FL32" s="18">
        <v>1880</v>
      </c>
      <c r="FM32" s="18">
        <v>1860</v>
      </c>
      <c r="FN32" s="18">
        <v>1830</v>
      </c>
      <c r="FO32" s="18">
        <v>1950</v>
      </c>
      <c r="FP32" s="18">
        <v>2290</v>
      </c>
      <c r="FQ32" s="18">
        <v>2860</v>
      </c>
      <c r="FR32" s="18">
        <v>3070</v>
      </c>
      <c r="FS32" s="18">
        <v>3070</v>
      </c>
      <c r="FT32" s="18">
        <v>2980</v>
      </c>
      <c r="FU32" s="18">
        <v>2970</v>
      </c>
      <c r="FV32" s="18">
        <v>3140</v>
      </c>
      <c r="FW32" s="18">
        <v>3510</v>
      </c>
      <c r="FX32" s="18">
        <v>4190</v>
      </c>
      <c r="FY32" s="18">
        <v>4450</v>
      </c>
      <c r="FZ32" s="18">
        <v>4550</v>
      </c>
      <c r="GA32" s="18">
        <v>4840</v>
      </c>
      <c r="GB32" s="18">
        <v>4930</v>
      </c>
      <c r="GC32" s="18">
        <v>5250</v>
      </c>
      <c r="GD32" s="18">
        <v>5120</v>
      </c>
      <c r="GE32" s="18">
        <v>4970</v>
      </c>
      <c r="GF32" s="18">
        <v>5010</v>
      </c>
      <c r="GG32" s="18">
        <v>5150</v>
      </c>
      <c r="GH32" s="18">
        <v>5160</v>
      </c>
      <c r="GI32" s="18">
        <v>5220</v>
      </c>
      <c r="GJ32" s="18">
        <v>5280</v>
      </c>
      <c r="GK32" s="18">
        <v>5120</v>
      </c>
      <c r="GL32" s="18">
        <v>4790</v>
      </c>
      <c r="GM32" s="18">
        <v>4530</v>
      </c>
      <c r="GN32" s="18">
        <v>4330</v>
      </c>
      <c r="GO32" s="18">
        <v>4190</v>
      </c>
      <c r="GP32" s="18">
        <v>4150</v>
      </c>
      <c r="GQ32" s="18">
        <v>4110</v>
      </c>
      <c r="GR32" s="18">
        <v>4080</v>
      </c>
      <c r="GS32" s="18">
        <v>4230</v>
      </c>
      <c r="GT32" s="18">
        <v>4360</v>
      </c>
      <c r="GU32" s="18">
        <v>4420</v>
      </c>
      <c r="GV32" s="18">
        <v>4480</v>
      </c>
      <c r="GW32" s="18">
        <v>4690</v>
      </c>
      <c r="GX32" s="18">
        <v>5140</v>
      </c>
      <c r="GY32" s="18">
        <v>4790</v>
      </c>
      <c r="GZ32" s="18">
        <v>4390</v>
      </c>
      <c r="HA32" s="18">
        <v>4440</v>
      </c>
      <c r="HB32" s="18">
        <v>5150</v>
      </c>
      <c r="HC32" s="18">
        <v>5580</v>
      </c>
      <c r="HD32" s="18">
        <v>6150</v>
      </c>
      <c r="HE32" s="18">
        <v>6830</v>
      </c>
      <c r="HF32" s="18">
        <v>7500</v>
      </c>
      <c r="HG32" s="18">
        <v>7840</v>
      </c>
      <c r="HH32" s="18">
        <v>8390</v>
      </c>
      <c r="HI32" s="18">
        <v>9200</v>
      </c>
      <c r="HJ32" s="18">
        <v>9540</v>
      </c>
      <c r="HK32" s="18">
        <v>8810</v>
      </c>
      <c r="HL32" s="18">
        <v>8430</v>
      </c>
      <c r="HM32" s="18">
        <v>8400</v>
      </c>
      <c r="HN32" s="18">
        <v>8270</v>
      </c>
      <c r="HO32" s="18">
        <v>7770</v>
      </c>
      <c r="HP32" s="18">
        <v>7320</v>
      </c>
      <c r="HQ32" s="18">
        <v>6910</v>
      </c>
      <c r="HR32" s="18">
        <v>6580</v>
      </c>
      <c r="HS32" s="18">
        <v>6270</v>
      </c>
      <c r="HT32" s="18">
        <v>6070</v>
      </c>
      <c r="HU32" s="18">
        <v>6120</v>
      </c>
      <c r="HV32" s="18">
        <v>6090</v>
      </c>
      <c r="HW32" s="18">
        <v>6150</v>
      </c>
      <c r="HX32" s="18">
        <v>6360</v>
      </c>
      <c r="HY32" s="18">
        <v>6940</v>
      </c>
      <c r="HZ32" s="18">
        <v>6820</v>
      </c>
      <c r="IA32" s="18">
        <v>7100</v>
      </c>
      <c r="IB32" s="18">
        <v>7660</v>
      </c>
      <c r="IC32" s="18">
        <v>9260</v>
      </c>
      <c r="ID32" s="18">
        <v>8990</v>
      </c>
      <c r="IE32" s="18">
        <v>8320</v>
      </c>
      <c r="IF32" s="18">
        <v>7910</v>
      </c>
      <c r="IG32" s="18">
        <v>7610</v>
      </c>
      <c r="IH32" s="18">
        <v>7640</v>
      </c>
      <c r="II32" s="18">
        <v>7600</v>
      </c>
      <c r="IJ32" s="18">
        <v>7640</v>
      </c>
      <c r="IK32" s="18">
        <v>8060</v>
      </c>
      <c r="IL32" s="18">
        <v>9260</v>
      </c>
      <c r="IM32" s="18">
        <v>13600</v>
      </c>
      <c r="IN32" s="18">
        <v>13500</v>
      </c>
      <c r="IO32" s="18">
        <v>11700</v>
      </c>
      <c r="IP32" s="18">
        <v>10500</v>
      </c>
      <c r="IQ32" s="18">
        <v>10300</v>
      </c>
      <c r="IR32" s="18">
        <v>10400</v>
      </c>
      <c r="IS32" s="18">
        <v>11000</v>
      </c>
      <c r="IT32" s="18">
        <v>12600</v>
      </c>
      <c r="IU32" s="18">
        <v>12200</v>
      </c>
      <c r="IV32" s="18">
        <v>11200</v>
      </c>
      <c r="IW32" s="18">
        <v>10200</v>
      </c>
      <c r="IX32" s="18">
        <v>9740</v>
      </c>
      <c r="IY32" s="18">
        <v>9730</v>
      </c>
      <c r="IZ32" s="18">
        <v>9180</v>
      </c>
      <c r="JA32" s="18">
        <v>8820</v>
      </c>
      <c r="JB32" s="18">
        <v>8590</v>
      </c>
      <c r="JC32" s="18">
        <v>8510</v>
      </c>
      <c r="JD32" s="18">
        <v>8000</v>
      </c>
      <c r="JE32" s="18">
        <v>7600</v>
      </c>
      <c r="JF32" s="18">
        <v>7210</v>
      </c>
      <c r="JG32" s="18">
        <v>6910</v>
      </c>
      <c r="JH32" s="18">
        <v>6830</v>
      </c>
      <c r="JI32" s="18">
        <v>7230</v>
      </c>
      <c r="JJ32" s="18">
        <v>7190</v>
      </c>
      <c r="JK32" s="18">
        <v>6870</v>
      </c>
      <c r="JL32" s="18">
        <v>6610</v>
      </c>
      <c r="JM32" s="18">
        <v>6380</v>
      </c>
      <c r="JN32" s="18">
        <v>6260</v>
      </c>
      <c r="JO32" s="18">
        <v>6310</v>
      </c>
      <c r="JP32" s="18">
        <v>6600</v>
      </c>
      <c r="JQ32" s="18">
        <v>6880</v>
      </c>
      <c r="JR32" s="18">
        <v>6740</v>
      </c>
      <c r="JS32" s="18">
        <v>7040</v>
      </c>
      <c r="JT32" s="18">
        <v>7750</v>
      </c>
      <c r="JU32" s="18">
        <v>8340</v>
      </c>
      <c r="JV32" s="18">
        <v>8920</v>
      </c>
      <c r="JW32" s="18">
        <v>9780</v>
      </c>
      <c r="JX32" s="18">
        <v>11300</v>
      </c>
      <c r="JY32" s="18">
        <v>12400</v>
      </c>
      <c r="JZ32" s="18">
        <v>11800</v>
      </c>
      <c r="KA32" s="18">
        <v>10500</v>
      </c>
      <c r="KB32" s="18">
        <v>9440</v>
      </c>
      <c r="KC32" s="18">
        <v>8580</v>
      </c>
      <c r="KD32" s="18">
        <v>7880</v>
      </c>
      <c r="KE32" s="18">
        <v>7420</v>
      </c>
      <c r="KF32" s="18">
        <v>7020</v>
      </c>
      <c r="KG32" s="18">
        <v>6570</v>
      </c>
      <c r="KH32" s="18">
        <v>6210</v>
      </c>
      <c r="KI32" s="18">
        <v>5900</v>
      </c>
      <c r="KJ32" s="18">
        <v>5650</v>
      </c>
      <c r="KK32" s="18">
        <v>5430</v>
      </c>
      <c r="KL32" s="18">
        <v>5220</v>
      </c>
      <c r="KM32" s="18">
        <v>5010</v>
      </c>
      <c r="KN32" s="18">
        <v>4810</v>
      </c>
      <c r="KO32" s="18">
        <v>4660</v>
      </c>
      <c r="KP32" s="18">
        <v>4540</v>
      </c>
      <c r="KQ32" s="18">
        <v>4380</v>
      </c>
      <c r="KR32" s="18">
        <v>4240</v>
      </c>
      <c r="KS32" s="18">
        <v>4110</v>
      </c>
      <c r="KT32" s="18">
        <v>4000</v>
      </c>
      <c r="KU32" s="18">
        <v>3890</v>
      </c>
      <c r="KV32" s="18">
        <v>3780</v>
      </c>
      <c r="KW32" s="18">
        <v>3670</v>
      </c>
      <c r="KX32" s="18">
        <v>3570</v>
      </c>
      <c r="KY32" s="18">
        <v>3490</v>
      </c>
      <c r="KZ32" s="18">
        <v>3400</v>
      </c>
      <c r="LA32" s="18">
        <v>3320</v>
      </c>
      <c r="LB32" s="18">
        <v>3220</v>
      </c>
      <c r="LC32" s="18">
        <v>3130</v>
      </c>
      <c r="LD32" s="18">
        <v>3030</v>
      </c>
      <c r="LE32" s="18">
        <v>2960</v>
      </c>
      <c r="LF32" s="18">
        <v>2900</v>
      </c>
      <c r="LG32" s="18">
        <v>2840</v>
      </c>
      <c r="LH32" s="18">
        <v>2790</v>
      </c>
      <c r="LI32" s="18">
        <v>2730</v>
      </c>
      <c r="LJ32" s="18">
        <v>2660</v>
      </c>
      <c r="LK32" s="18">
        <v>2610</v>
      </c>
      <c r="LL32" s="18">
        <v>2570</v>
      </c>
      <c r="LM32" s="18">
        <v>2540</v>
      </c>
      <c r="LN32" s="18">
        <v>2510</v>
      </c>
      <c r="LO32" s="18">
        <v>2470</v>
      </c>
      <c r="LP32" s="18">
        <v>2430</v>
      </c>
      <c r="LQ32" s="18">
        <v>2380</v>
      </c>
      <c r="LR32" s="18">
        <v>2370</v>
      </c>
      <c r="LS32" s="18">
        <v>2330</v>
      </c>
      <c r="LT32" s="18">
        <v>2310</v>
      </c>
      <c r="LU32" s="18">
        <v>2300</v>
      </c>
      <c r="LV32" s="18">
        <v>2280</v>
      </c>
      <c r="LW32" s="18">
        <v>2260</v>
      </c>
      <c r="LX32" s="18">
        <v>2240</v>
      </c>
      <c r="LY32" s="18">
        <v>2220</v>
      </c>
      <c r="LZ32" s="18">
        <v>2200</v>
      </c>
      <c r="MA32" s="18">
        <v>2180</v>
      </c>
      <c r="MB32" s="18">
        <v>2170</v>
      </c>
      <c r="MC32" s="18">
        <v>2130</v>
      </c>
      <c r="MD32" s="18">
        <v>2110</v>
      </c>
      <c r="ME32" s="18">
        <v>2070</v>
      </c>
      <c r="MF32" s="18">
        <v>2040</v>
      </c>
      <c r="MG32" s="18">
        <v>2020</v>
      </c>
      <c r="MH32" s="18">
        <v>2020</v>
      </c>
      <c r="MI32" s="18">
        <v>2100</v>
      </c>
      <c r="MJ32" s="18">
        <v>2070</v>
      </c>
      <c r="MK32" s="18">
        <v>2030</v>
      </c>
      <c r="ML32" s="18">
        <v>2000</v>
      </c>
      <c r="MM32" s="18">
        <v>1960</v>
      </c>
      <c r="MN32" s="18">
        <v>1920</v>
      </c>
      <c r="MO32" s="18">
        <v>1900</v>
      </c>
      <c r="MP32" s="18">
        <v>1870</v>
      </c>
      <c r="MQ32" s="18">
        <v>1840</v>
      </c>
      <c r="MR32" s="18">
        <v>1830</v>
      </c>
      <c r="MS32" s="18">
        <v>1800</v>
      </c>
      <c r="MT32" s="18">
        <v>1770</v>
      </c>
      <c r="MU32" s="18">
        <v>1730</v>
      </c>
      <c r="MV32" s="18">
        <v>1700</v>
      </c>
      <c r="MW32" s="18">
        <v>1680</v>
      </c>
      <c r="MX32" s="18">
        <v>1660</v>
      </c>
      <c r="MY32" s="18">
        <v>1640</v>
      </c>
      <c r="MZ32" s="18">
        <v>1610</v>
      </c>
      <c r="NA32" s="18">
        <v>1600</v>
      </c>
      <c r="NB32" s="18">
        <v>1580</v>
      </c>
      <c r="NC32" s="18">
        <v>1570</v>
      </c>
      <c r="ND32" s="1">
        <v>1290</v>
      </c>
      <c r="NE32" s="1">
        <v>1080</v>
      </c>
      <c r="NF32" s="1">
        <v>950</v>
      </c>
      <c r="NG32" s="1">
        <v>1300</v>
      </c>
      <c r="NH32" s="1">
        <v>1650</v>
      </c>
      <c r="NI32" s="1">
        <v>2340</v>
      </c>
      <c r="NJ32" s="1">
        <v>4950</v>
      </c>
      <c r="NK32" s="1">
        <v>7620</v>
      </c>
      <c r="NL32" s="1">
        <v>9150</v>
      </c>
      <c r="NM32" s="1">
        <v>7070</v>
      </c>
      <c r="NN32" s="1">
        <v>2830</v>
      </c>
      <c r="NO32" s="1">
        <v>1900</v>
      </c>
      <c r="NP32" s="1">
        <v>3525.6739726027399</v>
      </c>
      <c r="NQ32" s="1">
        <v>13600</v>
      </c>
      <c r="NR32" s="19">
        <v>42615</v>
      </c>
      <c r="NS32" s="1">
        <v>925</v>
      </c>
      <c r="NT32" s="19">
        <v>42438</v>
      </c>
    </row>
    <row r="33" spans="1:384" x14ac:dyDescent="0.15">
      <c r="A33" s="1">
        <v>1980</v>
      </c>
      <c r="B33" s="18">
        <v>1560</v>
      </c>
      <c r="C33" s="18">
        <v>1560</v>
      </c>
      <c r="D33" s="18">
        <v>1550</v>
      </c>
      <c r="E33" s="18">
        <v>1530</v>
      </c>
      <c r="F33" s="18">
        <v>1520</v>
      </c>
      <c r="G33" s="18">
        <v>1500</v>
      </c>
      <c r="H33" s="18">
        <v>1490</v>
      </c>
      <c r="I33" s="18">
        <v>1500</v>
      </c>
      <c r="J33" s="18">
        <v>1470</v>
      </c>
      <c r="K33" s="18">
        <v>1430</v>
      </c>
      <c r="L33" s="18">
        <v>1430</v>
      </c>
      <c r="M33" s="18">
        <v>1420</v>
      </c>
      <c r="N33" s="18">
        <v>1380</v>
      </c>
      <c r="O33" s="18">
        <v>1350</v>
      </c>
      <c r="P33" s="18">
        <v>1330</v>
      </c>
      <c r="Q33" s="18">
        <v>1310</v>
      </c>
      <c r="R33" s="18">
        <v>1300</v>
      </c>
      <c r="S33" s="18">
        <v>1310</v>
      </c>
      <c r="T33" s="18">
        <v>1300</v>
      </c>
      <c r="U33" s="18">
        <v>1300</v>
      </c>
      <c r="V33" s="18">
        <v>1300</v>
      </c>
      <c r="W33" s="18">
        <v>1290</v>
      </c>
      <c r="X33" s="18">
        <v>1280</v>
      </c>
      <c r="Y33" s="18">
        <v>1280</v>
      </c>
      <c r="Z33" s="18">
        <v>1270</v>
      </c>
      <c r="AA33" s="18">
        <v>1260</v>
      </c>
      <c r="AB33" s="18">
        <v>1250</v>
      </c>
      <c r="AC33" s="18">
        <v>1240</v>
      </c>
      <c r="AD33" s="18">
        <v>1230</v>
      </c>
      <c r="AE33" s="18">
        <v>1220</v>
      </c>
      <c r="AF33" s="18">
        <v>1220</v>
      </c>
      <c r="AG33" s="18">
        <v>1210</v>
      </c>
      <c r="AH33" s="18">
        <v>1200</v>
      </c>
      <c r="AI33" s="18">
        <v>1200</v>
      </c>
      <c r="AJ33" s="18">
        <v>1190</v>
      </c>
      <c r="AK33" s="18">
        <v>1190</v>
      </c>
      <c r="AL33" s="18">
        <v>1170</v>
      </c>
      <c r="AM33" s="18">
        <v>1160</v>
      </c>
      <c r="AN33" s="18">
        <v>1160</v>
      </c>
      <c r="AO33" s="18">
        <v>1160</v>
      </c>
      <c r="AP33" s="18">
        <v>1160</v>
      </c>
      <c r="AQ33" s="18">
        <v>1160</v>
      </c>
      <c r="AR33" s="18">
        <v>1150</v>
      </c>
      <c r="AS33" s="18">
        <v>1140</v>
      </c>
      <c r="AT33" s="18">
        <v>1140</v>
      </c>
      <c r="AU33" s="18">
        <v>1130</v>
      </c>
      <c r="AV33" s="18">
        <v>1120</v>
      </c>
      <c r="AW33" s="18">
        <v>1120</v>
      </c>
      <c r="AX33" s="18">
        <v>1120</v>
      </c>
      <c r="AY33" s="18">
        <v>1120</v>
      </c>
      <c r="AZ33" s="18">
        <v>1120</v>
      </c>
      <c r="BA33" s="18">
        <v>1130</v>
      </c>
      <c r="BB33" s="18">
        <v>1130</v>
      </c>
      <c r="BC33" s="18">
        <v>1130</v>
      </c>
      <c r="BD33" s="18">
        <v>1130</v>
      </c>
      <c r="BE33" s="18">
        <v>1110</v>
      </c>
      <c r="BF33" s="18">
        <v>1100</v>
      </c>
      <c r="BG33" s="18">
        <v>1100</v>
      </c>
      <c r="BH33" s="18">
        <v>1090</v>
      </c>
      <c r="BI33" s="18">
        <v>1080</v>
      </c>
      <c r="BJ33" s="18">
        <v>1070</v>
      </c>
      <c r="BK33" s="18">
        <v>1060</v>
      </c>
      <c r="BL33" s="18">
        <v>1050</v>
      </c>
      <c r="BM33" s="18">
        <v>1050</v>
      </c>
      <c r="BN33" s="18">
        <v>1070</v>
      </c>
      <c r="BO33" s="18">
        <v>1090</v>
      </c>
      <c r="BP33" s="18">
        <v>1100</v>
      </c>
      <c r="BQ33" s="18">
        <v>1100</v>
      </c>
      <c r="BR33" s="18">
        <v>1070</v>
      </c>
      <c r="BS33" s="18">
        <v>1060</v>
      </c>
      <c r="BT33" s="18">
        <v>1050</v>
      </c>
      <c r="BU33" s="18">
        <v>1040</v>
      </c>
      <c r="BV33" s="18">
        <v>1040</v>
      </c>
      <c r="BW33" s="18">
        <v>1040</v>
      </c>
      <c r="BX33" s="18">
        <v>1040</v>
      </c>
      <c r="BY33" s="18">
        <v>1030</v>
      </c>
      <c r="BZ33" s="18">
        <v>1030</v>
      </c>
      <c r="CA33" s="18">
        <v>1030</v>
      </c>
      <c r="CB33" s="18">
        <v>1020</v>
      </c>
      <c r="CC33" s="18">
        <v>1020</v>
      </c>
      <c r="CD33" s="18">
        <v>1010</v>
      </c>
      <c r="CE33" s="18">
        <v>1010</v>
      </c>
      <c r="CF33" s="18">
        <v>1010</v>
      </c>
      <c r="CG33" s="18">
        <v>1000</v>
      </c>
      <c r="CH33" s="18">
        <v>1000</v>
      </c>
      <c r="CI33" s="18">
        <v>1010</v>
      </c>
      <c r="CJ33" s="18">
        <v>1010</v>
      </c>
      <c r="CK33" s="18">
        <v>1010</v>
      </c>
      <c r="CL33" s="18">
        <v>1020</v>
      </c>
      <c r="CM33" s="18">
        <v>1040</v>
      </c>
      <c r="CN33" s="18">
        <v>1070</v>
      </c>
      <c r="CO33" s="18">
        <v>1110</v>
      </c>
      <c r="CP33" s="18">
        <v>1130</v>
      </c>
      <c r="CQ33" s="18">
        <v>1130</v>
      </c>
      <c r="CR33" s="18">
        <v>1130</v>
      </c>
      <c r="CS33" s="18">
        <v>1170</v>
      </c>
      <c r="CT33" s="18">
        <v>1140</v>
      </c>
      <c r="CU33" s="18">
        <v>1130</v>
      </c>
      <c r="CV33" s="18">
        <v>1100</v>
      </c>
      <c r="CW33" s="18">
        <v>1120</v>
      </c>
      <c r="CX33" s="18">
        <v>1130</v>
      </c>
      <c r="CY33" s="18">
        <v>1140</v>
      </c>
      <c r="CZ33" s="18">
        <v>1140</v>
      </c>
      <c r="DA33" s="18">
        <v>1140</v>
      </c>
      <c r="DB33" s="18">
        <v>1160</v>
      </c>
      <c r="DC33" s="18">
        <v>1200</v>
      </c>
      <c r="DD33" s="18">
        <v>1250</v>
      </c>
      <c r="DE33" s="18">
        <v>1290</v>
      </c>
      <c r="DF33" s="18">
        <v>1330</v>
      </c>
      <c r="DG33" s="18">
        <v>1340</v>
      </c>
      <c r="DH33" s="18">
        <v>1340</v>
      </c>
      <c r="DI33" s="18">
        <v>1290</v>
      </c>
      <c r="DJ33" s="18">
        <v>1270</v>
      </c>
      <c r="DK33" s="18">
        <v>1260</v>
      </c>
      <c r="DL33" s="18">
        <v>1290</v>
      </c>
      <c r="DM33" s="18">
        <v>1360</v>
      </c>
      <c r="DN33" s="18">
        <v>1510</v>
      </c>
      <c r="DO33" s="18">
        <v>1700</v>
      </c>
      <c r="DP33" s="18">
        <v>1850</v>
      </c>
      <c r="DQ33" s="18">
        <v>1870</v>
      </c>
      <c r="DR33" s="18">
        <v>1830</v>
      </c>
      <c r="DS33" s="18">
        <v>1710</v>
      </c>
      <c r="DT33" s="18">
        <v>1600</v>
      </c>
      <c r="DU33" s="18">
        <v>1540</v>
      </c>
      <c r="DV33" s="18">
        <v>1520</v>
      </c>
      <c r="DW33" s="18">
        <v>1560</v>
      </c>
      <c r="DX33" s="18">
        <v>1670</v>
      </c>
      <c r="DY33" s="18">
        <v>1810</v>
      </c>
      <c r="DZ33" s="18">
        <v>1920</v>
      </c>
      <c r="EA33" s="18">
        <v>2010</v>
      </c>
      <c r="EB33" s="18">
        <v>2120</v>
      </c>
      <c r="EC33" s="18">
        <v>2140</v>
      </c>
      <c r="ED33" s="18">
        <v>2090</v>
      </c>
      <c r="EE33" s="18">
        <v>1990</v>
      </c>
      <c r="EF33" s="18">
        <v>1890</v>
      </c>
      <c r="EG33" s="18">
        <v>1800</v>
      </c>
      <c r="EH33" s="18">
        <v>1760</v>
      </c>
      <c r="EI33" s="18">
        <v>1760</v>
      </c>
      <c r="EJ33" s="18">
        <v>1800</v>
      </c>
      <c r="EK33" s="18">
        <v>1900</v>
      </c>
      <c r="EL33" s="18">
        <v>1910</v>
      </c>
      <c r="EM33" s="18">
        <v>1960</v>
      </c>
      <c r="EN33" s="18">
        <v>2140</v>
      </c>
      <c r="EO33" s="18">
        <v>2220</v>
      </c>
      <c r="EP33" s="18">
        <v>2170</v>
      </c>
      <c r="EQ33" s="18">
        <v>2080</v>
      </c>
      <c r="ER33" s="18">
        <v>2060</v>
      </c>
      <c r="ES33" s="18">
        <v>2060</v>
      </c>
      <c r="ET33" s="18">
        <v>2050</v>
      </c>
      <c r="EU33" s="18">
        <v>2040</v>
      </c>
      <c r="EV33" s="18">
        <v>2030</v>
      </c>
      <c r="EW33" s="18">
        <v>1980</v>
      </c>
      <c r="EX33" s="18">
        <v>1920</v>
      </c>
      <c r="EY33" s="18">
        <v>1930</v>
      </c>
      <c r="EZ33" s="18">
        <v>1980</v>
      </c>
      <c r="FA33" s="18">
        <v>2080</v>
      </c>
      <c r="FB33" s="18">
        <v>2030</v>
      </c>
      <c r="FC33" s="18">
        <v>1930</v>
      </c>
      <c r="FD33" s="18">
        <v>1870</v>
      </c>
      <c r="FE33" s="18">
        <v>2110</v>
      </c>
      <c r="FF33" s="18">
        <v>2500</v>
      </c>
      <c r="FG33" s="18">
        <v>2680</v>
      </c>
      <c r="FH33" s="18">
        <v>2850</v>
      </c>
      <c r="FI33" s="18">
        <v>3030</v>
      </c>
      <c r="FJ33" s="18">
        <v>3090</v>
      </c>
      <c r="FK33" s="18">
        <v>3220</v>
      </c>
      <c r="FL33" s="18">
        <v>3390</v>
      </c>
      <c r="FM33" s="18">
        <v>3290</v>
      </c>
      <c r="FN33" s="18">
        <v>3100</v>
      </c>
      <c r="FO33" s="18">
        <v>3070</v>
      </c>
      <c r="FP33" s="18">
        <v>3200</v>
      </c>
      <c r="FQ33" s="18">
        <v>3540</v>
      </c>
      <c r="FR33" s="18">
        <v>4330</v>
      </c>
      <c r="FS33" s="18">
        <v>5040</v>
      </c>
      <c r="FT33" s="18">
        <v>6250</v>
      </c>
      <c r="FU33" s="18">
        <v>6100</v>
      </c>
      <c r="FV33" s="18">
        <v>5590</v>
      </c>
      <c r="FW33" s="18">
        <v>5490</v>
      </c>
      <c r="FX33" s="18">
        <v>5140</v>
      </c>
      <c r="FY33" s="18">
        <v>5000</v>
      </c>
      <c r="FZ33" s="18">
        <v>4940</v>
      </c>
      <c r="GA33" s="18">
        <v>4620</v>
      </c>
      <c r="GB33" s="18">
        <v>4740</v>
      </c>
      <c r="GC33" s="18">
        <v>4520</v>
      </c>
      <c r="GD33" s="18">
        <v>4330</v>
      </c>
      <c r="GE33" s="18">
        <v>4290</v>
      </c>
      <c r="GF33" s="18">
        <v>4420</v>
      </c>
      <c r="GG33" s="18">
        <v>5090</v>
      </c>
      <c r="GH33" s="18">
        <v>5530</v>
      </c>
      <c r="GI33" s="18">
        <v>5770</v>
      </c>
      <c r="GJ33" s="18">
        <v>5900</v>
      </c>
      <c r="GK33" s="18">
        <v>5930</v>
      </c>
      <c r="GL33" s="18">
        <v>5620</v>
      </c>
      <c r="GM33" s="18">
        <v>6230</v>
      </c>
      <c r="GN33" s="18">
        <v>7050</v>
      </c>
      <c r="GO33" s="18">
        <v>7000</v>
      </c>
      <c r="GP33" s="18">
        <v>6960</v>
      </c>
      <c r="GQ33" s="18">
        <v>6470</v>
      </c>
      <c r="GR33" s="18">
        <v>6260</v>
      </c>
      <c r="GS33" s="18">
        <v>6440</v>
      </c>
      <c r="GT33" s="18">
        <v>6950</v>
      </c>
      <c r="GU33" s="18">
        <v>7030</v>
      </c>
      <c r="GV33" s="18">
        <v>7320</v>
      </c>
      <c r="GW33" s="18">
        <v>7320</v>
      </c>
      <c r="GX33" s="18">
        <v>6980</v>
      </c>
      <c r="GY33" s="18">
        <v>6470</v>
      </c>
      <c r="GZ33" s="18">
        <v>6040</v>
      </c>
      <c r="HA33" s="18">
        <v>5740</v>
      </c>
      <c r="HB33" s="18">
        <v>5590</v>
      </c>
      <c r="HC33" s="18">
        <v>5570</v>
      </c>
      <c r="HD33" s="18">
        <v>5380</v>
      </c>
      <c r="HE33" s="18">
        <v>5220</v>
      </c>
      <c r="HF33" s="18">
        <v>5340</v>
      </c>
      <c r="HG33" s="18">
        <v>5500</v>
      </c>
      <c r="HH33" s="18">
        <v>5530</v>
      </c>
      <c r="HI33" s="18">
        <v>5830</v>
      </c>
      <c r="HJ33" s="18">
        <v>6130</v>
      </c>
      <c r="HK33" s="18">
        <v>6750</v>
      </c>
      <c r="HL33" s="18">
        <v>6800</v>
      </c>
      <c r="HM33" s="18">
        <v>7410</v>
      </c>
      <c r="HN33" s="18">
        <v>7380</v>
      </c>
      <c r="HO33" s="18">
        <v>7020</v>
      </c>
      <c r="HP33" s="18">
        <v>6590</v>
      </c>
      <c r="HQ33" s="18">
        <v>6350</v>
      </c>
      <c r="HR33" s="18">
        <v>7180</v>
      </c>
      <c r="HS33" s="18">
        <v>8100</v>
      </c>
      <c r="HT33" s="18">
        <v>9030</v>
      </c>
      <c r="HU33" s="18">
        <v>10100</v>
      </c>
      <c r="HV33" s="18">
        <v>11900</v>
      </c>
      <c r="HW33" s="18">
        <v>13600</v>
      </c>
      <c r="HX33" s="18">
        <v>14900</v>
      </c>
      <c r="HY33" s="18">
        <v>17300</v>
      </c>
      <c r="HZ33" s="18">
        <v>17100</v>
      </c>
      <c r="IA33" s="18">
        <v>16600</v>
      </c>
      <c r="IB33" s="18">
        <v>15400</v>
      </c>
      <c r="IC33" s="18">
        <v>14500</v>
      </c>
      <c r="ID33" s="18">
        <v>15300</v>
      </c>
      <c r="IE33" s="18">
        <v>15600</v>
      </c>
      <c r="IF33" s="18">
        <v>14100</v>
      </c>
      <c r="IG33" s="18">
        <v>12500</v>
      </c>
      <c r="IH33" s="18">
        <v>11700</v>
      </c>
      <c r="II33" s="18">
        <v>12200</v>
      </c>
      <c r="IJ33" s="18">
        <v>11500</v>
      </c>
      <c r="IK33" s="18">
        <v>11200</v>
      </c>
      <c r="IL33" s="18">
        <v>10900</v>
      </c>
      <c r="IM33" s="18">
        <v>11100</v>
      </c>
      <c r="IN33" s="18">
        <v>10600</v>
      </c>
      <c r="IO33" s="18">
        <v>9630</v>
      </c>
      <c r="IP33" s="18">
        <v>8930</v>
      </c>
      <c r="IQ33" s="18">
        <v>8460</v>
      </c>
      <c r="IR33" s="18">
        <v>8240</v>
      </c>
      <c r="IS33" s="18">
        <v>8090</v>
      </c>
      <c r="IT33" s="18">
        <v>8270</v>
      </c>
      <c r="IU33" s="18">
        <v>9130</v>
      </c>
      <c r="IV33" s="18">
        <v>9360</v>
      </c>
      <c r="IW33" s="18">
        <v>8800</v>
      </c>
      <c r="IX33" s="18">
        <v>8340</v>
      </c>
      <c r="IY33" s="18">
        <v>7990</v>
      </c>
      <c r="IZ33" s="18">
        <v>7700</v>
      </c>
      <c r="JA33" s="18">
        <v>7600</v>
      </c>
      <c r="JB33" s="18">
        <v>7660</v>
      </c>
      <c r="JC33" s="18">
        <v>7470</v>
      </c>
      <c r="JD33" s="18">
        <v>7310</v>
      </c>
      <c r="JE33" s="18">
        <v>7550</v>
      </c>
      <c r="JF33" s="18">
        <v>7520</v>
      </c>
      <c r="JG33" s="18">
        <v>7360</v>
      </c>
      <c r="JH33" s="18">
        <v>8860</v>
      </c>
      <c r="JI33" s="18">
        <v>9420</v>
      </c>
      <c r="JJ33" s="18">
        <v>9880</v>
      </c>
      <c r="JK33" s="18">
        <v>9880</v>
      </c>
      <c r="JL33" s="18">
        <v>9900</v>
      </c>
      <c r="JM33" s="18">
        <v>10500</v>
      </c>
      <c r="JN33" s="18">
        <v>11100</v>
      </c>
      <c r="JO33" s="18">
        <v>10600</v>
      </c>
      <c r="JP33" s="18">
        <v>10700</v>
      </c>
      <c r="JQ33" s="18">
        <v>10500</v>
      </c>
      <c r="JR33" s="18">
        <v>9970</v>
      </c>
      <c r="JS33" s="18">
        <v>10900</v>
      </c>
      <c r="JT33" s="18">
        <v>12800</v>
      </c>
      <c r="JU33" s="18">
        <v>13900</v>
      </c>
      <c r="JV33" s="18">
        <v>14100</v>
      </c>
      <c r="JW33" s="18">
        <v>12700</v>
      </c>
      <c r="JX33" s="18">
        <v>11500</v>
      </c>
      <c r="JY33" s="18">
        <v>10700</v>
      </c>
      <c r="JZ33" s="18">
        <v>9750</v>
      </c>
      <c r="KA33" s="18">
        <v>8980</v>
      </c>
      <c r="KB33" s="18">
        <v>8320</v>
      </c>
      <c r="KC33" s="18">
        <v>7820</v>
      </c>
      <c r="KD33" s="18">
        <v>7400</v>
      </c>
      <c r="KE33" s="18">
        <v>7080</v>
      </c>
      <c r="KF33" s="18">
        <v>6710</v>
      </c>
      <c r="KG33" s="18">
        <v>6430</v>
      </c>
      <c r="KH33" s="18">
        <v>6250</v>
      </c>
      <c r="KI33" s="18">
        <v>6040</v>
      </c>
      <c r="KJ33" s="18">
        <v>5810</v>
      </c>
      <c r="KK33" s="18">
        <v>5890</v>
      </c>
      <c r="KL33" s="18">
        <v>7830</v>
      </c>
      <c r="KM33" s="18">
        <v>8060</v>
      </c>
      <c r="KN33" s="18">
        <v>7170</v>
      </c>
      <c r="KO33" s="18">
        <v>6730</v>
      </c>
      <c r="KP33" s="18">
        <v>6270</v>
      </c>
      <c r="KQ33" s="18">
        <v>5880</v>
      </c>
      <c r="KR33" s="18">
        <v>5590</v>
      </c>
      <c r="KS33" s="18">
        <v>5320</v>
      </c>
      <c r="KT33" s="18">
        <v>5090</v>
      </c>
      <c r="KU33" s="18">
        <v>4890</v>
      </c>
      <c r="KV33" s="18">
        <v>4710</v>
      </c>
      <c r="KW33" s="18">
        <v>4550</v>
      </c>
      <c r="KX33" s="18">
        <v>4360</v>
      </c>
      <c r="KY33" s="18">
        <v>4220</v>
      </c>
      <c r="KZ33" s="18">
        <v>4090</v>
      </c>
      <c r="LA33" s="18">
        <v>3970</v>
      </c>
      <c r="LB33" s="18">
        <v>3830</v>
      </c>
      <c r="LC33" s="18">
        <v>3700</v>
      </c>
      <c r="LD33" s="18">
        <v>3600</v>
      </c>
      <c r="LE33" s="18">
        <v>3500</v>
      </c>
      <c r="LF33" s="18">
        <v>3410</v>
      </c>
      <c r="LG33" s="18">
        <v>3320</v>
      </c>
      <c r="LH33" s="18">
        <v>3280</v>
      </c>
      <c r="LI33" s="18">
        <v>3210</v>
      </c>
      <c r="LJ33" s="18">
        <v>3110</v>
      </c>
      <c r="LK33" s="18">
        <v>3050</v>
      </c>
      <c r="LL33" s="18">
        <v>2990</v>
      </c>
      <c r="LM33" s="18">
        <v>2910</v>
      </c>
      <c r="LN33" s="18">
        <v>2840</v>
      </c>
      <c r="LO33" s="18">
        <v>2770</v>
      </c>
      <c r="LP33" s="18">
        <v>2720</v>
      </c>
      <c r="LQ33" s="18">
        <v>2650</v>
      </c>
      <c r="LR33" s="18">
        <v>2570</v>
      </c>
      <c r="LS33" s="18">
        <v>2510</v>
      </c>
      <c r="LT33" s="18">
        <v>2470</v>
      </c>
      <c r="LU33" s="18">
        <v>2420</v>
      </c>
      <c r="LV33" s="18">
        <v>2390</v>
      </c>
      <c r="LW33" s="18">
        <v>2340</v>
      </c>
      <c r="LX33" s="18">
        <v>2310</v>
      </c>
      <c r="LY33" s="18">
        <v>2270</v>
      </c>
      <c r="LZ33" s="18">
        <v>2250</v>
      </c>
      <c r="MA33" s="18">
        <v>2220</v>
      </c>
      <c r="MB33" s="18">
        <v>2190</v>
      </c>
      <c r="MC33" s="18">
        <v>2170</v>
      </c>
      <c r="MD33" s="18">
        <v>2160</v>
      </c>
      <c r="ME33" s="18">
        <v>2150</v>
      </c>
      <c r="MF33" s="18">
        <v>2130</v>
      </c>
      <c r="MG33" s="18">
        <v>2110</v>
      </c>
      <c r="MH33" s="18">
        <v>2100</v>
      </c>
      <c r="MI33" s="18">
        <v>2060</v>
      </c>
      <c r="MJ33" s="18">
        <v>2040</v>
      </c>
      <c r="MK33" s="18">
        <v>2000</v>
      </c>
      <c r="ML33" s="18">
        <v>1940</v>
      </c>
      <c r="MM33" s="18">
        <v>1900</v>
      </c>
      <c r="MN33" s="18">
        <v>1850</v>
      </c>
      <c r="MO33" s="18">
        <v>1820</v>
      </c>
      <c r="MP33" s="18">
        <v>1810</v>
      </c>
      <c r="MQ33" s="18">
        <v>1800</v>
      </c>
      <c r="MR33" s="18">
        <v>1800</v>
      </c>
      <c r="MS33" s="18">
        <v>1780</v>
      </c>
      <c r="MT33" s="18">
        <v>1780</v>
      </c>
      <c r="MU33" s="18">
        <v>1780</v>
      </c>
      <c r="MV33" s="18">
        <v>1780</v>
      </c>
      <c r="MW33" s="18">
        <v>1760</v>
      </c>
      <c r="MX33" s="18">
        <v>1740</v>
      </c>
      <c r="MY33" s="18">
        <v>1710</v>
      </c>
      <c r="MZ33" s="18">
        <v>1690</v>
      </c>
      <c r="NA33" s="18">
        <v>1670</v>
      </c>
      <c r="NB33" s="18">
        <v>1660</v>
      </c>
      <c r="NC33" s="18">
        <v>1660</v>
      </c>
      <c r="ND33" s="1">
        <v>1370</v>
      </c>
      <c r="NE33" s="1">
        <v>1140</v>
      </c>
      <c r="NF33" s="1">
        <v>1040</v>
      </c>
      <c r="NG33" s="1">
        <v>1300</v>
      </c>
      <c r="NH33" s="1">
        <v>1910</v>
      </c>
      <c r="NI33" s="1">
        <v>3510</v>
      </c>
      <c r="NJ33" s="1">
        <v>5920</v>
      </c>
      <c r="NK33" s="1">
        <v>10700</v>
      </c>
      <c r="NL33" s="1">
        <v>8940</v>
      </c>
      <c r="NM33" s="1">
        <v>8460</v>
      </c>
      <c r="NN33" s="1">
        <v>3290</v>
      </c>
      <c r="NO33" s="1">
        <v>1930</v>
      </c>
      <c r="NP33" s="1">
        <v>4138.2786885245905</v>
      </c>
      <c r="NQ33" s="1">
        <v>17300</v>
      </c>
      <c r="NR33" s="19">
        <v>42601</v>
      </c>
      <c r="NS33" s="1">
        <v>1000</v>
      </c>
      <c r="NT33" s="19">
        <v>42453</v>
      </c>
    </row>
    <row r="34" spans="1:384" x14ac:dyDescent="0.15">
      <c r="A34" s="1">
        <v>1981</v>
      </c>
      <c r="B34" s="18">
        <v>1820</v>
      </c>
      <c r="C34" s="18">
        <v>1790</v>
      </c>
      <c r="D34" s="18">
        <v>1760</v>
      </c>
      <c r="E34" s="18">
        <v>1740</v>
      </c>
      <c r="F34" s="18">
        <v>1710</v>
      </c>
      <c r="G34" s="18">
        <v>1680</v>
      </c>
      <c r="H34" s="18">
        <v>1670</v>
      </c>
      <c r="I34" s="18">
        <v>1640</v>
      </c>
      <c r="J34" s="18">
        <v>1600</v>
      </c>
      <c r="K34" s="18">
        <v>1600</v>
      </c>
      <c r="L34" s="18">
        <v>1600</v>
      </c>
      <c r="M34" s="18">
        <v>1590</v>
      </c>
      <c r="N34" s="18">
        <v>1580</v>
      </c>
      <c r="O34" s="18">
        <v>1570</v>
      </c>
      <c r="P34" s="18">
        <v>1550</v>
      </c>
      <c r="Q34" s="18">
        <v>1530</v>
      </c>
      <c r="R34" s="18">
        <v>1520</v>
      </c>
      <c r="S34" s="18">
        <v>1510</v>
      </c>
      <c r="T34" s="18">
        <v>1500</v>
      </c>
      <c r="U34" s="18">
        <v>1490</v>
      </c>
      <c r="V34" s="18">
        <v>1470</v>
      </c>
      <c r="W34" s="18">
        <v>1450</v>
      </c>
      <c r="X34" s="18">
        <v>1430</v>
      </c>
      <c r="Y34" s="18">
        <v>1410</v>
      </c>
      <c r="Z34" s="18">
        <v>1390</v>
      </c>
      <c r="AA34" s="18">
        <v>1380</v>
      </c>
      <c r="AB34" s="18">
        <v>1370</v>
      </c>
      <c r="AC34" s="18">
        <v>1360</v>
      </c>
      <c r="AD34" s="18">
        <v>1340</v>
      </c>
      <c r="AE34" s="18">
        <v>1340</v>
      </c>
      <c r="AF34" s="18">
        <v>1340</v>
      </c>
      <c r="AG34" s="18">
        <v>1330</v>
      </c>
      <c r="AH34" s="18">
        <v>1330</v>
      </c>
      <c r="AI34" s="18">
        <v>1310</v>
      </c>
      <c r="AJ34" s="18">
        <v>1310</v>
      </c>
      <c r="AK34" s="18">
        <v>1300</v>
      </c>
      <c r="AL34" s="18">
        <v>1330</v>
      </c>
      <c r="AM34" s="18">
        <v>1330</v>
      </c>
      <c r="AN34" s="18">
        <v>1300</v>
      </c>
      <c r="AO34" s="18">
        <v>1300</v>
      </c>
      <c r="AP34" s="18">
        <v>1280</v>
      </c>
      <c r="AQ34" s="18">
        <v>1270</v>
      </c>
      <c r="AR34" s="18">
        <v>1280</v>
      </c>
      <c r="AS34" s="18">
        <v>1300</v>
      </c>
      <c r="AT34" s="18">
        <v>1310</v>
      </c>
      <c r="AU34" s="18">
        <v>1300</v>
      </c>
      <c r="AV34" s="18">
        <v>1280</v>
      </c>
      <c r="AW34" s="18">
        <v>1270</v>
      </c>
      <c r="AX34" s="18">
        <v>1260</v>
      </c>
      <c r="AY34" s="18">
        <v>1250</v>
      </c>
      <c r="AZ34" s="18">
        <v>1230</v>
      </c>
      <c r="BA34" s="18">
        <v>1220</v>
      </c>
      <c r="BB34" s="18">
        <v>1210</v>
      </c>
      <c r="BC34" s="18">
        <v>1190</v>
      </c>
      <c r="BD34" s="18">
        <v>1180</v>
      </c>
      <c r="BE34" s="18">
        <v>1180</v>
      </c>
      <c r="BF34" s="18">
        <v>1160</v>
      </c>
      <c r="BG34" s="18">
        <v>1150</v>
      </c>
      <c r="BH34" s="18">
        <v>1160</v>
      </c>
      <c r="BI34" s="18"/>
      <c r="BJ34" s="18">
        <v>1150</v>
      </c>
      <c r="BK34" s="18">
        <v>1150</v>
      </c>
      <c r="BL34" s="18">
        <v>1160</v>
      </c>
      <c r="BM34" s="18">
        <v>1180</v>
      </c>
      <c r="BN34" s="18">
        <v>1200</v>
      </c>
      <c r="BO34" s="18">
        <v>1200</v>
      </c>
      <c r="BP34" s="18">
        <v>1180</v>
      </c>
      <c r="BQ34" s="18">
        <v>1170</v>
      </c>
      <c r="BR34" s="18">
        <v>1160</v>
      </c>
      <c r="BS34" s="18">
        <v>1150</v>
      </c>
      <c r="BT34" s="18">
        <v>1150</v>
      </c>
      <c r="BU34" s="18">
        <v>1150</v>
      </c>
      <c r="BV34" s="18">
        <v>1160</v>
      </c>
      <c r="BW34" s="18">
        <v>1160</v>
      </c>
      <c r="BX34" s="18">
        <v>1160</v>
      </c>
      <c r="BY34" s="18">
        <v>1150</v>
      </c>
      <c r="BZ34" s="18">
        <v>1150</v>
      </c>
      <c r="CA34" s="18">
        <v>1150</v>
      </c>
      <c r="CB34" s="18">
        <v>1140</v>
      </c>
      <c r="CC34" s="18">
        <v>1140</v>
      </c>
      <c r="CD34" s="18">
        <v>1150</v>
      </c>
      <c r="CE34" s="18">
        <v>1140</v>
      </c>
      <c r="CF34" s="18">
        <v>1150</v>
      </c>
      <c r="CG34" s="18">
        <v>1150</v>
      </c>
      <c r="CH34" s="18">
        <v>1150</v>
      </c>
      <c r="CI34" s="18">
        <v>1150</v>
      </c>
      <c r="CJ34" s="18">
        <v>1150</v>
      </c>
      <c r="CK34" s="18">
        <v>1150</v>
      </c>
      <c r="CL34" s="18">
        <v>1150</v>
      </c>
      <c r="CM34" s="18">
        <v>1140</v>
      </c>
      <c r="CN34" s="18">
        <v>1130</v>
      </c>
      <c r="CO34" s="18">
        <v>1110</v>
      </c>
      <c r="CP34" s="18">
        <v>1090</v>
      </c>
      <c r="CQ34" s="18">
        <v>1090</v>
      </c>
      <c r="CR34" s="18">
        <v>1090</v>
      </c>
      <c r="CS34" s="18">
        <v>1090</v>
      </c>
      <c r="CT34" s="18">
        <v>1110</v>
      </c>
      <c r="CU34" s="18">
        <v>1130</v>
      </c>
      <c r="CV34" s="18">
        <v>1130</v>
      </c>
      <c r="CW34" s="18">
        <v>1130</v>
      </c>
      <c r="CX34" s="18">
        <v>1150</v>
      </c>
      <c r="CY34" s="18">
        <v>1150</v>
      </c>
      <c r="CZ34" s="18">
        <v>1150</v>
      </c>
      <c r="DA34" s="18">
        <v>1150</v>
      </c>
      <c r="DB34" s="18">
        <v>1160</v>
      </c>
      <c r="DC34" s="18">
        <v>1200</v>
      </c>
      <c r="DD34" s="18">
        <v>1210</v>
      </c>
      <c r="DE34" s="18">
        <v>1180</v>
      </c>
      <c r="DF34" s="18">
        <v>1160</v>
      </c>
      <c r="DG34" s="18">
        <v>1160</v>
      </c>
      <c r="DH34" s="18">
        <v>1180</v>
      </c>
      <c r="DI34" s="18">
        <v>1220</v>
      </c>
      <c r="DJ34" s="18">
        <v>1280</v>
      </c>
      <c r="DK34" s="18">
        <v>1350</v>
      </c>
      <c r="DL34" s="18">
        <v>1450</v>
      </c>
      <c r="DM34" s="18">
        <v>1510</v>
      </c>
      <c r="DN34" s="18">
        <v>1510</v>
      </c>
      <c r="DO34" s="18">
        <v>1510</v>
      </c>
      <c r="DP34" s="18">
        <v>1580</v>
      </c>
      <c r="DQ34" s="18">
        <v>1720</v>
      </c>
      <c r="DR34" s="18">
        <v>1830</v>
      </c>
      <c r="DS34" s="18">
        <v>1870</v>
      </c>
      <c r="DT34" s="18">
        <v>1930</v>
      </c>
      <c r="DU34" s="18">
        <v>1890</v>
      </c>
      <c r="DV34" s="18">
        <v>1830</v>
      </c>
      <c r="DW34" s="18">
        <v>1810</v>
      </c>
      <c r="DX34" s="18">
        <v>1840</v>
      </c>
      <c r="DY34" s="18">
        <v>1860</v>
      </c>
      <c r="DZ34" s="18">
        <v>1860</v>
      </c>
      <c r="EA34" s="18">
        <v>1840</v>
      </c>
      <c r="EB34" s="18">
        <v>1820</v>
      </c>
      <c r="EC34" s="18">
        <v>1830</v>
      </c>
      <c r="ED34" s="18">
        <v>1900</v>
      </c>
      <c r="EE34" s="18">
        <v>2100</v>
      </c>
      <c r="EF34" s="18">
        <v>2340</v>
      </c>
      <c r="EG34" s="18">
        <v>2560</v>
      </c>
      <c r="EH34" s="18">
        <v>2660</v>
      </c>
      <c r="EI34" s="18">
        <v>2650</v>
      </c>
      <c r="EJ34" s="18">
        <v>2600</v>
      </c>
      <c r="EK34" s="18">
        <v>2500</v>
      </c>
      <c r="EL34" s="18">
        <v>2570</v>
      </c>
      <c r="EM34" s="18">
        <v>2640</v>
      </c>
      <c r="EN34" s="18">
        <v>2560</v>
      </c>
      <c r="EO34" s="18">
        <v>2460</v>
      </c>
      <c r="EP34" s="18">
        <v>2460</v>
      </c>
      <c r="EQ34" s="18">
        <v>2440</v>
      </c>
      <c r="ER34" s="18">
        <v>2440</v>
      </c>
      <c r="ES34" s="18">
        <v>2430</v>
      </c>
      <c r="ET34" s="18">
        <v>2480</v>
      </c>
      <c r="EU34" s="18">
        <v>2620</v>
      </c>
      <c r="EV34" s="18">
        <v>2660</v>
      </c>
      <c r="EW34" s="18">
        <v>2620</v>
      </c>
      <c r="EX34" s="18">
        <v>2650</v>
      </c>
      <c r="EY34" s="18">
        <v>2710</v>
      </c>
      <c r="EZ34" s="18">
        <v>2860</v>
      </c>
      <c r="FA34" s="18">
        <v>2990</v>
      </c>
      <c r="FB34" s="18">
        <v>3310</v>
      </c>
      <c r="FC34" s="18">
        <v>3400</v>
      </c>
      <c r="FD34" s="18">
        <v>3240</v>
      </c>
      <c r="FE34" s="18">
        <v>3300</v>
      </c>
      <c r="FF34" s="18">
        <v>3570</v>
      </c>
      <c r="FG34" s="18">
        <v>3810</v>
      </c>
      <c r="FH34" s="18">
        <v>4570</v>
      </c>
      <c r="FI34" s="18">
        <v>4990</v>
      </c>
      <c r="FJ34" s="18">
        <v>4980</v>
      </c>
      <c r="FK34" s="18">
        <v>4900</v>
      </c>
      <c r="FL34" s="18">
        <v>4630</v>
      </c>
      <c r="FM34" s="18">
        <v>4280</v>
      </c>
      <c r="FN34" s="18">
        <v>4120</v>
      </c>
      <c r="FO34" s="18">
        <v>4150</v>
      </c>
      <c r="FP34" s="18">
        <v>4610</v>
      </c>
      <c r="FQ34" s="18">
        <v>5070</v>
      </c>
      <c r="FR34" s="18">
        <v>5840</v>
      </c>
      <c r="FS34" s="18">
        <v>6370</v>
      </c>
      <c r="FT34" s="18">
        <v>7470</v>
      </c>
      <c r="FU34" s="18">
        <v>8380</v>
      </c>
      <c r="FV34" s="18">
        <v>8530</v>
      </c>
      <c r="FW34" s="18">
        <v>10300</v>
      </c>
      <c r="FX34" s="18">
        <v>13200</v>
      </c>
      <c r="FY34" s="18">
        <v>16600</v>
      </c>
      <c r="FZ34" s="18">
        <v>14500</v>
      </c>
      <c r="GA34" s="18">
        <v>12600</v>
      </c>
      <c r="GB34" s="18">
        <v>11200</v>
      </c>
      <c r="GC34" s="18">
        <v>10000</v>
      </c>
      <c r="GD34" s="18">
        <v>8870</v>
      </c>
      <c r="GE34" s="18">
        <v>8050</v>
      </c>
      <c r="GF34" s="18">
        <v>7740</v>
      </c>
      <c r="GG34" s="18">
        <v>7650</v>
      </c>
      <c r="GH34" s="18">
        <v>8100</v>
      </c>
      <c r="GI34" s="18">
        <v>8180</v>
      </c>
      <c r="GJ34" s="18">
        <v>7920</v>
      </c>
      <c r="GK34" s="18">
        <v>7540</v>
      </c>
      <c r="GL34" s="18">
        <v>7410</v>
      </c>
      <c r="GM34" s="18">
        <v>7750</v>
      </c>
      <c r="GN34" s="18">
        <v>8360</v>
      </c>
      <c r="GO34" s="18">
        <v>9200</v>
      </c>
      <c r="GP34" s="18">
        <v>10400</v>
      </c>
      <c r="GQ34" s="18">
        <v>13200</v>
      </c>
      <c r="GR34" s="18">
        <v>16000</v>
      </c>
      <c r="GS34" s="18">
        <v>16500</v>
      </c>
      <c r="GT34" s="18">
        <v>16900</v>
      </c>
      <c r="GU34" s="18">
        <v>15300</v>
      </c>
      <c r="GV34" s="18">
        <v>13300</v>
      </c>
      <c r="GW34" s="18">
        <v>12000</v>
      </c>
      <c r="GX34" s="18">
        <v>10800</v>
      </c>
      <c r="GY34" s="18">
        <v>9730</v>
      </c>
      <c r="GZ34" s="18">
        <v>9050</v>
      </c>
      <c r="HA34" s="18">
        <v>8880</v>
      </c>
      <c r="HB34" s="18">
        <v>9800</v>
      </c>
      <c r="HC34" s="18">
        <v>9190</v>
      </c>
      <c r="HD34" s="18">
        <v>8380</v>
      </c>
      <c r="HE34" s="18">
        <v>7800</v>
      </c>
      <c r="HF34" s="18">
        <v>7390</v>
      </c>
      <c r="HG34" s="18">
        <v>7220</v>
      </c>
      <c r="HH34" s="18">
        <v>7150</v>
      </c>
      <c r="HI34" s="18">
        <v>7330</v>
      </c>
      <c r="HJ34" s="18">
        <v>7550</v>
      </c>
      <c r="HK34" s="18">
        <v>7320</v>
      </c>
      <c r="HL34" s="18">
        <v>6900</v>
      </c>
      <c r="HM34" s="18">
        <v>6570</v>
      </c>
      <c r="HN34" s="18">
        <v>6370</v>
      </c>
      <c r="HO34" s="18">
        <v>6090</v>
      </c>
      <c r="HP34" s="18">
        <v>5880</v>
      </c>
      <c r="HQ34" s="18">
        <v>5770</v>
      </c>
      <c r="HR34" s="18">
        <v>5870</v>
      </c>
      <c r="HS34" s="18">
        <v>6080</v>
      </c>
      <c r="HT34" s="18">
        <v>6150</v>
      </c>
      <c r="HU34" s="18">
        <v>6140</v>
      </c>
      <c r="HV34" s="18">
        <v>6180</v>
      </c>
      <c r="HW34" s="18">
        <v>6140</v>
      </c>
      <c r="HX34" s="18">
        <v>6440</v>
      </c>
      <c r="HY34" s="18">
        <v>6860</v>
      </c>
      <c r="HZ34" s="18">
        <v>7060</v>
      </c>
      <c r="IA34" s="18">
        <v>7230</v>
      </c>
      <c r="IB34" s="18">
        <v>7300</v>
      </c>
      <c r="IC34" s="18">
        <v>7230</v>
      </c>
      <c r="ID34" s="18">
        <v>7070</v>
      </c>
      <c r="IE34" s="18">
        <v>6920</v>
      </c>
      <c r="IF34" s="18">
        <v>6770</v>
      </c>
      <c r="IG34" s="18">
        <v>7260</v>
      </c>
      <c r="IH34" s="18">
        <v>7210</v>
      </c>
      <c r="II34" s="18">
        <v>7080</v>
      </c>
      <c r="IJ34" s="18">
        <v>7480</v>
      </c>
      <c r="IK34" s="18">
        <v>9480</v>
      </c>
      <c r="IL34" s="18">
        <v>9730</v>
      </c>
      <c r="IM34" s="18">
        <v>9370</v>
      </c>
      <c r="IN34" s="18">
        <v>9350</v>
      </c>
      <c r="IO34" s="18">
        <v>9130</v>
      </c>
      <c r="IP34" s="18">
        <v>8690</v>
      </c>
      <c r="IQ34" s="18">
        <v>8230</v>
      </c>
      <c r="IR34" s="18">
        <v>8190</v>
      </c>
      <c r="IS34" s="18">
        <v>8020</v>
      </c>
      <c r="IT34" s="18">
        <v>7860</v>
      </c>
      <c r="IU34" s="18">
        <v>8070</v>
      </c>
      <c r="IV34" s="18">
        <v>8550</v>
      </c>
      <c r="IW34" s="18">
        <v>8590</v>
      </c>
      <c r="IX34" s="18">
        <v>8350</v>
      </c>
      <c r="IY34" s="18">
        <v>8040</v>
      </c>
      <c r="IZ34" s="18">
        <v>7780</v>
      </c>
      <c r="JA34" s="18">
        <v>8070</v>
      </c>
      <c r="JB34" s="18">
        <v>8480</v>
      </c>
      <c r="JC34" s="18">
        <v>9490</v>
      </c>
      <c r="JD34" s="18">
        <v>10300</v>
      </c>
      <c r="JE34" s="18">
        <v>9640</v>
      </c>
      <c r="JF34" s="18">
        <v>8910</v>
      </c>
      <c r="JG34" s="18">
        <v>8580</v>
      </c>
      <c r="JH34" s="18">
        <v>7850</v>
      </c>
      <c r="JI34" s="18">
        <v>8720</v>
      </c>
      <c r="JJ34" s="18">
        <v>8830</v>
      </c>
      <c r="JK34" s="18">
        <v>7980</v>
      </c>
      <c r="JL34" s="18">
        <v>7320</v>
      </c>
      <c r="JM34" s="18">
        <v>6800</v>
      </c>
      <c r="JN34" s="18">
        <v>6460</v>
      </c>
      <c r="JO34" s="18">
        <v>6230</v>
      </c>
      <c r="JP34" s="18">
        <v>5980</v>
      </c>
      <c r="JQ34" s="18">
        <v>5740</v>
      </c>
      <c r="JR34" s="18">
        <v>5540</v>
      </c>
      <c r="JS34" s="18">
        <v>5390</v>
      </c>
      <c r="JT34" s="18">
        <v>5280</v>
      </c>
      <c r="JU34" s="18">
        <v>5170</v>
      </c>
      <c r="JV34" s="18">
        <v>5020</v>
      </c>
      <c r="JW34" s="18">
        <v>4850</v>
      </c>
      <c r="JX34" s="18">
        <v>4730</v>
      </c>
      <c r="JY34" s="18">
        <v>4640</v>
      </c>
      <c r="JZ34" s="18">
        <v>4520</v>
      </c>
      <c r="KA34" s="18">
        <v>4410</v>
      </c>
      <c r="KB34" s="18">
        <v>4290</v>
      </c>
      <c r="KC34" s="18">
        <v>4180</v>
      </c>
      <c r="KD34" s="18">
        <v>4070</v>
      </c>
      <c r="KE34" s="18">
        <v>3960</v>
      </c>
      <c r="KF34" s="18">
        <v>3860</v>
      </c>
      <c r="KG34" s="18">
        <v>3750</v>
      </c>
      <c r="KH34" s="18">
        <v>3650</v>
      </c>
      <c r="KI34" s="18">
        <v>3570</v>
      </c>
      <c r="KJ34" s="18">
        <v>3460</v>
      </c>
      <c r="KK34" s="18">
        <v>3370</v>
      </c>
      <c r="KL34" s="18">
        <v>3270</v>
      </c>
      <c r="KM34" s="18">
        <v>3220</v>
      </c>
      <c r="KN34" s="18">
        <v>3100</v>
      </c>
      <c r="KO34" s="18">
        <v>3040</v>
      </c>
      <c r="KP34" s="18">
        <v>2970</v>
      </c>
      <c r="KQ34" s="18">
        <v>2890</v>
      </c>
      <c r="KR34" s="18">
        <v>2810</v>
      </c>
      <c r="KS34" s="18">
        <v>2750</v>
      </c>
      <c r="KT34" s="18">
        <v>2700</v>
      </c>
      <c r="KU34" s="18">
        <v>2670</v>
      </c>
      <c r="KV34" s="18">
        <v>2650</v>
      </c>
      <c r="KW34" s="18">
        <v>2630</v>
      </c>
      <c r="KX34" s="18">
        <v>2600</v>
      </c>
      <c r="KY34" s="18">
        <v>2550</v>
      </c>
      <c r="KZ34" s="18">
        <v>2500</v>
      </c>
      <c r="LA34" s="18">
        <v>2480</v>
      </c>
      <c r="LB34" s="18">
        <v>2450</v>
      </c>
      <c r="LC34" s="18">
        <v>2450</v>
      </c>
      <c r="LD34" s="18">
        <v>2410</v>
      </c>
      <c r="LE34" s="18">
        <v>2370</v>
      </c>
      <c r="LF34" s="18">
        <v>2350</v>
      </c>
      <c r="LG34" s="18">
        <v>2290</v>
      </c>
      <c r="LH34" s="18">
        <v>2240</v>
      </c>
      <c r="LI34" s="18">
        <v>2190</v>
      </c>
      <c r="LJ34" s="18">
        <v>2160</v>
      </c>
      <c r="LK34" s="18">
        <v>2130</v>
      </c>
      <c r="LL34" s="18">
        <v>2080</v>
      </c>
      <c r="LM34" s="18">
        <v>2050</v>
      </c>
      <c r="LN34" s="18">
        <v>2020</v>
      </c>
      <c r="LO34" s="18">
        <v>1980</v>
      </c>
      <c r="LP34" s="18">
        <v>1940</v>
      </c>
      <c r="LQ34" s="18">
        <v>1920</v>
      </c>
      <c r="LR34" s="18">
        <v>1910</v>
      </c>
      <c r="LS34" s="18">
        <v>1890</v>
      </c>
      <c r="LT34" s="18">
        <v>1880</v>
      </c>
      <c r="LU34" s="18">
        <v>1850</v>
      </c>
      <c r="LV34" s="18">
        <v>1830</v>
      </c>
      <c r="LW34" s="18">
        <v>1810</v>
      </c>
      <c r="LX34" s="18">
        <v>1780</v>
      </c>
      <c r="LY34" s="18">
        <v>1750</v>
      </c>
      <c r="LZ34" s="18">
        <v>1730</v>
      </c>
      <c r="MA34" s="18">
        <v>1710</v>
      </c>
      <c r="MB34" s="18">
        <v>1680</v>
      </c>
      <c r="MC34" s="18">
        <v>1660</v>
      </c>
      <c r="MD34" s="18">
        <v>1630</v>
      </c>
      <c r="ME34" s="18">
        <v>1590</v>
      </c>
      <c r="MF34" s="18">
        <v>1560</v>
      </c>
      <c r="MG34" s="18">
        <v>1540</v>
      </c>
      <c r="MH34" s="18">
        <v>1530</v>
      </c>
      <c r="MI34" s="18">
        <v>1520</v>
      </c>
      <c r="MJ34" s="18">
        <v>1510</v>
      </c>
      <c r="MK34" s="18">
        <v>1510</v>
      </c>
      <c r="ML34" s="18">
        <v>1500</v>
      </c>
      <c r="MM34" s="18">
        <v>1480</v>
      </c>
      <c r="MN34" s="18">
        <v>1480</v>
      </c>
      <c r="MO34" s="18">
        <v>1480</v>
      </c>
      <c r="MP34" s="18">
        <v>1480</v>
      </c>
      <c r="MQ34" s="18">
        <v>1480</v>
      </c>
      <c r="MR34" s="18">
        <v>1470</v>
      </c>
      <c r="MS34" s="18">
        <v>1460</v>
      </c>
      <c r="MT34" s="18">
        <v>1460</v>
      </c>
      <c r="MU34" s="18">
        <v>1460</v>
      </c>
      <c r="MV34" s="18">
        <v>1430</v>
      </c>
      <c r="MW34" s="18">
        <v>1400</v>
      </c>
      <c r="MX34" s="18">
        <v>1360</v>
      </c>
      <c r="MY34" s="18">
        <v>1330</v>
      </c>
      <c r="MZ34" s="18">
        <v>1310</v>
      </c>
      <c r="NA34" s="18">
        <v>1300</v>
      </c>
      <c r="NB34" s="18">
        <v>1290</v>
      </c>
      <c r="NC34" s="18">
        <v>1260</v>
      </c>
      <c r="ND34" s="1">
        <v>1540</v>
      </c>
      <c r="NE34" s="1">
        <v>1260</v>
      </c>
      <c r="NF34" s="1">
        <v>1160</v>
      </c>
      <c r="NG34" s="1">
        <v>1260</v>
      </c>
      <c r="NH34" s="1">
        <v>2260</v>
      </c>
      <c r="NI34" s="1">
        <v>6060</v>
      </c>
      <c r="NJ34" s="1">
        <v>10100</v>
      </c>
      <c r="NK34" s="1">
        <v>6840</v>
      </c>
      <c r="NL34" s="1">
        <v>8390</v>
      </c>
      <c r="NM34" s="1">
        <v>4070</v>
      </c>
      <c r="NN34" s="1">
        <v>2200</v>
      </c>
      <c r="NO34" s="1">
        <v>1500</v>
      </c>
      <c r="NP34" s="1">
        <v>3900.1095890410961</v>
      </c>
      <c r="NQ34" s="1">
        <v>16900</v>
      </c>
      <c r="NR34" s="19">
        <v>42570</v>
      </c>
      <c r="NS34" s="1">
        <v>1090</v>
      </c>
      <c r="NT34" s="19">
        <v>42462</v>
      </c>
    </row>
    <row r="35" spans="1:384" x14ac:dyDescent="0.15">
      <c r="A35" s="1">
        <v>1982</v>
      </c>
      <c r="B35" s="18">
        <v>1280</v>
      </c>
      <c r="C35" s="18">
        <v>1260</v>
      </c>
      <c r="D35" s="18">
        <v>1260</v>
      </c>
      <c r="E35" s="18">
        <v>1280</v>
      </c>
      <c r="F35" s="18">
        <v>1290</v>
      </c>
      <c r="G35" s="18">
        <v>1270</v>
      </c>
      <c r="H35" s="18">
        <v>1260</v>
      </c>
      <c r="I35" s="18">
        <v>1240</v>
      </c>
      <c r="J35" s="18">
        <v>1220</v>
      </c>
      <c r="K35" s="18">
        <v>1220</v>
      </c>
      <c r="L35" s="18">
        <v>1210</v>
      </c>
      <c r="M35" s="18">
        <v>1220</v>
      </c>
      <c r="N35" s="18">
        <v>1230</v>
      </c>
      <c r="O35" s="18">
        <v>1210</v>
      </c>
      <c r="P35" s="18">
        <v>1200</v>
      </c>
      <c r="Q35" s="18">
        <v>1190</v>
      </c>
      <c r="R35" s="18">
        <v>1200</v>
      </c>
      <c r="S35" s="18">
        <v>1200</v>
      </c>
      <c r="T35" s="18">
        <v>1210</v>
      </c>
      <c r="U35" s="18">
        <v>1210</v>
      </c>
      <c r="V35" s="18">
        <v>1190</v>
      </c>
      <c r="W35" s="18">
        <v>1180</v>
      </c>
      <c r="X35" s="18">
        <v>1150</v>
      </c>
      <c r="Y35" s="18">
        <v>1130</v>
      </c>
      <c r="Z35" s="18">
        <v>1110</v>
      </c>
      <c r="AA35" s="18">
        <v>1100</v>
      </c>
      <c r="AB35" s="18">
        <v>1090</v>
      </c>
      <c r="AC35" s="18">
        <v>1080</v>
      </c>
      <c r="AD35" s="18">
        <v>1080</v>
      </c>
      <c r="AE35" s="18">
        <v>1070</v>
      </c>
      <c r="AF35" s="18">
        <v>1070</v>
      </c>
      <c r="AG35" s="18">
        <v>1060</v>
      </c>
      <c r="AH35" s="18">
        <v>1050</v>
      </c>
      <c r="AI35" s="18">
        <v>1050</v>
      </c>
      <c r="AJ35" s="18">
        <v>1060</v>
      </c>
      <c r="AK35" s="18">
        <v>1060</v>
      </c>
      <c r="AL35" s="18">
        <v>1060</v>
      </c>
      <c r="AM35" s="18">
        <v>1070</v>
      </c>
      <c r="AN35" s="18">
        <v>1080</v>
      </c>
      <c r="AO35" s="18">
        <v>1080</v>
      </c>
      <c r="AP35" s="18">
        <v>1070</v>
      </c>
      <c r="AQ35" s="18">
        <v>1070</v>
      </c>
      <c r="AR35" s="18">
        <v>1080</v>
      </c>
      <c r="AS35" s="18">
        <v>1090</v>
      </c>
      <c r="AT35" s="18">
        <v>1090</v>
      </c>
      <c r="AU35" s="18">
        <v>1070</v>
      </c>
      <c r="AV35" s="18">
        <v>1050</v>
      </c>
      <c r="AW35" s="18">
        <v>1050</v>
      </c>
      <c r="AX35" s="18">
        <v>1050</v>
      </c>
      <c r="AY35" s="18">
        <v>1030</v>
      </c>
      <c r="AZ35" s="18">
        <v>1030</v>
      </c>
      <c r="BA35" s="18">
        <v>1020</v>
      </c>
      <c r="BB35" s="18">
        <v>995</v>
      </c>
      <c r="BC35" s="18">
        <v>981</v>
      </c>
      <c r="BD35" s="18">
        <v>980</v>
      </c>
      <c r="BE35" s="18">
        <v>968</v>
      </c>
      <c r="BF35" s="18">
        <v>951</v>
      </c>
      <c r="BG35" s="18">
        <v>945</v>
      </c>
      <c r="BH35" s="18">
        <v>937</v>
      </c>
      <c r="BI35" s="18"/>
      <c r="BJ35" s="18">
        <v>928</v>
      </c>
      <c r="BK35" s="18">
        <v>927</v>
      </c>
      <c r="BL35" s="18">
        <v>927</v>
      </c>
      <c r="BM35" s="18">
        <v>919</v>
      </c>
      <c r="BN35" s="18">
        <v>911</v>
      </c>
      <c r="BO35" s="18">
        <v>910</v>
      </c>
      <c r="BP35" s="18">
        <v>902</v>
      </c>
      <c r="BQ35" s="18">
        <v>908</v>
      </c>
      <c r="BR35" s="18">
        <v>923</v>
      </c>
      <c r="BS35" s="18">
        <v>919</v>
      </c>
      <c r="BT35" s="18">
        <v>918</v>
      </c>
      <c r="BU35" s="18">
        <v>918</v>
      </c>
      <c r="BV35" s="18">
        <v>914</v>
      </c>
      <c r="BW35" s="18">
        <v>902</v>
      </c>
      <c r="BX35" s="18">
        <v>893</v>
      </c>
      <c r="BY35" s="18">
        <v>897</v>
      </c>
      <c r="BZ35" s="18">
        <v>893</v>
      </c>
      <c r="CA35" s="18">
        <v>892</v>
      </c>
      <c r="CB35" s="18">
        <v>885</v>
      </c>
      <c r="CC35" s="18">
        <v>884</v>
      </c>
      <c r="CD35" s="18">
        <v>877</v>
      </c>
      <c r="CE35" s="18">
        <v>875</v>
      </c>
      <c r="CF35" s="18">
        <v>875</v>
      </c>
      <c r="CG35" s="18">
        <v>875</v>
      </c>
      <c r="CH35" s="18">
        <v>875</v>
      </c>
      <c r="CI35" s="18">
        <v>875</v>
      </c>
      <c r="CJ35" s="18">
        <v>880</v>
      </c>
      <c r="CK35" s="18">
        <v>887</v>
      </c>
      <c r="CL35" s="18">
        <v>896</v>
      </c>
      <c r="CM35" s="18">
        <v>913</v>
      </c>
      <c r="CN35" s="18">
        <v>933</v>
      </c>
      <c r="CO35" s="18">
        <v>952</v>
      </c>
      <c r="CP35" s="18">
        <v>966</v>
      </c>
      <c r="CQ35" s="18">
        <v>987</v>
      </c>
      <c r="CR35" s="18">
        <v>1020</v>
      </c>
      <c r="CS35" s="18">
        <v>1040</v>
      </c>
      <c r="CT35" s="18">
        <v>1060</v>
      </c>
      <c r="CU35" s="18">
        <v>1060</v>
      </c>
      <c r="CV35" s="18">
        <v>1060</v>
      </c>
      <c r="CW35" s="18">
        <v>1050</v>
      </c>
      <c r="CX35" s="18">
        <v>1040</v>
      </c>
      <c r="CY35" s="18">
        <v>1050</v>
      </c>
      <c r="CZ35" s="18">
        <v>1090</v>
      </c>
      <c r="DA35" s="18">
        <v>1110</v>
      </c>
      <c r="DB35" s="18">
        <v>1100</v>
      </c>
      <c r="DC35" s="18">
        <v>1070</v>
      </c>
      <c r="DD35" s="18">
        <v>1060</v>
      </c>
      <c r="DE35" s="18">
        <v>1060</v>
      </c>
      <c r="DF35" s="18">
        <v>1060</v>
      </c>
      <c r="DG35" s="18">
        <v>1050</v>
      </c>
      <c r="DH35" s="18">
        <v>1050</v>
      </c>
      <c r="DI35" s="18">
        <v>1050</v>
      </c>
      <c r="DJ35" s="18">
        <v>1040</v>
      </c>
      <c r="DK35" s="18">
        <v>1040</v>
      </c>
      <c r="DL35" s="18">
        <v>1050</v>
      </c>
      <c r="DM35" s="18">
        <v>1080</v>
      </c>
      <c r="DN35" s="18">
        <v>1120</v>
      </c>
      <c r="DO35" s="18">
        <v>1140</v>
      </c>
      <c r="DP35" s="18">
        <v>1160</v>
      </c>
      <c r="DQ35" s="18">
        <v>1150</v>
      </c>
      <c r="DR35" s="18">
        <v>1150</v>
      </c>
      <c r="DS35" s="18">
        <v>1160</v>
      </c>
      <c r="DT35" s="18">
        <v>1170</v>
      </c>
      <c r="DU35" s="18">
        <v>1180</v>
      </c>
      <c r="DV35" s="18">
        <v>1210</v>
      </c>
      <c r="DW35" s="18">
        <v>1270</v>
      </c>
      <c r="DX35" s="18">
        <v>1320</v>
      </c>
      <c r="DY35" s="18">
        <v>1310</v>
      </c>
      <c r="DZ35" s="18">
        <v>1250</v>
      </c>
      <c r="EA35" s="18">
        <v>1200</v>
      </c>
      <c r="EB35" s="18">
        <v>1180</v>
      </c>
      <c r="EC35" s="18">
        <v>1160</v>
      </c>
      <c r="ED35" s="18">
        <v>1140</v>
      </c>
      <c r="EE35" s="18">
        <v>1120</v>
      </c>
      <c r="EF35" s="18">
        <v>1160</v>
      </c>
      <c r="EG35" s="18">
        <v>1220</v>
      </c>
      <c r="EH35" s="18">
        <v>1280</v>
      </c>
      <c r="EI35" s="18">
        <v>1340</v>
      </c>
      <c r="EJ35" s="18">
        <v>1490</v>
      </c>
      <c r="EK35" s="18">
        <v>1620</v>
      </c>
      <c r="EL35" s="18">
        <v>1630</v>
      </c>
      <c r="EM35" s="18">
        <v>1620</v>
      </c>
      <c r="EN35" s="18">
        <v>1630</v>
      </c>
      <c r="EO35" s="18">
        <v>1690</v>
      </c>
      <c r="EP35" s="18">
        <v>1710</v>
      </c>
      <c r="EQ35" s="18">
        <v>1630</v>
      </c>
      <c r="ER35" s="18">
        <v>1540</v>
      </c>
      <c r="ES35" s="18">
        <v>1520</v>
      </c>
      <c r="ET35" s="18">
        <v>1520</v>
      </c>
      <c r="EU35" s="18">
        <v>1520</v>
      </c>
      <c r="EV35" s="18">
        <v>1580</v>
      </c>
      <c r="EW35" s="18">
        <v>1680</v>
      </c>
      <c r="EX35" s="18">
        <v>1720</v>
      </c>
      <c r="EY35" s="18">
        <v>1700</v>
      </c>
      <c r="EZ35" s="18">
        <v>1680</v>
      </c>
      <c r="FA35" s="18">
        <v>1690</v>
      </c>
      <c r="FB35" s="18">
        <v>1940</v>
      </c>
      <c r="FC35" s="18">
        <v>2200</v>
      </c>
      <c r="FD35" s="18">
        <v>2400</v>
      </c>
      <c r="FE35" s="18">
        <v>2360</v>
      </c>
      <c r="FF35" s="18">
        <v>2520</v>
      </c>
      <c r="FG35" s="18">
        <v>2770</v>
      </c>
      <c r="FH35" s="18">
        <v>3410</v>
      </c>
      <c r="FI35" s="18">
        <v>4000</v>
      </c>
      <c r="FJ35" s="18">
        <v>4270</v>
      </c>
      <c r="FK35" s="18">
        <v>4180</v>
      </c>
      <c r="FL35" s="18">
        <v>3950</v>
      </c>
      <c r="FM35" s="18">
        <v>3720</v>
      </c>
      <c r="FN35" s="18">
        <v>3530</v>
      </c>
      <c r="FO35" s="18">
        <v>3540</v>
      </c>
      <c r="FP35" s="18">
        <v>3630</v>
      </c>
      <c r="FQ35" s="18">
        <v>3700</v>
      </c>
      <c r="FR35" s="18">
        <v>3740</v>
      </c>
      <c r="FS35" s="18">
        <v>3720</v>
      </c>
      <c r="FT35" s="18">
        <v>3620</v>
      </c>
      <c r="FU35" s="18">
        <v>3630</v>
      </c>
      <c r="FV35" s="18">
        <v>4220</v>
      </c>
      <c r="FW35" s="18">
        <v>4800</v>
      </c>
      <c r="FX35" s="18">
        <v>5280</v>
      </c>
      <c r="FY35" s="18">
        <v>5700</v>
      </c>
      <c r="FZ35" s="18">
        <v>6110</v>
      </c>
      <c r="GA35" s="18">
        <v>6780</v>
      </c>
      <c r="GB35" s="18">
        <v>7440</v>
      </c>
      <c r="GC35" s="18">
        <v>8220</v>
      </c>
      <c r="GD35" s="18">
        <v>9050</v>
      </c>
      <c r="GE35" s="18">
        <v>8980</v>
      </c>
      <c r="GF35" s="18">
        <v>8650</v>
      </c>
      <c r="GG35" s="18">
        <v>8950</v>
      </c>
      <c r="GH35" s="18">
        <v>10900</v>
      </c>
      <c r="GI35" s="18">
        <v>11100</v>
      </c>
      <c r="GJ35" s="18">
        <v>11000</v>
      </c>
      <c r="GK35" s="18">
        <v>11200</v>
      </c>
      <c r="GL35" s="18">
        <v>10800</v>
      </c>
      <c r="GM35" s="18">
        <v>10100</v>
      </c>
      <c r="GN35" s="18">
        <v>9140</v>
      </c>
      <c r="GO35" s="18">
        <v>8500</v>
      </c>
      <c r="GP35" s="18">
        <v>8300</v>
      </c>
      <c r="GQ35" s="18">
        <v>8590</v>
      </c>
      <c r="GR35" s="18">
        <v>8830</v>
      </c>
      <c r="GS35" s="18">
        <v>8930</v>
      </c>
      <c r="GT35" s="18">
        <v>10100</v>
      </c>
      <c r="GU35" s="18">
        <v>11600</v>
      </c>
      <c r="GV35" s="18">
        <v>12400</v>
      </c>
      <c r="GW35" s="18">
        <v>13200</v>
      </c>
      <c r="GX35" s="18">
        <v>13400</v>
      </c>
      <c r="GY35" s="18">
        <v>13400</v>
      </c>
      <c r="GZ35" s="18">
        <v>13700</v>
      </c>
      <c r="HA35" s="18">
        <v>13400</v>
      </c>
      <c r="HB35" s="18">
        <v>12500</v>
      </c>
      <c r="HC35" s="18">
        <v>11400</v>
      </c>
      <c r="HD35" s="18">
        <v>10300</v>
      </c>
      <c r="HE35" s="18">
        <v>10300</v>
      </c>
      <c r="HF35" s="18">
        <v>10800</v>
      </c>
      <c r="HG35" s="18">
        <v>10700</v>
      </c>
      <c r="HH35" s="18">
        <v>9670</v>
      </c>
      <c r="HI35" s="18">
        <v>8440</v>
      </c>
      <c r="HJ35" s="18">
        <v>7480</v>
      </c>
      <c r="HK35" s="18">
        <v>6880</v>
      </c>
      <c r="HL35" s="18">
        <v>6770</v>
      </c>
      <c r="HM35" s="18">
        <v>6360</v>
      </c>
      <c r="HN35" s="18">
        <v>5900</v>
      </c>
      <c r="HO35" s="18">
        <v>5510</v>
      </c>
      <c r="HP35" s="18">
        <v>5180</v>
      </c>
      <c r="HQ35" s="18">
        <v>4930</v>
      </c>
      <c r="HR35" s="18">
        <v>4800</v>
      </c>
      <c r="HS35" s="18">
        <v>4910</v>
      </c>
      <c r="HT35" s="18">
        <v>4990</v>
      </c>
      <c r="HU35" s="18">
        <v>4750</v>
      </c>
      <c r="HV35" s="18">
        <v>4500</v>
      </c>
      <c r="HW35" s="18">
        <v>4370</v>
      </c>
      <c r="HX35" s="18">
        <v>4840</v>
      </c>
      <c r="HY35" s="18">
        <v>4780</v>
      </c>
      <c r="HZ35" s="18">
        <v>4470</v>
      </c>
      <c r="IA35" s="18">
        <v>4200</v>
      </c>
      <c r="IB35" s="18">
        <v>4030</v>
      </c>
      <c r="IC35" s="18">
        <v>4020</v>
      </c>
      <c r="ID35" s="18">
        <v>4500</v>
      </c>
      <c r="IE35" s="18">
        <v>5120</v>
      </c>
      <c r="IF35" s="18">
        <v>5750</v>
      </c>
      <c r="IG35" s="18">
        <v>5620</v>
      </c>
      <c r="IH35" s="18">
        <v>5340</v>
      </c>
      <c r="II35" s="18">
        <v>5060</v>
      </c>
      <c r="IJ35" s="18">
        <v>4830</v>
      </c>
      <c r="IK35" s="18">
        <v>4710</v>
      </c>
      <c r="IL35" s="18">
        <v>4560</v>
      </c>
      <c r="IM35" s="18">
        <v>4400</v>
      </c>
      <c r="IN35" s="18">
        <v>4350</v>
      </c>
      <c r="IO35" s="18">
        <v>4510</v>
      </c>
      <c r="IP35" s="18">
        <v>4600</v>
      </c>
      <c r="IQ35" s="18">
        <v>4570</v>
      </c>
      <c r="IR35" s="18">
        <v>4490</v>
      </c>
      <c r="IS35" s="18">
        <v>4720</v>
      </c>
      <c r="IT35" s="18">
        <v>5100</v>
      </c>
      <c r="IU35" s="18">
        <v>5280</v>
      </c>
      <c r="IV35" s="18">
        <v>5580</v>
      </c>
      <c r="IW35" s="18">
        <v>6360</v>
      </c>
      <c r="IX35" s="18">
        <v>6790</v>
      </c>
      <c r="IY35" s="18">
        <v>7050</v>
      </c>
      <c r="IZ35" s="18">
        <v>7290</v>
      </c>
      <c r="JA35" s="18">
        <v>8140</v>
      </c>
      <c r="JB35" s="18">
        <v>9190</v>
      </c>
      <c r="JC35" s="18">
        <v>9970</v>
      </c>
      <c r="JD35" s="18">
        <v>10600</v>
      </c>
      <c r="JE35" s="18">
        <v>11100</v>
      </c>
      <c r="JF35" s="18">
        <v>11200</v>
      </c>
      <c r="JG35" s="18">
        <v>11000</v>
      </c>
      <c r="JH35" s="18">
        <v>10300</v>
      </c>
      <c r="JI35" s="18">
        <v>9330</v>
      </c>
      <c r="JJ35" s="18">
        <v>8600</v>
      </c>
      <c r="JK35" s="18">
        <v>8030</v>
      </c>
      <c r="JL35" s="18">
        <v>7710</v>
      </c>
      <c r="JM35" s="18">
        <v>8120</v>
      </c>
      <c r="JN35" s="18">
        <v>7620</v>
      </c>
      <c r="JO35" s="18">
        <v>7090</v>
      </c>
      <c r="JP35" s="18">
        <v>6910</v>
      </c>
      <c r="JQ35" s="18">
        <v>6710</v>
      </c>
      <c r="JR35" s="18">
        <v>6500</v>
      </c>
      <c r="JS35" s="18">
        <v>6300</v>
      </c>
      <c r="JT35" s="18">
        <v>6470</v>
      </c>
      <c r="JU35" s="18">
        <v>7840</v>
      </c>
      <c r="JV35" s="18">
        <v>7910</v>
      </c>
      <c r="JW35" s="18">
        <v>7230</v>
      </c>
      <c r="JX35" s="18">
        <v>6490</v>
      </c>
      <c r="JY35" s="18">
        <v>6240</v>
      </c>
      <c r="JZ35" s="18">
        <v>5680</v>
      </c>
      <c r="KA35" s="18">
        <v>5300</v>
      </c>
      <c r="KB35" s="18">
        <v>5010</v>
      </c>
      <c r="KC35" s="18">
        <v>4790</v>
      </c>
      <c r="KD35" s="18">
        <v>4590</v>
      </c>
      <c r="KE35" s="18">
        <v>4420</v>
      </c>
      <c r="KF35" s="18">
        <v>4290</v>
      </c>
      <c r="KG35" s="18">
        <v>4150</v>
      </c>
      <c r="KH35" s="18">
        <v>4050</v>
      </c>
      <c r="KI35" s="18">
        <v>3970</v>
      </c>
      <c r="KJ35" s="18">
        <v>3940</v>
      </c>
      <c r="KK35" s="18">
        <v>3890</v>
      </c>
      <c r="KL35" s="18">
        <v>3770</v>
      </c>
      <c r="KM35" s="18">
        <v>3660</v>
      </c>
      <c r="KN35" s="18">
        <v>3680</v>
      </c>
      <c r="KO35" s="18">
        <v>3600</v>
      </c>
      <c r="KP35" s="18">
        <v>3520</v>
      </c>
      <c r="KQ35" s="18">
        <v>3430</v>
      </c>
      <c r="KR35" s="18">
        <v>3350</v>
      </c>
      <c r="KS35" s="18">
        <v>3260</v>
      </c>
      <c r="KT35" s="18">
        <v>3170</v>
      </c>
      <c r="KU35" s="18">
        <v>3070</v>
      </c>
      <c r="KV35" s="18">
        <v>2970</v>
      </c>
      <c r="KW35" s="18">
        <v>2910</v>
      </c>
      <c r="KX35" s="18">
        <v>2840</v>
      </c>
      <c r="KY35" s="18">
        <v>2780</v>
      </c>
      <c r="KZ35" s="18">
        <v>2720</v>
      </c>
      <c r="LA35" s="18">
        <v>2660</v>
      </c>
      <c r="LB35" s="18">
        <v>2610</v>
      </c>
      <c r="LC35" s="18">
        <v>2570</v>
      </c>
      <c r="LD35" s="18">
        <v>2560</v>
      </c>
      <c r="LE35" s="18">
        <v>2550</v>
      </c>
      <c r="LF35" s="18">
        <v>2510</v>
      </c>
      <c r="LG35" s="18">
        <v>2470</v>
      </c>
      <c r="LH35" s="18">
        <v>2430</v>
      </c>
      <c r="LI35" s="18">
        <v>2390</v>
      </c>
      <c r="LJ35" s="18">
        <v>2350</v>
      </c>
      <c r="LK35" s="18">
        <v>2310</v>
      </c>
      <c r="LL35" s="18">
        <v>2260</v>
      </c>
      <c r="LM35" s="18">
        <v>2210</v>
      </c>
      <c r="LN35" s="18">
        <v>2170</v>
      </c>
      <c r="LO35" s="18">
        <v>2120</v>
      </c>
      <c r="LP35" s="18">
        <v>2090</v>
      </c>
      <c r="LQ35" s="18">
        <v>2060</v>
      </c>
      <c r="LR35" s="18">
        <v>2030</v>
      </c>
      <c r="LS35" s="18">
        <v>2010</v>
      </c>
      <c r="LT35" s="18">
        <v>1990</v>
      </c>
      <c r="LU35" s="18">
        <v>1980</v>
      </c>
      <c r="LV35" s="18">
        <v>1940</v>
      </c>
      <c r="LW35" s="18">
        <v>1930</v>
      </c>
      <c r="LX35" s="18">
        <v>1890</v>
      </c>
      <c r="LY35" s="18">
        <v>1860</v>
      </c>
      <c r="LZ35" s="18">
        <v>1820</v>
      </c>
      <c r="MA35" s="18">
        <v>1780</v>
      </c>
      <c r="MB35" s="18">
        <v>1750</v>
      </c>
      <c r="MC35" s="18">
        <v>1700</v>
      </c>
      <c r="MD35" s="18">
        <v>1670</v>
      </c>
      <c r="ME35" s="18">
        <v>1650</v>
      </c>
      <c r="MF35" s="18">
        <v>1630</v>
      </c>
      <c r="MG35" s="18">
        <v>1610</v>
      </c>
      <c r="MH35" s="18">
        <v>1600</v>
      </c>
      <c r="MI35" s="18">
        <v>1560</v>
      </c>
      <c r="MJ35" s="18">
        <v>1560</v>
      </c>
      <c r="MK35" s="18">
        <v>1540</v>
      </c>
      <c r="ML35" s="18">
        <v>1540</v>
      </c>
      <c r="MM35" s="18">
        <v>1530</v>
      </c>
      <c r="MN35" s="18">
        <v>1530</v>
      </c>
      <c r="MO35" s="18">
        <v>1530</v>
      </c>
      <c r="MP35" s="18">
        <v>1500</v>
      </c>
      <c r="MQ35" s="18">
        <v>1490</v>
      </c>
      <c r="MR35" s="18">
        <v>1480</v>
      </c>
      <c r="MS35" s="18">
        <v>1480</v>
      </c>
      <c r="MT35" s="18">
        <v>1480</v>
      </c>
      <c r="MU35" s="18">
        <v>1460</v>
      </c>
      <c r="MV35" s="18">
        <v>1440</v>
      </c>
      <c r="MW35" s="18">
        <v>1420</v>
      </c>
      <c r="MX35" s="18">
        <v>1380</v>
      </c>
      <c r="MY35" s="18">
        <v>1360</v>
      </c>
      <c r="MZ35" s="18">
        <v>1340</v>
      </c>
      <c r="NA35" s="18">
        <v>1340</v>
      </c>
      <c r="NB35" s="18">
        <v>1320</v>
      </c>
      <c r="NC35" s="18">
        <v>1290</v>
      </c>
      <c r="ND35" s="1">
        <v>1190</v>
      </c>
      <c r="NE35" s="1">
        <v>1040</v>
      </c>
      <c r="NF35" s="1">
        <v>901</v>
      </c>
      <c r="NG35" s="1">
        <v>1060</v>
      </c>
      <c r="NH35" s="1">
        <v>1390</v>
      </c>
      <c r="NI35" s="1">
        <v>3550</v>
      </c>
      <c r="NJ35" s="1">
        <v>10500</v>
      </c>
      <c r="NK35" s="1">
        <v>5590</v>
      </c>
      <c r="NL35" s="1">
        <v>7260</v>
      </c>
      <c r="NM35" s="1">
        <v>4970</v>
      </c>
      <c r="NN35" s="1">
        <v>2380</v>
      </c>
      <c r="NO35" s="1">
        <v>1540</v>
      </c>
      <c r="NP35" s="1">
        <v>3464.9945205479453</v>
      </c>
      <c r="NQ35" s="1">
        <v>13700</v>
      </c>
      <c r="NR35" s="19">
        <v>42576</v>
      </c>
      <c r="NS35" s="1">
        <v>875</v>
      </c>
      <c r="NT35" s="19">
        <v>42451</v>
      </c>
    </row>
    <row r="36" spans="1:384" x14ac:dyDescent="0.15">
      <c r="A36" s="1">
        <v>1983</v>
      </c>
      <c r="B36" s="18">
        <v>1250</v>
      </c>
      <c r="C36" s="18">
        <v>1240</v>
      </c>
      <c r="D36" s="18">
        <v>1220</v>
      </c>
      <c r="E36" s="18">
        <v>1230</v>
      </c>
      <c r="F36" s="18">
        <v>1230</v>
      </c>
      <c r="G36" s="18">
        <v>1250</v>
      </c>
      <c r="H36" s="18">
        <v>1260</v>
      </c>
      <c r="I36" s="18">
        <v>1240</v>
      </c>
      <c r="J36" s="18">
        <v>1220</v>
      </c>
      <c r="K36" s="18">
        <v>1200</v>
      </c>
      <c r="L36" s="18">
        <v>1180</v>
      </c>
      <c r="M36" s="18">
        <v>1170</v>
      </c>
      <c r="N36" s="18">
        <v>1170</v>
      </c>
      <c r="O36" s="18">
        <v>1170</v>
      </c>
      <c r="P36" s="18">
        <v>1170</v>
      </c>
      <c r="Q36" s="18">
        <v>1160</v>
      </c>
      <c r="R36" s="18">
        <v>1150</v>
      </c>
      <c r="S36" s="18">
        <v>1140</v>
      </c>
      <c r="T36" s="18">
        <v>1140</v>
      </c>
      <c r="U36" s="18">
        <v>1140</v>
      </c>
      <c r="V36" s="18">
        <v>1140</v>
      </c>
      <c r="W36" s="18">
        <v>1140</v>
      </c>
      <c r="X36" s="18">
        <v>1140</v>
      </c>
      <c r="Y36" s="18">
        <v>1140</v>
      </c>
      <c r="Z36" s="18">
        <v>1140</v>
      </c>
      <c r="AA36" s="18">
        <v>1130</v>
      </c>
      <c r="AB36" s="18">
        <v>1110</v>
      </c>
      <c r="AC36" s="18">
        <v>1100</v>
      </c>
      <c r="AD36" s="18">
        <v>1080</v>
      </c>
      <c r="AE36" s="18">
        <v>1070</v>
      </c>
      <c r="AF36" s="18">
        <v>1070</v>
      </c>
      <c r="AG36" s="18">
        <v>1070</v>
      </c>
      <c r="AH36" s="18">
        <v>1070</v>
      </c>
      <c r="AI36" s="18">
        <v>1060</v>
      </c>
      <c r="AJ36" s="18">
        <v>1060</v>
      </c>
      <c r="AK36" s="18">
        <v>1060</v>
      </c>
      <c r="AL36" s="18">
        <v>1050</v>
      </c>
      <c r="AM36" s="18">
        <v>1040</v>
      </c>
      <c r="AN36" s="18">
        <v>1030</v>
      </c>
      <c r="AO36" s="18">
        <v>1020</v>
      </c>
      <c r="AP36" s="18">
        <v>1020</v>
      </c>
      <c r="AQ36" s="18">
        <v>994</v>
      </c>
      <c r="AR36" s="18">
        <v>988</v>
      </c>
      <c r="AS36" s="18">
        <v>982</v>
      </c>
      <c r="AT36" s="18">
        <v>976</v>
      </c>
      <c r="AU36" s="18">
        <v>972</v>
      </c>
      <c r="AV36" s="18">
        <v>968</v>
      </c>
      <c r="AW36" s="18">
        <v>968</v>
      </c>
      <c r="AX36" s="18">
        <v>962</v>
      </c>
      <c r="AY36" s="18">
        <v>961</v>
      </c>
      <c r="AZ36" s="18">
        <v>952</v>
      </c>
      <c r="BA36" s="18">
        <v>947</v>
      </c>
      <c r="BB36" s="18">
        <v>947</v>
      </c>
      <c r="BC36" s="18">
        <v>940</v>
      </c>
      <c r="BD36" s="18">
        <v>942</v>
      </c>
      <c r="BE36" s="18">
        <v>958</v>
      </c>
      <c r="BF36" s="18">
        <v>961</v>
      </c>
      <c r="BG36" s="18">
        <v>955</v>
      </c>
      <c r="BH36" s="18">
        <v>954</v>
      </c>
      <c r="BI36" s="18"/>
      <c r="BJ36" s="18">
        <v>963</v>
      </c>
      <c r="BK36" s="18">
        <v>974</v>
      </c>
      <c r="BL36" s="18">
        <v>975</v>
      </c>
      <c r="BM36" s="18">
        <v>969</v>
      </c>
      <c r="BN36" s="18">
        <v>968</v>
      </c>
      <c r="BO36" s="18">
        <v>962</v>
      </c>
      <c r="BP36" s="18">
        <v>955</v>
      </c>
      <c r="BQ36" s="18">
        <v>954</v>
      </c>
      <c r="BR36" s="18">
        <v>948</v>
      </c>
      <c r="BS36" s="18">
        <v>938</v>
      </c>
      <c r="BT36" s="18">
        <v>932</v>
      </c>
      <c r="BU36" s="18">
        <v>925</v>
      </c>
      <c r="BV36" s="18">
        <v>927</v>
      </c>
      <c r="BW36" s="18">
        <v>942</v>
      </c>
      <c r="BX36" s="18">
        <v>975</v>
      </c>
      <c r="BY36" s="18">
        <v>1020</v>
      </c>
      <c r="BZ36" s="18">
        <v>1040</v>
      </c>
      <c r="CA36" s="18">
        <v>1080</v>
      </c>
      <c r="CB36" s="18">
        <v>1130</v>
      </c>
      <c r="CC36" s="18">
        <v>1130</v>
      </c>
      <c r="CD36" s="18">
        <v>1100</v>
      </c>
      <c r="CE36" s="18">
        <v>1060</v>
      </c>
      <c r="CF36" s="18">
        <v>1040</v>
      </c>
      <c r="CG36" s="18">
        <v>1030</v>
      </c>
      <c r="CH36" s="18">
        <v>1020</v>
      </c>
      <c r="CI36" s="18">
        <v>1020</v>
      </c>
      <c r="CJ36" s="18">
        <v>1020</v>
      </c>
      <c r="CK36" s="18">
        <v>1010</v>
      </c>
      <c r="CL36" s="18">
        <v>996</v>
      </c>
      <c r="CM36" s="18">
        <v>983</v>
      </c>
      <c r="CN36" s="18">
        <v>969</v>
      </c>
      <c r="CO36" s="18">
        <v>961</v>
      </c>
      <c r="CP36" s="18">
        <v>954</v>
      </c>
      <c r="CQ36" s="18">
        <v>953</v>
      </c>
      <c r="CR36" s="18">
        <v>963</v>
      </c>
      <c r="CS36" s="18">
        <v>980</v>
      </c>
      <c r="CT36" s="18">
        <v>990</v>
      </c>
      <c r="CU36" s="18">
        <v>994</v>
      </c>
      <c r="CV36" s="18">
        <v>1010</v>
      </c>
      <c r="CW36" s="18">
        <v>1030</v>
      </c>
      <c r="CX36" s="18">
        <v>1050</v>
      </c>
      <c r="CY36" s="18">
        <v>1060</v>
      </c>
      <c r="CZ36" s="18">
        <v>1080</v>
      </c>
      <c r="DA36" s="18">
        <v>1100</v>
      </c>
      <c r="DB36" s="18">
        <v>1110</v>
      </c>
      <c r="DC36" s="18">
        <v>1130</v>
      </c>
      <c r="DD36" s="18">
        <v>1180</v>
      </c>
      <c r="DE36" s="18">
        <v>1240</v>
      </c>
      <c r="DF36" s="18">
        <v>1250</v>
      </c>
      <c r="DG36" s="18">
        <v>1250</v>
      </c>
      <c r="DH36" s="18">
        <v>1250</v>
      </c>
      <c r="DI36" s="18">
        <v>1260</v>
      </c>
      <c r="DJ36" s="18">
        <v>1270</v>
      </c>
      <c r="DK36" s="18">
        <v>1330</v>
      </c>
      <c r="DL36" s="18">
        <v>1420</v>
      </c>
      <c r="DM36" s="18">
        <v>1470</v>
      </c>
      <c r="DN36" s="18">
        <v>1450</v>
      </c>
      <c r="DO36" s="18">
        <v>1360</v>
      </c>
      <c r="DP36" s="18">
        <v>1330</v>
      </c>
      <c r="DQ36" s="18">
        <v>1290</v>
      </c>
      <c r="DR36" s="18">
        <v>1260</v>
      </c>
      <c r="DS36" s="18">
        <v>1270</v>
      </c>
      <c r="DT36" s="18">
        <v>1310</v>
      </c>
      <c r="DU36" s="18">
        <v>1380</v>
      </c>
      <c r="DV36" s="18">
        <v>1430</v>
      </c>
      <c r="DW36" s="18">
        <v>1470</v>
      </c>
      <c r="DX36" s="18">
        <v>1500</v>
      </c>
      <c r="DY36" s="18">
        <v>1590</v>
      </c>
      <c r="DZ36" s="18">
        <v>1690</v>
      </c>
      <c r="EA36" s="18">
        <v>1710</v>
      </c>
      <c r="EB36" s="18">
        <v>1700</v>
      </c>
      <c r="EC36" s="18">
        <v>1690</v>
      </c>
      <c r="ED36" s="18">
        <v>1730</v>
      </c>
      <c r="EE36" s="18">
        <v>1810</v>
      </c>
      <c r="EF36" s="18">
        <v>1850</v>
      </c>
      <c r="EG36" s="18">
        <v>1900</v>
      </c>
      <c r="EH36" s="18">
        <v>2030</v>
      </c>
      <c r="EI36" s="18">
        <v>2290</v>
      </c>
      <c r="EJ36" s="18">
        <v>2570</v>
      </c>
      <c r="EK36" s="18">
        <v>2750</v>
      </c>
      <c r="EL36" s="18">
        <v>2730</v>
      </c>
      <c r="EM36" s="18">
        <v>2610</v>
      </c>
      <c r="EN36" s="18">
        <v>2580</v>
      </c>
      <c r="EO36" s="18">
        <v>2610</v>
      </c>
      <c r="EP36" s="18">
        <v>2810</v>
      </c>
      <c r="EQ36" s="18">
        <v>2970</v>
      </c>
      <c r="ER36" s="18">
        <v>3080</v>
      </c>
      <c r="ES36" s="18">
        <v>3150</v>
      </c>
      <c r="ET36" s="18">
        <v>3200</v>
      </c>
      <c r="EU36" s="18">
        <v>3270</v>
      </c>
      <c r="EV36" s="18">
        <v>3300</v>
      </c>
      <c r="EW36" s="18">
        <v>3270</v>
      </c>
      <c r="EX36" s="18">
        <v>3140</v>
      </c>
      <c r="EY36" s="18">
        <v>2930</v>
      </c>
      <c r="EZ36" s="18">
        <v>2810</v>
      </c>
      <c r="FA36" s="18">
        <v>2720</v>
      </c>
      <c r="FB36" s="18">
        <v>2780</v>
      </c>
      <c r="FC36" s="18">
        <v>2880</v>
      </c>
      <c r="FD36" s="18">
        <v>3030</v>
      </c>
      <c r="FE36" s="18">
        <v>3150</v>
      </c>
      <c r="FF36" s="18">
        <v>3330</v>
      </c>
      <c r="FG36" s="18">
        <v>3520</v>
      </c>
      <c r="FH36" s="18">
        <v>3570</v>
      </c>
      <c r="FI36" s="18">
        <v>3430</v>
      </c>
      <c r="FJ36" s="18">
        <v>3230</v>
      </c>
      <c r="FK36" s="18">
        <v>3180</v>
      </c>
      <c r="FL36" s="18">
        <v>2990</v>
      </c>
      <c r="FM36" s="18">
        <v>2780</v>
      </c>
      <c r="FN36" s="18">
        <v>2710</v>
      </c>
      <c r="FO36" s="18">
        <v>2750</v>
      </c>
      <c r="FP36" s="18">
        <v>2740</v>
      </c>
      <c r="FQ36" s="18">
        <v>2680</v>
      </c>
      <c r="FR36" s="18">
        <v>2720</v>
      </c>
      <c r="FS36" s="18">
        <v>2760</v>
      </c>
      <c r="FT36" s="18">
        <v>2740</v>
      </c>
      <c r="FU36" s="18">
        <v>3000</v>
      </c>
      <c r="FV36" s="18">
        <v>3240</v>
      </c>
      <c r="FW36" s="18">
        <v>3700</v>
      </c>
      <c r="FX36" s="18">
        <v>4020</v>
      </c>
      <c r="FY36" s="18">
        <v>4360</v>
      </c>
      <c r="FZ36" s="18">
        <v>4460</v>
      </c>
      <c r="GA36" s="18">
        <v>4340</v>
      </c>
      <c r="GB36" s="18">
        <v>4610</v>
      </c>
      <c r="GC36" s="18">
        <v>4960</v>
      </c>
      <c r="GD36" s="18">
        <v>5010</v>
      </c>
      <c r="GE36" s="18">
        <v>5020</v>
      </c>
      <c r="GF36" s="18">
        <v>4680</v>
      </c>
      <c r="GG36" s="18">
        <v>4380</v>
      </c>
      <c r="GH36" s="18">
        <v>4240</v>
      </c>
      <c r="GI36" s="18">
        <v>4120</v>
      </c>
      <c r="GJ36" s="18">
        <v>4190</v>
      </c>
      <c r="GK36" s="18">
        <v>4370</v>
      </c>
      <c r="GL36" s="18">
        <v>4420</v>
      </c>
      <c r="GM36" s="18">
        <v>4570</v>
      </c>
      <c r="GN36" s="18">
        <v>4500</v>
      </c>
      <c r="GO36" s="18">
        <v>4940</v>
      </c>
      <c r="GP36" s="18">
        <v>5790</v>
      </c>
      <c r="GQ36" s="18">
        <v>5970</v>
      </c>
      <c r="GR36" s="18">
        <v>5670</v>
      </c>
      <c r="GS36" s="18">
        <v>5480</v>
      </c>
      <c r="GT36" s="18">
        <v>5650</v>
      </c>
      <c r="GU36" s="18">
        <v>5730</v>
      </c>
      <c r="GV36" s="18">
        <v>5940</v>
      </c>
      <c r="GW36" s="18">
        <v>6080</v>
      </c>
      <c r="GX36" s="18">
        <v>6540</v>
      </c>
      <c r="GY36" s="18">
        <v>7910</v>
      </c>
      <c r="GZ36" s="18">
        <v>7530</v>
      </c>
      <c r="HA36" s="18">
        <v>7410</v>
      </c>
      <c r="HB36" s="18">
        <v>6780</v>
      </c>
      <c r="HC36" s="18">
        <v>6420</v>
      </c>
      <c r="HD36" s="18">
        <v>6300</v>
      </c>
      <c r="HE36" s="18">
        <v>6480</v>
      </c>
      <c r="HF36" s="18">
        <v>7330</v>
      </c>
      <c r="HG36" s="18">
        <v>8780</v>
      </c>
      <c r="HH36" s="18">
        <v>9540</v>
      </c>
      <c r="HI36" s="18">
        <v>9720</v>
      </c>
      <c r="HJ36" s="18">
        <v>8810</v>
      </c>
      <c r="HK36" s="18">
        <v>7660</v>
      </c>
      <c r="HL36" s="18">
        <v>6830</v>
      </c>
      <c r="HM36" s="18">
        <v>6800</v>
      </c>
      <c r="HN36" s="18">
        <v>6950</v>
      </c>
      <c r="HO36" s="18">
        <v>7010</v>
      </c>
      <c r="HP36" s="18">
        <v>6820</v>
      </c>
      <c r="HQ36" s="18">
        <v>6640</v>
      </c>
      <c r="HR36" s="18">
        <v>6740</v>
      </c>
      <c r="HS36" s="18">
        <v>6510</v>
      </c>
      <c r="HT36" s="18">
        <v>6300</v>
      </c>
      <c r="HU36" s="18">
        <v>6090</v>
      </c>
      <c r="HV36" s="18">
        <v>5980</v>
      </c>
      <c r="HW36" s="18">
        <v>5840</v>
      </c>
      <c r="HX36" s="18">
        <v>5630</v>
      </c>
      <c r="HY36" s="18">
        <v>5350</v>
      </c>
      <c r="HZ36" s="18">
        <v>5340</v>
      </c>
      <c r="IA36" s="18">
        <v>6330</v>
      </c>
      <c r="IB36" s="18">
        <v>7190</v>
      </c>
      <c r="IC36" s="18">
        <v>8260</v>
      </c>
      <c r="ID36" s="18">
        <v>8300</v>
      </c>
      <c r="IE36" s="18">
        <v>7770</v>
      </c>
      <c r="IF36" s="18">
        <v>7660</v>
      </c>
      <c r="IG36" s="18">
        <v>6700</v>
      </c>
      <c r="IH36" s="18">
        <v>6250</v>
      </c>
      <c r="II36" s="18">
        <v>6220</v>
      </c>
      <c r="IJ36" s="18">
        <v>6420</v>
      </c>
      <c r="IK36" s="18">
        <v>6210</v>
      </c>
      <c r="IL36" s="18">
        <v>7410</v>
      </c>
      <c r="IM36" s="18">
        <v>10400</v>
      </c>
      <c r="IN36" s="18">
        <v>9360</v>
      </c>
      <c r="IO36" s="18">
        <v>8050</v>
      </c>
      <c r="IP36" s="18">
        <v>7860</v>
      </c>
      <c r="IQ36" s="18">
        <v>7960</v>
      </c>
      <c r="IR36" s="18">
        <v>6740</v>
      </c>
      <c r="IS36" s="18">
        <v>6390</v>
      </c>
      <c r="IT36" s="18">
        <v>6850</v>
      </c>
      <c r="IU36" s="18">
        <v>7400</v>
      </c>
      <c r="IV36" s="18">
        <v>6900</v>
      </c>
      <c r="IW36" s="18">
        <v>6620</v>
      </c>
      <c r="IX36" s="18">
        <v>6480</v>
      </c>
      <c r="IY36" s="18">
        <v>7130</v>
      </c>
      <c r="IZ36" s="18">
        <v>7940</v>
      </c>
      <c r="JA36" s="18">
        <v>7280</v>
      </c>
      <c r="JB36" s="18">
        <v>6780</v>
      </c>
      <c r="JC36" s="18">
        <v>6950</v>
      </c>
      <c r="JD36" s="18">
        <v>8110</v>
      </c>
      <c r="JE36" s="18">
        <v>7290</v>
      </c>
      <c r="JF36" s="18">
        <v>6650</v>
      </c>
      <c r="JG36" s="18">
        <v>6200</v>
      </c>
      <c r="JH36" s="18">
        <v>5830</v>
      </c>
      <c r="JI36" s="18">
        <v>5560</v>
      </c>
      <c r="JJ36" s="18">
        <v>5240</v>
      </c>
      <c r="JK36" s="18">
        <v>4970</v>
      </c>
      <c r="JL36" s="18">
        <v>4770</v>
      </c>
      <c r="JM36" s="18">
        <v>4830</v>
      </c>
      <c r="JN36" s="18">
        <v>5440</v>
      </c>
      <c r="JO36" s="18">
        <v>5410</v>
      </c>
      <c r="JP36" s="18">
        <v>5210</v>
      </c>
      <c r="JQ36" s="18">
        <v>5030</v>
      </c>
      <c r="JR36" s="18">
        <v>4820</v>
      </c>
      <c r="JS36" s="18">
        <v>4680</v>
      </c>
      <c r="JT36" s="18">
        <v>4520</v>
      </c>
      <c r="JU36" s="18">
        <v>4410</v>
      </c>
      <c r="JV36" s="18">
        <v>4590</v>
      </c>
      <c r="JW36" s="18">
        <v>5220</v>
      </c>
      <c r="JX36" s="18">
        <v>5080</v>
      </c>
      <c r="JY36" s="18">
        <v>4670</v>
      </c>
      <c r="JZ36" s="18">
        <v>4410</v>
      </c>
      <c r="KA36" s="18">
        <v>4190</v>
      </c>
      <c r="KB36" s="18">
        <v>4000</v>
      </c>
      <c r="KC36" s="18">
        <v>3840</v>
      </c>
      <c r="KD36" s="18">
        <v>3710</v>
      </c>
      <c r="KE36" s="18">
        <v>3600</v>
      </c>
      <c r="KF36" s="18">
        <v>3510</v>
      </c>
      <c r="KG36" s="18">
        <v>3530</v>
      </c>
      <c r="KH36" s="18">
        <v>3770</v>
      </c>
      <c r="KI36" s="18">
        <v>4020</v>
      </c>
      <c r="KJ36" s="18">
        <v>4140</v>
      </c>
      <c r="KK36" s="18">
        <v>4020</v>
      </c>
      <c r="KL36" s="18">
        <v>3830</v>
      </c>
      <c r="KM36" s="18">
        <v>3680</v>
      </c>
      <c r="KN36" s="18">
        <v>3520</v>
      </c>
      <c r="KO36" s="18">
        <v>3380</v>
      </c>
      <c r="KP36" s="18">
        <v>3290</v>
      </c>
      <c r="KQ36" s="18">
        <v>3170</v>
      </c>
      <c r="KR36" s="18">
        <v>3070</v>
      </c>
      <c r="KS36" s="18">
        <v>3030</v>
      </c>
      <c r="KT36" s="18">
        <v>2950</v>
      </c>
      <c r="KU36" s="18">
        <v>2860</v>
      </c>
      <c r="KV36" s="18">
        <v>2780</v>
      </c>
      <c r="KW36" s="18">
        <v>2710</v>
      </c>
      <c r="KX36" s="18">
        <v>2650</v>
      </c>
      <c r="KY36" s="18">
        <v>2570</v>
      </c>
      <c r="KZ36" s="18">
        <v>2510</v>
      </c>
      <c r="LA36" s="18">
        <v>2450</v>
      </c>
      <c r="LB36" s="18">
        <v>2420</v>
      </c>
      <c r="LC36" s="18">
        <v>2370</v>
      </c>
      <c r="LD36" s="18">
        <v>2370</v>
      </c>
      <c r="LE36" s="18">
        <v>2460</v>
      </c>
      <c r="LF36" s="18">
        <v>2580</v>
      </c>
      <c r="LG36" s="18">
        <v>2520</v>
      </c>
      <c r="LH36" s="18">
        <v>2420</v>
      </c>
      <c r="LI36" s="18">
        <v>2350</v>
      </c>
      <c r="LJ36" s="18">
        <v>2330</v>
      </c>
      <c r="LK36" s="18">
        <v>2330</v>
      </c>
      <c r="LL36" s="18">
        <v>2310</v>
      </c>
      <c r="LM36" s="18">
        <v>2290</v>
      </c>
      <c r="LN36" s="18">
        <v>2230</v>
      </c>
      <c r="LO36" s="18">
        <v>2190</v>
      </c>
      <c r="LP36" s="18">
        <v>2130</v>
      </c>
      <c r="LQ36" s="18">
        <v>2050</v>
      </c>
      <c r="LR36" s="18">
        <v>2010</v>
      </c>
      <c r="LS36" s="18">
        <v>1980</v>
      </c>
      <c r="LT36" s="18">
        <v>1940</v>
      </c>
      <c r="LU36" s="18">
        <v>1900</v>
      </c>
      <c r="LV36" s="18">
        <v>1840</v>
      </c>
      <c r="LW36" s="18">
        <v>1810</v>
      </c>
      <c r="LX36" s="18">
        <v>1770</v>
      </c>
      <c r="LY36" s="18">
        <v>1720</v>
      </c>
      <c r="LZ36" s="18">
        <v>1670</v>
      </c>
      <c r="MA36" s="18">
        <v>1630</v>
      </c>
      <c r="MB36" s="18">
        <v>1600</v>
      </c>
      <c r="MC36" s="18">
        <v>1570</v>
      </c>
      <c r="MD36" s="18">
        <v>1550</v>
      </c>
      <c r="ME36" s="18">
        <v>1530</v>
      </c>
      <c r="MF36" s="18">
        <v>1500</v>
      </c>
      <c r="MG36" s="18">
        <v>1470</v>
      </c>
      <c r="MH36" s="18">
        <v>1460</v>
      </c>
      <c r="MI36" s="18">
        <v>1430</v>
      </c>
      <c r="MJ36" s="18">
        <v>1400</v>
      </c>
      <c r="MK36" s="18">
        <v>1380</v>
      </c>
      <c r="ML36" s="18">
        <v>1360</v>
      </c>
      <c r="MM36" s="18">
        <v>1350</v>
      </c>
      <c r="MN36" s="18">
        <v>1330</v>
      </c>
      <c r="MO36" s="18">
        <v>1320</v>
      </c>
      <c r="MP36" s="18">
        <v>1310</v>
      </c>
      <c r="MQ36" s="18">
        <v>1290</v>
      </c>
      <c r="MR36" s="18">
        <v>1280</v>
      </c>
      <c r="MS36" s="18">
        <v>1250</v>
      </c>
      <c r="MT36" s="18">
        <v>1250</v>
      </c>
      <c r="MU36" s="18">
        <v>1230</v>
      </c>
      <c r="MV36" s="18">
        <v>1210</v>
      </c>
      <c r="MW36" s="18">
        <v>1210</v>
      </c>
      <c r="MX36" s="18">
        <v>1190</v>
      </c>
      <c r="MY36" s="18">
        <v>1180</v>
      </c>
      <c r="MZ36" s="18">
        <v>1210</v>
      </c>
      <c r="NA36" s="18">
        <v>1280</v>
      </c>
      <c r="NB36" s="18">
        <v>1320</v>
      </c>
      <c r="NC36" s="18">
        <v>1340</v>
      </c>
      <c r="ND36" s="1">
        <v>1170</v>
      </c>
      <c r="NE36" s="1">
        <v>993</v>
      </c>
      <c r="NF36" s="1">
        <v>999</v>
      </c>
      <c r="NG36" s="1">
        <v>1170</v>
      </c>
      <c r="NH36" s="1">
        <v>2230</v>
      </c>
      <c r="NI36" s="1">
        <v>3190</v>
      </c>
      <c r="NJ36" s="1">
        <v>5580</v>
      </c>
      <c r="NK36" s="1">
        <v>6990</v>
      </c>
      <c r="NL36" s="1">
        <v>6830</v>
      </c>
      <c r="NM36" s="1">
        <v>4030</v>
      </c>
      <c r="NN36" s="1">
        <v>2300</v>
      </c>
      <c r="NO36" s="1">
        <v>1380</v>
      </c>
      <c r="NP36" s="1">
        <v>3085.4164383561642</v>
      </c>
      <c r="NQ36" s="1">
        <v>10400</v>
      </c>
      <c r="NR36" s="19">
        <v>42615</v>
      </c>
      <c r="NS36" s="1">
        <v>925</v>
      </c>
      <c r="NT36" s="19">
        <v>42441</v>
      </c>
    </row>
    <row r="37" spans="1:384" x14ac:dyDescent="0.15">
      <c r="A37" s="1">
        <v>1984</v>
      </c>
      <c r="B37" s="18">
        <v>1360</v>
      </c>
      <c r="C37" s="18">
        <v>1320</v>
      </c>
      <c r="D37" s="18">
        <v>1300</v>
      </c>
      <c r="E37" s="18">
        <v>1260</v>
      </c>
      <c r="F37" s="18">
        <v>1240</v>
      </c>
      <c r="G37" s="18">
        <v>1210</v>
      </c>
      <c r="H37" s="18">
        <v>1190</v>
      </c>
      <c r="I37" s="18">
        <v>1170</v>
      </c>
      <c r="J37" s="18">
        <v>1150</v>
      </c>
      <c r="K37" s="18">
        <v>1130</v>
      </c>
      <c r="L37" s="18">
        <v>1120</v>
      </c>
      <c r="M37" s="18">
        <v>1100</v>
      </c>
      <c r="N37" s="18">
        <v>1090</v>
      </c>
      <c r="O37" s="18">
        <v>1080</v>
      </c>
      <c r="P37" s="18">
        <v>1070</v>
      </c>
      <c r="Q37" s="18">
        <v>1070</v>
      </c>
      <c r="R37" s="18">
        <v>1060</v>
      </c>
      <c r="S37" s="18">
        <v>1040</v>
      </c>
      <c r="T37" s="18">
        <v>1040</v>
      </c>
      <c r="U37" s="18">
        <v>1040</v>
      </c>
      <c r="V37" s="18">
        <v>1030</v>
      </c>
      <c r="W37" s="18">
        <v>1030</v>
      </c>
      <c r="X37" s="18">
        <v>1030</v>
      </c>
      <c r="Y37" s="18">
        <v>1020</v>
      </c>
      <c r="Z37" s="18">
        <v>1010</v>
      </c>
      <c r="AA37" s="18">
        <v>992</v>
      </c>
      <c r="AB37" s="18">
        <v>977</v>
      </c>
      <c r="AC37" s="18">
        <v>967</v>
      </c>
      <c r="AD37" s="18">
        <v>957</v>
      </c>
      <c r="AE37" s="18">
        <v>939</v>
      </c>
      <c r="AF37" s="18">
        <v>929</v>
      </c>
      <c r="AG37" s="18">
        <v>926</v>
      </c>
      <c r="AH37" s="18">
        <v>913</v>
      </c>
      <c r="AI37" s="18">
        <v>905</v>
      </c>
      <c r="AJ37" s="18">
        <v>904</v>
      </c>
      <c r="AK37" s="18">
        <v>902</v>
      </c>
      <c r="AL37" s="18">
        <v>897</v>
      </c>
      <c r="AM37" s="18">
        <v>890</v>
      </c>
      <c r="AN37" s="18">
        <v>889</v>
      </c>
      <c r="AO37" s="18">
        <v>889</v>
      </c>
      <c r="AP37" s="18">
        <v>889</v>
      </c>
      <c r="AQ37" s="18">
        <v>890</v>
      </c>
      <c r="AR37" s="18">
        <v>894</v>
      </c>
      <c r="AS37" s="18">
        <v>898</v>
      </c>
      <c r="AT37" s="18">
        <v>899</v>
      </c>
      <c r="AU37" s="18">
        <v>892</v>
      </c>
      <c r="AV37" s="18">
        <v>892</v>
      </c>
      <c r="AW37" s="18">
        <v>881</v>
      </c>
      <c r="AX37" s="18">
        <v>876</v>
      </c>
      <c r="AY37" s="18">
        <v>872</v>
      </c>
      <c r="AZ37" s="18">
        <v>868</v>
      </c>
      <c r="BA37" s="18">
        <v>867</v>
      </c>
      <c r="BB37" s="18">
        <v>866</v>
      </c>
      <c r="BC37" s="18">
        <v>864</v>
      </c>
      <c r="BD37" s="18">
        <v>864</v>
      </c>
      <c r="BE37" s="18">
        <v>864</v>
      </c>
      <c r="BF37" s="18">
        <v>865</v>
      </c>
      <c r="BG37" s="18">
        <v>873</v>
      </c>
      <c r="BH37" s="18">
        <v>876</v>
      </c>
      <c r="BI37" s="18">
        <v>878</v>
      </c>
      <c r="BJ37" s="18">
        <v>880</v>
      </c>
      <c r="BK37" s="18">
        <v>882</v>
      </c>
      <c r="BL37" s="18">
        <v>884</v>
      </c>
      <c r="BM37" s="18">
        <v>884</v>
      </c>
      <c r="BN37" s="18">
        <v>880</v>
      </c>
      <c r="BO37" s="18">
        <v>878</v>
      </c>
      <c r="BP37" s="18">
        <v>865</v>
      </c>
      <c r="BQ37" s="18">
        <v>854</v>
      </c>
      <c r="BR37" s="18">
        <v>853</v>
      </c>
      <c r="BS37" s="18">
        <v>850</v>
      </c>
      <c r="BT37" s="18">
        <v>847</v>
      </c>
      <c r="BU37" s="18">
        <v>848</v>
      </c>
      <c r="BV37" s="18">
        <v>848</v>
      </c>
      <c r="BW37" s="18">
        <v>846</v>
      </c>
      <c r="BX37" s="18">
        <v>843</v>
      </c>
      <c r="BY37" s="18">
        <v>838</v>
      </c>
      <c r="BZ37" s="18">
        <v>837</v>
      </c>
      <c r="CA37" s="18">
        <v>835</v>
      </c>
      <c r="CB37" s="18">
        <v>842</v>
      </c>
      <c r="CC37" s="18">
        <v>851</v>
      </c>
      <c r="CD37" s="18">
        <v>851</v>
      </c>
      <c r="CE37" s="18">
        <v>844</v>
      </c>
      <c r="CF37" s="18">
        <v>843</v>
      </c>
      <c r="CG37" s="18">
        <v>853</v>
      </c>
      <c r="CH37" s="18">
        <v>868</v>
      </c>
      <c r="CI37" s="18">
        <v>867</v>
      </c>
      <c r="CJ37" s="18">
        <v>866</v>
      </c>
      <c r="CK37" s="18">
        <v>869</v>
      </c>
      <c r="CL37" s="18">
        <v>877</v>
      </c>
      <c r="CM37" s="18">
        <v>875</v>
      </c>
      <c r="CN37" s="18">
        <v>871</v>
      </c>
      <c r="CO37" s="18">
        <v>873</v>
      </c>
      <c r="CP37" s="18">
        <v>881</v>
      </c>
      <c r="CQ37" s="18">
        <v>885</v>
      </c>
      <c r="CR37" s="18">
        <v>893</v>
      </c>
      <c r="CS37" s="18">
        <v>905</v>
      </c>
      <c r="CT37" s="18">
        <v>928</v>
      </c>
      <c r="CU37" s="18">
        <v>952</v>
      </c>
      <c r="CV37" s="18">
        <v>1010</v>
      </c>
      <c r="CW37" s="18">
        <v>1100</v>
      </c>
      <c r="CX37" s="18">
        <v>1200</v>
      </c>
      <c r="CY37" s="18">
        <v>1200</v>
      </c>
      <c r="CZ37" s="18">
        <v>1150</v>
      </c>
      <c r="DA37" s="18">
        <v>1100</v>
      </c>
      <c r="DB37" s="18">
        <v>1060</v>
      </c>
      <c r="DC37" s="18">
        <v>1040</v>
      </c>
      <c r="DD37" s="18">
        <v>1040</v>
      </c>
      <c r="DE37" s="18">
        <v>1040</v>
      </c>
      <c r="DF37" s="18">
        <v>1040</v>
      </c>
      <c r="DG37" s="18">
        <v>1040</v>
      </c>
      <c r="DH37" s="18">
        <v>1040</v>
      </c>
      <c r="DI37" s="18">
        <v>1060</v>
      </c>
      <c r="DJ37" s="18">
        <v>1070</v>
      </c>
      <c r="DK37" s="18">
        <v>1070</v>
      </c>
      <c r="DL37" s="18">
        <v>1100</v>
      </c>
      <c r="DM37" s="18">
        <v>1110</v>
      </c>
      <c r="DN37" s="18">
        <v>1120</v>
      </c>
      <c r="DO37" s="18">
        <v>1150</v>
      </c>
      <c r="DP37" s="18">
        <v>1190</v>
      </c>
      <c r="DQ37" s="18">
        <v>1260</v>
      </c>
      <c r="DR37" s="18">
        <v>1270</v>
      </c>
      <c r="DS37" s="18">
        <v>1300</v>
      </c>
      <c r="DT37" s="18">
        <v>1320</v>
      </c>
      <c r="DU37" s="18">
        <v>1280</v>
      </c>
      <c r="DV37" s="18">
        <v>1260</v>
      </c>
      <c r="DW37" s="18">
        <v>1260</v>
      </c>
      <c r="DX37" s="18">
        <v>1250</v>
      </c>
      <c r="DY37" s="18">
        <v>1260</v>
      </c>
      <c r="DZ37" s="18">
        <v>1320</v>
      </c>
      <c r="EA37" s="18">
        <v>1350</v>
      </c>
      <c r="EB37" s="18">
        <v>1330</v>
      </c>
      <c r="EC37" s="18">
        <v>1280</v>
      </c>
      <c r="ED37" s="18">
        <v>1250</v>
      </c>
      <c r="EE37" s="18">
        <v>1220</v>
      </c>
      <c r="EF37" s="18">
        <v>1200</v>
      </c>
      <c r="EG37" s="18">
        <v>1200</v>
      </c>
      <c r="EH37" s="18">
        <v>1270</v>
      </c>
      <c r="EI37" s="18">
        <v>1430</v>
      </c>
      <c r="EJ37" s="18">
        <v>1560</v>
      </c>
      <c r="EK37" s="18">
        <v>1740</v>
      </c>
      <c r="EL37" s="18">
        <v>1830</v>
      </c>
      <c r="EM37" s="18">
        <v>1840</v>
      </c>
      <c r="EN37" s="18">
        <v>1900</v>
      </c>
      <c r="EO37" s="18">
        <v>1870</v>
      </c>
      <c r="EP37" s="18">
        <v>1800</v>
      </c>
      <c r="EQ37" s="18">
        <v>1890</v>
      </c>
      <c r="ER37" s="18">
        <v>1990</v>
      </c>
      <c r="ES37" s="18">
        <v>2280</v>
      </c>
      <c r="ET37" s="18">
        <v>2330</v>
      </c>
      <c r="EU37" s="18">
        <v>2850</v>
      </c>
      <c r="EV37" s="18">
        <v>2910</v>
      </c>
      <c r="EW37" s="18">
        <v>2660</v>
      </c>
      <c r="EX37" s="18">
        <v>2350</v>
      </c>
      <c r="EY37" s="18">
        <v>2510</v>
      </c>
      <c r="EZ37" s="18">
        <v>2420</v>
      </c>
      <c r="FA37" s="18">
        <v>2280</v>
      </c>
      <c r="FB37" s="18">
        <v>2140</v>
      </c>
      <c r="FC37" s="18">
        <v>1980</v>
      </c>
      <c r="FD37" s="18">
        <v>1980</v>
      </c>
      <c r="FE37" s="18">
        <v>1980</v>
      </c>
      <c r="FF37" s="18">
        <v>2010</v>
      </c>
      <c r="FG37" s="18">
        <v>2910</v>
      </c>
      <c r="FH37" s="18">
        <v>2550</v>
      </c>
      <c r="FI37" s="18">
        <v>2440</v>
      </c>
      <c r="FJ37" s="18">
        <v>2720</v>
      </c>
      <c r="FK37" s="18">
        <v>2860</v>
      </c>
      <c r="FL37" s="18">
        <v>2990</v>
      </c>
      <c r="FM37" s="18">
        <v>2950</v>
      </c>
      <c r="FN37" s="18">
        <v>3090</v>
      </c>
      <c r="FO37" s="18">
        <v>3190</v>
      </c>
      <c r="FP37" s="18">
        <v>3540</v>
      </c>
      <c r="FQ37" s="18">
        <v>4030</v>
      </c>
      <c r="FR37" s="18">
        <v>4230</v>
      </c>
      <c r="FS37" s="18">
        <v>4050</v>
      </c>
      <c r="FT37" s="18">
        <v>3930</v>
      </c>
      <c r="FU37" s="18">
        <v>3830</v>
      </c>
      <c r="FV37" s="18">
        <v>3790</v>
      </c>
      <c r="FW37" s="18">
        <v>3970</v>
      </c>
      <c r="FX37" s="18">
        <v>4160</v>
      </c>
      <c r="FY37" s="18">
        <v>4540</v>
      </c>
      <c r="FZ37" s="18">
        <v>5530</v>
      </c>
      <c r="GA37" s="18">
        <v>6810</v>
      </c>
      <c r="GB37" s="18">
        <v>7270</v>
      </c>
      <c r="GC37" s="18">
        <v>7320</v>
      </c>
      <c r="GD37" s="18">
        <v>7360</v>
      </c>
      <c r="GE37" s="18">
        <v>7620</v>
      </c>
      <c r="GF37" s="18">
        <v>6790</v>
      </c>
      <c r="GG37" s="18">
        <v>6250</v>
      </c>
      <c r="GH37" s="18">
        <v>6340</v>
      </c>
      <c r="GI37" s="18">
        <v>9320</v>
      </c>
      <c r="GJ37" s="18">
        <v>10600</v>
      </c>
      <c r="GK37" s="18">
        <v>12000</v>
      </c>
      <c r="GL37" s="18">
        <v>12300</v>
      </c>
      <c r="GM37" s="18">
        <v>12000</v>
      </c>
      <c r="GN37" s="18">
        <v>11100</v>
      </c>
      <c r="GO37" s="18">
        <v>10600</v>
      </c>
      <c r="GP37" s="18">
        <v>11500</v>
      </c>
      <c r="GQ37" s="18">
        <v>12200</v>
      </c>
      <c r="GR37" s="18">
        <v>12900</v>
      </c>
      <c r="GS37" s="18">
        <v>12400</v>
      </c>
      <c r="GT37" s="18">
        <v>11400</v>
      </c>
      <c r="GU37" s="18">
        <v>10100</v>
      </c>
      <c r="GV37" s="18">
        <v>9260</v>
      </c>
      <c r="GW37" s="18">
        <v>8630</v>
      </c>
      <c r="GX37" s="18">
        <v>8850</v>
      </c>
      <c r="GY37" s="18">
        <v>9370</v>
      </c>
      <c r="GZ37" s="18">
        <v>9130</v>
      </c>
      <c r="HA37" s="18">
        <v>8820</v>
      </c>
      <c r="HB37" s="18">
        <v>9510</v>
      </c>
      <c r="HC37" s="18">
        <v>9860</v>
      </c>
      <c r="HD37" s="18">
        <v>9440</v>
      </c>
      <c r="HE37" s="18">
        <v>8890</v>
      </c>
      <c r="HF37" s="18">
        <v>9160</v>
      </c>
      <c r="HG37" s="18">
        <v>9360</v>
      </c>
      <c r="HH37" s="18">
        <v>8910</v>
      </c>
      <c r="HI37" s="18">
        <v>8520</v>
      </c>
      <c r="HJ37" s="18">
        <v>8220</v>
      </c>
      <c r="HK37" s="18">
        <v>8270</v>
      </c>
      <c r="HL37" s="18">
        <v>8010</v>
      </c>
      <c r="HM37" s="18">
        <v>7580</v>
      </c>
      <c r="HN37" s="18">
        <v>7340</v>
      </c>
      <c r="HO37" s="18">
        <v>7000</v>
      </c>
      <c r="HP37" s="18">
        <v>6880</v>
      </c>
      <c r="HQ37" s="18">
        <v>7090</v>
      </c>
      <c r="HR37" s="18">
        <v>6780</v>
      </c>
      <c r="HS37" s="18">
        <v>6380</v>
      </c>
      <c r="HT37" s="18">
        <v>5980</v>
      </c>
      <c r="HU37" s="18">
        <v>5670</v>
      </c>
      <c r="HV37" s="18">
        <v>5330</v>
      </c>
      <c r="HW37" s="18">
        <v>5150</v>
      </c>
      <c r="HX37" s="18">
        <v>5120</v>
      </c>
      <c r="HY37" s="18">
        <v>5220</v>
      </c>
      <c r="HZ37" s="18">
        <v>5460</v>
      </c>
      <c r="IA37" s="18">
        <v>6060</v>
      </c>
      <c r="IB37" s="18">
        <v>7700</v>
      </c>
      <c r="IC37" s="18">
        <v>7660</v>
      </c>
      <c r="ID37" s="18">
        <v>7060</v>
      </c>
      <c r="IE37" s="18">
        <v>6710</v>
      </c>
      <c r="IF37" s="18">
        <v>6530</v>
      </c>
      <c r="IG37" s="18">
        <v>6200</v>
      </c>
      <c r="IH37" s="18">
        <v>6220</v>
      </c>
      <c r="II37" s="18">
        <v>7140</v>
      </c>
      <c r="IJ37" s="18">
        <v>6730</v>
      </c>
      <c r="IK37" s="18">
        <v>6860</v>
      </c>
      <c r="IL37" s="18">
        <v>6740</v>
      </c>
      <c r="IM37" s="18">
        <v>6410</v>
      </c>
      <c r="IN37" s="18">
        <v>6540</v>
      </c>
      <c r="IO37" s="18">
        <v>6520</v>
      </c>
      <c r="IP37" s="18">
        <v>6040</v>
      </c>
      <c r="IQ37" s="18">
        <v>5590</v>
      </c>
      <c r="IR37" s="18">
        <v>5360</v>
      </c>
      <c r="IS37" s="18">
        <v>5370</v>
      </c>
      <c r="IT37" s="18">
        <v>5540</v>
      </c>
      <c r="IU37" s="18">
        <v>5430</v>
      </c>
      <c r="IV37" s="18">
        <v>5210</v>
      </c>
      <c r="IW37" s="18">
        <v>5030</v>
      </c>
      <c r="IX37" s="18">
        <v>5340</v>
      </c>
      <c r="IY37" s="18">
        <v>5530</v>
      </c>
      <c r="IZ37" s="18">
        <v>5760</v>
      </c>
      <c r="JA37" s="18">
        <v>5940</v>
      </c>
      <c r="JB37" s="18">
        <v>6420</v>
      </c>
      <c r="JC37" s="18">
        <v>7110</v>
      </c>
      <c r="JD37" s="18">
        <v>7390</v>
      </c>
      <c r="JE37" s="18">
        <v>7750</v>
      </c>
      <c r="JF37" s="18">
        <v>7790</v>
      </c>
      <c r="JG37" s="18">
        <v>7460</v>
      </c>
      <c r="JH37" s="18">
        <v>7010</v>
      </c>
      <c r="JI37" s="18">
        <v>6810</v>
      </c>
      <c r="JJ37" s="18">
        <v>6440</v>
      </c>
      <c r="JK37" s="18">
        <v>5980</v>
      </c>
      <c r="JL37" s="18">
        <v>5660</v>
      </c>
      <c r="JM37" s="18">
        <v>5330</v>
      </c>
      <c r="JN37" s="18">
        <v>5030</v>
      </c>
      <c r="JO37" s="18">
        <v>4770</v>
      </c>
      <c r="JP37" s="18">
        <v>4540</v>
      </c>
      <c r="JQ37" s="18">
        <v>4350</v>
      </c>
      <c r="JR37" s="18">
        <v>4170</v>
      </c>
      <c r="JS37" s="18">
        <v>4020</v>
      </c>
      <c r="JT37" s="18">
        <v>3930</v>
      </c>
      <c r="JU37" s="18">
        <v>3870</v>
      </c>
      <c r="JV37" s="18">
        <v>3770</v>
      </c>
      <c r="JW37" s="18">
        <v>3630</v>
      </c>
      <c r="JX37" s="18">
        <v>3500</v>
      </c>
      <c r="JY37" s="18">
        <v>3370</v>
      </c>
      <c r="JZ37" s="18">
        <v>3260</v>
      </c>
      <c r="KA37" s="18">
        <v>3160</v>
      </c>
      <c r="KB37" s="18">
        <v>3080</v>
      </c>
      <c r="KC37" s="18">
        <v>3030</v>
      </c>
      <c r="KD37" s="18">
        <v>2960</v>
      </c>
      <c r="KE37" s="18">
        <v>2920</v>
      </c>
      <c r="KF37" s="18">
        <v>2950</v>
      </c>
      <c r="KG37" s="18">
        <v>3000</v>
      </c>
      <c r="KH37" s="18">
        <v>3000</v>
      </c>
      <c r="KI37" s="18">
        <v>3020</v>
      </c>
      <c r="KJ37" s="18">
        <v>3100</v>
      </c>
      <c r="KK37" s="18">
        <v>3160</v>
      </c>
      <c r="KL37" s="18">
        <v>3230</v>
      </c>
      <c r="KM37" s="18">
        <v>3290</v>
      </c>
      <c r="KN37" s="18">
        <v>3300</v>
      </c>
      <c r="KO37" s="18">
        <v>3200</v>
      </c>
      <c r="KP37" s="18">
        <v>3070</v>
      </c>
      <c r="KQ37" s="18">
        <v>2970</v>
      </c>
      <c r="KR37" s="18">
        <v>2880</v>
      </c>
      <c r="KS37" s="18">
        <v>2810</v>
      </c>
      <c r="KT37" s="18">
        <v>2740</v>
      </c>
      <c r="KU37" s="18">
        <v>2680</v>
      </c>
      <c r="KV37" s="18">
        <v>2610</v>
      </c>
      <c r="KW37" s="18">
        <v>2560</v>
      </c>
      <c r="KX37" s="18">
        <v>2510</v>
      </c>
      <c r="KY37" s="18">
        <v>2440</v>
      </c>
      <c r="KZ37" s="18">
        <v>2390</v>
      </c>
      <c r="LA37" s="18">
        <v>2350</v>
      </c>
      <c r="LB37" s="18">
        <v>2310</v>
      </c>
      <c r="LC37" s="18">
        <v>2260</v>
      </c>
      <c r="LD37" s="18">
        <v>2220</v>
      </c>
      <c r="LE37" s="18">
        <v>2180</v>
      </c>
      <c r="LF37" s="18">
        <v>2140</v>
      </c>
      <c r="LG37" s="18">
        <v>2100</v>
      </c>
      <c r="LH37" s="18">
        <v>2050</v>
      </c>
      <c r="LI37" s="18">
        <v>2030</v>
      </c>
      <c r="LJ37" s="18">
        <v>2010</v>
      </c>
      <c r="LK37" s="18">
        <v>1970</v>
      </c>
      <c r="LL37" s="18">
        <v>1940</v>
      </c>
      <c r="LM37" s="18">
        <v>1920</v>
      </c>
      <c r="LN37" s="18">
        <v>1890</v>
      </c>
      <c r="LO37" s="18">
        <v>1870</v>
      </c>
      <c r="LP37" s="18">
        <v>1850</v>
      </c>
      <c r="LQ37" s="18">
        <v>1820</v>
      </c>
      <c r="LR37" s="18">
        <v>1790</v>
      </c>
      <c r="LS37" s="18">
        <v>1780</v>
      </c>
      <c r="LT37" s="18">
        <v>1760</v>
      </c>
      <c r="LU37" s="18">
        <v>1750</v>
      </c>
      <c r="LV37" s="18">
        <v>1730</v>
      </c>
      <c r="LW37" s="18">
        <v>1700</v>
      </c>
      <c r="LX37" s="18">
        <v>1680</v>
      </c>
      <c r="LY37" s="18">
        <v>1660</v>
      </c>
      <c r="LZ37" s="18">
        <v>1640</v>
      </c>
      <c r="MA37" s="18">
        <v>1590</v>
      </c>
      <c r="MB37" s="18">
        <v>1570</v>
      </c>
      <c r="MC37" s="18">
        <v>1550</v>
      </c>
      <c r="MD37" s="18">
        <v>1530</v>
      </c>
      <c r="ME37" s="18">
        <v>1500</v>
      </c>
      <c r="MF37" s="18">
        <v>1500</v>
      </c>
      <c r="MG37" s="18">
        <v>1480</v>
      </c>
      <c r="MH37" s="18">
        <v>1470</v>
      </c>
      <c r="MI37" s="18">
        <v>1440</v>
      </c>
      <c r="MJ37" s="18">
        <v>1430</v>
      </c>
      <c r="MK37" s="18">
        <v>1410</v>
      </c>
      <c r="ML37" s="18">
        <v>1400</v>
      </c>
      <c r="MM37" s="18">
        <v>1400</v>
      </c>
      <c r="MN37" s="18">
        <v>1400</v>
      </c>
      <c r="MO37" s="18">
        <v>1390</v>
      </c>
      <c r="MP37" s="18">
        <v>1370</v>
      </c>
      <c r="MQ37" s="18">
        <v>1370</v>
      </c>
      <c r="MR37" s="18">
        <v>1360</v>
      </c>
      <c r="MS37" s="18">
        <v>1340</v>
      </c>
      <c r="MT37" s="18">
        <v>1340</v>
      </c>
      <c r="MU37" s="18">
        <v>1310</v>
      </c>
      <c r="MV37" s="18">
        <v>1300</v>
      </c>
      <c r="MW37" s="18">
        <v>1290</v>
      </c>
      <c r="MX37" s="18">
        <v>1280</v>
      </c>
      <c r="MY37" s="18">
        <v>1280</v>
      </c>
      <c r="MZ37" s="18">
        <v>1270</v>
      </c>
      <c r="NA37" s="18">
        <v>1260</v>
      </c>
      <c r="NB37" s="18">
        <v>1240</v>
      </c>
      <c r="NC37" s="18">
        <v>1230</v>
      </c>
      <c r="ND37" s="1">
        <v>1090</v>
      </c>
      <c r="NE37" s="1">
        <v>886</v>
      </c>
      <c r="NF37" s="1">
        <v>859</v>
      </c>
      <c r="NG37" s="1">
        <v>1060</v>
      </c>
      <c r="NH37" s="1">
        <v>1650</v>
      </c>
      <c r="NI37" s="1">
        <v>3260</v>
      </c>
      <c r="NJ37" s="1">
        <v>9620</v>
      </c>
      <c r="NK37" s="1">
        <v>6880</v>
      </c>
      <c r="NL37" s="1">
        <v>6110</v>
      </c>
      <c r="NM37" s="1">
        <v>3330</v>
      </c>
      <c r="NN37" s="1">
        <v>2080</v>
      </c>
      <c r="NO37" s="1">
        <v>1410</v>
      </c>
      <c r="NP37" s="1">
        <v>3199.1803278688526</v>
      </c>
      <c r="NQ37" s="1">
        <v>12900</v>
      </c>
      <c r="NR37" s="19">
        <v>42568</v>
      </c>
      <c r="NS37" s="1">
        <v>835</v>
      </c>
      <c r="NT37" s="19">
        <v>42447</v>
      </c>
    </row>
    <row r="38" spans="1:384" x14ac:dyDescent="0.15">
      <c r="A38" s="1">
        <v>1985</v>
      </c>
      <c r="B38" s="18">
        <v>1190</v>
      </c>
      <c r="C38" s="18">
        <v>1180</v>
      </c>
      <c r="D38" s="18">
        <v>1160</v>
      </c>
      <c r="E38" s="18">
        <v>1150</v>
      </c>
      <c r="F38" s="18">
        <v>1130</v>
      </c>
      <c r="G38" s="18">
        <v>1130</v>
      </c>
      <c r="H38" s="18">
        <v>1120</v>
      </c>
      <c r="I38" s="18">
        <v>1110</v>
      </c>
      <c r="J38" s="18">
        <v>1110</v>
      </c>
      <c r="K38" s="18">
        <v>1090</v>
      </c>
      <c r="L38" s="18">
        <v>1080</v>
      </c>
      <c r="M38" s="18">
        <v>1070</v>
      </c>
      <c r="N38" s="18">
        <v>1060</v>
      </c>
      <c r="O38" s="18">
        <v>1060</v>
      </c>
      <c r="P38" s="18">
        <v>1050</v>
      </c>
      <c r="Q38" s="18">
        <v>1050</v>
      </c>
      <c r="R38" s="18">
        <v>1030</v>
      </c>
      <c r="S38" s="18">
        <v>1020</v>
      </c>
      <c r="T38" s="18">
        <v>1000</v>
      </c>
      <c r="U38" s="18">
        <v>991</v>
      </c>
      <c r="V38" s="18">
        <v>987</v>
      </c>
      <c r="W38" s="18">
        <v>979</v>
      </c>
      <c r="X38" s="18">
        <v>966</v>
      </c>
      <c r="Y38" s="18">
        <v>953</v>
      </c>
      <c r="Z38" s="18">
        <v>949</v>
      </c>
      <c r="AA38" s="18">
        <v>947</v>
      </c>
      <c r="AB38" s="18">
        <v>949</v>
      </c>
      <c r="AC38" s="18">
        <v>956</v>
      </c>
      <c r="AD38" s="18">
        <v>961</v>
      </c>
      <c r="AE38" s="18">
        <v>960</v>
      </c>
      <c r="AF38" s="18">
        <v>954</v>
      </c>
      <c r="AG38" s="18">
        <v>947</v>
      </c>
      <c r="AH38" s="18">
        <v>944</v>
      </c>
      <c r="AI38" s="18">
        <v>944</v>
      </c>
      <c r="AJ38" s="18">
        <v>940</v>
      </c>
      <c r="AK38" s="18">
        <v>939</v>
      </c>
      <c r="AL38" s="18">
        <v>934</v>
      </c>
      <c r="AM38" s="18">
        <v>929</v>
      </c>
      <c r="AN38" s="18">
        <v>922</v>
      </c>
      <c r="AO38" s="18">
        <v>914</v>
      </c>
      <c r="AP38" s="18">
        <v>909</v>
      </c>
      <c r="AQ38" s="18">
        <v>905</v>
      </c>
      <c r="AR38" s="18">
        <v>901</v>
      </c>
      <c r="AS38" s="18">
        <v>898</v>
      </c>
      <c r="AT38" s="18">
        <v>895</v>
      </c>
      <c r="AU38" s="18">
        <v>891</v>
      </c>
      <c r="AV38" s="18">
        <v>889</v>
      </c>
      <c r="AW38" s="18">
        <v>886</v>
      </c>
      <c r="AX38" s="18">
        <v>886</v>
      </c>
      <c r="AY38" s="18">
        <v>886</v>
      </c>
      <c r="AZ38" s="18">
        <v>882</v>
      </c>
      <c r="BA38" s="18">
        <v>882</v>
      </c>
      <c r="BB38" s="18">
        <v>882</v>
      </c>
      <c r="BC38" s="18">
        <v>882</v>
      </c>
      <c r="BD38" s="18">
        <v>878</v>
      </c>
      <c r="BE38" s="18">
        <v>875</v>
      </c>
      <c r="BF38" s="18">
        <v>873</v>
      </c>
      <c r="BG38" s="18">
        <v>873</v>
      </c>
      <c r="BH38" s="18">
        <v>873</v>
      </c>
      <c r="BI38" s="18"/>
      <c r="BJ38" s="18">
        <v>873</v>
      </c>
      <c r="BK38" s="18">
        <v>873</v>
      </c>
      <c r="BL38" s="18">
        <v>873</v>
      </c>
      <c r="BM38" s="18">
        <v>873</v>
      </c>
      <c r="BN38" s="18">
        <v>873</v>
      </c>
      <c r="BO38" s="18">
        <v>873</v>
      </c>
      <c r="BP38" s="18">
        <v>873</v>
      </c>
      <c r="BQ38" s="18">
        <v>877</v>
      </c>
      <c r="BR38" s="18">
        <v>886</v>
      </c>
      <c r="BS38" s="18">
        <v>891</v>
      </c>
      <c r="BT38" s="18">
        <v>891</v>
      </c>
      <c r="BU38" s="18">
        <v>891</v>
      </c>
      <c r="BV38" s="18">
        <v>891</v>
      </c>
      <c r="BW38" s="18">
        <v>891</v>
      </c>
      <c r="BX38" s="18">
        <v>891</v>
      </c>
      <c r="BY38" s="18">
        <v>891</v>
      </c>
      <c r="BZ38" s="18">
        <v>903</v>
      </c>
      <c r="CA38" s="18">
        <v>909</v>
      </c>
      <c r="CB38" s="18">
        <v>909</v>
      </c>
      <c r="CC38" s="18">
        <v>909</v>
      </c>
      <c r="CD38" s="18">
        <v>909</v>
      </c>
      <c r="CE38" s="18">
        <v>909</v>
      </c>
      <c r="CF38" s="18">
        <v>909</v>
      </c>
      <c r="CG38" s="18">
        <v>918</v>
      </c>
      <c r="CH38" s="18">
        <v>927</v>
      </c>
      <c r="CI38" s="18">
        <v>927</v>
      </c>
      <c r="CJ38" s="18">
        <v>906</v>
      </c>
      <c r="CK38" s="18">
        <v>888</v>
      </c>
      <c r="CL38" s="18">
        <v>886</v>
      </c>
      <c r="CM38" s="18">
        <v>907</v>
      </c>
      <c r="CN38" s="18">
        <v>931</v>
      </c>
      <c r="CO38" s="18">
        <v>970</v>
      </c>
      <c r="CP38" s="18">
        <v>1030</v>
      </c>
      <c r="CQ38" s="18">
        <v>1080</v>
      </c>
      <c r="CR38" s="18">
        <v>1130</v>
      </c>
      <c r="CS38" s="18">
        <v>1160</v>
      </c>
      <c r="CT38" s="18">
        <v>1140</v>
      </c>
      <c r="CU38" s="18">
        <v>1140</v>
      </c>
      <c r="CV38" s="18">
        <v>1140</v>
      </c>
      <c r="CW38" s="18">
        <v>1140</v>
      </c>
      <c r="CX38" s="18">
        <v>1150</v>
      </c>
      <c r="CY38" s="18">
        <v>1160</v>
      </c>
      <c r="CZ38" s="18">
        <v>1170</v>
      </c>
      <c r="DA38" s="18">
        <v>1180</v>
      </c>
      <c r="DB38" s="18">
        <v>1180</v>
      </c>
      <c r="DC38" s="18">
        <v>1220</v>
      </c>
      <c r="DD38" s="18">
        <v>1300</v>
      </c>
      <c r="DE38" s="18">
        <v>1330</v>
      </c>
      <c r="DF38" s="18">
        <v>1340</v>
      </c>
      <c r="DG38" s="18">
        <v>1360</v>
      </c>
      <c r="DH38" s="18">
        <v>1360</v>
      </c>
      <c r="DI38" s="18">
        <v>1340</v>
      </c>
      <c r="DJ38" s="18">
        <v>1330</v>
      </c>
      <c r="DK38" s="18">
        <v>1390</v>
      </c>
      <c r="DL38" s="18">
        <v>1410</v>
      </c>
      <c r="DM38" s="18">
        <v>1370</v>
      </c>
      <c r="DN38" s="18">
        <v>1340</v>
      </c>
      <c r="DO38" s="18">
        <v>1330</v>
      </c>
      <c r="DP38" s="18">
        <v>1340</v>
      </c>
      <c r="DQ38" s="18">
        <v>1460</v>
      </c>
      <c r="DR38" s="18">
        <v>1570</v>
      </c>
      <c r="DS38" s="18">
        <v>1550</v>
      </c>
      <c r="DT38" s="18">
        <v>1500</v>
      </c>
      <c r="DU38" s="18">
        <v>1450</v>
      </c>
      <c r="DV38" s="18">
        <v>1400</v>
      </c>
      <c r="DW38" s="18">
        <v>1390</v>
      </c>
      <c r="DX38" s="18">
        <v>1420</v>
      </c>
      <c r="DY38" s="18">
        <v>1520</v>
      </c>
      <c r="DZ38" s="18">
        <v>1610</v>
      </c>
      <c r="EA38" s="18">
        <v>1700</v>
      </c>
      <c r="EB38" s="18">
        <v>1730</v>
      </c>
      <c r="EC38" s="18">
        <v>1730</v>
      </c>
      <c r="ED38" s="18">
        <v>1680</v>
      </c>
      <c r="EE38" s="18">
        <v>1670</v>
      </c>
      <c r="EF38" s="18">
        <v>1680</v>
      </c>
      <c r="EG38" s="18">
        <v>1700</v>
      </c>
      <c r="EH38" s="18">
        <v>1770</v>
      </c>
      <c r="EI38" s="18">
        <v>1880</v>
      </c>
      <c r="EJ38" s="18">
        <v>1950</v>
      </c>
      <c r="EK38" s="18">
        <v>1940</v>
      </c>
      <c r="EL38" s="18">
        <v>1930</v>
      </c>
      <c r="EM38" s="18">
        <v>2020</v>
      </c>
      <c r="EN38" s="18">
        <v>2100</v>
      </c>
      <c r="EO38" s="18">
        <v>2110</v>
      </c>
      <c r="EP38" s="18">
        <v>2150</v>
      </c>
      <c r="EQ38" s="18">
        <v>2170</v>
      </c>
      <c r="ER38" s="18">
        <v>2200</v>
      </c>
      <c r="ES38" s="18">
        <v>2160</v>
      </c>
      <c r="ET38" s="18">
        <v>2120</v>
      </c>
      <c r="EU38" s="18">
        <v>2180</v>
      </c>
      <c r="EV38" s="18">
        <v>2290</v>
      </c>
      <c r="EW38" s="18">
        <v>2380</v>
      </c>
      <c r="EX38" s="18">
        <v>2480</v>
      </c>
      <c r="EY38" s="18">
        <v>2570</v>
      </c>
      <c r="EZ38" s="18">
        <v>2920</v>
      </c>
      <c r="FA38" s="18">
        <v>3040</v>
      </c>
      <c r="FB38" s="18">
        <v>3160</v>
      </c>
      <c r="FC38" s="18">
        <v>3330</v>
      </c>
      <c r="FD38" s="18">
        <v>3430</v>
      </c>
      <c r="FE38" s="18">
        <v>3570</v>
      </c>
      <c r="FF38" s="18">
        <v>3570</v>
      </c>
      <c r="FG38" s="18">
        <v>3520</v>
      </c>
      <c r="FH38" s="18">
        <v>3450</v>
      </c>
      <c r="FI38" s="18">
        <v>3720</v>
      </c>
      <c r="FJ38" s="18">
        <v>4150</v>
      </c>
      <c r="FK38" s="18">
        <v>4060</v>
      </c>
      <c r="FL38" s="18">
        <v>4420</v>
      </c>
      <c r="FM38" s="18">
        <v>5130</v>
      </c>
      <c r="FN38" s="18">
        <v>5140</v>
      </c>
      <c r="FO38" s="18">
        <v>5640</v>
      </c>
      <c r="FP38" s="18">
        <v>5970</v>
      </c>
      <c r="FQ38" s="18">
        <v>5960</v>
      </c>
      <c r="FR38" s="18">
        <v>6410</v>
      </c>
      <c r="FS38" s="18">
        <v>7760</v>
      </c>
      <c r="FT38" s="18">
        <v>7730</v>
      </c>
      <c r="FU38" s="18">
        <v>7280</v>
      </c>
      <c r="FV38" s="18">
        <v>7670</v>
      </c>
      <c r="FW38" s="18">
        <v>8290</v>
      </c>
      <c r="FX38" s="18">
        <v>9040</v>
      </c>
      <c r="FY38" s="18">
        <v>9890</v>
      </c>
      <c r="FZ38" s="18">
        <v>10600</v>
      </c>
      <c r="GA38" s="18">
        <v>11500</v>
      </c>
      <c r="GB38" s="18">
        <v>11600</v>
      </c>
      <c r="GC38" s="18">
        <v>11900</v>
      </c>
      <c r="GD38" s="18">
        <v>13500</v>
      </c>
      <c r="GE38" s="18">
        <v>12700</v>
      </c>
      <c r="GF38" s="18">
        <v>12300</v>
      </c>
      <c r="GG38" s="18">
        <v>13300</v>
      </c>
      <c r="GH38" s="18">
        <v>14500</v>
      </c>
      <c r="GI38" s="18">
        <v>14000</v>
      </c>
      <c r="GJ38" s="18">
        <v>13900</v>
      </c>
      <c r="GK38" s="18">
        <v>16300</v>
      </c>
      <c r="GL38" s="18">
        <v>14900</v>
      </c>
      <c r="GM38" s="18">
        <v>13400</v>
      </c>
      <c r="GN38" s="18">
        <v>12100</v>
      </c>
      <c r="GO38" s="18">
        <v>11700</v>
      </c>
      <c r="GP38" s="18">
        <v>11300</v>
      </c>
      <c r="GQ38" s="18">
        <v>10500</v>
      </c>
      <c r="GR38" s="18">
        <v>9800</v>
      </c>
      <c r="GS38" s="18">
        <v>9180</v>
      </c>
      <c r="GT38" s="18">
        <v>8940</v>
      </c>
      <c r="GU38" s="18">
        <v>8840</v>
      </c>
      <c r="GV38" s="18">
        <v>8780</v>
      </c>
      <c r="GW38" s="18">
        <v>9090</v>
      </c>
      <c r="GX38" s="18">
        <v>9650</v>
      </c>
      <c r="GY38" s="18">
        <v>9810</v>
      </c>
      <c r="GZ38" s="18">
        <v>10700</v>
      </c>
      <c r="HA38" s="18">
        <v>11300</v>
      </c>
      <c r="HB38" s="18">
        <v>10600</v>
      </c>
      <c r="HC38" s="18">
        <v>10200</v>
      </c>
      <c r="HD38" s="18">
        <v>9460</v>
      </c>
      <c r="HE38" s="18">
        <v>9410</v>
      </c>
      <c r="HF38" s="18">
        <v>9860</v>
      </c>
      <c r="HG38" s="18">
        <v>10200</v>
      </c>
      <c r="HH38" s="18">
        <v>10800</v>
      </c>
      <c r="HI38" s="18">
        <v>10800</v>
      </c>
      <c r="HJ38" s="18">
        <v>10400</v>
      </c>
      <c r="HK38" s="18">
        <v>9630</v>
      </c>
      <c r="HL38" s="18">
        <v>8800</v>
      </c>
      <c r="HM38" s="18">
        <v>8200</v>
      </c>
      <c r="HN38" s="18">
        <v>8150</v>
      </c>
      <c r="HO38" s="18">
        <v>7570</v>
      </c>
      <c r="HP38" s="18">
        <v>6890</v>
      </c>
      <c r="HQ38" s="18">
        <v>6310</v>
      </c>
      <c r="HR38" s="18">
        <v>6140</v>
      </c>
      <c r="HS38" s="18">
        <v>6960</v>
      </c>
      <c r="HT38" s="18">
        <v>7100</v>
      </c>
      <c r="HU38" s="18">
        <v>6860</v>
      </c>
      <c r="HV38" s="18">
        <v>6370</v>
      </c>
      <c r="HW38" s="18">
        <v>5910</v>
      </c>
      <c r="HX38" s="18">
        <v>5620</v>
      </c>
      <c r="HY38" s="18">
        <v>5520</v>
      </c>
      <c r="HZ38" s="18">
        <v>5770</v>
      </c>
      <c r="IA38" s="18">
        <v>6500</v>
      </c>
      <c r="IB38" s="18">
        <v>6830</v>
      </c>
      <c r="IC38" s="18">
        <v>6840</v>
      </c>
      <c r="ID38" s="18">
        <v>7760</v>
      </c>
      <c r="IE38" s="18">
        <v>8430</v>
      </c>
      <c r="IF38" s="18">
        <v>9440</v>
      </c>
      <c r="IG38" s="18">
        <v>10400</v>
      </c>
      <c r="IH38" s="18">
        <v>10600</v>
      </c>
      <c r="II38" s="18">
        <v>10400</v>
      </c>
      <c r="IJ38" s="18">
        <v>10400</v>
      </c>
      <c r="IK38" s="18">
        <v>10100</v>
      </c>
      <c r="IL38" s="18">
        <v>10100</v>
      </c>
      <c r="IM38" s="18">
        <v>10200</v>
      </c>
      <c r="IN38" s="18">
        <v>9850</v>
      </c>
      <c r="IO38" s="18">
        <v>9740</v>
      </c>
      <c r="IP38" s="18">
        <v>10000</v>
      </c>
      <c r="IQ38" s="18">
        <v>10200</v>
      </c>
      <c r="IR38" s="18">
        <v>10900</v>
      </c>
      <c r="IS38" s="18">
        <v>11000</v>
      </c>
      <c r="IT38" s="18">
        <v>11100</v>
      </c>
      <c r="IU38" s="18">
        <v>10900</v>
      </c>
      <c r="IV38" s="18">
        <v>10800</v>
      </c>
      <c r="IW38" s="18">
        <v>10300</v>
      </c>
      <c r="IX38" s="18">
        <v>9690</v>
      </c>
      <c r="IY38" s="18">
        <v>9260</v>
      </c>
      <c r="IZ38" s="18">
        <v>8950</v>
      </c>
      <c r="JA38" s="18">
        <v>8790</v>
      </c>
      <c r="JB38" s="18">
        <v>8690</v>
      </c>
      <c r="JC38" s="18">
        <v>9200</v>
      </c>
      <c r="JD38" s="18">
        <v>9470</v>
      </c>
      <c r="JE38" s="18">
        <v>9390</v>
      </c>
      <c r="JF38" s="18">
        <v>9700</v>
      </c>
      <c r="JG38" s="18">
        <v>9660</v>
      </c>
      <c r="JH38" s="18">
        <v>9910</v>
      </c>
      <c r="JI38" s="18">
        <v>10100</v>
      </c>
      <c r="JJ38" s="18">
        <v>9950</v>
      </c>
      <c r="JK38" s="18">
        <v>9460</v>
      </c>
      <c r="JL38" s="18">
        <v>9090</v>
      </c>
      <c r="JM38" s="18">
        <v>9240</v>
      </c>
      <c r="JN38" s="18">
        <v>9440</v>
      </c>
      <c r="JO38" s="18">
        <v>9250</v>
      </c>
      <c r="JP38" s="18">
        <v>9070</v>
      </c>
      <c r="JQ38" s="18">
        <v>9300</v>
      </c>
      <c r="JR38" s="18">
        <v>9530</v>
      </c>
      <c r="JS38" s="18">
        <v>9550</v>
      </c>
      <c r="JT38" s="18">
        <v>9340</v>
      </c>
      <c r="JU38" s="18">
        <v>8870</v>
      </c>
      <c r="JV38" s="18">
        <v>8330</v>
      </c>
      <c r="JW38" s="18">
        <v>7860</v>
      </c>
      <c r="JX38" s="18">
        <v>7440</v>
      </c>
      <c r="JY38" s="18">
        <v>7060</v>
      </c>
      <c r="JZ38" s="18">
        <v>6720</v>
      </c>
      <c r="KA38" s="18">
        <v>6400</v>
      </c>
      <c r="KB38" s="18">
        <v>6110</v>
      </c>
      <c r="KC38" s="18">
        <v>5910</v>
      </c>
      <c r="KD38" s="18">
        <v>5710</v>
      </c>
      <c r="KE38" s="18">
        <v>5500</v>
      </c>
      <c r="KF38" s="18">
        <v>5320</v>
      </c>
      <c r="KG38" s="18">
        <v>5140</v>
      </c>
      <c r="KH38" s="18">
        <v>5020</v>
      </c>
      <c r="KI38" s="18">
        <v>4990</v>
      </c>
      <c r="KJ38" s="18">
        <v>5090</v>
      </c>
      <c r="KK38" s="18">
        <v>4990</v>
      </c>
      <c r="KL38" s="18">
        <v>4840</v>
      </c>
      <c r="KM38" s="18">
        <v>4690</v>
      </c>
      <c r="KN38" s="18">
        <v>4600</v>
      </c>
      <c r="KO38" s="18">
        <v>4540</v>
      </c>
      <c r="KP38" s="18">
        <v>4440</v>
      </c>
      <c r="KQ38" s="18">
        <v>4280</v>
      </c>
      <c r="KR38" s="18">
        <v>4120</v>
      </c>
      <c r="KS38" s="18">
        <v>4000</v>
      </c>
      <c r="KT38" s="18">
        <v>3930</v>
      </c>
      <c r="KU38" s="18">
        <v>3920</v>
      </c>
      <c r="KV38" s="18">
        <v>3820</v>
      </c>
      <c r="KW38" s="18">
        <v>3700</v>
      </c>
      <c r="KX38" s="18">
        <v>3580</v>
      </c>
      <c r="KY38" s="18">
        <v>3460</v>
      </c>
      <c r="KZ38" s="18">
        <v>3380</v>
      </c>
      <c r="LA38" s="18">
        <v>3340</v>
      </c>
      <c r="LB38" s="18">
        <v>3270</v>
      </c>
      <c r="LC38" s="18">
        <v>3180</v>
      </c>
      <c r="LD38" s="18">
        <v>3100</v>
      </c>
      <c r="LE38" s="18">
        <v>3030</v>
      </c>
      <c r="LF38" s="18">
        <v>2970</v>
      </c>
      <c r="LG38" s="18">
        <v>2900</v>
      </c>
      <c r="LH38" s="18">
        <v>2830</v>
      </c>
      <c r="LI38" s="18">
        <v>2770</v>
      </c>
      <c r="LJ38" s="18">
        <v>2720</v>
      </c>
      <c r="LK38" s="18">
        <v>2680</v>
      </c>
      <c r="LL38" s="18">
        <v>2630</v>
      </c>
      <c r="LM38" s="18">
        <v>2580</v>
      </c>
      <c r="LN38" s="18">
        <v>2540</v>
      </c>
      <c r="LO38" s="18">
        <v>2490</v>
      </c>
      <c r="LP38" s="18">
        <v>2470</v>
      </c>
      <c r="LQ38" s="18">
        <v>2440</v>
      </c>
      <c r="LR38" s="18">
        <v>2400</v>
      </c>
      <c r="LS38" s="18">
        <v>2380</v>
      </c>
      <c r="LT38" s="18">
        <v>2370</v>
      </c>
      <c r="LU38" s="18">
        <v>2360</v>
      </c>
      <c r="LV38" s="18">
        <v>2320</v>
      </c>
      <c r="LW38" s="18">
        <v>2300</v>
      </c>
      <c r="LX38" s="18">
        <v>2250</v>
      </c>
      <c r="LY38" s="18">
        <v>2200</v>
      </c>
      <c r="LZ38" s="18">
        <v>2170</v>
      </c>
      <c r="MA38" s="18">
        <v>2160</v>
      </c>
      <c r="MB38" s="18">
        <v>2130</v>
      </c>
      <c r="MC38" s="18">
        <v>2100</v>
      </c>
      <c r="MD38" s="18">
        <v>2070</v>
      </c>
      <c r="ME38" s="18">
        <v>2040</v>
      </c>
      <c r="MF38" s="18">
        <v>2000</v>
      </c>
      <c r="MG38" s="18">
        <v>1960</v>
      </c>
      <c r="MH38" s="18">
        <v>1920</v>
      </c>
      <c r="MI38" s="18">
        <v>1900</v>
      </c>
      <c r="MJ38" s="18">
        <v>1870</v>
      </c>
      <c r="MK38" s="18">
        <v>1850</v>
      </c>
      <c r="ML38" s="18">
        <v>1840</v>
      </c>
      <c r="MM38" s="18">
        <v>1830</v>
      </c>
      <c r="MN38" s="18">
        <v>1820</v>
      </c>
      <c r="MO38" s="18">
        <v>1810</v>
      </c>
      <c r="MP38" s="18">
        <v>1800</v>
      </c>
      <c r="MQ38" s="18">
        <v>1770</v>
      </c>
      <c r="MR38" s="18">
        <v>1750</v>
      </c>
      <c r="MS38" s="18">
        <v>1730</v>
      </c>
      <c r="MT38" s="18">
        <v>1730</v>
      </c>
      <c r="MU38" s="18">
        <v>1720</v>
      </c>
      <c r="MV38" s="18">
        <v>1720</v>
      </c>
      <c r="MW38" s="18">
        <v>1720</v>
      </c>
      <c r="MX38" s="18">
        <v>1690</v>
      </c>
      <c r="MY38" s="18">
        <v>1650</v>
      </c>
      <c r="MZ38" s="18">
        <v>1620</v>
      </c>
      <c r="NA38" s="18">
        <v>1600</v>
      </c>
      <c r="NB38" s="18">
        <v>1590</v>
      </c>
      <c r="NC38" s="18">
        <v>1580</v>
      </c>
      <c r="ND38" s="1">
        <v>1040</v>
      </c>
      <c r="NE38" s="1">
        <v>902</v>
      </c>
      <c r="NF38" s="1">
        <v>895</v>
      </c>
      <c r="NG38" s="1">
        <v>1250</v>
      </c>
      <c r="NH38" s="1">
        <v>1840</v>
      </c>
      <c r="NI38" s="1">
        <v>5510</v>
      </c>
      <c r="NJ38" s="1">
        <v>11400</v>
      </c>
      <c r="NK38" s="1">
        <v>8120</v>
      </c>
      <c r="NL38" s="1">
        <v>9810</v>
      </c>
      <c r="NM38" s="1">
        <v>6220</v>
      </c>
      <c r="NN38" s="1">
        <v>2870</v>
      </c>
      <c r="NO38" s="1">
        <v>1850</v>
      </c>
      <c r="NP38" s="1">
        <v>4331.9424657534246</v>
      </c>
      <c r="NQ38" s="1">
        <v>16300</v>
      </c>
      <c r="NR38" s="19">
        <v>42561</v>
      </c>
      <c r="NS38" s="1">
        <v>873</v>
      </c>
      <c r="NT38" s="19">
        <v>42426</v>
      </c>
    </row>
    <row r="39" spans="1:384" x14ac:dyDescent="0.15">
      <c r="A39" s="1">
        <v>1986</v>
      </c>
      <c r="B39" s="18">
        <v>1590</v>
      </c>
      <c r="C39" s="18">
        <v>1590</v>
      </c>
      <c r="D39" s="18">
        <v>1580</v>
      </c>
      <c r="E39" s="18">
        <v>1550</v>
      </c>
      <c r="F39" s="18">
        <v>1540</v>
      </c>
      <c r="G39" s="18">
        <v>1530</v>
      </c>
      <c r="H39" s="18">
        <v>1520</v>
      </c>
      <c r="I39" s="18">
        <v>1520</v>
      </c>
      <c r="J39" s="18">
        <v>1510</v>
      </c>
      <c r="K39" s="18">
        <v>1500</v>
      </c>
      <c r="L39" s="18">
        <v>1490</v>
      </c>
      <c r="M39" s="18">
        <v>1480</v>
      </c>
      <c r="N39" s="18">
        <v>1460</v>
      </c>
      <c r="O39" s="18">
        <v>1440</v>
      </c>
      <c r="P39" s="18">
        <v>1440</v>
      </c>
      <c r="Q39" s="18">
        <v>1420</v>
      </c>
      <c r="R39" s="18">
        <v>1410</v>
      </c>
      <c r="S39" s="18">
        <v>1410</v>
      </c>
      <c r="T39" s="18">
        <v>1380</v>
      </c>
      <c r="U39" s="18">
        <v>1370</v>
      </c>
      <c r="V39" s="18">
        <v>1370</v>
      </c>
      <c r="W39" s="18">
        <v>1360</v>
      </c>
      <c r="X39" s="18">
        <v>1340</v>
      </c>
      <c r="Y39" s="18">
        <v>1340</v>
      </c>
      <c r="Z39" s="18">
        <v>1330</v>
      </c>
      <c r="AA39" s="18">
        <v>1310</v>
      </c>
      <c r="AB39" s="18">
        <v>1300</v>
      </c>
      <c r="AC39" s="18">
        <v>1290</v>
      </c>
      <c r="AD39" s="18">
        <v>1290</v>
      </c>
      <c r="AE39" s="18">
        <v>1280</v>
      </c>
      <c r="AF39" s="18">
        <v>1280</v>
      </c>
      <c r="AG39" s="18">
        <v>1270</v>
      </c>
      <c r="AH39" s="18">
        <v>1260</v>
      </c>
      <c r="AI39" s="18">
        <v>1260</v>
      </c>
      <c r="AJ39" s="18">
        <v>1260</v>
      </c>
      <c r="AK39" s="18">
        <v>1250</v>
      </c>
      <c r="AL39" s="18">
        <v>1240</v>
      </c>
      <c r="AM39" s="18">
        <v>1230</v>
      </c>
      <c r="AN39" s="18">
        <v>1220</v>
      </c>
      <c r="AO39" s="18">
        <v>1220</v>
      </c>
      <c r="AP39" s="18">
        <v>1220</v>
      </c>
      <c r="AQ39" s="18">
        <v>1220</v>
      </c>
      <c r="AR39" s="18">
        <v>1220</v>
      </c>
      <c r="AS39" s="18">
        <v>1210</v>
      </c>
      <c r="AT39" s="18">
        <v>1190</v>
      </c>
      <c r="AU39" s="18">
        <v>1160</v>
      </c>
      <c r="AV39" s="18">
        <v>1140</v>
      </c>
      <c r="AW39" s="18">
        <v>1140</v>
      </c>
      <c r="AX39" s="18">
        <v>1130</v>
      </c>
      <c r="AY39" s="18">
        <v>1130</v>
      </c>
      <c r="AZ39" s="18">
        <v>1150</v>
      </c>
      <c r="BA39" s="18">
        <v>1150</v>
      </c>
      <c r="BB39" s="18">
        <v>1150</v>
      </c>
      <c r="BC39" s="18">
        <v>1140</v>
      </c>
      <c r="BD39" s="18">
        <v>1140</v>
      </c>
      <c r="BE39" s="18">
        <v>1120</v>
      </c>
      <c r="BF39" s="18">
        <v>1110</v>
      </c>
      <c r="BG39" s="18">
        <v>1110</v>
      </c>
      <c r="BH39" s="18">
        <v>1110</v>
      </c>
      <c r="BI39" s="18"/>
      <c r="BJ39" s="18">
        <v>1110</v>
      </c>
      <c r="BK39" s="18">
        <v>1110</v>
      </c>
      <c r="BL39" s="18">
        <v>1110</v>
      </c>
      <c r="BM39" s="18">
        <v>1110</v>
      </c>
      <c r="BN39" s="18">
        <v>1110</v>
      </c>
      <c r="BO39" s="18">
        <v>1110</v>
      </c>
      <c r="BP39" s="18">
        <v>1110</v>
      </c>
      <c r="BQ39" s="18">
        <v>1110</v>
      </c>
      <c r="BR39" s="18">
        <v>1100</v>
      </c>
      <c r="BS39" s="18">
        <v>1080</v>
      </c>
      <c r="BT39" s="18">
        <v>1070</v>
      </c>
      <c r="BU39" s="18">
        <v>1070</v>
      </c>
      <c r="BV39" s="18">
        <v>1070</v>
      </c>
      <c r="BW39" s="18">
        <v>1070</v>
      </c>
      <c r="BX39" s="18">
        <v>1070</v>
      </c>
      <c r="BY39" s="18">
        <v>1060</v>
      </c>
      <c r="BZ39" s="18">
        <v>1050</v>
      </c>
      <c r="CA39" s="18">
        <v>1050</v>
      </c>
      <c r="CB39" s="18">
        <v>1070</v>
      </c>
      <c r="CC39" s="18">
        <v>1070</v>
      </c>
      <c r="CD39" s="18">
        <v>1070</v>
      </c>
      <c r="CE39" s="18">
        <v>1070</v>
      </c>
      <c r="CF39" s="18">
        <v>1060</v>
      </c>
      <c r="CG39" s="18">
        <v>1050</v>
      </c>
      <c r="CH39" s="18">
        <v>1040</v>
      </c>
      <c r="CI39" s="18">
        <v>1040</v>
      </c>
      <c r="CJ39" s="18">
        <v>1040</v>
      </c>
      <c r="CK39" s="18">
        <v>1040</v>
      </c>
      <c r="CL39" s="18">
        <v>1040</v>
      </c>
      <c r="CM39" s="18">
        <v>1030</v>
      </c>
      <c r="CN39" s="18">
        <v>1030</v>
      </c>
      <c r="CO39" s="18">
        <v>1040</v>
      </c>
      <c r="CP39" s="18">
        <v>1040</v>
      </c>
      <c r="CQ39" s="18">
        <v>1040</v>
      </c>
      <c r="CR39" s="18">
        <v>1040</v>
      </c>
      <c r="CS39" s="18">
        <v>1050</v>
      </c>
      <c r="CT39" s="18">
        <v>1060</v>
      </c>
      <c r="CU39" s="18">
        <v>1110</v>
      </c>
      <c r="CV39" s="18">
        <v>1130</v>
      </c>
      <c r="CW39" s="18">
        <v>1140</v>
      </c>
      <c r="CX39" s="18">
        <v>1130</v>
      </c>
      <c r="CY39" s="18">
        <v>1130</v>
      </c>
      <c r="CZ39" s="18">
        <v>1120</v>
      </c>
      <c r="DA39" s="18">
        <v>1110</v>
      </c>
      <c r="DB39" s="18">
        <v>1090</v>
      </c>
      <c r="DC39" s="18">
        <v>1090</v>
      </c>
      <c r="DD39" s="18">
        <v>1110</v>
      </c>
      <c r="DE39" s="18">
        <v>1150</v>
      </c>
      <c r="DF39" s="18">
        <v>1210</v>
      </c>
      <c r="DG39" s="18">
        <v>1260</v>
      </c>
      <c r="DH39" s="18">
        <v>1290</v>
      </c>
      <c r="DI39" s="18">
        <v>1340</v>
      </c>
      <c r="DJ39" s="18">
        <v>1410</v>
      </c>
      <c r="DK39" s="18">
        <v>1430</v>
      </c>
      <c r="DL39" s="18">
        <v>1390</v>
      </c>
      <c r="DM39" s="18">
        <v>1320</v>
      </c>
      <c r="DN39" s="18">
        <v>1280</v>
      </c>
      <c r="DO39" s="18">
        <v>1260</v>
      </c>
      <c r="DP39" s="18">
        <v>1270</v>
      </c>
      <c r="DQ39" s="18">
        <v>1350</v>
      </c>
      <c r="DR39" s="18">
        <v>1490</v>
      </c>
      <c r="DS39" s="18">
        <v>1610</v>
      </c>
      <c r="DT39" s="18">
        <v>1690</v>
      </c>
      <c r="DU39" s="18">
        <v>1720</v>
      </c>
      <c r="DV39" s="18">
        <v>1740</v>
      </c>
      <c r="DW39" s="18">
        <v>1740</v>
      </c>
      <c r="DX39" s="18">
        <v>1740</v>
      </c>
      <c r="DY39" s="18">
        <v>1680</v>
      </c>
      <c r="DZ39" s="18">
        <v>1660</v>
      </c>
      <c r="EA39" s="18">
        <v>1680</v>
      </c>
      <c r="EB39" s="18">
        <v>1690</v>
      </c>
      <c r="EC39" s="18">
        <v>1670</v>
      </c>
      <c r="ED39" s="18">
        <v>1650</v>
      </c>
      <c r="EE39" s="18">
        <v>1630</v>
      </c>
      <c r="EF39" s="18">
        <v>1630</v>
      </c>
      <c r="EG39" s="18">
        <v>1710</v>
      </c>
      <c r="EH39" s="18">
        <v>1880</v>
      </c>
      <c r="EI39" s="18">
        <v>2130</v>
      </c>
      <c r="EJ39" s="18">
        <v>2260</v>
      </c>
      <c r="EK39" s="18">
        <v>2300</v>
      </c>
      <c r="EL39" s="18">
        <v>2270</v>
      </c>
      <c r="EM39" s="18">
        <v>2250</v>
      </c>
      <c r="EN39" s="18">
        <v>2350</v>
      </c>
      <c r="EO39" s="18">
        <v>2480</v>
      </c>
      <c r="EP39" s="18">
        <v>2570</v>
      </c>
      <c r="EQ39" s="18">
        <v>2560</v>
      </c>
      <c r="ER39" s="18">
        <v>2550</v>
      </c>
      <c r="ES39" s="18">
        <v>2660</v>
      </c>
      <c r="ET39" s="18">
        <v>2760</v>
      </c>
      <c r="EU39" s="18">
        <v>2770</v>
      </c>
      <c r="EV39" s="18">
        <v>2660</v>
      </c>
      <c r="EW39" s="18">
        <v>2460</v>
      </c>
      <c r="EX39" s="18">
        <v>2260</v>
      </c>
      <c r="EY39" s="18">
        <v>2100</v>
      </c>
      <c r="EZ39" s="18">
        <v>2030</v>
      </c>
      <c r="FA39" s="18">
        <v>2010</v>
      </c>
      <c r="FB39" s="18">
        <v>2020</v>
      </c>
      <c r="FC39" s="18">
        <v>2000</v>
      </c>
      <c r="FD39" s="18">
        <v>1970</v>
      </c>
      <c r="FE39" s="18">
        <v>1980</v>
      </c>
      <c r="FF39" s="18">
        <v>1970</v>
      </c>
      <c r="FG39" s="18">
        <v>1920</v>
      </c>
      <c r="FH39" s="18">
        <v>1980</v>
      </c>
      <c r="FI39" s="18">
        <v>2110</v>
      </c>
      <c r="FJ39" s="18">
        <v>2040</v>
      </c>
      <c r="FK39" s="18">
        <v>2080</v>
      </c>
      <c r="FL39" s="18">
        <v>2140</v>
      </c>
      <c r="FM39" s="18">
        <v>2090</v>
      </c>
      <c r="FN39" s="18">
        <v>2060</v>
      </c>
      <c r="FO39" s="18">
        <v>2210</v>
      </c>
      <c r="FP39" s="18">
        <v>2840</v>
      </c>
      <c r="FQ39" s="18">
        <v>3180</v>
      </c>
      <c r="FR39" s="18">
        <v>3600</v>
      </c>
      <c r="FS39" s="18">
        <v>4440</v>
      </c>
      <c r="FT39" s="18">
        <v>4440</v>
      </c>
      <c r="FU39" s="18">
        <v>3900</v>
      </c>
      <c r="FV39" s="18">
        <v>3810</v>
      </c>
      <c r="FW39" s="18">
        <v>3550</v>
      </c>
      <c r="FX39" s="18">
        <v>3360</v>
      </c>
      <c r="FY39" s="18">
        <v>3030</v>
      </c>
      <c r="FZ39" s="18">
        <v>2700</v>
      </c>
      <c r="GA39" s="18">
        <v>2690</v>
      </c>
      <c r="GB39" s="18">
        <v>2590</v>
      </c>
      <c r="GC39" s="18">
        <v>2540</v>
      </c>
      <c r="GD39" s="18">
        <v>2720</v>
      </c>
      <c r="GE39" s="18">
        <v>2880</v>
      </c>
      <c r="GF39" s="18">
        <v>3600</v>
      </c>
      <c r="GG39" s="18">
        <v>4590</v>
      </c>
      <c r="GH39" s="18">
        <v>5040</v>
      </c>
      <c r="GI39" s="18">
        <v>5300</v>
      </c>
      <c r="GJ39" s="18">
        <v>5380</v>
      </c>
      <c r="GK39" s="18">
        <v>5120</v>
      </c>
      <c r="GL39" s="18">
        <v>4970</v>
      </c>
      <c r="GM39" s="18">
        <v>4990</v>
      </c>
      <c r="GN39" s="18">
        <v>4780</v>
      </c>
      <c r="GO39" s="18">
        <v>4520</v>
      </c>
      <c r="GP39" s="18">
        <v>4480</v>
      </c>
      <c r="GQ39" s="18">
        <v>4530</v>
      </c>
      <c r="GR39" s="18">
        <v>5180</v>
      </c>
      <c r="GS39" s="18">
        <v>7050</v>
      </c>
      <c r="GT39" s="18">
        <v>8300</v>
      </c>
      <c r="GU39" s="18">
        <v>8470</v>
      </c>
      <c r="GV39" s="18">
        <v>8880</v>
      </c>
      <c r="GW39" s="18">
        <v>8860</v>
      </c>
      <c r="GX39" s="18">
        <v>8440</v>
      </c>
      <c r="GY39" s="18">
        <v>7850</v>
      </c>
      <c r="GZ39" s="18">
        <v>7890</v>
      </c>
      <c r="HA39" s="18">
        <v>8310</v>
      </c>
      <c r="HB39" s="18">
        <v>8840</v>
      </c>
      <c r="HC39" s="18">
        <v>7200</v>
      </c>
      <c r="HD39" s="18">
        <v>6210</v>
      </c>
      <c r="HE39" s="18">
        <v>6030</v>
      </c>
      <c r="HF39" s="18">
        <v>5650</v>
      </c>
      <c r="HG39" s="18">
        <v>5400</v>
      </c>
      <c r="HH39" s="18">
        <v>5200</v>
      </c>
      <c r="HI39" s="18">
        <v>4940</v>
      </c>
      <c r="HJ39" s="18">
        <v>4910</v>
      </c>
      <c r="HK39" s="18">
        <v>5050</v>
      </c>
      <c r="HL39" s="18">
        <v>4850</v>
      </c>
      <c r="HM39" s="18">
        <v>4680</v>
      </c>
      <c r="HN39" s="18">
        <v>4360</v>
      </c>
      <c r="HO39" s="18">
        <v>4090</v>
      </c>
      <c r="HP39" s="18">
        <v>3900</v>
      </c>
      <c r="HQ39" s="18">
        <v>3680</v>
      </c>
      <c r="HR39" s="18">
        <v>3470</v>
      </c>
      <c r="HS39" s="18">
        <v>3330</v>
      </c>
      <c r="HT39" s="18">
        <v>3200</v>
      </c>
      <c r="HU39" s="18">
        <v>3110</v>
      </c>
      <c r="HV39" s="18">
        <v>3230</v>
      </c>
      <c r="HW39" s="18">
        <v>3370</v>
      </c>
      <c r="HX39" s="18">
        <v>3970</v>
      </c>
      <c r="HY39" s="18">
        <v>4340</v>
      </c>
      <c r="HZ39" s="18">
        <v>6560</v>
      </c>
      <c r="IA39" s="18">
        <v>6660</v>
      </c>
      <c r="IB39" s="18">
        <v>6040</v>
      </c>
      <c r="IC39" s="18">
        <v>5720</v>
      </c>
      <c r="ID39" s="18">
        <v>5720</v>
      </c>
      <c r="IE39" s="18">
        <v>8230</v>
      </c>
      <c r="IF39" s="18">
        <v>8850</v>
      </c>
      <c r="IG39" s="18">
        <v>8310</v>
      </c>
      <c r="IH39" s="18">
        <v>8660</v>
      </c>
      <c r="II39" s="18">
        <v>10100</v>
      </c>
      <c r="IJ39" s="18">
        <v>11700</v>
      </c>
      <c r="IK39" s="18">
        <v>11500</v>
      </c>
      <c r="IL39" s="18">
        <v>10900</v>
      </c>
      <c r="IM39" s="18">
        <v>12100</v>
      </c>
      <c r="IN39" s="18">
        <v>11500</v>
      </c>
      <c r="IO39" s="18">
        <v>11400</v>
      </c>
      <c r="IP39" s="18">
        <v>15400</v>
      </c>
      <c r="IQ39" s="18">
        <v>14000</v>
      </c>
      <c r="IR39" s="18">
        <v>11100</v>
      </c>
      <c r="IS39" s="18">
        <v>9440</v>
      </c>
      <c r="IT39" s="18">
        <v>8620</v>
      </c>
      <c r="IU39" s="18">
        <v>8480</v>
      </c>
      <c r="IV39" s="18">
        <v>8420</v>
      </c>
      <c r="IW39" s="18">
        <v>8910</v>
      </c>
      <c r="IX39" s="18">
        <v>9100</v>
      </c>
      <c r="IY39" s="18">
        <v>9000</v>
      </c>
      <c r="IZ39" s="18">
        <v>8910</v>
      </c>
      <c r="JA39" s="18">
        <v>9210</v>
      </c>
      <c r="JB39" s="18">
        <v>9120</v>
      </c>
      <c r="JC39" s="18">
        <v>9190</v>
      </c>
      <c r="JD39" s="18">
        <v>10100</v>
      </c>
      <c r="JE39" s="18">
        <v>10100</v>
      </c>
      <c r="JF39" s="18">
        <v>9940</v>
      </c>
      <c r="JG39" s="18">
        <v>9270</v>
      </c>
      <c r="JH39" s="18">
        <v>8630</v>
      </c>
      <c r="JI39" s="18">
        <v>8040</v>
      </c>
      <c r="JJ39" s="18">
        <v>7570</v>
      </c>
      <c r="JK39" s="18">
        <v>7550</v>
      </c>
      <c r="JL39" s="18">
        <v>7740</v>
      </c>
      <c r="JM39" s="18">
        <v>7810</v>
      </c>
      <c r="JN39" s="18">
        <v>7720</v>
      </c>
      <c r="JO39" s="18">
        <v>7770</v>
      </c>
      <c r="JP39" s="18">
        <v>7790</v>
      </c>
      <c r="JQ39" s="18">
        <v>7510</v>
      </c>
      <c r="JR39" s="18">
        <v>7330</v>
      </c>
      <c r="JS39" s="18">
        <v>7560</v>
      </c>
      <c r="JT39" s="18">
        <v>8230</v>
      </c>
      <c r="JU39" s="18">
        <v>8300</v>
      </c>
      <c r="JV39" s="18">
        <v>8260</v>
      </c>
      <c r="JW39" s="18">
        <v>8800</v>
      </c>
      <c r="JX39" s="18">
        <v>9940</v>
      </c>
      <c r="JY39" s="18">
        <v>12200</v>
      </c>
      <c r="JZ39" s="18">
        <v>13200</v>
      </c>
      <c r="KA39" s="18">
        <v>12200</v>
      </c>
      <c r="KB39" s="18">
        <v>10800</v>
      </c>
      <c r="KC39" s="18">
        <v>9840</v>
      </c>
      <c r="KD39" s="18">
        <v>8970</v>
      </c>
      <c r="KE39" s="18">
        <v>8350</v>
      </c>
      <c r="KF39" s="18">
        <v>7760</v>
      </c>
      <c r="KG39" s="18">
        <v>7270</v>
      </c>
      <c r="KH39" s="18">
        <v>6830</v>
      </c>
      <c r="KI39" s="18">
        <v>6440</v>
      </c>
      <c r="KJ39" s="18">
        <v>6070</v>
      </c>
      <c r="KK39" s="18">
        <v>5810</v>
      </c>
      <c r="KL39" s="18">
        <v>5580</v>
      </c>
      <c r="KM39" s="18">
        <v>5400</v>
      </c>
      <c r="KN39" s="18">
        <v>5260</v>
      </c>
      <c r="KO39" s="18">
        <v>5150</v>
      </c>
      <c r="KP39" s="18">
        <v>4980</v>
      </c>
      <c r="KQ39" s="18">
        <v>4790</v>
      </c>
      <c r="KR39" s="18">
        <v>4610</v>
      </c>
      <c r="KS39" s="18">
        <v>4480</v>
      </c>
      <c r="KT39" s="18">
        <v>4350</v>
      </c>
      <c r="KU39" s="18">
        <v>4240</v>
      </c>
      <c r="KV39" s="18">
        <v>4120</v>
      </c>
      <c r="KW39" s="18">
        <v>4020</v>
      </c>
      <c r="KX39" s="18">
        <v>3940</v>
      </c>
      <c r="KY39" s="18">
        <v>3850</v>
      </c>
      <c r="KZ39" s="18">
        <v>3750</v>
      </c>
      <c r="LA39" s="18">
        <v>3640</v>
      </c>
      <c r="LB39" s="18">
        <v>3540</v>
      </c>
      <c r="LC39" s="18">
        <v>3430</v>
      </c>
      <c r="LD39" s="18">
        <v>3390</v>
      </c>
      <c r="LE39" s="18">
        <v>3380</v>
      </c>
      <c r="LF39" s="18">
        <v>3370</v>
      </c>
      <c r="LG39" s="18">
        <v>3320</v>
      </c>
      <c r="LH39" s="18">
        <v>3270</v>
      </c>
      <c r="LI39" s="18">
        <v>3180</v>
      </c>
      <c r="LJ39" s="18">
        <v>3090</v>
      </c>
      <c r="LK39" s="18">
        <v>3000</v>
      </c>
      <c r="LL39" s="18">
        <v>2930</v>
      </c>
      <c r="LM39" s="18">
        <v>2860</v>
      </c>
      <c r="LN39" s="18">
        <v>2790</v>
      </c>
      <c r="LO39" s="18">
        <v>2750</v>
      </c>
      <c r="LP39" s="18">
        <v>2700</v>
      </c>
      <c r="LQ39" s="18">
        <v>2640</v>
      </c>
      <c r="LR39" s="18">
        <v>2560</v>
      </c>
      <c r="LS39" s="18">
        <v>2520</v>
      </c>
      <c r="LT39" s="18">
        <v>2480</v>
      </c>
      <c r="LU39" s="18">
        <v>2430</v>
      </c>
      <c r="LV39" s="18">
        <v>2390</v>
      </c>
      <c r="LW39" s="18">
        <v>2360</v>
      </c>
      <c r="LX39" s="18">
        <v>2330</v>
      </c>
      <c r="LY39" s="18">
        <v>2290</v>
      </c>
      <c r="LZ39" s="18">
        <v>2230</v>
      </c>
      <c r="MA39" s="18">
        <v>2180</v>
      </c>
      <c r="MB39" s="18">
        <v>2130</v>
      </c>
      <c r="MC39" s="18">
        <v>2080</v>
      </c>
      <c r="MD39" s="18">
        <v>2040</v>
      </c>
      <c r="ME39" s="18">
        <v>2000</v>
      </c>
      <c r="MF39" s="18">
        <v>1960</v>
      </c>
      <c r="MG39" s="18">
        <v>1930</v>
      </c>
      <c r="MH39" s="18">
        <v>1900</v>
      </c>
      <c r="MI39" s="18">
        <v>1880</v>
      </c>
      <c r="MJ39" s="18">
        <v>1840</v>
      </c>
      <c r="MK39" s="18">
        <v>1810</v>
      </c>
      <c r="ML39" s="18">
        <v>1790</v>
      </c>
      <c r="MM39" s="18">
        <v>1770</v>
      </c>
      <c r="MN39" s="18">
        <v>1740</v>
      </c>
      <c r="MO39" s="18">
        <v>1720</v>
      </c>
      <c r="MP39" s="18">
        <v>1700</v>
      </c>
      <c r="MQ39" s="18">
        <v>1660</v>
      </c>
      <c r="MR39" s="18">
        <v>1630</v>
      </c>
      <c r="MS39" s="18">
        <v>1610</v>
      </c>
      <c r="MT39" s="18">
        <v>1610</v>
      </c>
      <c r="MU39" s="18">
        <v>1610</v>
      </c>
      <c r="MV39" s="18">
        <v>1600</v>
      </c>
      <c r="MW39" s="18">
        <v>1570</v>
      </c>
      <c r="MX39" s="18">
        <v>1550</v>
      </c>
      <c r="MY39" s="18">
        <v>1530</v>
      </c>
      <c r="MZ39" s="18">
        <v>1510</v>
      </c>
      <c r="NA39" s="18">
        <v>1480</v>
      </c>
      <c r="NB39" s="18">
        <v>1450</v>
      </c>
      <c r="NC39" s="18">
        <v>1440</v>
      </c>
      <c r="ND39" s="1">
        <v>1430</v>
      </c>
      <c r="NE39" s="1">
        <v>1180</v>
      </c>
      <c r="NF39" s="1">
        <v>1070</v>
      </c>
      <c r="NG39" s="1">
        <v>1200</v>
      </c>
      <c r="NH39" s="1">
        <v>2070</v>
      </c>
      <c r="NI39" s="1">
        <v>2620</v>
      </c>
      <c r="NJ39" s="1">
        <v>5840</v>
      </c>
      <c r="NK39" s="1">
        <v>5710</v>
      </c>
      <c r="NL39" s="1">
        <v>9570</v>
      </c>
      <c r="NM39" s="1">
        <v>7550</v>
      </c>
      <c r="NN39" s="1">
        <v>3140</v>
      </c>
      <c r="NO39" s="1">
        <v>1780</v>
      </c>
      <c r="NP39" s="1">
        <v>3611.1232876712329</v>
      </c>
      <c r="NQ39" s="1">
        <v>15400</v>
      </c>
      <c r="NR39" s="19">
        <v>42618</v>
      </c>
      <c r="NS39" s="1">
        <v>1030</v>
      </c>
      <c r="NT39" s="19">
        <v>42459</v>
      </c>
    </row>
    <row r="40" spans="1:384" x14ac:dyDescent="0.15">
      <c r="A40" s="1">
        <v>1987</v>
      </c>
      <c r="B40" s="18">
        <v>1440</v>
      </c>
      <c r="C40" s="18">
        <v>1430</v>
      </c>
      <c r="D40" s="18">
        <v>1420</v>
      </c>
      <c r="E40" s="18">
        <v>1410</v>
      </c>
      <c r="F40" s="18">
        <v>1400</v>
      </c>
      <c r="G40" s="18">
        <v>1380</v>
      </c>
      <c r="H40" s="18">
        <v>1370</v>
      </c>
      <c r="I40" s="18">
        <v>1350</v>
      </c>
      <c r="J40" s="18">
        <v>1340</v>
      </c>
      <c r="K40" s="18">
        <v>1320</v>
      </c>
      <c r="L40" s="18">
        <v>1310</v>
      </c>
      <c r="M40" s="18">
        <v>1300</v>
      </c>
      <c r="N40" s="18">
        <v>1290</v>
      </c>
      <c r="O40" s="18">
        <v>1280</v>
      </c>
      <c r="P40" s="18">
        <v>1280</v>
      </c>
      <c r="Q40" s="18">
        <v>1280</v>
      </c>
      <c r="R40" s="18">
        <v>1270</v>
      </c>
      <c r="S40" s="18">
        <v>1260</v>
      </c>
      <c r="T40" s="18">
        <v>1250</v>
      </c>
      <c r="U40" s="18">
        <v>1250</v>
      </c>
      <c r="V40" s="18">
        <v>1240</v>
      </c>
      <c r="W40" s="18">
        <v>1230</v>
      </c>
      <c r="X40" s="18">
        <v>1220</v>
      </c>
      <c r="Y40" s="18">
        <v>1220</v>
      </c>
      <c r="Z40" s="18">
        <v>1210</v>
      </c>
      <c r="AA40" s="18">
        <v>1210</v>
      </c>
      <c r="AB40" s="18">
        <v>1210</v>
      </c>
      <c r="AC40" s="18">
        <v>1210</v>
      </c>
      <c r="AD40" s="18">
        <v>1200</v>
      </c>
      <c r="AE40" s="18">
        <v>1200</v>
      </c>
      <c r="AF40" s="18">
        <v>1190</v>
      </c>
      <c r="AG40" s="18">
        <v>1190</v>
      </c>
      <c r="AH40" s="18">
        <v>1180</v>
      </c>
      <c r="AI40" s="18">
        <v>1160</v>
      </c>
      <c r="AJ40" s="18">
        <v>1160</v>
      </c>
      <c r="AK40" s="18">
        <v>1150</v>
      </c>
      <c r="AL40" s="18">
        <v>1150</v>
      </c>
      <c r="AM40" s="18">
        <v>1170</v>
      </c>
      <c r="AN40" s="18">
        <v>1180</v>
      </c>
      <c r="AO40" s="18">
        <v>1190</v>
      </c>
      <c r="AP40" s="18">
        <v>1180</v>
      </c>
      <c r="AQ40" s="18">
        <v>1180</v>
      </c>
      <c r="AR40" s="18">
        <v>1160</v>
      </c>
      <c r="AS40" s="18">
        <v>1150</v>
      </c>
      <c r="AT40" s="18">
        <v>1130</v>
      </c>
      <c r="AU40" s="18">
        <v>1120</v>
      </c>
      <c r="AV40" s="18">
        <v>1110</v>
      </c>
      <c r="AW40" s="18">
        <v>1110</v>
      </c>
      <c r="AX40" s="18">
        <v>1100</v>
      </c>
      <c r="AY40" s="18">
        <v>1100</v>
      </c>
      <c r="AZ40" s="18">
        <v>1090</v>
      </c>
      <c r="BA40" s="18">
        <v>1090</v>
      </c>
      <c r="BB40" s="18">
        <v>1090</v>
      </c>
      <c r="BC40" s="18">
        <v>1090</v>
      </c>
      <c r="BD40" s="18">
        <v>1090</v>
      </c>
      <c r="BE40" s="18">
        <v>1080</v>
      </c>
      <c r="BF40" s="18">
        <v>1080</v>
      </c>
      <c r="BG40" s="18">
        <v>1070</v>
      </c>
      <c r="BH40" s="18">
        <v>1070</v>
      </c>
      <c r="BI40" s="18"/>
      <c r="BJ40" s="18">
        <v>1070</v>
      </c>
      <c r="BK40" s="18">
        <v>1070</v>
      </c>
      <c r="BL40" s="18">
        <v>1060</v>
      </c>
      <c r="BM40" s="18">
        <v>1050</v>
      </c>
      <c r="BN40" s="18">
        <v>1040</v>
      </c>
      <c r="BO40" s="18">
        <v>1040</v>
      </c>
      <c r="BP40" s="18">
        <v>1040</v>
      </c>
      <c r="BQ40" s="18">
        <v>1030</v>
      </c>
      <c r="BR40" s="18">
        <v>1020</v>
      </c>
      <c r="BS40" s="18">
        <v>1010</v>
      </c>
      <c r="BT40" s="18">
        <v>1000</v>
      </c>
      <c r="BU40" s="18">
        <v>998</v>
      </c>
      <c r="BV40" s="18">
        <v>994</v>
      </c>
      <c r="BW40" s="18">
        <v>993</v>
      </c>
      <c r="BX40" s="18">
        <v>993</v>
      </c>
      <c r="BY40" s="18">
        <v>993</v>
      </c>
      <c r="BZ40" s="18">
        <v>993</v>
      </c>
      <c r="CA40" s="18">
        <v>988</v>
      </c>
      <c r="CB40" s="18">
        <v>982</v>
      </c>
      <c r="CC40" s="18">
        <v>982</v>
      </c>
      <c r="CD40" s="18">
        <v>982</v>
      </c>
      <c r="CE40" s="18">
        <v>982</v>
      </c>
      <c r="CF40" s="18">
        <v>977</v>
      </c>
      <c r="CG40" s="18">
        <v>977</v>
      </c>
      <c r="CH40" s="18">
        <v>980</v>
      </c>
      <c r="CI40" s="18">
        <v>986</v>
      </c>
      <c r="CJ40" s="18">
        <v>980</v>
      </c>
      <c r="CK40" s="18">
        <v>973</v>
      </c>
      <c r="CL40" s="18">
        <v>970</v>
      </c>
      <c r="CM40" s="18">
        <v>970</v>
      </c>
      <c r="CN40" s="18">
        <v>986</v>
      </c>
      <c r="CO40" s="18">
        <v>997</v>
      </c>
      <c r="CP40" s="18">
        <v>1000</v>
      </c>
      <c r="CQ40" s="18">
        <v>1030</v>
      </c>
      <c r="CR40" s="18">
        <v>1040</v>
      </c>
      <c r="CS40" s="18">
        <v>1050</v>
      </c>
      <c r="CT40" s="18">
        <v>1060</v>
      </c>
      <c r="CU40" s="18">
        <v>1090</v>
      </c>
      <c r="CV40" s="18">
        <v>1120</v>
      </c>
      <c r="CW40" s="18">
        <v>1140</v>
      </c>
      <c r="CX40" s="18">
        <v>1160</v>
      </c>
      <c r="CY40" s="18">
        <v>1170</v>
      </c>
      <c r="CZ40" s="18">
        <v>1150</v>
      </c>
      <c r="DA40" s="18">
        <v>1140</v>
      </c>
      <c r="DB40" s="18">
        <v>1130</v>
      </c>
      <c r="DC40" s="18">
        <v>1150</v>
      </c>
      <c r="DD40" s="18">
        <v>1160</v>
      </c>
      <c r="DE40" s="18">
        <v>1170</v>
      </c>
      <c r="DF40" s="18">
        <v>1160</v>
      </c>
      <c r="DG40" s="18">
        <v>1150</v>
      </c>
      <c r="DH40" s="18">
        <v>1120</v>
      </c>
      <c r="DI40" s="18">
        <v>1090</v>
      </c>
      <c r="DJ40" s="18">
        <v>1080</v>
      </c>
      <c r="DK40" s="18">
        <v>1080</v>
      </c>
      <c r="DL40" s="18">
        <v>1080</v>
      </c>
      <c r="DM40" s="18">
        <v>1090</v>
      </c>
      <c r="DN40" s="18">
        <v>1110</v>
      </c>
      <c r="DO40" s="18">
        <v>1110</v>
      </c>
      <c r="DP40" s="18">
        <v>1120</v>
      </c>
      <c r="DQ40" s="18">
        <v>1190</v>
      </c>
      <c r="DR40" s="18">
        <v>1260</v>
      </c>
      <c r="DS40" s="18">
        <v>1310</v>
      </c>
      <c r="DT40" s="18">
        <v>1320</v>
      </c>
      <c r="DU40" s="18">
        <v>1310</v>
      </c>
      <c r="DV40" s="18">
        <v>1280</v>
      </c>
      <c r="DW40" s="18">
        <v>1250</v>
      </c>
      <c r="DX40" s="18">
        <v>1210</v>
      </c>
      <c r="DY40" s="18">
        <v>1200</v>
      </c>
      <c r="DZ40" s="18">
        <v>1230</v>
      </c>
      <c r="EA40" s="18">
        <v>1260</v>
      </c>
      <c r="EB40" s="18">
        <v>1280</v>
      </c>
      <c r="EC40" s="18">
        <v>1260</v>
      </c>
      <c r="ED40" s="18">
        <v>1240</v>
      </c>
      <c r="EE40" s="18">
        <v>1200</v>
      </c>
      <c r="EF40" s="18">
        <v>1180</v>
      </c>
      <c r="EG40" s="18">
        <v>1190</v>
      </c>
      <c r="EH40" s="18">
        <v>1250</v>
      </c>
      <c r="EI40" s="18">
        <v>1350</v>
      </c>
      <c r="EJ40" s="18">
        <v>1380</v>
      </c>
      <c r="EK40" s="18">
        <v>1380</v>
      </c>
      <c r="EL40" s="18">
        <v>1370</v>
      </c>
      <c r="EM40" s="18">
        <v>1350</v>
      </c>
      <c r="EN40" s="18">
        <v>1340</v>
      </c>
      <c r="EO40" s="18">
        <v>1320</v>
      </c>
      <c r="EP40" s="18">
        <v>1300</v>
      </c>
      <c r="EQ40" s="18">
        <v>1340</v>
      </c>
      <c r="ER40" s="18">
        <v>1380</v>
      </c>
      <c r="ES40" s="18">
        <v>1420</v>
      </c>
      <c r="ET40" s="18">
        <v>1460</v>
      </c>
      <c r="EU40" s="18">
        <v>1520</v>
      </c>
      <c r="EV40" s="18">
        <v>1660</v>
      </c>
      <c r="EW40" s="18">
        <v>1820</v>
      </c>
      <c r="EX40" s="18">
        <v>1860</v>
      </c>
      <c r="EY40" s="18">
        <v>2050</v>
      </c>
      <c r="EZ40" s="18">
        <v>1920</v>
      </c>
      <c r="FA40" s="18">
        <v>1720</v>
      </c>
      <c r="FB40" s="18">
        <v>1660</v>
      </c>
      <c r="FC40" s="18">
        <v>1540</v>
      </c>
      <c r="FD40" s="18">
        <v>1510</v>
      </c>
      <c r="FE40" s="18">
        <v>1570</v>
      </c>
      <c r="FF40" s="18">
        <v>1690</v>
      </c>
      <c r="FG40" s="18">
        <v>1810</v>
      </c>
      <c r="FH40" s="18">
        <v>2080</v>
      </c>
      <c r="FI40" s="18">
        <v>2170</v>
      </c>
      <c r="FJ40" s="18">
        <v>2040</v>
      </c>
      <c r="FK40" s="18">
        <v>1930</v>
      </c>
      <c r="FL40" s="18">
        <v>1830</v>
      </c>
      <c r="FM40" s="18">
        <v>1830</v>
      </c>
      <c r="FN40" s="18">
        <v>1910</v>
      </c>
      <c r="FO40" s="18">
        <v>1980</v>
      </c>
      <c r="FP40" s="18">
        <v>2220</v>
      </c>
      <c r="FQ40" s="18">
        <v>2480</v>
      </c>
      <c r="FR40" s="18">
        <v>2500</v>
      </c>
      <c r="FS40" s="18">
        <v>2370</v>
      </c>
      <c r="FT40" s="18">
        <v>2230</v>
      </c>
      <c r="FU40" s="18">
        <v>2190</v>
      </c>
      <c r="FV40" s="18">
        <v>2460</v>
      </c>
      <c r="FW40" s="18">
        <v>2830</v>
      </c>
      <c r="FX40" s="18">
        <v>3080</v>
      </c>
      <c r="FY40" s="18">
        <v>3800</v>
      </c>
      <c r="FZ40" s="18">
        <v>4760</v>
      </c>
      <c r="GA40" s="18">
        <v>5440</v>
      </c>
      <c r="GB40" s="18">
        <v>6110</v>
      </c>
      <c r="GC40" s="18">
        <v>6000</v>
      </c>
      <c r="GD40" s="18">
        <v>5910</v>
      </c>
      <c r="GE40" s="18">
        <v>6250</v>
      </c>
      <c r="GF40" s="18">
        <v>6960</v>
      </c>
      <c r="GG40" s="18">
        <v>8850</v>
      </c>
      <c r="GH40" s="18">
        <v>9170</v>
      </c>
      <c r="GI40" s="18">
        <v>8480</v>
      </c>
      <c r="GJ40" s="18">
        <v>7820</v>
      </c>
      <c r="GK40" s="18">
        <v>7650</v>
      </c>
      <c r="GL40" s="18">
        <v>7690</v>
      </c>
      <c r="GM40" s="18">
        <v>7770</v>
      </c>
      <c r="GN40" s="18">
        <v>9050</v>
      </c>
      <c r="GO40" s="18">
        <v>9010</v>
      </c>
      <c r="GP40" s="18">
        <v>8960</v>
      </c>
      <c r="GQ40" s="18">
        <v>9910</v>
      </c>
      <c r="GR40" s="18">
        <v>9820</v>
      </c>
      <c r="GS40" s="18">
        <v>10300</v>
      </c>
      <c r="GT40" s="18">
        <v>10300</v>
      </c>
      <c r="GU40" s="18">
        <v>10500</v>
      </c>
      <c r="GV40" s="18">
        <v>11900</v>
      </c>
      <c r="GW40" s="18">
        <v>13600</v>
      </c>
      <c r="GX40" s="18">
        <v>13400</v>
      </c>
      <c r="GY40" s="18">
        <v>14700</v>
      </c>
      <c r="GZ40" s="18">
        <v>14400</v>
      </c>
      <c r="HA40" s="18">
        <v>13100</v>
      </c>
      <c r="HB40" s="18">
        <v>11500</v>
      </c>
      <c r="HC40" s="18">
        <v>10400</v>
      </c>
      <c r="HD40" s="18">
        <v>9930</v>
      </c>
      <c r="HE40" s="18">
        <v>9840</v>
      </c>
      <c r="HF40" s="18">
        <v>9800</v>
      </c>
      <c r="HG40" s="18">
        <v>9190</v>
      </c>
      <c r="HH40" s="18">
        <v>8640</v>
      </c>
      <c r="HI40" s="18">
        <v>8930</v>
      </c>
      <c r="HJ40" s="18">
        <v>8660</v>
      </c>
      <c r="HK40" s="18">
        <v>8550</v>
      </c>
      <c r="HL40" s="18">
        <v>8660</v>
      </c>
      <c r="HM40" s="18">
        <v>9140</v>
      </c>
      <c r="HN40" s="18">
        <v>10200</v>
      </c>
      <c r="HO40" s="18">
        <v>10600</v>
      </c>
      <c r="HP40" s="18">
        <v>10700</v>
      </c>
      <c r="HQ40" s="18">
        <v>10700</v>
      </c>
      <c r="HR40" s="18">
        <v>11000</v>
      </c>
      <c r="HS40" s="18">
        <v>11500</v>
      </c>
      <c r="HT40" s="18">
        <v>11700</v>
      </c>
      <c r="HU40" s="18">
        <v>11800</v>
      </c>
      <c r="HV40" s="18">
        <v>12100</v>
      </c>
      <c r="HW40" s="18">
        <v>11800</v>
      </c>
      <c r="HX40" s="18">
        <v>11000</v>
      </c>
      <c r="HY40" s="18">
        <v>10200</v>
      </c>
      <c r="HZ40" s="18">
        <v>9950</v>
      </c>
      <c r="IA40" s="18">
        <v>9890</v>
      </c>
      <c r="IB40" s="18">
        <v>10300</v>
      </c>
      <c r="IC40" s="18">
        <v>12100</v>
      </c>
      <c r="ID40" s="18">
        <v>12300</v>
      </c>
      <c r="IE40" s="18">
        <v>11700</v>
      </c>
      <c r="IF40" s="18">
        <v>11600</v>
      </c>
      <c r="IG40" s="18">
        <v>11700</v>
      </c>
      <c r="IH40" s="18">
        <v>11000</v>
      </c>
      <c r="II40" s="18">
        <v>10800</v>
      </c>
      <c r="IJ40" s="18">
        <v>10600</v>
      </c>
      <c r="IK40" s="18">
        <v>9960</v>
      </c>
      <c r="IL40" s="18">
        <v>9570</v>
      </c>
      <c r="IM40" s="18">
        <v>10600</v>
      </c>
      <c r="IN40" s="18">
        <v>11000</v>
      </c>
      <c r="IO40" s="18">
        <v>11000</v>
      </c>
      <c r="IP40" s="18">
        <v>10700</v>
      </c>
      <c r="IQ40" s="18">
        <v>11100</v>
      </c>
      <c r="IR40" s="18">
        <v>11100</v>
      </c>
      <c r="IS40" s="18">
        <v>11900</v>
      </c>
      <c r="IT40" s="18">
        <v>12700</v>
      </c>
      <c r="IU40" s="18">
        <v>12400</v>
      </c>
      <c r="IV40" s="18">
        <v>11500</v>
      </c>
      <c r="IW40" s="18">
        <v>10700</v>
      </c>
      <c r="IX40" s="18">
        <v>10400</v>
      </c>
      <c r="IY40" s="18">
        <v>10400</v>
      </c>
      <c r="IZ40" s="18">
        <v>10500</v>
      </c>
      <c r="JA40" s="18">
        <v>10500</v>
      </c>
      <c r="JB40" s="18">
        <v>10500</v>
      </c>
      <c r="JC40" s="18">
        <v>12900</v>
      </c>
      <c r="JD40" s="18">
        <v>15800</v>
      </c>
      <c r="JE40" s="18">
        <v>17000</v>
      </c>
      <c r="JF40" s="18">
        <v>16800</v>
      </c>
      <c r="JG40" s="18">
        <v>15400</v>
      </c>
      <c r="JH40" s="18">
        <v>14400</v>
      </c>
      <c r="JI40" s="18">
        <v>13400</v>
      </c>
      <c r="JJ40" s="18">
        <v>12500</v>
      </c>
      <c r="JK40" s="18">
        <v>12100</v>
      </c>
      <c r="JL40" s="18">
        <v>12100</v>
      </c>
      <c r="JM40" s="18">
        <v>12400</v>
      </c>
      <c r="JN40" s="18">
        <v>12800</v>
      </c>
      <c r="JO40" s="18">
        <v>12700</v>
      </c>
      <c r="JP40" s="18">
        <v>12600</v>
      </c>
      <c r="JQ40" s="18">
        <v>12200</v>
      </c>
      <c r="JR40" s="18">
        <v>12000</v>
      </c>
      <c r="JS40" s="18">
        <v>12100</v>
      </c>
      <c r="JT40" s="18">
        <v>11400</v>
      </c>
      <c r="JU40" s="18">
        <v>10600</v>
      </c>
      <c r="JV40" s="18">
        <v>9900</v>
      </c>
      <c r="JW40" s="18">
        <v>9490</v>
      </c>
      <c r="JX40" s="18">
        <v>9140</v>
      </c>
      <c r="JY40" s="18">
        <v>8830</v>
      </c>
      <c r="JZ40" s="18">
        <v>8530</v>
      </c>
      <c r="KA40" s="18">
        <v>8160</v>
      </c>
      <c r="KB40" s="18">
        <v>7830</v>
      </c>
      <c r="KC40" s="18">
        <v>7480</v>
      </c>
      <c r="KD40" s="18">
        <v>7190</v>
      </c>
      <c r="KE40" s="18">
        <v>6850</v>
      </c>
      <c r="KF40" s="18">
        <v>6520</v>
      </c>
      <c r="KG40" s="18">
        <v>6240</v>
      </c>
      <c r="KH40" s="18">
        <v>5980</v>
      </c>
      <c r="KI40" s="18">
        <v>5790</v>
      </c>
      <c r="KJ40" s="18">
        <v>5600</v>
      </c>
      <c r="KK40" s="18">
        <v>5390</v>
      </c>
      <c r="KL40" s="18">
        <v>5220</v>
      </c>
      <c r="KM40" s="18">
        <v>5060</v>
      </c>
      <c r="KN40" s="18">
        <v>4910</v>
      </c>
      <c r="KO40" s="18">
        <v>4790</v>
      </c>
      <c r="KP40" s="18">
        <v>4680</v>
      </c>
      <c r="KQ40" s="18">
        <v>4560</v>
      </c>
      <c r="KR40" s="18">
        <v>4450</v>
      </c>
      <c r="KS40" s="18">
        <v>4340</v>
      </c>
      <c r="KT40" s="18">
        <v>4210</v>
      </c>
      <c r="KU40" s="18">
        <v>4110</v>
      </c>
      <c r="KV40" s="18">
        <v>3990</v>
      </c>
      <c r="KW40" s="18">
        <v>3900</v>
      </c>
      <c r="KX40" s="18">
        <v>3810</v>
      </c>
      <c r="KY40" s="18">
        <v>3750</v>
      </c>
      <c r="KZ40" s="18">
        <v>3720</v>
      </c>
      <c r="LA40" s="18">
        <v>3650</v>
      </c>
      <c r="LB40" s="18">
        <v>3570</v>
      </c>
      <c r="LC40" s="18">
        <v>3480</v>
      </c>
      <c r="LD40" s="18">
        <v>3410</v>
      </c>
      <c r="LE40" s="18">
        <v>3340</v>
      </c>
      <c r="LF40" s="18">
        <v>3260</v>
      </c>
      <c r="LG40" s="18">
        <v>3180</v>
      </c>
      <c r="LH40" s="18">
        <v>3090</v>
      </c>
      <c r="LI40" s="18">
        <v>3040</v>
      </c>
      <c r="LJ40" s="18">
        <v>3000</v>
      </c>
      <c r="LK40" s="18">
        <v>3050</v>
      </c>
      <c r="LL40" s="18">
        <v>3060</v>
      </c>
      <c r="LM40" s="18">
        <v>2990</v>
      </c>
      <c r="LN40" s="18">
        <v>2900</v>
      </c>
      <c r="LO40" s="18">
        <v>2820</v>
      </c>
      <c r="LP40" s="18">
        <v>2740</v>
      </c>
      <c r="LQ40" s="18">
        <v>2690</v>
      </c>
      <c r="LR40" s="18">
        <v>2640</v>
      </c>
      <c r="LS40" s="18">
        <v>2580</v>
      </c>
      <c r="LT40" s="18">
        <v>2520</v>
      </c>
      <c r="LU40" s="18">
        <v>2470</v>
      </c>
      <c r="LV40" s="18">
        <v>2420</v>
      </c>
      <c r="LW40" s="18">
        <v>2370</v>
      </c>
      <c r="LX40" s="18">
        <v>2320</v>
      </c>
      <c r="LY40" s="18">
        <v>2280</v>
      </c>
      <c r="LZ40" s="18">
        <v>2260</v>
      </c>
      <c r="MA40" s="18">
        <v>2220</v>
      </c>
      <c r="MB40" s="18">
        <v>2200</v>
      </c>
      <c r="MC40" s="18">
        <v>2170</v>
      </c>
      <c r="MD40" s="18">
        <v>2150</v>
      </c>
      <c r="ME40" s="18">
        <v>2130</v>
      </c>
      <c r="MF40" s="18">
        <v>2110</v>
      </c>
      <c r="MG40" s="18">
        <v>2090</v>
      </c>
      <c r="MH40" s="18">
        <v>2060</v>
      </c>
      <c r="MI40" s="18">
        <v>2040</v>
      </c>
      <c r="MJ40" s="18">
        <v>2020</v>
      </c>
      <c r="MK40" s="18">
        <v>1990</v>
      </c>
      <c r="ML40" s="18">
        <v>1960</v>
      </c>
      <c r="MM40" s="18">
        <v>1930</v>
      </c>
      <c r="MN40" s="18">
        <v>1920</v>
      </c>
      <c r="MO40" s="18">
        <v>1910</v>
      </c>
      <c r="MP40" s="18">
        <v>1890</v>
      </c>
      <c r="MQ40" s="18">
        <v>1880</v>
      </c>
      <c r="MR40" s="18">
        <v>1850</v>
      </c>
      <c r="MS40" s="18">
        <v>1820</v>
      </c>
      <c r="MT40" s="18">
        <v>1780</v>
      </c>
      <c r="MU40" s="18">
        <v>1750</v>
      </c>
      <c r="MV40" s="18">
        <v>1720</v>
      </c>
      <c r="MW40" s="18">
        <v>1710</v>
      </c>
      <c r="MX40" s="18">
        <v>1680</v>
      </c>
      <c r="MY40" s="18">
        <v>1650</v>
      </c>
      <c r="MZ40" s="18">
        <v>1630</v>
      </c>
      <c r="NA40" s="18">
        <v>1610</v>
      </c>
      <c r="NB40" s="18">
        <v>1600</v>
      </c>
      <c r="NC40" s="18">
        <v>1570</v>
      </c>
      <c r="ND40" s="1">
        <v>1290</v>
      </c>
      <c r="NE40" s="1">
        <v>1130</v>
      </c>
      <c r="NF40" s="1">
        <v>1000</v>
      </c>
      <c r="NG40" s="1">
        <v>1110</v>
      </c>
      <c r="NH40" s="1">
        <v>1330</v>
      </c>
      <c r="NI40" s="1">
        <v>2320</v>
      </c>
      <c r="NJ40" s="1">
        <v>9630</v>
      </c>
      <c r="NK40" s="1">
        <v>10500</v>
      </c>
      <c r="NL40" s="1">
        <v>12200</v>
      </c>
      <c r="NM40" s="1">
        <v>7490</v>
      </c>
      <c r="NN40" s="1">
        <v>3130</v>
      </c>
      <c r="NO40" s="1">
        <v>1920</v>
      </c>
      <c r="NP40" s="1">
        <v>4452.9479452054793</v>
      </c>
      <c r="NQ40" s="1">
        <v>17000</v>
      </c>
      <c r="NR40" s="19">
        <v>42633</v>
      </c>
      <c r="NS40" s="1">
        <v>970</v>
      </c>
      <c r="NT40" s="19">
        <v>42458</v>
      </c>
    </row>
    <row r="41" spans="1:384" x14ac:dyDescent="0.15">
      <c r="A41" s="1">
        <v>1988</v>
      </c>
      <c r="B41" s="18">
        <v>1540</v>
      </c>
      <c r="C41" s="18">
        <v>1530</v>
      </c>
      <c r="D41" s="18">
        <v>1520</v>
      </c>
      <c r="E41" s="18">
        <v>1520</v>
      </c>
      <c r="F41" s="18">
        <v>1520</v>
      </c>
      <c r="G41" s="18">
        <v>1520</v>
      </c>
      <c r="H41" s="18">
        <v>1520</v>
      </c>
      <c r="I41" s="18">
        <v>1540</v>
      </c>
      <c r="J41" s="18">
        <v>1540</v>
      </c>
      <c r="K41" s="18">
        <v>1530</v>
      </c>
      <c r="L41" s="18">
        <v>1520</v>
      </c>
      <c r="M41" s="18">
        <v>1500</v>
      </c>
      <c r="N41" s="18">
        <v>1490</v>
      </c>
      <c r="O41" s="18">
        <v>1490</v>
      </c>
      <c r="P41" s="18">
        <v>1470</v>
      </c>
      <c r="Q41" s="18">
        <v>1450</v>
      </c>
      <c r="R41" s="18">
        <v>1430</v>
      </c>
      <c r="S41" s="18">
        <v>1420</v>
      </c>
      <c r="T41" s="18">
        <v>1410</v>
      </c>
      <c r="U41" s="18">
        <v>1400</v>
      </c>
      <c r="V41" s="18">
        <v>1380</v>
      </c>
      <c r="W41" s="18">
        <v>1370</v>
      </c>
      <c r="X41" s="18">
        <v>1350</v>
      </c>
      <c r="Y41" s="18">
        <v>1340</v>
      </c>
      <c r="Z41" s="18">
        <v>1330</v>
      </c>
      <c r="AA41" s="18">
        <v>1310</v>
      </c>
      <c r="AB41" s="18">
        <v>1300</v>
      </c>
      <c r="AC41" s="18">
        <v>1280</v>
      </c>
      <c r="AD41" s="18">
        <v>1280</v>
      </c>
      <c r="AE41" s="18">
        <v>1270</v>
      </c>
      <c r="AF41" s="18">
        <v>1270</v>
      </c>
      <c r="AG41" s="18">
        <v>1260</v>
      </c>
      <c r="AH41" s="18">
        <v>1250</v>
      </c>
      <c r="AI41" s="18">
        <v>1250</v>
      </c>
      <c r="AJ41" s="18">
        <v>1240</v>
      </c>
      <c r="AK41" s="18">
        <v>1230</v>
      </c>
      <c r="AL41" s="18">
        <v>1220</v>
      </c>
      <c r="AM41" s="18">
        <v>1210</v>
      </c>
      <c r="AN41" s="18">
        <v>1200</v>
      </c>
      <c r="AO41" s="18">
        <v>1190</v>
      </c>
      <c r="AP41" s="18">
        <v>1190</v>
      </c>
      <c r="AQ41" s="18">
        <v>1190</v>
      </c>
      <c r="AR41" s="18">
        <v>1190</v>
      </c>
      <c r="AS41" s="18">
        <v>1190</v>
      </c>
      <c r="AT41" s="18">
        <v>1180</v>
      </c>
      <c r="AU41" s="18">
        <v>1180</v>
      </c>
      <c r="AV41" s="18">
        <v>1180</v>
      </c>
      <c r="AW41" s="18">
        <v>1180</v>
      </c>
      <c r="AX41" s="18">
        <v>1180</v>
      </c>
      <c r="AY41" s="18">
        <v>1200</v>
      </c>
      <c r="AZ41" s="18">
        <v>1190</v>
      </c>
      <c r="BA41" s="18">
        <v>1190</v>
      </c>
      <c r="BB41" s="18">
        <v>1180</v>
      </c>
      <c r="BC41" s="18">
        <v>1160</v>
      </c>
      <c r="BD41" s="18">
        <v>1140</v>
      </c>
      <c r="BE41" s="18">
        <v>1130</v>
      </c>
      <c r="BF41" s="18">
        <v>1120</v>
      </c>
      <c r="BG41" s="18">
        <v>1130</v>
      </c>
      <c r="BH41" s="18">
        <v>1140</v>
      </c>
      <c r="BI41" s="18">
        <v>1150</v>
      </c>
      <c r="BJ41" s="18">
        <v>1150</v>
      </c>
      <c r="BK41" s="18">
        <v>1140</v>
      </c>
      <c r="BL41" s="18">
        <v>1120</v>
      </c>
      <c r="BM41" s="18">
        <v>1110</v>
      </c>
      <c r="BN41" s="18">
        <v>1100</v>
      </c>
      <c r="BO41" s="18">
        <v>1100</v>
      </c>
      <c r="BP41" s="18">
        <v>1110</v>
      </c>
      <c r="BQ41" s="18">
        <v>1110</v>
      </c>
      <c r="BR41" s="18">
        <v>1100</v>
      </c>
      <c r="BS41" s="18">
        <v>1080</v>
      </c>
      <c r="BT41" s="18">
        <v>1080</v>
      </c>
      <c r="BU41" s="18">
        <v>1070</v>
      </c>
      <c r="BV41" s="18">
        <v>1060</v>
      </c>
      <c r="BW41" s="18">
        <v>1070</v>
      </c>
      <c r="BX41" s="18">
        <v>1080</v>
      </c>
      <c r="BY41" s="18">
        <v>1100</v>
      </c>
      <c r="BZ41" s="18">
        <v>1130</v>
      </c>
      <c r="CA41" s="18">
        <v>1160</v>
      </c>
      <c r="CB41" s="18">
        <v>1230</v>
      </c>
      <c r="CC41" s="18">
        <v>1270</v>
      </c>
      <c r="CD41" s="18">
        <v>1230</v>
      </c>
      <c r="CE41" s="18">
        <v>1190</v>
      </c>
      <c r="CF41" s="18">
        <v>1160</v>
      </c>
      <c r="CG41" s="18">
        <v>1190</v>
      </c>
      <c r="CH41" s="18">
        <v>1260</v>
      </c>
      <c r="CI41" s="18">
        <v>1250</v>
      </c>
      <c r="CJ41" s="18">
        <v>1210</v>
      </c>
      <c r="CK41" s="18">
        <v>1160</v>
      </c>
      <c r="CL41" s="18">
        <v>1120</v>
      </c>
      <c r="CM41" s="18">
        <v>1100</v>
      </c>
      <c r="CN41" s="18">
        <v>1100</v>
      </c>
      <c r="CO41" s="18">
        <v>1100</v>
      </c>
      <c r="CP41" s="18">
        <v>1120</v>
      </c>
      <c r="CQ41" s="18">
        <v>1150</v>
      </c>
      <c r="CR41" s="18">
        <v>1160</v>
      </c>
      <c r="CS41" s="18">
        <v>1160</v>
      </c>
      <c r="CT41" s="18">
        <v>1140</v>
      </c>
      <c r="CU41" s="18">
        <v>1140</v>
      </c>
      <c r="CV41" s="18">
        <v>1160</v>
      </c>
      <c r="CW41" s="18">
        <v>1160</v>
      </c>
      <c r="CX41" s="18">
        <v>1150</v>
      </c>
      <c r="CY41" s="18">
        <v>1150</v>
      </c>
      <c r="CZ41" s="18">
        <v>1160</v>
      </c>
      <c r="DA41" s="18">
        <v>1160</v>
      </c>
      <c r="DB41" s="18">
        <v>1190</v>
      </c>
      <c r="DC41" s="18">
        <v>1350</v>
      </c>
      <c r="DD41" s="18">
        <v>1490</v>
      </c>
      <c r="DE41" s="18">
        <v>1580</v>
      </c>
      <c r="DF41" s="18">
        <v>1600</v>
      </c>
      <c r="DG41" s="18">
        <v>1570</v>
      </c>
      <c r="DH41" s="18">
        <v>1550</v>
      </c>
      <c r="DI41" s="18">
        <v>1550</v>
      </c>
      <c r="DJ41" s="18">
        <v>1530</v>
      </c>
      <c r="DK41" s="18">
        <v>1490</v>
      </c>
      <c r="DL41" s="18">
        <v>1440</v>
      </c>
      <c r="DM41" s="18">
        <v>1420</v>
      </c>
      <c r="DN41" s="18">
        <v>1460</v>
      </c>
      <c r="DO41" s="18">
        <v>1520</v>
      </c>
      <c r="DP41" s="18">
        <v>1540</v>
      </c>
      <c r="DQ41" s="18">
        <v>1530</v>
      </c>
      <c r="DR41" s="18">
        <v>1490</v>
      </c>
      <c r="DS41" s="18">
        <v>1470</v>
      </c>
      <c r="DT41" s="18">
        <v>1480</v>
      </c>
      <c r="DU41" s="18">
        <v>1490</v>
      </c>
      <c r="DV41" s="18">
        <v>1500</v>
      </c>
      <c r="DW41" s="18">
        <v>1490</v>
      </c>
      <c r="DX41" s="18">
        <v>1530</v>
      </c>
      <c r="DY41" s="18">
        <v>1670</v>
      </c>
      <c r="DZ41" s="18">
        <v>1810</v>
      </c>
      <c r="EA41" s="18">
        <v>1980</v>
      </c>
      <c r="EB41" s="18">
        <v>2090</v>
      </c>
      <c r="EC41" s="18">
        <v>2100</v>
      </c>
      <c r="ED41" s="18">
        <v>2050</v>
      </c>
      <c r="EE41" s="18">
        <v>2000</v>
      </c>
      <c r="EF41" s="18">
        <v>1980</v>
      </c>
      <c r="EG41" s="18">
        <v>1970</v>
      </c>
      <c r="EH41" s="18">
        <v>1930</v>
      </c>
      <c r="EI41" s="18">
        <v>1890</v>
      </c>
      <c r="EJ41" s="18">
        <v>1830</v>
      </c>
      <c r="EK41" s="18">
        <v>1770</v>
      </c>
      <c r="EL41" s="18">
        <v>1730</v>
      </c>
      <c r="EM41" s="18">
        <v>1670</v>
      </c>
      <c r="EN41" s="18">
        <v>1670</v>
      </c>
      <c r="EO41" s="18">
        <v>1740</v>
      </c>
      <c r="EP41" s="18">
        <v>1820</v>
      </c>
      <c r="EQ41" s="18">
        <v>1930</v>
      </c>
      <c r="ER41" s="18">
        <v>2030</v>
      </c>
      <c r="ES41" s="18">
        <v>2070</v>
      </c>
      <c r="ET41" s="18">
        <v>2030</v>
      </c>
      <c r="EU41" s="18">
        <v>2020</v>
      </c>
      <c r="EV41" s="18">
        <v>2100</v>
      </c>
      <c r="EW41" s="18">
        <v>2290</v>
      </c>
      <c r="EX41" s="18">
        <v>2440</v>
      </c>
      <c r="EY41" s="18">
        <v>2560</v>
      </c>
      <c r="EZ41" s="18">
        <v>2570</v>
      </c>
      <c r="FA41" s="18">
        <v>2490</v>
      </c>
      <c r="FB41" s="18">
        <v>2350</v>
      </c>
      <c r="FC41" s="18">
        <v>2160</v>
      </c>
      <c r="FD41" s="18">
        <v>2010</v>
      </c>
      <c r="FE41" s="18">
        <v>1970</v>
      </c>
      <c r="FF41" s="18">
        <v>2110</v>
      </c>
      <c r="FG41" s="18">
        <v>2340</v>
      </c>
      <c r="FH41" s="18">
        <v>2350</v>
      </c>
      <c r="FI41" s="18">
        <v>2320</v>
      </c>
      <c r="FJ41" s="18">
        <v>2350</v>
      </c>
      <c r="FK41" s="18">
        <v>2510</v>
      </c>
      <c r="FL41" s="18">
        <v>2550</v>
      </c>
      <c r="FM41" s="18">
        <v>2570</v>
      </c>
      <c r="FN41" s="18">
        <v>2570</v>
      </c>
      <c r="FO41" s="18">
        <v>2690</v>
      </c>
      <c r="FP41" s="18">
        <v>3050</v>
      </c>
      <c r="FQ41" s="18">
        <v>3800</v>
      </c>
      <c r="FR41" s="18">
        <v>4170</v>
      </c>
      <c r="FS41" s="18">
        <v>4220</v>
      </c>
      <c r="FT41" s="18">
        <v>4420</v>
      </c>
      <c r="FU41" s="18">
        <v>4860</v>
      </c>
      <c r="FV41" s="18">
        <v>4500</v>
      </c>
      <c r="FW41" s="18">
        <v>4400</v>
      </c>
      <c r="FX41" s="18">
        <v>4360</v>
      </c>
      <c r="FY41" s="18">
        <v>4670</v>
      </c>
      <c r="FZ41" s="18">
        <v>4270</v>
      </c>
      <c r="GA41" s="18">
        <v>3970</v>
      </c>
      <c r="GB41" s="18">
        <v>3720</v>
      </c>
      <c r="GC41" s="18">
        <v>3510</v>
      </c>
      <c r="GD41" s="18">
        <v>3790</v>
      </c>
      <c r="GE41" s="18">
        <v>4440</v>
      </c>
      <c r="GF41" s="18">
        <v>4310</v>
      </c>
      <c r="GG41" s="18">
        <v>4740</v>
      </c>
      <c r="GH41" s="18">
        <v>4870</v>
      </c>
      <c r="GI41" s="18">
        <v>4610</v>
      </c>
      <c r="GJ41" s="18">
        <v>4350</v>
      </c>
      <c r="GK41" s="18">
        <v>4230</v>
      </c>
      <c r="GL41" s="18">
        <v>4310</v>
      </c>
      <c r="GM41" s="18">
        <v>4620</v>
      </c>
      <c r="GN41" s="18">
        <v>5310</v>
      </c>
      <c r="GO41" s="18">
        <v>6090</v>
      </c>
      <c r="GP41" s="18">
        <v>5900</v>
      </c>
      <c r="GQ41" s="18">
        <v>5470</v>
      </c>
      <c r="GR41" s="18">
        <v>5040</v>
      </c>
      <c r="GS41" s="18">
        <v>5030</v>
      </c>
      <c r="GT41" s="18">
        <v>5000</v>
      </c>
      <c r="GU41" s="18">
        <v>4960</v>
      </c>
      <c r="GV41" s="18">
        <v>4870</v>
      </c>
      <c r="GW41" s="18">
        <v>4950</v>
      </c>
      <c r="GX41" s="18">
        <v>5210</v>
      </c>
      <c r="GY41" s="18">
        <v>5270</v>
      </c>
      <c r="GZ41" s="18">
        <v>5370</v>
      </c>
      <c r="HA41" s="18">
        <v>5530</v>
      </c>
      <c r="HB41" s="18">
        <v>5980</v>
      </c>
      <c r="HC41" s="18">
        <v>6600</v>
      </c>
      <c r="HD41" s="18">
        <v>6910</v>
      </c>
      <c r="HE41" s="18">
        <v>6690</v>
      </c>
      <c r="HF41" s="18">
        <v>6080</v>
      </c>
      <c r="HG41" s="18">
        <v>5930</v>
      </c>
      <c r="HH41" s="18">
        <v>6030</v>
      </c>
      <c r="HI41" s="18">
        <v>5960</v>
      </c>
      <c r="HJ41" s="18">
        <v>5490</v>
      </c>
      <c r="HK41" s="18">
        <v>5110</v>
      </c>
      <c r="HL41" s="18">
        <v>5110</v>
      </c>
      <c r="HM41" s="18">
        <v>4960</v>
      </c>
      <c r="HN41" s="18">
        <v>4630</v>
      </c>
      <c r="HO41" s="18">
        <v>4420</v>
      </c>
      <c r="HP41" s="18">
        <v>4360</v>
      </c>
      <c r="HQ41" s="18">
        <v>4380</v>
      </c>
      <c r="HR41" s="18">
        <v>4500</v>
      </c>
      <c r="HS41" s="18">
        <v>4680</v>
      </c>
      <c r="HT41" s="18">
        <v>5430</v>
      </c>
      <c r="HU41" s="18">
        <v>5690</v>
      </c>
      <c r="HV41" s="18">
        <v>5750</v>
      </c>
      <c r="HW41" s="18">
        <v>6340</v>
      </c>
      <c r="HX41" s="18">
        <v>7570</v>
      </c>
      <c r="HY41" s="18">
        <v>7520</v>
      </c>
      <c r="HZ41" s="18">
        <v>7160</v>
      </c>
      <c r="IA41" s="18">
        <v>7900</v>
      </c>
      <c r="IB41" s="18">
        <v>8360</v>
      </c>
      <c r="IC41" s="18">
        <v>9090</v>
      </c>
      <c r="ID41" s="18">
        <v>8850</v>
      </c>
      <c r="IE41" s="18">
        <v>8680</v>
      </c>
      <c r="IF41" s="18">
        <v>8890</v>
      </c>
      <c r="IG41" s="18">
        <v>9680</v>
      </c>
      <c r="IH41" s="18">
        <v>10300</v>
      </c>
      <c r="II41" s="18">
        <v>10800</v>
      </c>
      <c r="IJ41" s="18">
        <v>10800</v>
      </c>
      <c r="IK41" s="18">
        <v>10800</v>
      </c>
      <c r="IL41" s="18">
        <v>12300</v>
      </c>
      <c r="IM41" s="18">
        <v>12200</v>
      </c>
      <c r="IN41" s="18">
        <v>12000</v>
      </c>
      <c r="IO41" s="18">
        <v>12800</v>
      </c>
      <c r="IP41" s="18">
        <v>12200</v>
      </c>
      <c r="IQ41" s="18">
        <v>12300</v>
      </c>
      <c r="IR41" s="18">
        <v>12100</v>
      </c>
      <c r="IS41" s="18">
        <v>11400</v>
      </c>
      <c r="IT41" s="18">
        <v>11000</v>
      </c>
      <c r="IU41" s="18">
        <v>10500</v>
      </c>
      <c r="IV41" s="18">
        <v>10400</v>
      </c>
      <c r="IW41" s="18">
        <v>10900</v>
      </c>
      <c r="IX41" s="18">
        <v>11000</v>
      </c>
      <c r="IY41" s="18">
        <v>11500</v>
      </c>
      <c r="IZ41" s="18">
        <v>12500</v>
      </c>
      <c r="JA41" s="18">
        <v>11300</v>
      </c>
      <c r="JB41" s="18">
        <v>9980</v>
      </c>
      <c r="JC41" s="18">
        <v>8950</v>
      </c>
      <c r="JD41" s="18">
        <v>8200</v>
      </c>
      <c r="JE41" s="18">
        <v>7660</v>
      </c>
      <c r="JF41" s="18">
        <v>8050</v>
      </c>
      <c r="JG41" s="18">
        <v>8930</v>
      </c>
      <c r="JH41" s="18">
        <v>7990</v>
      </c>
      <c r="JI41" s="18">
        <v>7540</v>
      </c>
      <c r="JJ41" s="18">
        <v>7450</v>
      </c>
      <c r="JK41" s="18">
        <v>7410</v>
      </c>
      <c r="JL41" s="18">
        <v>7960</v>
      </c>
      <c r="JM41" s="18">
        <v>8370</v>
      </c>
      <c r="JN41" s="18">
        <v>8650</v>
      </c>
      <c r="JO41" s="18">
        <v>8600</v>
      </c>
      <c r="JP41" s="18">
        <v>8490</v>
      </c>
      <c r="JQ41" s="18">
        <v>8550</v>
      </c>
      <c r="JR41" s="18">
        <v>8470</v>
      </c>
      <c r="JS41" s="18">
        <v>8320</v>
      </c>
      <c r="JT41" s="18">
        <v>8150</v>
      </c>
      <c r="JU41" s="18">
        <v>7850</v>
      </c>
      <c r="JV41" s="18">
        <v>7400</v>
      </c>
      <c r="JW41" s="18">
        <v>6980</v>
      </c>
      <c r="JX41" s="18">
        <v>6690</v>
      </c>
      <c r="JY41" s="18">
        <v>6330</v>
      </c>
      <c r="JZ41" s="18">
        <v>6040</v>
      </c>
      <c r="KA41" s="18">
        <v>5690</v>
      </c>
      <c r="KB41" s="18">
        <v>5430</v>
      </c>
      <c r="KC41" s="18">
        <v>5180</v>
      </c>
      <c r="KD41" s="18">
        <v>5040</v>
      </c>
      <c r="KE41" s="18">
        <v>5000</v>
      </c>
      <c r="KF41" s="18">
        <v>4960</v>
      </c>
      <c r="KG41" s="18">
        <v>5530</v>
      </c>
      <c r="KH41" s="18">
        <v>6530</v>
      </c>
      <c r="KI41" s="18">
        <v>7380</v>
      </c>
      <c r="KJ41" s="18">
        <v>7490</v>
      </c>
      <c r="KK41" s="18">
        <v>6960</v>
      </c>
      <c r="KL41" s="18">
        <v>6640</v>
      </c>
      <c r="KM41" s="18">
        <v>6090</v>
      </c>
      <c r="KN41" s="18">
        <v>5580</v>
      </c>
      <c r="KO41" s="18">
        <v>5180</v>
      </c>
      <c r="KP41" s="18">
        <v>4860</v>
      </c>
      <c r="KQ41" s="18">
        <v>4620</v>
      </c>
      <c r="KR41" s="18">
        <v>4380</v>
      </c>
      <c r="KS41" s="18">
        <v>4210</v>
      </c>
      <c r="KT41" s="18">
        <v>4060</v>
      </c>
      <c r="KU41" s="18">
        <v>3920</v>
      </c>
      <c r="KV41" s="18">
        <v>3810</v>
      </c>
      <c r="KW41" s="18">
        <v>3700</v>
      </c>
      <c r="KX41" s="18">
        <v>3610</v>
      </c>
      <c r="KY41" s="18">
        <v>3530</v>
      </c>
      <c r="KZ41" s="18">
        <v>3470</v>
      </c>
      <c r="LA41" s="18">
        <v>3390</v>
      </c>
      <c r="LB41" s="18">
        <v>3320</v>
      </c>
      <c r="LC41" s="18">
        <v>3270</v>
      </c>
      <c r="LD41" s="18">
        <v>3210</v>
      </c>
      <c r="LE41" s="18">
        <v>3150</v>
      </c>
      <c r="LF41" s="18">
        <v>3100</v>
      </c>
      <c r="LG41" s="18">
        <v>3050</v>
      </c>
      <c r="LH41" s="18">
        <v>2980</v>
      </c>
      <c r="LI41" s="18">
        <v>2910</v>
      </c>
      <c r="LJ41" s="18">
        <v>2840</v>
      </c>
      <c r="LK41" s="18">
        <v>2760</v>
      </c>
      <c r="LL41" s="18">
        <v>2690</v>
      </c>
      <c r="LM41" s="18">
        <v>2640</v>
      </c>
      <c r="LN41" s="18">
        <v>2640</v>
      </c>
      <c r="LO41" s="18">
        <v>2670</v>
      </c>
      <c r="LP41" s="18">
        <v>2660</v>
      </c>
      <c r="LQ41" s="18">
        <v>2600</v>
      </c>
      <c r="LR41" s="18">
        <v>2540</v>
      </c>
      <c r="LS41" s="18">
        <v>2490</v>
      </c>
      <c r="LT41" s="18">
        <v>2430</v>
      </c>
      <c r="LU41" s="18">
        <v>2390</v>
      </c>
      <c r="LV41" s="18">
        <v>2330</v>
      </c>
      <c r="LW41" s="18">
        <v>2290</v>
      </c>
      <c r="LX41" s="18">
        <v>2270</v>
      </c>
      <c r="LY41" s="18">
        <v>2250</v>
      </c>
      <c r="LZ41" s="18">
        <v>2220</v>
      </c>
      <c r="MA41" s="18">
        <v>2210</v>
      </c>
      <c r="MB41" s="18">
        <v>2220</v>
      </c>
      <c r="MC41" s="18">
        <v>2200</v>
      </c>
      <c r="MD41" s="18">
        <v>2130</v>
      </c>
      <c r="ME41" s="18">
        <v>2080</v>
      </c>
      <c r="MF41" s="18">
        <v>2060</v>
      </c>
      <c r="MG41" s="18">
        <v>2030</v>
      </c>
      <c r="MH41" s="18">
        <v>2000</v>
      </c>
      <c r="MI41" s="18">
        <v>1970</v>
      </c>
      <c r="MJ41" s="18">
        <v>1930</v>
      </c>
      <c r="MK41" s="18">
        <v>1910</v>
      </c>
      <c r="ML41" s="18">
        <v>1890</v>
      </c>
      <c r="MM41" s="18">
        <v>1850</v>
      </c>
      <c r="MN41" s="18">
        <v>1810</v>
      </c>
      <c r="MO41" s="18">
        <v>1770</v>
      </c>
      <c r="MP41" s="18">
        <v>1740</v>
      </c>
      <c r="MQ41" s="18">
        <v>1710</v>
      </c>
      <c r="MR41" s="18">
        <v>1690</v>
      </c>
      <c r="MS41" s="18">
        <v>1670</v>
      </c>
      <c r="MT41" s="18">
        <v>1650</v>
      </c>
      <c r="MU41" s="18">
        <v>1630</v>
      </c>
      <c r="MV41" s="18">
        <v>1610</v>
      </c>
      <c r="MW41" s="18">
        <v>1580</v>
      </c>
      <c r="MX41" s="18">
        <v>1570</v>
      </c>
      <c r="MY41" s="18">
        <v>1550</v>
      </c>
      <c r="MZ41" s="18">
        <v>1540</v>
      </c>
      <c r="NA41" s="18">
        <v>1540</v>
      </c>
      <c r="NB41" s="18">
        <v>1530</v>
      </c>
      <c r="NC41" s="18">
        <v>1510</v>
      </c>
      <c r="ND41" s="1">
        <v>1430</v>
      </c>
      <c r="NE41" s="1">
        <v>1190</v>
      </c>
      <c r="NF41" s="1">
        <v>1140</v>
      </c>
      <c r="NG41" s="1">
        <v>1340</v>
      </c>
      <c r="NH41" s="1">
        <v>1840</v>
      </c>
      <c r="NI41" s="1">
        <v>3120</v>
      </c>
      <c r="NJ41" s="1">
        <v>5090</v>
      </c>
      <c r="NK41" s="1">
        <v>6940</v>
      </c>
      <c r="NL41" s="1">
        <v>10100</v>
      </c>
      <c r="NM41" s="1">
        <v>6260</v>
      </c>
      <c r="NN41" s="1">
        <v>2960</v>
      </c>
      <c r="NO41" s="1">
        <v>1840</v>
      </c>
      <c r="NP41" s="1">
        <v>3606.3387978142077</v>
      </c>
      <c r="NQ41" s="1">
        <v>12800</v>
      </c>
      <c r="NR41" s="19">
        <v>42617</v>
      </c>
      <c r="NS41" s="1">
        <v>1060</v>
      </c>
      <c r="NT41" s="19">
        <v>42442</v>
      </c>
    </row>
    <row r="42" spans="1:384" x14ac:dyDescent="0.15">
      <c r="A42" s="1">
        <v>1989</v>
      </c>
      <c r="B42" s="18">
        <v>1510</v>
      </c>
      <c r="C42" s="18">
        <v>1500</v>
      </c>
      <c r="D42" s="18">
        <v>1480</v>
      </c>
      <c r="E42" s="18">
        <v>1460</v>
      </c>
      <c r="F42" s="18">
        <v>1440</v>
      </c>
      <c r="G42" s="18">
        <v>1430</v>
      </c>
      <c r="H42" s="18">
        <v>1410</v>
      </c>
      <c r="I42" s="18">
        <v>1390</v>
      </c>
      <c r="J42" s="18">
        <v>1380</v>
      </c>
      <c r="K42" s="18">
        <v>1360</v>
      </c>
      <c r="L42" s="18">
        <v>1340</v>
      </c>
      <c r="M42" s="18">
        <v>1330</v>
      </c>
      <c r="N42" s="18">
        <v>1310</v>
      </c>
      <c r="O42" s="18">
        <v>1300</v>
      </c>
      <c r="P42" s="18">
        <v>1300</v>
      </c>
      <c r="Q42" s="18">
        <v>1300</v>
      </c>
      <c r="R42" s="18">
        <v>1300</v>
      </c>
      <c r="S42" s="18">
        <v>1290</v>
      </c>
      <c r="T42" s="18">
        <v>1270</v>
      </c>
      <c r="U42" s="18">
        <v>1240</v>
      </c>
      <c r="V42" s="18">
        <v>1210</v>
      </c>
      <c r="W42" s="18">
        <v>1200</v>
      </c>
      <c r="X42" s="18">
        <v>1190</v>
      </c>
      <c r="Y42" s="18">
        <v>1180</v>
      </c>
      <c r="Z42" s="18">
        <v>1180</v>
      </c>
      <c r="AA42" s="18">
        <v>1170</v>
      </c>
      <c r="AB42" s="18">
        <v>1160</v>
      </c>
      <c r="AC42" s="18">
        <v>1150</v>
      </c>
      <c r="AD42" s="18">
        <v>1140</v>
      </c>
      <c r="AE42" s="18">
        <v>1140</v>
      </c>
      <c r="AF42" s="18">
        <v>1130</v>
      </c>
      <c r="AG42" s="18">
        <v>1130</v>
      </c>
      <c r="AH42" s="18">
        <v>1130</v>
      </c>
      <c r="AI42" s="18">
        <v>1130</v>
      </c>
      <c r="AJ42" s="18">
        <v>1130</v>
      </c>
      <c r="AK42" s="18">
        <v>1130</v>
      </c>
      <c r="AL42" s="18">
        <v>1130</v>
      </c>
      <c r="AM42" s="18">
        <v>1140</v>
      </c>
      <c r="AN42" s="18">
        <v>1150</v>
      </c>
      <c r="AO42" s="18">
        <v>1160</v>
      </c>
      <c r="AP42" s="18">
        <v>1160</v>
      </c>
      <c r="AQ42" s="18">
        <v>1150</v>
      </c>
      <c r="AR42" s="18">
        <v>1130</v>
      </c>
      <c r="AS42" s="18">
        <v>1130</v>
      </c>
      <c r="AT42" s="18">
        <v>1110</v>
      </c>
      <c r="AU42" s="18">
        <v>1100</v>
      </c>
      <c r="AV42" s="18">
        <v>1090</v>
      </c>
      <c r="AW42" s="18">
        <v>1070</v>
      </c>
      <c r="AX42" s="18">
        <v>1060</v>
      </c>
      <c r="AY42" s="18">
        <v>1050</v>
      </c>
      <c r="AZ42" s="18">
        <v>1040</v>
      </c>
      <c r="BA42" s="18">
        <v>1030</v>
      </c>
      <c r="BB42" s="18">
        <v>1030</v>
      </c>
      <c r="BC42" s="18">
        <v>1030</v>
      </c>
      <c r="BD42" s="18">
        <v>1030</v>
      </c>
      <c r="BE42" s="18">
        <v>1040</v>
      </c>
      <c r="BF42" s="18">
        <v>1050</v>
      </c>
      <c r="BG42" s="18">
        <v>1030</v>
      </c>
      <c r="BH42" s="18">
        <v>1010</v>
      </c>
      <c r="BI42" s="18"/>
      <c r="BJ42" s="18">
        <v>993</v>
      </c>
      <c r="BK42" s="18">
        <v>987</v>
      </c>
      <c r="BL42" s="18">
        <v>986</v>
      </c>
      <c r="BM42" s="18">
        <v>986</v>
      </c>
      <c r="BN42" s="18">
        <v>988</v>
      </c>
      <c r="BO42" s="18">
        <v>995</v>
      </c>
      <c r="BP42" s="18">
        <v>1000</v>
      </c>
      <c r="BQ42" s="18">
        <v>1020</v>
      </c>
      <c r="BR42" s="18">
        <v>1030</v>
      </c>
      <c r="BS42" s="18">
        <v>1040</v>
      </c>
      <c r="BT42" s="18">
        <v>1030</v>
      </c>
      <c r="BU42" s="18">
        <v>1020</v>
      </c>
      <c r="BV42" s="18">
        <v>1000</v>
      </c>
      <c r="BW42" s="18">
        <v>1000</v>
      </c>
      <c r="BX42" s="18">
        <v>993</v>
      </c>
      <c r="BY42" s="18">
        <v>980</v>
      </c>
      <c r="BZ42" s="18">
        <v>977</v>
      </c>
      <c r="CA42" s="18">
        <v>975</v>
      </c>
      <c r="CB42" s="18">
        <v>974</v>
      </c>
      <c r="CC42" s="18">
        <v>974</v>
      </c>
      <c r="CD42" s="18">
        <v>974</v>
      </c>
      <c r="CE42" s="18">
        <v>974</v>
      </c>
      <c r="CF42" s="18">
        <v>977</v>
      </c>
      <c r="CG42" s="18">
        <v>982</v>
      </c>
      <c r="CH42" s="18">
        <v>990</v>
      </c>
      <c r="CI42" s="18">
        <v>998</v>
      </c>
      <c r="CJ42" s="18">
        <v>1010</v>
      </c>
      <c r="CK42" s="18">
        <v>1030</v>
      </c>
      <c r="CL42" s="18">
        <v>1040</v>
      </c>
      <c r="CM42" s="18">
        <v>1040</v>
      </c>
      <c r="CN42" s="18">
        <v>1040</v>
      </c>
      <c r="CO42" s="18">
        <v>1030</v>
      </c>
      <c r="CP42" s="18">
        <v>1030</v>
      </c>
      <c r="CQ42" s="18">
        <v>1020</v>
      </c>
      <c r="CR42" s="18">
        <v>1020</v>
      </c>
      <c r="CS42" s="18">
        <v>1020</v>
      </c>
      <c r="CT42" s="18">
        <v>1000</v>
      </c>
      <c r="CU42" s="18">
        <v>999</v>
      </c>
      <c r="CV42" s="18">
        <v>999</v>
      </c>
      <c r="CW42" s="18">
        <v>1000</v>
      </c>
      <c r="CX42" s="18">
        <v>1020</v>
      </c>
      <c r="CY42" s="18">
        <v>1020</v>
      </c>
      <c r="CZ42" s="18">
        <v>1030</v>
      </c>
      <c r="DA42" s="18">
        <v>1030</v>
      </c>
      <c r="DB42" s="18">
        <v>1030</v>
      </c>
      <c r="DC42" s="18">
        <v>1030</v>
      </c>
      <c r="DD42" s="18">
        <v>1030</v>
      </c>
      <c r="DE42" s="18">
        <v>1040</v>
      </c>
      <c r="DF42" s="18">
        <v>1030</v>
      </c>
      <c r="DG42" s="18">
        <v>1030</v>
      </c>
      <c r="DH42" s="18">
        <v>1020</v>
      </c>
      <c r="DI42" s="18">
        <v>1020</v>
      </c>
      <c r="DJ42" s="18">
        <v>1020</v>
      </c>
      <c r="DK42" s="18">
        <v>1020</v>
      </c>
      <c r="DL42" s="18">
        <v>1030</v>
      </c>
      <c r="DM42" s="18">
        <v>1040</v>
      </c>
      <c r="DN42" s="18">
        <v>1070</v>
      </c>
      <c r="DO42" s="18">
        <v>1100</v>
      </c>
      <c r="DP42" s="18">
        <v>1100</v>
      </c>
      <c r="DQ42" s="18">
        <v>1090</v>
      </c>
      <c r="DR42" s="18">
        <v>1090</v>
      </c>
      <c r="DS42" s="18">
        <v>1090</v>
      </c>
      <c r="DT42" s="18">
        <v>1110</v>
      </c>
      <c r="DU42" s="18">
        <v>1150</v>
      </c>
      <c r="DV42" s="18">
        <v>1230</v>
      </c>
      <c r="DW42" s="18">
        <v>1240</v>
      </c>
      <c r="DX42" s="18">
        <v>1260</v>
      </c>
      <c r="DY42" s="18">
        <v>1290</v>
      </c>
      <c r="DZ42" s="18">
        <v>1300</v>
      </c>
      <c r="EA42" s="18">
        <v>1460</v>
      </c>
      <c r="EB42" s="18">
        <v>1640</v>
      </c>
      <c r="EC42" s="18">
        <v>1880</v>
      </c>
      <c r="ED42" s="18">
        <v>2140</v>
      </c>
      <c r="EE42" s="18">
        <v>2290</v>
      </c>
      <c r="EF42" s="18">
        <v>2300</v>
      </c>
      <c r="EG42" s="18">
        <v>2140</v>
      </c>
      <c r="EH42" s="18">
        <v>1950</v>
      </c>
      <c r="EI42" s="18">
        <v>1920</v>
      </c>
      <c r="EJ42" s="18">
        <v>1940</v>
      </c>
      <c r="EK42" s="18">
        <v>1880</v>
      </c>
      <c r="EL42" s="18">
        <v>1830</v>
      </c>
      <c r="EM42" s="18">
        <v>1830</v>
      </c>
      <c r="EN42" s="18">
        <v>1780</v>
      </c>
      <c r="EO42" s="18">
        <v>1780</v>
      </c>
      <c r="EP42" s="18">
        <v>1820</v>
      </c>
      <c r="EQ42" s="18">
        <v>1990</v>
      </c>
      <c r="ER42" s="18">
        <v>2240</v>
      </c>
      <c r="ES42" s="18">
        <v>2430</v>
      </c>
      <c r="ET42" s="18">
        <v>2460</v>
      </c>
      <c r="EU42" s="18">
        <v>2460</v>
      </c>
      <c r="EV42" s="18">
        <v>2590</v>
      </c>
      <c r="EW42" s="18">
        <v>2970</v>
      </c>
      <c r="EX42" s="18">
        <v>3210</v>
      </c>
      <c r="EY42" s="18">
        <v>3510</v>
      </c>
      <c r="EZ42" s="18">
        <v>3930</v>
      </c>
      <c r="FA42" s="18">
        <v>4250</v>
      </c>
      <c r="FB42" s="18">
        <v>4580</v>
      </c>
      <c r="FC42" s="18">
        <v>4400</v>
      </c>
      <c r="FD42" s="18">
        <v>4170</v>
      </c>
      <c r="FE42" s="18">
        <v>3940</v>
      </c>
      <c r="FF42" s="18">
        <v>3770</v>
      </c>
      <c r="FG42" s="18">
        <v>3740</v>
      </c>
      <c r="FH42" s="18">
        <v>3760</v>
      </c>
      <c r="FI42" s="18">
        <v>3810</v>
      </c>
      <c r="FJ42" s="18">
        <v>3670</v>
      </c>
      <c r="FK42" s="18">
        <v>3480</v>
      </c>
      <c r="FL42" s="18">
        <v>3400</v>
      </c>
      <c r="FM42" s="18">
        <v>3640</v>
      </c>
      <c r="FN42" s="18">
        <v>3500</v>
      </c>
      <c r="FO42" s="18">
        <v>3450</v>
      </c>
      <c r="FP42" s="18">
        <v>3720</v>
      </c>
      <c r="FQ42" s="18">
        <v>4040</v>
      </c>
      <c r="FR42" s="18">
        <v>4360</v>
      </c>
      <c r="FS42" s="18">
        <v>5230</v>
      </c>
      <c r="FT42" s="18">
        <v>5480</v>
      </c>
      <c r="FU42" s="18">
        <v>5460</v>
      </c>
      <c r="FV42" s="18">
        <v>5940</v>
      </c>
      <c r="FW42" s="18">
        <v>6510</v>
      </c>
      <c r="FX42" s="18">
        <v>7030</v>
      </c>
      <c r="FY42" s="18">
        <v>7860</v>
      </c>
      <c r="FZ42" s="18">
        <v>8730</v>
      </c>
      <c r="GA42" s="18">
        <v>9420</v>
      </c>
      <c r="GB42" s="18">
        <v>10500</v>
      </c>
      <c r="GC42" s="18">
        <v>10700</v>
      </c>
      <c r="GD42" s="18">
        <v>10800</v>
      </c>
      <c r="GE42" s="18">
        <v>10200</v>
      </c>
      <c r="GF42" s="18">
        <v>9990</v>
      </c>
      <c r="GG42" s="18">
        <v>10800</v>
      </c>
      <c r="GH42" s="18">
        <v>10600</v>
      </c>
      <c r="GI42" s="18">
        <v>9570</v>
      </c>
      <c r="GJ42" s="18">
        <v>8880</v>
      </c>
      <c r="GK42" s="18">
        <v>9170</v>
      </c>
      <c r="GL42" s="18">
        <v>10100</v>
      </c>
      <c r="GM42" s="18">
        <v>10600</v>
      </c>
      <c r="GN42" s="18">
        <v>11100</v>
      </c>
      <c r="GO42" s="18">
        <v>10700</v>
      </c>
      <c r="GP42" s="18">
        <v>10300</v>
      </c>
      <c r="GQ42" s="18">
        <v>9790</v>
      </c>
      <c r="GR42" s="18">
        <v>9120</v>
      </c>
      <c r="GS42" s="18">
        <v>8600</v>
      </c>
      <c r="GT42" s="18">
        <v>8760</v>
      </c>
      <c r="GU42" s="18">
        <v>8680</v>
      </c>
      <c r="GV42" s="18">
        <v>8170</v>
      </c>
      <c r="GW42" s="18">
        <v>7600</v>
      </c>
      <c r="GX42" s="18">
        <v>7240</v>
      </c>
      <c r="GY42" s="18">
        <v>6910</v>
      </c>
      <c r="GZ42" s="18">
        <v>6680</v>
      </c>
      <c r="HA42" s="18">
        <v>6550</v>
      </c>
      <c r="HB42" s="18">
        <v>6760</v>
      </c>
      <c r="HC42" s="18">
        <v>8550</v>
      </c>
      <c r="HD42" s="18">
        <v>10400</v>
      </c>
      <c r="HE42" s="18">
        <v>11500</v>
      </c>
      <c r="HF42" s="18">
        <v>11500</v>
      </c>
      <c r="HG42" s="18">
        <v>10500</v>
      </c>
      <c r="HH42" s="18">
        <v>9030</v>
      </c>
      <c r="HI42" s="18">
        <v>8090</v>
      </c>
      <c r="HJ42" s="18">
        <v>8040</v>
      </c>
      <c r="HK42" s="18">
        <v>7630</v>
      </c>
      <c r="HL42" s="18">
        <v>7010</v>
      </c>
      <c r="HM42" s="18">
        <v>6610</v>
      </c>
      <c r="HN42" s="18">
        <v>6910</v>
      </c>
      <c r="HO42" s="18">
        <v>7320</v>
      </c>
      <c r="HP42" s="18">
        <v>7610</v>
      </c>
      <c r="HQ42" s="18">
        <v>7720</v>
      </c>
      <c r="HR42" s="18">
        <v>7640</v>
      </c>
      <c r="HS42" s="18">
        <v>7320</v>
      </c>
      <c r="HT42" s="18">
        <v>7200</v>
      </c>
      <c r="HU42" s="18">
        <v>7170</v>
      </c>
      <c r="HV42" s="18">
        <v>7390</v>
      </c>
      <c r="HW42" s="18">
        <v>7730</v>
      </c>
      <c r="HX42" s="18">
        <v>7700</v>
      </c>
      <c r="HY42" s="18">
        <v>8130</v>
      </c>
      <c r="HZ42" s="18">
        <v>9350</v>
      </c>
      <c r="IA42" s="18">
        <v>11000</v>
      </c>
      <c r="IB42" s="18">
        <v>10800</v>
      </c>
      <c r="IC42" s="18">
        <v>10500</v>
      </c>
      <c r="ID42" s="18">
        <v>9900</v>
      </c>
      <c r="IE42" s="18">
        <v>9140</v>
      </c>
      <c r="IF42" s="18">
        <v>8530</v>
      </c>
      <c r="IG42" s="18">
        <v>8250</v>
      </c>
      <c r="IH42" s="18">
        <v>8180</v>
      </c>
      <c r="II42" s="18">
        <v>8460</v>
      </c>
      <c r="IJ42" s="18">
        <v>8080</v>
      </c>
      <c r="IK42" s="18">
        <v>7630</v>
      </c>
      <c r="IL42" s="18">
        <v>7270</v>
      </c>
      <c r="IM42" s="18">
        <v>7620</v>
      </c>
      <c r="IN42" s="18">
        <v>7860</v>
      </c>
      <c r="IO42" s="18">
        <v>8630</v>
      </c>
      <c r="IP42" s="18">
        <v>9690</v>
      </c>
      <c r="IQ42" s="18">
        <v>10800</v>
      </c>
      <c r="IR42" s="18">
        <v>10500</v>
      </c>
      <c r="IS42" s="18">
        <v>10300</v>
      </c>
      <c r="IT42" s="18">
        <v>9930</v>
      </c>
      <c r="IU42" s="18">
        <v>9700</v>
      </c>
      <c r="IV42" s="18">
        <v>9330</v>
      </c>
      <c r="IW42" s="18">
        <v>9170</v>
      </c>
      <c r="IX42" s="18">
        <v>9140</v>
      </c>
      <c r="IY42" s="18">
        <v>9260</v>
      </c>
      <c r="IZ42" s="18">
        <v>9850</v>
      </c>
      <c r="JA42" s="18">
        <v>10400</v>
      </c>
      <c r="JB42" s="18">
        <v>10900</v>
      </c>
      <c r="JC42" s="18">
        <v>10800</v>
      </c>
      <c r="JD42" s="18">
        <v>11000</v>
      </c>
      <c r="JE42" s="18">
        <v>11400</v>
      </c>
      <c r="JF42" s="18">
        <v>11800</v>
      </c>
      <c r="JG42" s="18">
        <v>11800</v>
      </c>
      <c r="JH42" s="18">
        <v>11100</v>
      </c>
      <c r="JI42" s="18">
        <v>10400</v>
      </c>
      <c r="JJ42" s="18">
        <v>9520</v>
      </c>
      <c r="JK42" s="18">
        <v>8850</v>
      </c>
      <c r="JL42" s="18">
        <v>8370</v>
      </c>
      <c r="JM42" s="18">
        <v>7940</v>
      </c>
      <c r="JN42" s="18">
        <v>7700</v>
      </c>
      <c r="JO42" s="18">
        <v>7630</v>
      </c>
      <c r="JP42" s="18">
        <v>7610</v>
      </c>
      <c r="JQ42" s="18">
        <v>8180</v>
      </c>
      <c r="JR42" s="18">
        <v>8710</v>
      </c>
      <c r="JS42" s="18">
        <v>8640</v>
      </c>
      <c r="JT42" s="18">
        <v>8190</v>
      </c>
      <c r="JU42" s="18">
        <v>7870</v>
      </c>
      <c r="JV42" s="18">
        <v>8370</v>
      </c>
      <c r="JW42" s="18">
        <v>8690</v>
      </c>
      <c r="JX42" s="18">
        <v>9610</v>
      </c>
      <c r="JY42" s="18">
        <v>10300</v>
      </c>
      <c r="JZ42" s="18">
        <v>11600</v>
      </c>
      <c r="KA42" s="18">
        <v>12600</v>
      </c>
      <c r="KB42" s="18">
        <v>12000</v>
      </c>
      <c r="KC42" s="18">
        <v>10700</v>
      </c>
      <c r="KD42" s="18">
        <v>9700</v>
      </c>
      <c r="KE42" s="18">
        <v>9280</v>
      </c>
      <c r="KF42" s="18">
        <v>10800</v>
      </c>
      <c r="KG42" s="18">
        <v>12300</v>
      </c>
      <c r="KH42" s="18">
        <v>11900</v>
      </c>
      <c r="KI42" s="18">
        <v>11800</v>
      </c>
      <c r="KJ42" s="18">
        <v>11300</v>
      </c>
      <c r="KK42" s="18">
        <v>10700</v>
      </c>
      <c r="KL42" s="18">
        <v>9830</v>
      </c>
      <c r="KM42" s="18">
        <v>8970</v>
      </c>
      <c r="KN42" s="18">
        <v>8330</v>
      </c>
      <c r="KO42" s="18">
        <v>7860</v>
      </c>
      <c r="KP42" s="18">
        <v>7320</v>
      </c>
      <c r="KQ42" s="18">
        <v>6890</v>
      </c>
      <c r="KR42" s="18">
        <v>6560</v>
      </c>
      <c r="KS42" s="18">
        <v>6260</v>
      </c>
      <c r="KT42" s="18">
        <v>5960</v>
      </c>
      <c r="KU42" s="18">
        <v>5700</v>
      </c>
      <c r="KV42" s="18">
        <v>5520</v>
      </c>
      <c r="KW42" s="18">
        <v>5340</v>
      </c>
      <c r="KX42" s="18">
        <v>5140</v>
      </c>
      <c r="KY42" s="18">
        <v>4970</v>
      </c>
      <c r="KZ42" s="18">
        <v>4780</v>
      </c>
      <c r="LA42" s="18">
        <v>4620</v>
      </c>
      <c r="LB42" s="18">
        <v>4480</v>
      </c>
      <c r="LC42" s="18">
        <v>4340</v>
      </c>
      <c r="LD42" s="18">
        <v>4210</v>
      </c>
      <c r="LE42" s="18">
        <v>4100</v>
      </c>
      <c r="LF42" s="18">
        <v>3990</v>
      </c>
      <c r="LG42" s="18">
        <v>3870</v>
      </c>
      <c r="LH42" s="18">
        <v>3760</v>
      </c>
      <c r="LI42" s="18">
        <v>3660</v>
      </c>
      <c r="LJ42" s="18">
        <v>3580</v>
      </c>
      <c r="LK42" s="18">
        <v>3500</v>
      </c>
      <c r="LL42" s="18">
        <v>3420</v>
      </c>
      <c r="LM42" s="18">
        <v>3360</v>
      </c>
      <c r="LN42" s="18">
        <v>3310</v>
      </c>
      <c r="LO42" s="18">
        <v>3250</v>
      </c>
      <c r="LP42" s="18">
        <v>3180</v>
      </c>
      <c r="LQ42" s="18">
        <v>3110</v>
      </c>
      <c r="LR42" s="18">
        <v>3050</v>
      </c>
      <c r="LS42" s="18">
        <v>3010</v>
      </c>
      <c r="LT42" s="18">
        <v>2960</v>
      </c>
      <c r="LU42" s="18">
        <v>2890</v>
      </c>
      <c r="LV42" s="18">
        <v>2820</v>
      </c>
      <c r="LW42" s="18">
        <v>2780</v>
      </c>
      <c r="LX42" s="18">
        <v>2760</v>
      </c>
      <c r="LY42" s="18">
        <v>2720</v>
      </c>
      <c r="LZ42" s="18">
        <v>2680</v>
      </c>
      <c r="MA42" s="18">
        <v>2640</v>
      </c>
      <c r="MB42" s="18">
        <v>2600</v>
      </c>
      <c r="MC42" s="18">
        <v>2560</v>
      </c>
      <c r="MD42" s="18">
        <v>2480</v>
      </c>
      <c r="ME42" s="18">
        <v>2410</v>
      </c>
      <c r="MF42" s="18">
        <v>2360</v>
      </c>
      <c r="MG42" s="18">
        <v>2310</v>
      </c>
      <c r="MH42" s="18">
        <v>2270</v>
      </c>
      <c r="MI42" s="18">
        <v>2230</v>
      </c>
      <c r="MJ42" s="18">
        <v>2220</v>
      </c>
      <c r="MK42" s="18">
        <v>2210</v>
      </c>
      <c r="ML42" s="18">
        <v>2200</v>
      </c>
      <c r="MM42" s="18">
        <v>2190</v>
      </c>
      <c r="MN42" s="18">
        <v>2190</v>
      </c>
      <c r="MO42" s="18">
        <v>2170</v>
      </c>
      <c r="MP42" s="18">
        <v>2150</v>
      </c>
      <c r="MQ42" s="18">
        <v>2130</v>
      </c>
      <c r="MR42" s="18">
        <v>2090</v>
      </c>
      <c r="MS42" s="18">
        <v>2060</v>
      </c>
      <c r="MT42" s="18">
        <v>2000</v>
      </c>
      <c r="MU42" s="18">
        <v>1950</v>
      </c>
      <c r="MV42" s="18">
        <v>1940</v>
      </c>
      <c r="MW42" s="18">
        <v>1920</v>
      </c>
      <c r="MX42" s="18">
        <v>1910</v>
      </c>
      <c r="MY42" s="18">
        <v>1890</v>
      </c>
      <c r="MZ42" s="18">
        <v>1880</v>
      </c>
      <c r="NA42" s="18">
        <v>1860</v>
      </c>
      <c r="NB42" s="18">
        <v>1840</v>
      </c>
      <c r="NC42" s="18">
        <v>1840</v>
      </c>
      <c r="ND42" s="1">
        <v>1300</v>
      </c>
      <c r="NE42" s="1">
        <v>1090</v>
      </c>
      <c r="NF42" s="1">
        <v>1000</v>
      </c>
      <c r="NG42" s="1">
        <v>1030</v>
      </c>
      <c r="NH42" s="1">
        <v>1850</v>
      </c>
      <c r="NI42" s="1">
        <v>4730</v>
      </c>
      <c r="NJ42" s="1">
        <v>9380</v>
      </c>
      <c r="NK42" s="1">
        <v>8280</v>
      </c>
      <c r="NL42" s="1">
        <v>9620</v>
      </c>
      <c r="NM42" s="1">
        <v>9320</v>
      </c>
      <c r="NN42" s="1">
        <v>3850</v>
      </c>
      <c r="NO42" s="1">
        <v>2190</v>
      </c>
      <c r="NP42" s="1">
        <v>4494.2219178082196</v>
      </c>
      <c r="NQ42" s="1">
        <v>12600</v>
      </c>
      <c r="NR42" s="19">
        <v>42655</v>
      </c>
      <c r="NS42" s="1">
        <v>974</v>
      </c>
      <c r="NT42" s="19">
        <v>42448</v>
      </c>
    </row>
    <row r="43" spans="1:384" x14ac:dyDescent="0.15">
      <c r="A43" s="1">
        <v>1990</v>
      </c>
      <c r="B43" s="18">
        <v>1820</v>
      </c>
      <c r="C43" s="18">
        <v>1800</v>
      </c>
      <c r="D43" s="18">
        <v>1770</v>
      </c>
      <c r="E43" s="18">
        <v>1740</v>
      </c>
      <c r="F43" s="18">
        <v>1700</v>
      </c>
      <c r="G43" s="18">
        <v>1680</v>
      </c>
      <c r="H43" s="18">
        <v>1670</v>
      </c>
      <c r="I43" s="18">
        <v>1650</v>
      </c>
      <c r="J43" s="18">
        <v>1640</v>
      </c>
      <c r="K43" s="18">
        <v>1620</v>
      </c>
      <c r="L43" s="18">
        <v>1610</v>
      </c>
      <c r="M43" s="18">
        <v>1610</v>
      </c>
      <c r="N43" s="18">
        <v>1590</v>
      </c>
      <c r="O43" s="18">
        <v>1580</v>
      </c>
      <c r="P43" s="18">
        <v>1580</v>
      </c>
      <c r="Q43" s="18">
        <v>1580</v>
      </c>
      <c r="R43" s="18">
        <v>1570</v>
      </c>
      <c r="S43" s="18">
        <v>1560</v>
      </c>
      <c r="T43" s="18">
        <v>1560</v>
      </c>
      <c r="U43" s="18">
        <v>1560</v>
      </c>
      <c r="V43" s="18">
        <v>1560</v>
      </c>
      <c r="W43" s="18">
        <v>1550</v>
      </c>
      <c r="X43" s="18">
        <v>1540</v>
      </c>
      <c r="Y43" s="18">
        <v>1540</v>
      </c>
      <c r="Z43" s="18">
        <v>1550</v>
      </c>
      <c r="AA43" s="18">
        <v>1560</v>
      </c>
      <c r="AB43" s="18">
        <v>1570</v>
      </c>
      <c r="AC43" s="18">
        <v>1560</v>
      </c>
      <c r="AD43" s="18">
        <v>1540</v>
      </c>
      <c r="AE43" s="18">
        <v>1520</v>
      </c>
      <c r="AF43" s="18">
        <v>1510</v>
      </c>
      <c r="AG43" s="18">
        <v>1490</v>
      </c>
      <c r="AH43" s="18">
        <v>1480</v>
      </c>
      <c r="AI43" s="18">
        <v>1490</v>
      </c>
      <c r="AJ43" s="18">
        <v>1490</v>
      </c>
      <c r="AK43" s="18">
        <v>1480</v>
      </c>
      <c r="AL43" s="18">
        <v>1470</v>
      </c>
      <c r="AM43" s="18">
        <v>1450</v>
      </c>
      <c r="AN43" s="18">
        <v>1430</v>
      </c>
      <c r="AO43" s="18">
        <v>1430</v>
      </c>
      <c r="AP43" s="18">
        <v>1400</v>
      </c>
      <c r="AQ43" s="18">
        <v>1390</v>
      </c>
      <c r="AR43" s="18">
        <v>1380</v>
      </c>
      <c r="AS43" s="18">
        <v>1370</v>
      </c>
      <c r="AT43" s="18">
        <v>1360</v>
      </c>
      <c r="AU43" s="18">
        <v>1360</v>
      </c>
      <c r="AV43" s="18">
        <v>1360</v>
      </c>
      <c r="AW43" s="18">
        <v>1360</v>
      </c>
      <c r="AX43" s="18">
        <v>1360</v>
      </c>
      <c r="AY43" s="18">
        <v>1360</v>
      </c>
      <c r="AZ43" s="18">
        <v>1360</v>
      </c>
      <c r="BA43" s="18">
        <v>1350</v>
      </c>
      <c r="BB43" s="18">
        <v>1350</v>
      </c>
      <c r="BC43" s="18">
        <v>1340</v>
      </c>
      <c r="BD43" s="18">
        <v>1320</v>
      </c>
      <c r="BE43" s="18">
        <v>1310</v>
      </c>
      <c r="BF43" s="18">
        <v>1300</v>
      </c>
      <c r="BG43" s="18">
        <v>1300</v>
      </c>
      <c r="BH43" s="18">
        <v>1300</v>
      </c>
      <c r="BI43" s="18"/>
      <c r="BJ43" s="18">
        <v>1290</v>
      </c>
      <c r="BK43" s="18">
        <v>1290</v>
      </c>
      <c r="BL43" s="18">
        <v>1280</v>
      </c>
      <c r="BM43" s="18">
        <v>1270</v>
      </c>
      <c r="BN43" s="18">
        <v>1260</v>
      </c>
      <c r="BO43" s="18">
        <v>1260</v>
      </c>
      <c r="BP43" s="18">
        <v>1270</v>
      </c>
      <c r="BQ43" s="18">
        <v>1280</v>
      </c>
      <c r="BR43" s="18">
        <v>1290</v>
      </c>
      <c r="BS43" s="18">
        <v>1290</v>
      </c>
      <c r="BT43" s="18">
        <v>1290</v>
      </c>
      <c r="BU43" s="18">
        <v>1290</v>
      </c>
      <c r="BV43" s="18">
        <v>1280</v>
      </c>
      <c r="BW43" s="18">
        <v>1270</v>
      </c>
      <c r="BX43" s="18">
        <v>1250</v>
      </c>
      <c r="BY43" s="18">
        <v>1240</v>
      </c>
      <c r="BZ43" s="18">
        <v>1260</v>
      </c>
      <c r="CA43" s="18">
        <v>1290</v>
      </c>
      <c r="CB43" s="18">
        <v>1300</v>
      </c>
      <c r="CC43" s="18">
        <v>1310</v>
      </c>
      <c r="CD43" s="18">
        <v>1290</v>
      </c>
      <c r="CE43" s="18">
        <v>1270</v>
      </c>
      <c r="CF43" s="18">
        <v>1240</v>
      </c>
      <c r="CG43" s="18">
        <v>1220</v>
      </c>
      <c r="CH43" s="18">
        <v>1220</v>
      </c>
      <c r="CI43" s="18">
        <v>1240</v>
      </c>
      <c r="CJ43" s="18">
        <v>1250</v>
      </c>
      <c r="CK43" s="18">
        <v>1270</v>
      </c>
      <c r="CL43" s="18">
        <v>1290</v>
      </c>
      <c r="CM43" s="18">
        <v>1310</v>
      </c>
      <c r="CN43" s="18">
        <v>1330</v>
      </c>
      <c r="CO43" s="18">
        <v>1310</v>
      </c>
      <c r="CP43" s="18">
        <v>1290</v>
      </c>
      <c r="CQ43" s="18">
        <v>1260</v>
      </c>
      <c r="CR43" s="18">
        <v>1240</v>
      </c>
      <c r="CS43" s="18">
        <v>1240</v>
      </c>
      <c r="CT43" s="18">
        <v>1240</v>
      </c>
      <c r="CU43" s="18">
        <v>1240</v>
      </c>
      <c r="CV43" s="18">
        <v>1240</v>
      </c>
      <c r="CW43" s="18">
        <v>1250</v>
      </c>
      <c r="CX43" s="18">
        <v>1250</v>
      </c>
      <c r="CY43" s="18">
        <v>1250</v>
      </c>
      <c r="CZ43" s="18">
        <v>1240</v>
      </c>
      <c r="DA43" s="18">
        <v>1250</v>
      </c>
      <c r="DB43" s="18">
        <v>1240</v>
      </c>
      <c r="DC43" s="18">
        <v>1250</v>
      </c>
      <c r="DD43" s="18">
        <v>1260</v>
      </c>
      <c r="DE43" s="18">
        <v>1240</v>
      </c>
      <c r="DF43" s="18">
        <v>1250</v>
      </c>
      <c r="DG43" s="18">
        <v>1290</v>
      </c>
      <c r="DH43" s="18">
        <v>1300</v>
      </c>
      <c r="DI43" s="18">
        <v>1290</v>
      </c>
      <c r="DJ43" s="18">
        <v>1290</v>
      </c>
      <c r="DK43" s="18">
        <v>1300</v>
      </c>
      <c r="DL43" s="18">
        <v>1370</v>
      </c>
      <c r="DM43" s="18">
        <v>1440</v>
      </c>
      <c r="DN43" s="18">
        <v>1500</v>
      </c>
      <c r="DO43" s="18">
        <v>1580</v>
      </c>
      <c r="DP43" s="18">
        <v>1620</v>
      </c>
      <c r="DQ43" s="18">
        <v>1620</v>
      </c>
      <c r="DR43" s="18">
        <v>1620</v>
      </c>
      <c r="DS43" s="18">
        <v>1600</v>
      </c>
      <c r="DT43" s="18">
        <v>1610</v>
      </c>
      <c r="DU43" s="18">
        <v>1760</v>
      </c>
      <c r="DV43" s="18">
        <v>1930</v>
      </c>
      <c r="DW43" s="18">
        <v>2000</v>
      </c>
      <c r="DX43" s="18">
        <v>1990</v>
      </c>
      <c r="DY43" s="18">
        <v>1950</v>
      </c>
      <c r="DZ43" s="18">
        <v>1880</v>
      </c>
      <c r="EA43" s="18">
        <v>1780</v>
      </c>
      <c r="EB43" s="18">
        <v>1750</v>
      </c>
      <c r="EC43" s="18">
        <v>1790</v>
      </c>
      <c r="ED43" s="18">
        <v>1850</v>
      </c>
      <c r="EE43" s="18">
        <v>1990</v>
      </c>
      <c r="EF43" s="18">
        <v>2190</v>
      </c>
      <c r="EG43" s="18">
        <v>2340</v>
      </c>
      <c r="EH43" s="18">
        <v>2830</v>
      </c>
      <c r="EI43" s="18">
        <v>3370</v>
      </c>
      <c r="EJ43" s="18">
        <v>3230</v>
      </c>
      <c r="EK43" s="18">
        <v>2990</v>
      </c>
      <c r="EL43" s="18">
        <v>2670</v>
      </c>
      <c r="EM43" s="18">
        <v>2410</v>
      </c>
      <c r="EN43" s="18">
        <v>2290</v>
      </c>
      <c r="EO43" s="18">
        <v>2470</v>
      </c>
      <c r="EP43" s="18">
        <v>3240</v>
      </c>
      <c r="EQ43" s="18">
        <v>4300</v>
      </c>
      <c r="ER43" s="18">
        <v>4440</v>
      </c>
      <c r="ES43" s="18">
        <v>4330</v>
      </c>
      <c r="ET43" s="18">
        <v>4070</v>
      </c>
      <c r="EU43" s="18">
        <v>4070</v>
      </c>
      <c r="EV43" s="18">
        <v>3950</v>
      </c>
      <c r="EW43" s="18">
        <v>4440</v>
      </c>
      <c r="EX43" s="18">
        <v>4940</v>
      </c>
      <c r="EY43" s="18">
        <v>4610</v>
      </c>
      <c r="EZ43" s="18">
        <v>4360</v>
      </c>
      <c r="FA43" s="18">
        <v>4710</v>
      </c>
      <c r="FB43" s="18">
        <v>5050</v>
      </c>
      <c r="FC43" s="18">
        <v>5060</v>
      </c>
      <c r="FD43" s="18">
        <v>4790</v>
      </c>
      <c r="FE43" s="18">
        <v>4670</v>
      </c>
      <c r="FF43" s="18">
        <v>5080</v>
      </c>
      <c r="FG43" s="18">
        <v>5630</v>
      </c>
      <c r="FH43" s="18">
        <v>5850</v>
      </c>
      <c r="FI43" s="18">
        <v>6080</v>
      </c>
      <c r="FJ43" s="18">
        <v>5680</v>
      </c>
      <c r="FK43" s="18">
        <v>5200</v>
      </c>
      <c r="FL43" s="18">
        <v>5640</v>
      </c>
      <c r="FM43" s="18">
        <v>6540</v>
      </c>
      <c r="FN43" s="18">
        <v>6060</v>
      </c>
      <c r="FO43" s="18">
        <v>6380</v>
      </c>
      <c r="FP43" s="18">
        <v>7400</v>
      </c>
      <c r="FQ43" s="18">
        <v>9340</v>
      </c>
      <c r="FR43" s="18">
        <v>10700</v>
      </c>
      <c r="FS43" s="18">
        <v>11400</v>
      </c>
      <c r="FT43" s="18">
        <v>11300</v>
      </c>
      <c r="FU43" s="18">
        <v>10700</v>
      </c>
      <c r="FV43" s="18">
        <v>10500</v>
      </c>
      <c r="FW43" s="18">
        <v>11200</v>
      </c>
      <c r="FX43" s="18">
        <v>10300</v>
      </c>
      <c r="FY43" s="18">
        <v>8930</v>
      </c>
      <c r="FZ43" s="18">
        <v>7880</v>
      </c>
      <c r="GA43" s="18">
        <v>7400</v>
      </c>
      <c r="GB43" s="18">
        <v>7790</v>
      </c>
      <c r="GC43" s="18">
        <v>8180</v>
      </c>
      <c r="GD43" s="18">
        <v>7550</v>
      </c>
      <c r="GE43" s="18">
        <v>7300</v>
      </c>
      <c r="GF43" s="18">
        <v>6680</v>
      </c>
      <c r="GG43" s="18">
        <v>6140</v>
      </c>
      <c r="GH43" s="18">
        <v>6150</v>
      </c>
      <c r="GI43" s="18">
        <v>6180</v>
      </c>
      <c r="GJ43" s="18">
        <v>5980</v>
      </c>
      <c r="GK43" s="18">
        <v>6420</v>
      </c>
      <c r="GL43" s="18">
        <v>6300</v>
      </c>
      <c r="GM43" s="18">
        <v>5670</v>
      </c>
      <c r="GN43" s="18">
        <v>5200</v>
      </c>
      <c r="GO43" s="18">
        <v>5360</v>
      </c>
      <c r="GP43" s="18">
        <v>5660</v>
      </c>
      <c r="GQ43" s="18">
        <v>5900</v>
      </c>
      <c r="GR43" s="18">
        <v>5870</v>
      </c>
      <c r="GS43" s="18">
        <v>5940</v>
      </c>
      <c r="GT43" s="18">
        <v>7560</v>
      </c>
      <c r="GU43" s="18">
        <v>7800</v>
      </c>
      <c r="GV43" s="18">
        <v>8140</v>
      </c>
      <c r="GW43" s="18">
        <v>9930</v>
      </c>
      <c r="GX43" s="18">
        <v>11500</v>
      </c>
      <c r="GY43" s="18">
        <v>11200</v>
      </c>
      <c r="GZ43" s="18">
        <v>11600</v>
      </c>
      <c r="HA43" s="18">
        <v>11900</v>
      </c>
      <c r="HB43" s="18">
        <v>13000</v>
      </c>
      <c r="HC43" s="18">
        <v>13800</v>
      </c>
      <c r="HD43" s="18">
        <v>13300</v>
      </c>
      <c r="HE43" s="18">
        <v>12900</v>
      </c>
      <c r="HF43" s="18">
        <v>12600</v>
      </c>
      <c r="HG43" s="18">
        <v>12200</v>
      </c>
      <c r="HH43" s="18">
        <v>11400</v>
      </c>
      <c r="HI43" s="18">
        <v>11600</v>
      </c>
      <c r="HJ43" s="18">
        <v>11000</v>
      </c>
      <c r="HK43" s="18">
        <v>10000</v>
      </c>
      <c r="HL43" s="18">
        <v>9220</v>
      </c>
      <c r="HM43" s="18">
        <v>8360</v>
      </c>
      <c r="HN43" s="18">
        <v>7720</v>
      </c>
      <c r="HO43" s="18">
        <v>7170</v>
      </c>
      <c r="HP43" s="18">
        <v>6900</v>
      </c>
      <c r="HQ43" s="18">
        <v>6550</v>
      </c>
      <c r="HR43" s="18">
        <v>6130</v>
      </c>
      <c r="HS43" s="18">
        <v>5860</v>
      </c>
      <c r="HT43" s="18">
        <v>5610</v>
      </c>
      <c r="HU43" s="18">
        <v>5520</v>
      </c>
      <c r="HV43" s="18">
        <v>5750</v>
      </c>
      <c r="HW43" s="18">
        <v>5740</v>
      </c>
      <c r="HX43" s="18">
        <v>5830</v>
      </c>
      <c r="HY43" s="18">
        <v>5930</v>
      </c>
      <c r="HZ43" s="18">
        <v>5980</v>
      </c>
      <c r="IA43" s="18">
        <v>6020</v>
      </c>
      <c r="IB43" s="18">
        <v>6300</v>
      </c>
      <c r="IC43" s="18">
        <v>6810</v>
      </c>
      <c r="ID43" s="18">
        <v>7400</v>
      </c>
      <c r="IE43" s="18">
        <v>8210</v>
      </c>
      <c r="IF43" s="18">
        <v>9530</v>
      </c>
      <c r="IG43" s="18">
        <v>9610</v>
      </c>
      <c r="IH43" s="18">
        <v>10700</v>
      </c>
      <c r="II43" s="18">
        <v>11000</v>
      </c>
      <c r="IJ43" s="18">
        <v>10400</v>
      </c>
      <c r="IK43" s="18">
        <v>9760</v>
      </c>
      <c r="IL43" s="18">
        <v>9380</v>
      </c>
      <c r="IM43" s="18">
        <v>9220</v>
      </c>
      <c r="IN43" s="18">
        <v>9010</v>
      </c>
      <c r="IO43" s="18">
        <v>9010</v>
      </c>
      <c r="IP43" s="18">
        <v>8520</v>
      </c>
      <c r="IQ43" s="18">
        <v>8440</v>
      </c>
      <c r="IR43" s="18">
        <v>8680</v>
      </c>
      <c r="IS43" s="18">
        <v>8460</v>
      </c>
      <c r="IT43" s="18">
        <v>8440</v>
      </c>
      <c r="IU43" s="18">
        <v>8700</v>
      </c>
      <c r="IV43" s="18">
        <v>8580</v>
      </c>
      <c r="IW43" s="18">
        <v>8420</v>
      </c>
      <c r="IX43" s="18">
        <v>8820</v>
      </c>
      <c r="IY43" s="18">
        <v>9230</v>
      </c>
      <c r="IZ43" s="18">
        <v>10200</v>
      </c>
      <c r="JA43" s="18">
        <v>10900</v>
      </c>
      <c r="JB43" s="18">
        <v>11400</v>
      </c>
      <c r="JC43" s="18">
        <v>12700</v>
      </c>
      <c r="JD43" s="18">
        <v>13700</v>
      </c>
      <c r="JE43" s="18">
        <v>13300</v>
      </c>
      <c r="JF43" s="18">
        <v>12300</v>
      </c>
      <c r="JG43" s="18">
        <v>11300</v>
      </c>
      <c r="JH43" s="18">
        <v>10500</v>
      </c>
      <c r="JI43" s="18">
        <v>9920</v>
      </c>
      <c r="JJ43" s="18">
        <v>9390</v>
      </c>
      <c r="JK43" s="18">
        <v>9020</v>
      </c>
      <c r="JL43" s="18">
        <v>8860</v>
      </c>
      <c r="JM43" s="18">
        <v>8770</v>
      </c>
      <c r="JN43" s="18">
        <v>8730</v>
      </c>
      <c r="JO43" s="18">
        <v>8970</v>
      </c>
      <c r="JP43" s="18">
        <v>9410</v>
      </c>
      <c r="JQ43" s="18">
        <v>9870</v>
      </c>
      <c r="JR43" s="18">
        <v>10300</v>
      </c>
      <c r="JS43" s="18">
        <v>10700</v>
      </c>
      <c r="JT43" s="18">
        <v>11100</v>
      </c>
      <c r="JU43" s="18">
        <v>11200</v>
      </c>
      <c r="JV43" s="18">
        <v>10800</v>
      </c>
      <c r="JW43" s="18">
        <v>11200</v>
      </c>
      <c r="JX43" s="18">
        <v>12100</v>
      </c>
      <c r="JY43" s="18">
        <v>11900</v>
      </c>
      <c r="JZ43" s="18">
        <v>10900</v>
      </c>
      <c r="KA43" s="18">
        <v>10000</v>
      </c>
      <c r="KB43" s="18">
        <v>9330</v>
      </c>
      <c r="KC43" s="18">
        <v>8960</v>
      </c>
      <c r="KD43" s="18">
        <v>8630</v>
      </c>
      <c r="KE43" s="18">
        <v>8310</v>
      </c>
      <c r="KF43" s="18">
        <v>8010</v>
      </c>
      <c r="KG43" s="18">
        <v>7760</v>
      </c>
      <c r="KH43" s="18">
        <v>7460</v>
      </c>
      <c r="KI43" s="18">
        <v>7160</v>
      </c>
      <c r="KJ43" s="18">
        <v>6900</v>
      </c>
      <c r="KK43" s="18">
        <v>6630</v>
      </c>
      <c r="KL43" s="18">
        <v>6340</v>
      </c>
      <c r="KM43" s="18">
        <v>6120</v>
      </c>
      <c r="KN43" s="18">
        <v>5910</v>
      </c>
      <c r="KO43" s="18">
        <v>5710</v>
      </c>
      <c r="KP43" s="18">
        <v>5550</v>
      </c>
      <c r="KQ43" s="18">
        <v>5410</v>
      </c>
      <c r="KR43" s="18">
        <v>5340</v>
      </c>
      <c r="KS43" s="18">
        <v>5230</v>
      </c>
      <c r="KT43" s="18">
        <v>5100</v>
      </c>
      <c r="KU43" s="18">
        <v>4930</v>
      </c>
      <c r="KV43" s="18">
        <v>4750</v>
      </c>
      <c r="KW43" s="18">
        <v>4590</v>
      </c>
      <c r="KX43" s="18">
        <v>4460</v>
      </c>
      <c r="KY43" s="18">
        <v>4370</v>
      </c>
      <c r="KZ43" s="18">
        <v>4280</v>
      </c>
      <c r="LA43" s="18">
        <v>4180</v>
      </c>
      <c r="LB43" s="18">
        <v>4060</v>
      </c>
      <c r="LC43" s="18">
        <v>3950</v>
      </c>
      <c r="LD43" s="18">
        <v>3870</v>
      </c>
      <c r="LE43" s="18">
        <v>3800</v>
      </c>
      <c r="LF43" s="18">
        <v>3730</v>
      </c>
      <c r="LG43" s="18">
        <v>3610</v>
      </c>
      <c r="LH43" s="18">
        <v>3520</v>
      </c>
      <c r="LI43" s="18">
        <v>3450</v>
      </c>
      <c r="LJ43" s="18">
        <v>3400</v>
      </c>
      <c r="LK43" s="18">
        <v>3350</v>
      </c>
      <c r="LL43" s="18">
        <v>3290</v>
      </c>
      <c r="LM43" s="18">
        <v>3210</v>
      </c>
      <c r="LN43" s="18">
        <v>3140</v>
      </c>
      <c r="LO43" s="18">
        <v>3090</v>
      </c>
      <c r="LP43" s="18">
        <v>3020</v>
      </c>
      <c r="LQ43" s="18">
        <v>2970</v>
      </c>
      <c r="LR43" s="18">
        <v>2920</v>
      </c>
      <c r="LS43" s="18">
        <v>2880</v>
      </c>
      <c r="LT43" s="18">
        <v>2830</v>
      </c>
      <c r="LU43" s="18">
        <v>2780</v>
      </c>
      <c r="LV43" s="18">
        <v>2750</v>
      </c>
      <c r="LW43" s="18">
        <v>2710</v>
      </c>
      <c r="LX43" s="18">
        <v>2690</v>
      </c>
      <c r="LY43" s="18">
        <v>2680</v>
      </c>
      <c r="LZ43" s="18">
        <v>2660</v>
      </c>
      <c r="MA43" s="18">
        <v>2660</v>
      </c>
      <c r="MB43" s="18">
        <v>2670</v>
      </c>
      <c r="MC43" s="18">
        <v>2630</v>
      </c>
      <c r="MD43" s="18">
        <v>2580</v>
      </c>
      <c r="ME43" s="18">
        <v>2530</v>
      </c>
      <c r="MF43" s="18">
        <v>2480</v>
      </c>
      <c r="MG43" s="18">
        <v>2430</v>
      </c>
      <c r="MH43" s="18">
        <v>2370</v>
      </c>
      <c r="MI43" s="18">
        <v>2320</v>
      </c>
      <c r="MJ43" s="18">
        <v>2300</v>
      </c>
      <c r="MK43" s="18">
        <v>2260</v>
      </c>
      <c r="ML43" s="18">
        <v>2230</v>
      </c>
      <c r="MM43" s="18">
        <v>2210</v>
      </c>
      <c r="MN43" s="18">
        <v>2190</v>
      </c>
      <c r="MO43" s="18">
        <v>2150</v>
      </c>
      <c r="MP43" s="18">
        <v>2130</v>
      </c>
      <c r="MQ43" s="18">
        <v>2110</v>
      </c>
      <c r="MR43" s="18">
        <v>2100</v>
      </c>
      <c r="MS43" s="18">
        <v>2090</v>
      </c>
      <c r="MT43" s="18">
        <v>2080</v>
      </c>
      <c r="MU43" s="18">
        <v>2070</v>
      </c>
      <c r="MV43" s="18">
        <v>2050</v>
      </c>
      <c r="MW43" s="18">
        <v>2030</v>
      </c>
      <c r="MX43" s="18">
        <v>2000</v>
      </c>
      <c r="MY43" s="18">
        <v>1980</v>
      </c>
      <c r="MZ43" s="18">
        <v>1960</v>
      </c>
      <c r="NA43" s="18">
        <v>1940</v>
      </c>
      <c r="NB43" s="18">
        <v>1930</v>
      </c>
      <c r="NC43" s="18">
        <v>1920</v>
      </c>
      <c r="ND43" s="1">
        <v>1610</v>
      </c>
      <c r="NE43" s="1">
        <v>1390</v>
      </c>
      <c r="NF43" s="1">
        <v>1270</v>
      </c>
      <c r="NG43" s="1">
        <v>1330</v>
      </c>
      <c r="NH43" s="1">
        <v>2690</v>
      </c>
      <c r="NI43" s="1">
        <v>7110</v>
      </c>
      <c r="NJ43" s="1">
        <v>8370</v>
      </c>
      <c r="NK43" s="1">
        <v>8070</v>
      </c>
      <c r="NL43" s="1">
        <v>9760</v>
      </c>
      <c r="NM43" s="1">
        <v>8370</v>
      </c>
      <c r="NN43" s="1">
        <v>3550</v>
      </c>
      <c r="NO43" s="1">
        <v>2250</v>
      </c>
      <c r="NP43" s="1">
        <v>4666.0547945205481</v>
      </c>
      <c r="NQ43" s="1">
        <v>13800</v>
      </c>
      <c r="NR43" s="19">
        <v>42579</v>
      </c>
      <c r="NS43" s="1">
        <v>1220</v>
      </c>
      <c r="NT43" s="19">
        <v>42453</v>
      </c>
    </row>
    <row r="44" spans="1:384" x14ac:dyDescent="0.15">
      <c r="A44" s="1">
        <v>1991</v>
      </c>
      <c r="B44" s="18">
        <v>1840</v>
      </c>
      <c r="C44" s="18">
        <v>1820</v>
      </c>
      <c r="D44" s="18">
        <v>1800</v>
      </c>
      <c r="E44" s="18">
        <v>1840</v>
      </c>
      <c r="F44" s="18">
        <v>1870</v>
      </c>
      <c r="G44" s="18">
        <v>1890</v>
      </c>
      <c r="H44" s="18">
        <v>1860</v>
      </c>
      <c r="I44" s="18">
        <v>1830</v>
      </c>
      <c r="J44" s="18">
        <v>1800</v>
      </c>
      <c r="K44" s="18">
        <v>1760</v>
      </c>
      <c r="L44" s="18">
        <v>1720</v>
      </c>
      <c r="M44" s="18">
        <v>1700</v>
      </c>
      <c r="N44" s="18">
        <v>1680</v>
      </c>
      <c r="O44" s="18">
        <v>1670</v>
      </c>
      <c r="P44" s="18">
        <v>1650</v>
      </c>
      <c r="Q44" s="18">
        <v>1630</v>
      </c>
      <c r="R44" s="18">
        <v>1620</v>
      </c>
      <c r="S44" s="18">
        <v>1610</v>
      </c>
      <c r="T44" s="18">
        <v>1600</v>
      </c>
      <c r="U44" s="18">
        <v>1590</v>
      </c>
      <c r="V44" s="18">
        <v>1560</v>
      </c>
      <c r="W44" s="18">
        <v>1540</v>
      </c>
      <c r="X44" s="18">
        <v>1520</v>
      </c>
      <c r="Y44" s="18">
        <v>1500</v>
      </c>
      <c r="Z44" s="18">
        <v>1490</v>
      </c>
      <c r="AA44" s="18">
        <v>1470</v>
      </c>
      <c r="AB44" s="18">
        <v>1460</v>
      </c>
      <c r="AC44" s="18">
        <v>1450</v>
      </c>
      <c r="AD44" s="18">
        <v>1440</v>
      </c>
      <c r="AE44" s="18">
        <v>1440</v>
      </c>
      <c r="AF44" s="18">
        <v>1430</v>
      </c>
      <c r="AG44" s="18">
        <v>1420</v>
      </c>
      <c r="AH44" s="18">
        <v>1430</v>
      </c>
      <c r="AI44" s="18">
        <v>1440</v>
      </c>
      <c r="AJ44" s="18">
        <v>1440</v>
      </c>
      <c r="AK44" s="18">
        <v>1460</v>
      </c>
      <c r="AL44" s="18">
        <v>1460</v>
      </c>
      <c r="AM44" s="18">
        <v>1460</v>
      </c>
      <c r="AN44" s="18">
        <v>1450</v>
      </c>
      <c r="AO44" s="18">
        <v>1440</v>
      </c>
      <c r="AP44" s="18">
        <v>1420</v>
      </c>
      <c r="AQ44" s="18">
        <v>1410</v>
      </c>
      <c r="AR44" s="18">
        <v>1390</v>
      </c>
      <c r="AS44" s="18">
        <v>1380</v>
      </c>
      <c r="AT44" s="18">
        <v>1380</v>
      </c>
      <c r="AU44" s="18">
        <v>1370</v>
      </c>
      <c r="AV44" s="18">
        <v>1360</v>
      </c>
      <c r="AW44" s="18">
        <v>1360</v>
      </c>
      <c r="AX44" s="18">
        <v>1370</v>
      </c>
      <c r="AY44" s="18">
        <v>1370</v>
      </c>
      <c r="AZ44" s="18">
        <v>1360</v>
      </c>
      <c r="BA44" s="18">
        <v>1350</v>
      </c>
      <c r="BB44" s="18">
        <v>1350</v>
      </c>
      <c r="BC44" s="18">
        <v>1360</v>
      </c>
      <c r="BD44" s="18">
        <v>1370</v>
      </c>
      <c r="BE44" s="18">
        <v>1380</v>
      </c>
      <c r="BF44" s="18">
        <v>1380</v>
      </c>
      <c r="BG44" s="18">
        <v>1370</v>
      </c>
      <c r="BH44" s="18">
        <v>1360</v>
      </c>
      <c r="BI44" s="18"/>
      <c r="BJ44" s="18">
        <v>1340</v>
      </c>
      <c r="BK44" s="18">
        <v>1340</v>
      </c>
      <c r="BL44" s="18">
        <v>1330</v>
      </c>
      <c r="BM44" s="18">
        <v>1330</v>
      </c>
      <c r="BN44" s="18">
        <v>1330</v>
      </c>
      <c r="BO44" s="18">
        <v>1330</v>
      </c>
      <c r="BP44" s="18">
        <v>1330</v>
      </c>
      <c r="BQ44" s="18">
        <v>1310</v>
      </c>
      <c r="BR44" s="18">
        <v>1300</v>
      </c>
      <c r="BS44" s="18">
        <v>1300</v>
      </c>
      <c r="BT44" s="18">
        <v>1310</v>
      </c>
      <c r="BU44" s="18">
        <v>1300</v>
      </c>
      <c r="BV44" s="18">
        <v>1290</v>
      </c>
      <c r="BW44" s="18">
        <v>1280</v>
      </c>
      <c r="BX44" s="18">
        <v>1280</v>
      </c>
      <c r="BY44" s="18">
        <v>1280</v>
      </c>
      <c r="BZ44" s="18">
        <v>1280</v>
      </c>
      <c r="CA44" s="18">
        <v>1280</v>
      </c>
      <c r="CB44" s="18">
        <v>1280</v>
      </c>
      <c r="CC44" s="18">
        <v>1280</v>
      </c>
      <c r="CD44" s="18">
        <v>1280</v>
      </c>
      <c r="CE44" s="18">
        <v>1280</v>
      </c>
      <c r="CF44" s="18">
        <v>1280</v>
      </c>
      <c r="CG44" s="18">
        <v>1280</v>
      </c>
      <c r="CH44" s="18">
        <v>1290</v>
      </c>
      <c r="CI44" s="18">
        <v>1320</v>
      </c>
      <c r="CJ44" s="18">
        <v>1330</v>
      </c>
      <c r="CK44" s="18">
        <v>1330</v>
      </c>
      <c r="CL44" s="18">
        <v>1360</v>
      </c>
      <c r="CM44" s="18">
        <v>1360</v>
      </c>
      <c r="CN44" s="18">
        <v>1350</v>
      </c>
      <c r="CO44" s="18">
        <v>1350</v>
      </c>
      <c r="CP44" s="18">
        <v>1350</v>
      </c>
      <c r="CQ44" s="18">
        <v>1370</v>
      </c>
      <c r="CR44" s="18">
        <v>1410</v>
      </c>
      <c r="CS44" s="18">
        <v>1420</v>
      </c>
      <c r="CT44" s="18">
        <v>1420</v>
      </c>
      <c r="CU44" s="18">
        <v>1420</v>
      </c>
      <c r="CV44" s="18">
        <v>1410</v>
      </c>
      <c r="CW44" s="18">
        <v>1420</v>
      </c>
      <c r="CX44" s="18">
        <v>1420</v>
      </c>
      <c r="CY44" s="18">
        <v>1410</v>
      </c>
      <c r="CZ44" s="18">
        <v>1400</v>
      </c>
      <c r="DA44" s="18">
        <v>1410</v>
      </c>
      <c r="DB44" s="18">
        <v>1420</v>
      </c>
      <c r="DC44" s="18">
        <v>1410</v>
      </c>
      <c r="DD44" s="18">
        <v>1400</v>
      </c>
      <c r="DE44" s="18">
        <v>1380</v>
      </c>
      <c r="DF44" s="18">
        <v>1360</v>
      </c>
      <c r="DG44" s="18">
        <v>1350</v>
      </c>
      <c r="DH44" s="18">
        <v>1340</v>
      </c>
      <c r="DI44" s="18">
        <v>1350</v>
      </c>
      <c r="DJ44" s="18">
        <v>1370</v>
      </c>
      <c r="DK44" s="18">
        <v>1380</v>
      </c>
      <c r="DL44" s="18">
        <v>1360</v>
      </c>
      <c r="DM44" s="18">
        <v>1350</v>
      </c>
      <c r="DN44" s="18">
        <v>1340</v>
      </c>
      <c r="DO44" s="18">
        <v>1340</v>
      </c>
      <c r="DP44" s="18">
        <v>1320</v>
      </c>
      <c r="DQ44" s="18">
        <v>1290</v>
      </c>
      <c r="DR44" s="18">
        <v>1290</v>
      </c>
      <c r="DS44" s="18">
        <v>1310</v>
      </c>
      <c r="DT44" s="18">
        <v>1360</v>
      </c>
      <c r="DU44" s="18">
        <v>1430</v>
      </c>
      <c r="DV44" s="18">
        <v>1570</v>
      </c>
      <c r="DW44" s="18">
        <v>1750</v>
      </c>
      <c r="DX44" s="18">
        <v>1810</v>
      </c>
      <c r="DY44" s="18">
        <v>1820</v>
      </c>
      <c r="DZ44" s="18">
        <v>1810</v>
      </c>
      <c r="EA44" s="18">
        <v>1860</v>
      </c>
      <c r="EB44" s="18">
        <v>1880</v>
      </c>
      <c r="EC44" s="18">
        <v>1900</v>
      </c>
      <c r="ED44" s="18">
        <v>2030</v>
      </c>
      <c r="EE44" s="18">
        <v>2090</v>
      </c>
      <c r="EF44" s="18">
        <v>2050</v>
      </c>
      <c r="EG44" s="18">
        <v>2080</v>
      </c>
      <c r="EH44" s="18">
        <v>2220</v>
      </c>
      <c r="EI44" s="18">
        <v>2340</v>
      </c>
      <c r="EJ44" s="18">
        <v>2470</v>
      </c>
      <c r="EK44" s="18">
        <v>2540</v>
      </c>
      <c r="EL44" s="18">
        <v>2580</v>
      </c>
      <c r="EM44" s="18">
        <v>2570</v>
      </c>
      <c r="EN44" s="18">
        <v>2520</v>
      </c>
      <c r="EO44" s="18">
        <v>2470</v>
      </c>
      <c r="EP44" s="18">
        <v>2480</v>
      </c>
      <c r="EQ44" s="18">
        <v>2530</v>
      </c>
      <c r="ER44" s="18">
        <v>2570</v>
      </c>
      <c r="ES44" s="18">
        <v>2690</v>
      </c>
      <c r="ET44" s="18">
        <v>2840</v>
      </c>
      <c r="EU44" s="18">
        <v>2800</v>
      </c>
      <c r="EV44" s="18">
        <v>2660</v>
      </c>
      <c r="EW44" s="18">
        <v>2530</v>
      </c>
      <c r="EX44" s="18">
        <v>2610</v>
      </c>
      <c r="EY44" s="18">
        <v>2780</v>
      </c>
      <c r="EZ44" s="18">
        <v>2880</v>
      </c>
      <c r="FA44" s="18">
        <v>2870</v>
      </c>
      <c r="FB44" s="18">
        <v>2900</v>
      </c>
      <c r="FC44" s="18">
        <v>2940</v>
      </c>
      <c r="FD44" s="18">
        <v>3060</v>
      </c>
      <c r="FE44" s="18">
        <v>3050</v>
      </c>
      <c r="FF44" s="18">
        <v>2900</v>
      </c>
      <c r="FG44" s="18">
        <v>2940</v>
      </c>
      <c r="FH44" s="18">
        <v>2880</v>
      </c>
      <c r="FI44" s="18">
        <v>2860</v>
      </c>
      <c r="FJ44" s="18">
        <v>2690</v>
      </c>
      <c r="FK44" s="18">
        <v>2580</v>
      </c>
      <c r="FL44" s="18">
        <v>2820</v>
      </c>
      <c r="FM44" s="18">
        <v>3070</v>
      </c>
      <c r="FN44" s="18">
        <v>3460</v>
      </c>
      <c r="FO44" s="18">
        <v>3640</v>
      </c>
      <c r="FP44" s="18">
        <v>4060</v>
      </c>
      <c r="FQ44" s="18">
        <v>4860</v>
      </c>
      <c r="FR44" s="18">
        <v>5880</v>
      </c>
      <c r="FS44" s="18">
        <v>6220</v>
      </c>
      <c r="FT44" s="18">
        <v>5770</v>
      </c>
      <c r="FU44" s="18">
        <v>5480</v>
      </c>
      <c r="FV44" s="18">
        <v>5550</v>
      </c>
      <c r="FW44" s="18">
        <v>6010</v>
      </c>
      <c r="FX44" s="18">
        <v>6140</v>
      </c>
      <c r="FY44" s="18">
        <v>5820</v>
      </c>
      <c r="FZ44" s="18">
        <v>5500</v>
      </c>
      <c r="GA44" s="18">
        <v>5280</v>
      </c>
      <c r="GB44" s="18">
        <v>5710</v>
      </c>
      <c r="GC44" s="18">
        <v>6770</v>
      </c>
      <c r="GD44" s="18">
        <v>7380</v>
      </c>
      <c r="GE44" s="18">
        <v>7660</v>
      </c>
      <c r="GF44" s="18">
        <v>7660</v>
      </c>
      <c r="GG44" s="18">
        <v>8070</v>
      </c>
      <c r="GH44" s="18">
        <v>8610</v>
      </c>
      <c r="GI44" s="18">
        <v>9880</v>
      </c>
      <c r="GJ44" s="18">
        <v>12600</v>
      </c>
      <c r="GK44" s="18">
        <v>13600</v>
      </c>
      <c r="GL44" s="18">
        <v>14600</v>
      </c>
      <c r="GM44" s="18">
        <v>15000</v>
      </c>
      <c r="GN44" s="18">
        <v>14100</v>
      </c>
      <c r="GO44" s="18">
        <v>13700</v>
      </c>
      <c r="GP44" s="18">
        <v>14300</v>
      </c>
      <c r="GQ44" s="18">
        <v>14300</v>
      </c>
      <c r="GR44" s="18">
        <v>14100</v>
      </c>
      <c r="GS44" s="18">
        <v>12700</v>
      </c>
      <c r="GT44" s="18">
        <v>11500</v>
      </c>
      <c r="GU44" s="18">
        <v>9960</v>
      </c>
      <c r="GV44" s="18">
        <v>8920</v>
      </c>
      <c r="GW44" s="18">
        <v>7810</v>
      </c>
      <c r="GX44" s="18">
        <v>7640</v>
      </c>
      <c r="GY44" s="18">
        <v>7720</v>
      </c>
      <c r="GZ44" s="18">
        <v>7500</v>
      </c>
      <c r="HA44" s="18">
        <v>6990</v>
      </c>
      <c r="HB44" s="18">
        <v>6550</v>
      </c>
      <c r="HC44" s="18">
        <v>6180</v>
      </c>
      <c r="HD44" s="18">
        <v>6040</v>
      </c>
      <c r="HE44" s="18">
        <v>6090</v>
      </c>
      <c r="HF44" s="18">
        <v>7340</v>
      </c>
      <c r="HG44" s="18">
        <v>8700</v>
      </c>
      <c r="HH44" s="18">
        <v>9930</v>
      </c>
      <c r="HI44" s="18">
        <v>11000</v>
      </c>
      <c r="HJ44" s="18">
        <v>12200</v>
      </c>
      <c r="HK44" s="18">
        <v>13200</v>
      </c>
      <c r="HL44" s="18">
        <v>13400</v>
      </c>
      <c r="HM44" s="18">
        <v>13300</v>
      </c>
      <c r="HN44" s="18">
        <v>13700</v>
      </c>
      <c r="HO44" s="18">
        <v>14200</v>
      </c>
      <c r="HP44" s="18">
        <v>15800</v>
      </c>
      <c r="HQ44" s="18">
        <v>17000</v>
      </c>
      <c r="HR44" s="18">
        <v>16700</v>
      </c>
      <c r="HS44" s="18">
        <v>15900</v>
      </c>
      <c r="HT44" s="18">
        <v>15600</v>
      </c>
      <c r="HU44" s="18">
        <v>17300</v>
      </c>
      <c r="HV44" s="18">
        <v>20600</v>
      </c>
      <c r="HW44" s="18">
        <v>21000</v>
      </c>
      <c r="HX44" s="18">
        <v>19700</v>
      </c>
      <c r="HY44" s="18">
        <v>17500</v>
      </c>
      <c r="HZ44" s="18">
        <v>15200</v>
      </c>
      <c r="IA44" s="18">
        <v>13800</v>
      </c>
      <c r="IB44" s="18">
        <v>13800</v>
      </c>
      <c r="IC44" s="18">
        <v>13700</v>
      </c>
      <c r="ID44" s="18">
        <v>13300</v>
      </c>
      <c r="IE44" s="18">
        <v>12500</v>
      </c>
      <c r="IF44" s="18">
        <v>11900</v>
      </c>
      <c r="IG44" s="18">
        <v>11500</v>
      </c>
      <c r="IH44" s="18">
        <v>11500</v>
      </c>
      <c r="II44" s="18">
        <v>11500</v>
      </c>
      <c r="IJ44" s="18">
        <v>11200</v>
      </c>
      <c r="IK44" s="18">
        <v>11200</v>
      </c>
      <c r="IL44" s="18">
        <v>11500</v>
      </c>
      <c r="IM44" s="18">
        <v>11400</v>
      </c>
      <c r="IN44" s="18">
        <v>10800</v>
      </c>
      <c r="IO44" s="18">
        <v>10800</v>
      </c>
      <c r="IP44" s="18">
        <v>10500</v>
      </c>
      <c r="IQ44" s="18">
        <v>10600</v>
      </c>
      <c r="IR44" s="18">
        <v>10600</v>
      </c>
      <c r="IS44" s="18">
        <v>10500</v>
      </c>
      <c r="IT44" s="18">
        <v>11000</v>
      </c>
      <c r="IU44" s="18">
        <v>10900</v>
      </c>
      <c r="IV44" s="18">
        <v>11200</v>
      </c>
      <c r="IW44" s="18">
        <v>12400</v>
      </c>
      <c r="IX44" s="18">
        <v>14500</v>
      </c>
      <c r="IY44" s="18">
        <v>15700</v>
      </c>
      <c r="IZ44" s="18">
        <v>13800</v>
      </c>
      <c r="JA44" s="18">
        <v>12100</v>
      </c>
      <c r="JB44" s="18">
        <v>11400</v>
      </c>
      <c r="JC44" s="18">
        <v>10800</v>
      </c>
      <c r="JD44" s="18">
        <v>11700</v>
      </c>
      <c r="JE44" s="18">
        <v>13300</v>
      </c>
      <c r="JF44" s="18">
        <v>13200</v>
      </c>
      <c r="JG44" s="18">
        <v>12000</v>
      </c>
      <c r="JH44" s="18">
        <v>11100</v>
      </c>
      <c r="JI44" s="18">
        <v>11100</v>
      </c>
      <c r="JJ44" s="18">
        <v>12300</v>
      </c>
      <c r="JK44" s="18">
        <v>12800</v>
      </c>
      <c r="JL44" s="18">
        <v>12600</v>
      </c>
      <c r="JM44" s="18">
        <v>12300</v>
      </c>
      <c r="JN44" s="18">
        <v>12000</v>
      </c>
      <c r="JO44" s="18">
        <v>11400</v>
      </c>
      <c r="JP44" s="18">
        <v>10700</v>
      </c>
      <c r="JQ44" s="18">
        <v>9910</v>
      </c>
      <c r="JR44" s="18">
        <v>9210</v>
      </c>
      <c r="JS44" s="18">
        <v>8910</v>
      </c>
      <c r="JT44" s="18">
        <v>8870</v>
      </c>
      <c r="JU44" s="18">
        <v>9030</v>
      </c>
      <c r="JV44" s="18">
        <v>9520</v>
      </c>
      <c r="JW44" s="18">
        <v>9460</v>
      </c>
      <c r="JX44" s="18">
        <v>8930</v>
      </c>
      <c r="JY44" s="18">
        <v>8390</v>
      </c>
      <c r="JZ44" s="18">
        <v>7880</v>
      </c>
      <c r="KA44" s="18">
        <v>7430</v>
      </c>
      <c r="KB44" s="18">
        <v>6960</v>
      </c>
      <c r="KC44" s="18">
        <v>6590</v>
      </c>
      <c r="KD44" s="18">
        <v>6270</v>
      </c>
      <c r="KE44" s="18">
        <v>5980</v>
      </c>
      <c r="KF44" s="18">
        <v>5740</v>
      </c>
      <c r="KG44" s="18">
        <v>5540</v>
      </c>
      <c r="KH44" s="18">
        <v>5380</v>
      </c>
      <c r="KI44" s="18">
        <v>5190</v>
      </c>
      <c r="KJ44" s="18">
        <v>5130</v>
      </c>
      <c r="KK44" s="18">
        <v>4940</v>
      </c>
      <c r="KL44" s="18">
        <v>4850</v>
      </c>
      <c r="KM44" s="18">
        <v>4830</v>
      </c>
      <c r="KN44" s="18">
        <v>4680</v>
      </c>
      <c r="KO44" s="18">
        <v>4550</v>
      </c>
      <c r="KP44" s="18">
        <v>4450</v>
      </c>
      <c r="KQ44" s="18">
        <v>4350</v>
      </c>
      <c r="KR44" s="18">
        <v>4250</v>
      </c>
      <c r="KS44" s="18">
        <v>4160</v>
      </c>
      <c r="KT44" s="18">
        <v>4060</v>
      </c>
      <c r="KU44" s="18">
        <v>4190</v>
      </c>
      <c r="KV44" s="18">
        <v>4680</v>
      </c>
      <c r="KW44" s="18">
        <v>4800</v>
      </c>
      <c r="KX44" s="18">
        <v>4430</v>
      </c>
      <c r="KY44" s="18">
        <v>4150</v>
      </c>
      <c r="KZ44" s="18">
        <v>3970</v>
      </c>
      <c r="LA44" s="18">
        <v>3830</v>
      </c>
      <c r="LB44" s="18">
        <v>3730</v>
      </c>
      <c r="LC44" s="18">
        <v>3630</v>
      </c>
      <c r="LD44" s="18">
        <v>3550</v>
      </c>
      <c r="LE44" s="18">
        <v>3470</v>
      </c>
      <c r="LF44" s="18">
        <v>3370</v>
      </c>
      <c r="LG44" s="18">
        <v>3290</v>
      </c>
      <c r="LH44" s="18">
        <v>3200</v>
      </c>
      <c r="LI44" s="18">
        <v>3120</v>
      </c>
      <c r="LJ44" s="18">
        <v>3060</v>
      </c>
      <c r="LK44" s="18">
        <v>3010</v>
      </c>
      <c r="LL44" s="18">
        <v>2950</v>
      </c>
      <c r="LM44" s="18">
        <v>2880</v>
      </c>
      <c r="LN44" s="18">
        <v>2820</v>
      </c>
      <c r="LO44" s="18">
        <v>2760</v>
      </c>
      <c r="LP44" s="18">
        <v>2710</v>
      </c>
      <c r="LQ44" s="18">
        <v>2660</v>
      </c>
      <c r="LR44" s="18">
        <v>2610</v>
      </c>
      <c r="LS44" s="18">
        <v>2570</v>
      </c>
      <c r="LT44" s="18">
        <v>2560</v>
      </c>
      <c r="LU44" s="18">
        <v>2520</v>
      </c>
      <c r="LV44" s="18">
        <v>2510</v>
      </c>
      <c r="LW44" s="18">
        <v>2470</v>
      </c>
      <c r="LX44" s="18">
        <v>2420</v>
      </c>
      <c r="LY44" s="18">
        <v>2390</v>
      </c>
      <c r="LZ44" s="18">
        <v>2360</v>
      </c>
      <c r="MA44" s="18">
        <v>2340</v>
      </c>
      <c r="MB44" s="18">
        <v>2290</v>
      </c>
      <c r="MC44" s="18">
        <v>2260</v>
      </c>
      <c r="MD44" s="18">
        <v>2230</v>
      </c>
      <c r="ME44" s="18">
        <v>2200</v>
      </c>
      <c r="MF44" s="18">
        <v>2160</v>
      </c>
      <c r="MG44" s="18">
        <v>2120</v>
      </c>
      <c r="MH44" s="18">
        <v>2070</v>
      </c>
      <c r="MI44" s="18">
        <v>2040</v>
      </c>
      <c r="MJ44" s="18">
        <v>2020</v>
      </c>
      <c r="MK44" s="18">
        <v>2000</v>
      </c>
      <c r="ML44" s="18">
        <v>1980</v>
      </c>
      <c r="MM44" s="18">
        <v>1960</v>
      </c>
      <c r="MN44" s="18">
        <v>1950</v>
      </c>
      <c r="MO44" s="18">
        <v>1960</v>
      </c>
      <c r="MP44" s="18">
        <v>1920</v>
      </c>
      <c r="MQ44" s="18">
        <v>1900</v>
      </c>
      <c r="MR44" s="18">
        <v>1870</v>
      </c>
      <c r="MS44" s="18">
        <v>1850</v>
      </c>
      <c r="MT44" s="18">
        <v>1830</v>
      </c>
      <c r="MU44" s="18">
        <v>1820</v>
      </c>
      <c r="MV44" s="18">
        <v>1800</v>
      </c>
      <c r="MW44" s="18">
        <v>1790</v>
      </c>
      <c r="MX44" s="18">
        <v>1780</v>
      </c>
      <c r="MY44" s="18">
        <v>1780</v>
      </c>
      <c r="MZ44" s="18">
        <v>1790</v>
      </c>
      <c r="NA44" s="18">
        <v>1800</v>
      </c>
      <c r="NB44" s="18">
        <v>1800</v>
      </c>
      <c r="NC44" s="18">
        <v>1790</v>
      </c>
      <c r="ND44" s="1">
        <v>1650</v>
      </c>
      <c r="NE44" s="1">
        <v>1400</v>
      </c>
      <c r="NF44" s="1">
        <v>1310</v>
      </c>
      <c r="NG44" s="1">
        <v>1380</v>
      </c>
      <c r="NH44" s="1">
        <v>2180</v>
      </c>
      <c r="NI44" s="1">
        <v>3980</v>
      </c>
      <c r="NJ44" s="1">
        <v>9710</v>
      </c>
      <c r="NK44" s="1">
        <v>14100</v>
      </c>
      <c r="NL44" s="1">
        <v>11900</v>
      </c>
      <c r="NM44" s="1">
        <v>6650</v>
      </c>
      <c r="NN44" s="1">
        <v>3260</v>
      </c>
      <c r="NO44" s="1">
        <v>2000</v>
      </c>
      <c r="NP44" s="1">
        <v>4986.4931506849316</v>
      </c>
      <c r="NQ44" s="1">
        <v>21000</v>
      </c>
      <c r="NR44" s="19">
        <v>42599</v>
      </c>
      <c r="NS44" s="1">
        <v>1280</v>
      </c>
      <c r="NT44" s="19">
        <v>42443</v>
      </c>
    </row>
    <row r="45" spans="1:384" x14ac:dyDescent="0.15">
      <c r="A45" s="1">
        <v>1992</v>
      </c>
      <c r="B45" s="18">
        <v>1820</v>
      </c>
      <c r="C45" s="18">
        <v>1780</v>
      </c>
      <c r="D45" s="18">
        <v>1750</v>
      </c>
      <c r="E45" s="18">
        <v>1730</v>
      </c>
      <c r="F45" s="18">
        <v>1690</v>
      </c>
      <c r="G45" s="18">
        <v>1640</v>
      </c>
      <c r="H45" s="18">
        <v>1600</v>
      </c>
      <c r="I45" s="18">
        <v>1570</v>
      </c>
      <c r="J45" s="18">
        <v>1550</v>
      </c>
      <c r="K45" s="18">
        <v>1550</v>
      </c>
      <c r="L45" s="18">
        <v>1550</v>
      </c>
      <c r="M45" s="18">
        <v>1540</v>
      </c>
      <c r="N45" s="18">
        <v>1530</v>
      </c>
      <c r="O45" s="18">
        <v>1520</v>
      </c>
      <c r="P45" s="18">
        <v>1510</v>
      </c>
      <c r="Q45" s="18">
        <v>1500</v>
      </c>
      <c r="R45" s="18">
        <v>1520</v>
      </c>
      <c r="S45" s="18">
        <v>1530</v>
      </c>
      <c r="T45" s="18">
        <v>1500</v>
      </c>
      <c r="U45" s="18">
        <v>1500</v>
      </c>
      <c r="V45" s="18">
        <v>1490</v>
      </c>
      <c r="W45" s="18">
        <v>1480</v>
      </c>
      <c r="X45" s="18">
        <v>1480</v>
      </c>
      <c r="Y45" s="18">
        <v>1470</v>
      </c>
      <c r="Z45" s="18">
        <v>1470</v>
      </c>
      <c r="AA45" s="18">
        <v>1460</v>
      </c>
      <c r="AB45" s="18">
        <v>1430</v>
      </c>
      <c r="AC45" s="18">
        <v>1420</v>
      </c>
      <c r="AD45" s="18">
        <v>1390</v>
      </c>
      <c r="AE45" s="18">
        <v>1370</v>
      </c>
      <c r="AF45" s="18">
        <v>1360</v>
      </c>
      <c r="AG45" s="18">
        <v>1350</v>
      </c>
      <c r="AH45" s="18">
        <v>1340</v>
      </c>
      <c r="AI45" s="18">
        <v>1330</v>
      </c>
      <c r="AJ45" s="18">
        <v>1320</v>
      </c>
      <c r="AK45" s="18">
        <v>1330</v>
      </c>
      <c r="AL45" s="18">
        <v>1350</v>
      </c>
      <c r="AM45" s="18">
        <v>1350</v>
      </c>
      <c r="AN45" s="18">
        <v>1340</v>
      </c>
      <c r="AO45" s="18">
        <v>1330</v>
      </c>
      <c r="AP45" s="18">
        <v>1310</v>
      </c>
      <c r="AQ45" s="18">
        <v>1300</v>
      </c>
      <c r="AR45" s="18">
        <v>1280</v>
      </c>
      <c r="AS45" s="18">
        <v>1240</v>
      </c>
      <c r="AT45" s="18">
        <v>1220</v>
      </c>
      <c r="AU45" s="18">
        <v>1210</v>
      </c>
      <c r="AV45" s="18">
        <v>1210</v>
      </c>
      <c r="AW45" s="18">
        <v>1210</v>
      </c>
      <c r="AX45" s="18">
        <v>1210</v>
      </c>
      <c r="AY45" s="18">
        <v>1190</v>
      </c>
      <c r="AZ45" s="18">
        <v>1190</v>
      </c>
      <c r="BA45" s="18">
        <v>1210</v>
      </c>
      <c r="BB45" s="18">
        <v>1210</v>
      </c>
      <c r="BC45" s="18">
        <v>1210</v>
      </c>
      <c r="BD45" s="18">
        <v>1200</v>
      </c>
      <c r="BE45" s="18">
        <v>1190</v>
      </c>
      <c r="BF45" s="18">
        <v>1190</v>
      </c>
      <c r="BG45" s="18">
        <v>1220</v>
      </c>
      <c r="BH45" s="18">
        <v>1220</v>
      </c>
      <c r="BI45" s="18">
        <v>1220</v>
      </c>
      <c r="BJ45" s="18">
        <v>1200</v>
      </c>
      <c r="BK45" s="18">
        <v>1180</v>
      </c>
      <c r="BL45" s="18">
        <v>1160</v>
      </c>
      <c r="BM45" s="18">
        <v>1150</v>
      </c>
      <c r="BN45" s="18">
        <v>1140</v>
      </c>
      <c r="BO45" s="18">
        <v>1140</v>
      </c>
      <c r="BP45" s="18">
        <v>1140</v>
      </c>
      <c r="BQ45" s="18">
        <v>1140</v>
      </c>
      <c r="BR45" s="18">
        <v>1140</v>
      </c>
      <c r="BS45" s="18">
        <v>1140</v>
      </c>
      <c r="BT45" s="18">
        <v>1130</v>
      </c>
      <c r="BU45" s="18">
        <v>1120</v>
      </c>
      <c r="BV45" s="18">
        <v>1120</v>
      </c>
      <c r="BW45" s="18">
        <v>1110</v>
      </c>
      <c r="BX45" s="18">
        <v>1110</v>
      </c>
      <c r="BY45" s="18">
        <v>1110</v>
      </c>
      <c r="BZ45" s="18">
        <v>1110</v>
      </c>
      <c r="CA45" s="18">
        <v>1110</v>
      </c>
      <c r="CB45" s="18">
        <v>1140</v>
      </c>
      <c r="CC45" s="18">
        <v>1190</v>
      </c>
      <c r="CD45" s="18">
        <v>1200</v>
      </c>
      <c r="CE45" s="18">
        <v>1180</v>
      </c>
      <c r="CF45" s="18">
        <v>1160</v>
      </c>
      <c r="CG45" s="18">
        <v>1160</v>
      </c>
      <c r="CH45" s="18">
        <v>1150</v>
      </c>
      <c r="CI45" s="18">
        <v>1180</v>
      </c>
      <c r="CJ45" s="18">
        <v>1250</v>
      </c>
      <c r="CK45" s="18">
        <v>1410</v>
      </c>
      <c r="CL45" s="18">
        <v>1480</v>
      </c>
      <c r="CM45" s="18">
        <v>1430</v>
      </c>
      <c r="CN45" s="18">
        <v>1400</v>
      </c>
      <c r="CO45" s="18">
        <v>1430</v>
      </c>
      <c r="CP45" s="18">
        <v>1490</v>
      </c>
      <c r="CQ45" s="18">
        <v>1570</v>
      </c>
      <c r="CR45" s="18">
        <v>1620</v>
      </c>
      <c r="CS45" s="18">
        <v>1650</v>
      </c>
      <c r="CT45" s="18">
        <v>1680</v>
      </c>
      <c r="CU45" s="18">
        <v>1600</v>
      </c>
      <c r="CV45" s="18">
        <v>1500</v>
      </c>
      <c r="CW45" s="18">
        <v>1460</v>
      </c>
      <c r="CX45" s="18">
        <v>1460</v>
      </c>
      <c r="CY45" s="18">
        <v>1470</v>
      </c>
      <c r="CZ45" s="18">
        <v>1480</v>
      </c>
      <c r="DA45" s="18">
        <v>1570</v>
      </c>
      <c r="DB45" s="18">
        <v>1760</v>
      </c>
      <c r="DC45" s="18">
        <v>1970</v>
      </c>
      <c r="DD45" s="18">
        <v>2110</v>
      </c>
      <c r="DE45" s="18">
        <v>2270</v>
      </c>
      <c r="DF45" s="18">
        <v>2330</v>
      </c>
      <c r="DG45" s="18">
        <v>2290</v>
      </c>
      <c r="DH45" s="18">
        <v>2210</v>
      </c>
      <c r="DI45" s="18">
        <v>2110</v>
      </c>
      <c r="DJ45" s="18">
        <v>2010</v>
      </c>
      <c r="DK45" s="18">
        <v>1970</v>
      </c>
      <c r="DL45" s="18">
        <v>1990</v>
      </c>
      <c r="DM45" s="18">
        <v>2140</v>
      </c>
      <c r="DN45" s="18">
        <v>2200</v>
      </c>
      <c r="DO45" s="18">
        <v>2250</v>
      </c>
      <c r="DP45" s="18">
        <v>2210</v>
      </c>
      <c r="DQ45" s="18">
        <v>2220</v>
      </c>
      <c r="DR45" s="18">
        <v>2220</v>
      </c>
      <c r="DS45" s="18">
        <v>2170</v>
      </c>
      <c r="DT45" s="18">
        <v>2120</v>
      </c>
      <c r="DU45" s="18">
        <v>2110</v>
      </c>
      <c r="DV45" s="18">
        <v>2100</v>
      </c>
      <c r="DW45" s="18">
        <v>2120</v>
      </c>
      <c r="DX45" s="18">
        <v>2250</v>
      </c>
      <c r="DY45" s="18">
        <v>2390</v>
      </c>
      <c r="DZ45" s="18">
        <v>2390</v>
      </c>
      <c r="EA45" s="18">
        <v>2310</v>
      </c>
      <c r="EB45" s="18">
        <v>2240</v>
      </c>
      <c r="EC45" s="18">
        <v>2140</v>
      </c>
      <c r="ED45" s="18">
        <v>2070</v>
      </c>
      <c r="EE45" s="18">
        <v>2030</v>
      </c>
      <c r="EF45" s="18">
        <v>1980</v>
      </c>
      <c r="EG45" s="18">
        <v>1920</v>
      </c>
      <c r="EH45" s="18">
        <v>1860</v>
      </c>
      <c r="EI45" s="18">
        <v>1850</v>
      </c>
      <c r="EJ45" s="18">
        <v>1880</v>
      </c>
      <c r="EK45" s="18">
        <v>1890</v>
      </c>
      <c r="EL45" s="18">
        <v>1930</v>
      </c>
      <c r="EM45" s="18">
        <v>2080</v>
      </c>
      <c r="EN45" s="18">
        <v>2200</v>
      </c>
      <c r="EO45" s="18">
        <v>2150</v>
      </c>
      <c r="EP45" s="18">
        <v>2100</v>
      </c>
      <c r="EQ45" s="18">
        <v>2210</v>
      </c>
      <c r="ER45" s="18">
        <v>2310</v>
      </c>
      <c r="ES45" s="18">
        <v>2410</v>
      </c>
      <c r="ET45" s="18">
        <v>2480</v>
      </c>
      <c r="EU45" s="18">
        <v>2500</v>
      </c>
      <c r="EV45" s="18">
        <v>2460</v>
      </c>
      <c r="EW45" s="18">
        <v>2510</v>
      </c>
      <c r="EX45" s="18">
        <v>2500</v>
      </c>
      <c r="EY45" s="18">
        <v>2500</v>
      </c>
      <c r="EZ45" s="18">
        <v>2510</v>
      </c>
      <c r="FA45" s="18">
        <v>2640</v>
      </c>
      <c r="FB45" s="18">
        <v>2730</v>
      </c>
      <c r="FC45" s="18">
        <v>2750</v>
      </c>
      <c r="FD45" s="18">
        <v>2740</v>
      </c>
      <c r="FE45" s="18">
        <v>2830</v>
      </c>
      <c r="FF45" s="18">
        <v>2890</v>
      </c>
      <c r="FG45" s="18">
        <v>2770</v>
      </c>
      <c r="FH45" s="18">
        <v>2600</v>
      </c>
      <c r="FI45" s="18">
        <v>2400</v>
      </c>
      <c r="FJ45" s="18">
        <v>2210</v>
      </c>
      <c r="FK45" s="18">
        <v>2100</v>
      </c>
      <c r="FL45" s="18">
        <v>2050</v>
      </c>
      <c r="FM45" s="18">
        <v>2120</v>
      </c>
      <c r="FN45" s="18">
        <v>2200</v>
      </c>
      <c r="FO45" s="18">
        <v>2640</v>
      </c>
      <c r="FP45" s="18">
        <v>2570</v>
      </c>
      <c r="FQ45" s="18">
        <v>2560</v>
      </c>
      <c r="FR45" s="18">
        <v>2730</v>
      </c>
      <c r="FS45" s="18">
        <v>3250</v>
      </c>
      <c r="FT45" s="18">
        <v>3210</v>
      </c>
      <c r="FU45" s="18">
        <v>2980</v>
      </c>
      <c r="FV45" s="18">
        <v>3030</v>
      </c>
      <c r="FW45" s="18">
        <v>3080</v>
      </c>
      <c r="FX45" s="18">
        <v>3290</v>
      </c>
      <c r="FY45" s="18">
        <v>3710</v>
      </c>
      <c r="FZ45" s="18">
        <v>4510</v>
      </c>
      <c r="GA45" s="18">
        <v>5180</v>
      </c>
      <c r="GB45" s="18">
        <v>5490</v>
      </c>
      <c r="GC45" s="18">
        <v>5900</v>
      </c>
      <c r="GD45" s="18">
        <v>6400</v>
      </c>
      <c r="GE45" s="18">
        <v>6400</v>
      </c>
      <c r="GF45" s="18">
        <v>6690</v>
      </c>
      <c r="GG45" s="18">
        <v>7060</v>
      </c>
      <c r="GH45" s="18">
        <v>7670</v>
      </c>
      <c r="GI45" s="18">
        <v>7390</v>
      </c>
      <c r="GJ45" s="18">
        <v>7290</v>
      </c>
      <c r="GK45" s="18">
        <v>8380</v>
      </c>
      <c r="GL45" s="18">
        <v>9690</v>
      </c>
      <c r="GM45" s="18">
        <v>9110</v>
      </c>
      <c r="GN45" s="18">
        <v>8020</v>
      </c>
      <c r="GO45" s="18">
        <v>7360</v>
      </c>
      <c r="GP45" s="18">
        <v>7660</v>
      </c>
      <c r="GQ45" s="18">
        <v>8070</v>
      </c>
      <c r="GR45" s="18">
        <v>8850</v>
      </c>
      <c r="GS45" s="18">
        <v>9920</v>
      </c>
      <c r="GT45" s="18">
        <v>9410</v>
      </c>
      <c r="GU45" s="18">
        <v>8440</v>
      </c>
      <c r="GV45" s="18">
        <v>7910</v>
      </c>
      <c r="GW45" s="18">
        <v>7200</v>
      </c>
      <c r="GX45" s="18">
        <v>6650</v>
      </c>
      <c r="GY45" s="18">
        <v>6170</v>
      </c>
      <c r="GZ45" s="18">
        <v>5670</v>
      </c>
      <c r="HA45" s="18">
        <v>5300</v>
      </c>
      <c r="HB45" s="18">
        <v>5040</v>
      </c>
      <c r="HC45" s="18">
        <v>5000</v>
      </c>
      <c r="HD45" s="18">
        <v>5170</v>
      </c>
      <c r="HE45" s="18">
        <v>5310</v>
      </c>
      <c r="HF45" s="18">
        <v>5480</v>
      </c>
      <c r="HG45" s="18">
        <v>5900</v>
      </c>
      <c r="HH45" s="18">
        <v>6660</v>
      </c>
      <c r="HI45" s="18">
        <v>6980</v>
      </c>
      <c r="HJ45" s="18">
        <v>7090</v>
      </c>
      <c r="HK45" s="18">
        <v>8060</v>
      </c>
      <c r="HL45" s="18">
        <v>8570</v>
      </c>
      <c r="HM45" s="18">
        <v>7750</v>
      </c>
      <c r="HN45" s="18">
        <v>6760</v>
      </c>
      <c r="HO45" s="18">
        <v>6020</v>
      </c>
      <c r="HP45" s="18">
        <v>5490</v>
      </c>
      <c r="HQ45" s="18">
        <v>5050</v>
      </c>
      <c r="HR45" s="18">
        <v>4680</v>
      </c>
      <c r="HS45" s="18">
        <v>4400</v>
      </c>
      <c r="HT45" s="18">
        <v>4120</v>
      </c>
      <c r="HU45" s="18">
        <v>4090</v>
      </c>
      <c r="HV45" s="18">
        <v>4160</v>
      </c>
      <c r="HW45" s="18">
        <v>4160</v>
      </c>
      <c r="HX45" s="18">
        <v>4320</v>
      </c>
      <c r="HY45" s="18">
        <v>4330</v>
      </c>
      <c r="HZ45" s="18">
        <v>4200</v>
      </c>
      <c r="IA45" s="18">
        <v>4180</v>
      </c>
      <c r="IB45" s="18">
        <v>4380</v>
      </c>
      <c r="IC45" s="18">
        <v>4270</v>
      </c>
      <c r="ID45" s="18">
        <v>4550</v>
      </c>
      <c r="IE45" s="18">
        <v>4760</v>
      </c>
      <c r="IF45" s="18">
        <v>4790</v>
      </c>
      <c r="IG45" s="18">
        <v>5170</v>
      </c>
      <c r="IH45" s="18">
        <v>5690</v>
      </c>
      <c r="II45" s="18">
        <v>5890</v>
      </c>
      <c r="IJ45" s="18">
        <v>6220</v>
      </c>
      <c r="IK45" s="18">
        <v>6800</v>
      </c>
      <c r="IL45" s="18">
        <v>7790</v>
      </c>
      <c r="IM45" s="18">
        <v>7920</v>
      </c>
      <c r="IN45" s="18">
        <v>7180</v>
      </c>
      <c r="IO45" s="18">
        <v>6430</v>
      </c>
      <c r="IP45" s="18">
        <v>5750</v>
      </c>
      <c r="IQ45" s="18">
        <v>5280</v>
      </c>
      <c r="IR45" s="18">
        <v>4910</v>
      </c>
      <c r="IS45" s="18">
        <v>4690</v>
      </c>
      <c r="IT45" s="18">
        <v>4420</v>
      </c>
      <c r="IU45" s="18">
        <v>4600</v>
      </c>
      <c r="IV45" s="18">
        <v>4530</v>
      </c>
      <c r="IW45" s="18">
        <v>4360</v>
      </c>
      <c r="IX45" s="18">
        <v>4170</v>
      </c>
      <c r="IY45" s="18">
        <v>4200</v>
      </c>
      <c r="IZ45" s="18">
        <v>4140</v>
      </c>
      <c r="JA45" s="18">
        <v>4130</v>
      </c>
      <c r="JB45" s="18">
        <v>4320</v>
      </c>
      <c r="JC45" s="18">
        <v>4690</v>
      </c>
      <c r="JD45" s="18">
        <v>5160</v>
      </c>
      <c r="JE45" s="18">
        <v>5500</v>
      </c>
      <c r="JF45" s="18">
        <v>5690</v>
      </c>
      <c r="JG45" s="18">
        <v>5920</v>
      </c>
      <c r="JH45" s="18">
        <v>5680</v>
      </c>
      <c r="JI45" s="18">
        <v>5490</v>
      </c>
      <c r="JJ45" s="18">
        <v>5300</v>
      </c>
      <c r="JK45" s="18">
        <v>5510</v>
      </c>
      <c r="JL45" s="18">
        <v>5470</v>
      </c>
      <c r="JM45" s="18">
        <v>5560</v>
      </c>
      <c r="JN45" s="18">
        <v>5490</v>
      </c>
      <c r="JO45" s="18">
        <v>5420</v>
      </c>
      <c r="JP45" s="18">
        <v>5170</v>
      </c>
      <c r="JQ45" s="18">
        <v>4920</v>
      </c>
      <c r="JR45" s="18">
        <v>4640</v>
      </c>
      <c r="JS45" s="18">
        <v>4350</v>
      </c>
      <c r="JT45" s="18">
        <v>4150</v>
      </c>
      <c r="JU45" s="18">
        <v>4160</v>
      </c>
      <c r="JV45" s="18">
        <v>4080</v>
      </c>
      <c r="JW45" s="18">
        <v>4010</v>
      </c>
      <c r="JX45" s="18">
        <v>3810</v>
      </c>
      <c r="JY45" s="18">
        <v>3660</v>
      </c>
      <c r="JZ45" s="18">
        <v>3530</v>
      </c>
      <c r="KA45" s="18">
        <v>3450</v>
      </c>
      <c r="KB45" s="18">
        <v>3520</v>
      </c>
      <c r="KC45" s="18">
        <v>3730</v>
      </c>
      <c r="KD45" s="18">
        <v>4050</v>
      </c>
      <c r="KE45" s="18">
        <v>4310</v>
      </c>
      <c r="KF45" s="18">
        <v>4210</v>
      </c>
      <c r="KG45" s="18">
        <v>4000</v>
      </c>
      <c r="KH45" s="18">
        <v>3850</v>
      </c>
      <c r="KI45" s="18">
        <v>3750</v>
      </c>
      <c r="KJ45" s="18">
        <v>3650</v>
      </c>
      <c r="KK45" s="18">
        <v>3600</v>
      </c>
      <c r="KL45" s="18">
        <v>3850</v>
      </c>
      <c r="KM45" s="18">
        <v>4460</v>
      </c>
      <c r="KN45" s="18">
        <v>4870</v>
      </c>
      <c r="KO45" s="18">
        <v>5220</v>
      </c>
      <c r="KP45" s="18">
        <v>4960</v>
      </c>
      <c r="KQ45" s="18">
        <v>4500</v>
      </c>
      <c r="KR45" s="18">
        <v>4120</v>
      </c>
      <c r="KS45" s="18">
        <v>3830</v>
      </c>
      <c r="KT45" s="18">
        <v>3600</v>
      </c>
      <c r="KU45" s="18">
        <v>3420</v>
      </c>
      <c r="KV45" s="18">
        <v>3280</v>
      </c>
      <c r="KW45" s="18">
        <v>3130</v>
      </c>
      <c r="KX45" s="18">
        <v>3000</v>
      </c>
      <c r="KY45" s="18">
        <v>2890</v>
      </c>
      <c r="KZ45" s="18">
        <v>2810</v>
      </c>
      <c r="LA45" s="18">
        <v>2730</v>
      </c>
      <c r="LB45" s="18">
        <v>2650</v>
      </c>
      <c r="LC45" s="18">
        <v>2560</v>
      </c>
      <c r="LD45" s="18">
        <v>2560</v>
      </c>
      <c r="LE45" s="18">
        <v>2520</v>
      </c>
      <c r="LF45" s="18">
        <v>2440</v>
      </c>
      <c r="LG45" s="18">
        <v>2350</v>
      </c>
      <c r="LH45" s="18">
        <v>2250</v>
      </c>
      <c r="LI45" s="18">
        <v>2200</v>
      </c>
      <c r="LJ45" s="18">
        <v>2130</v>
      </c>
      <c r="LK45" s="18">
        <v>2070</v>
      </c>
      <c r="LL45" s="18">
        <v>2010</v>
      </c>
      <c r="LM45" s="18">
        <v>1960</v>
      </c>
      <c r="LN45" s="18">
        <v>1910</v>
      </c>
      <c r="LO45" s="18">
        <v>1870</v>
      </c>
      <c r="LP45" s="18">
        <v>1820</v>
      </c>
      <c r="LQ45" s="18">
        <v>1810</v>
      </c>
      <c r="LR45" s="18">
        <v>1780</v>
      </c>
      <c r="LS45" s="18">
        <v>1760</v>
      </c>
      <c r="LT45" s="18">
        <v>1740</v>
      </c>
      <c r="LU45" s="18">
        <v>1730</v>
      </c>
      <c r="LV45" s="18">
        <v>1770</v>
      </c>
      <c r="LW45" s="18">
        <v>1770</v>
      </c>
      <c r="LX45" s="18">
        <v>1740</v>
      </c>
      <c r="LY45" s="18">
        <v>1670</v>
      </c>
      <c r="LZ45" s="18">
        <v>1610</v>
      </c>
      <c r="MA45" s="18">
        <v>1580</v>
      </c>
      <c r="MB45" s="18">
        <v>1540</v>
      </c>
      <c r="MC45" s="18">
        <v>1520</v>
      </c>
      <c r="MD45" s="18">
        <v>1490</v>
      </c>
      <c r="ME45" s="18">
        <v>1470</v>
      </c>
      <c r="MF45" s="18">
        <v>1440</v>
      </c>
      <c r="MG45" s="18">
        <v>1410</v>
      </c>
      <c r="MH45" s="18">
        <v>1400</v>
      </c>
      <c r="MI45" s="18">
        <v>1390</v>
      </c>
      <c r="MJ45" s="18">
        <v>1350</v>
      </c>
      <c r="MK45" s="18">
        <v>1330</v>
      </c>
      <c r="ML45" s="18">
        <v>1310</v>
      </c>
      <c r="MM45" s="18">
        <v>1260</v>
      </c>
      <c r="MN45" s="18">
        <v>1230</v>
      </c>
      <c r="MO45" s="18">
        <v>1190</v>
      </c>
      <c r="MP45" s="18">
        <v>1170</v>
      </c>
      <c r="MQ45" s="18">
        <v>1160</v>
      </c>
      <c r="MR45" s="18">
        <v>1150</v>
      </c>
      <c r="MS45" s="18">
        <v>1130</v>
      </c>
      <c r="MT45" s="18">
        <v>1110</v>
      </c>
      <c r="MU45" s="18">
        <v>1100</v>
      </c>
      <c r="MV45" s="18">
        <v>1100</v>
      </c>
      <c r="MW45" s="18">
        <v>1090</v>
      </c>
      <c r="MX45" s="18">
        <v>1090</v>
      </c>
      <c r="MY45" s="18">
        <v>1080</v>
      </c>
      <c r="MZ45" s="18">
        <v>1070</v>
      </c>
      <c r="NA45" s="18">
        <v>1060</v>
      </c>
      <c r="NB45" s="18">
        <v>1050</v>
      </c>
      <c r="NC45" s="18">
        <v>1040</v>
      </c>
      <c r="ND45" s="1">
        <v>1540</v>
      </c>
      <c r="NE45" s="1">
        <v>1260</v>
      </c>
      <c r="NF45" s="1">
        <v>1190</v>
      </c>
      <c r="NG45" s="1">
        <v>1870</v>
      </c>
      <c r="NH45" s="1">
        <v>2170</v>
      </c>
      <c r="NI45" s="1">
        <v>2840</v>
      </c>
      <c r="NJ45" s="1">
        <v>7100</v>
      </c>
      <c r="NK45" s="1">
        <v>5470</v>
      </c>
      <c r="NL45" s="1">
        <v>5320</v>
      </c>
      <c r="NM45" s="1">
        <v>4130</v>
      </c>
      <c r="NN45" s="1">
        <v>2290</v>
      </c>
      <c r="NO45" s="1">
        <v>1280</v>
      </c>
      <c r="NP45" s="1">
        <v>3046.967213114754</v>
      </c>
      <c r="NQ45" s="1">
        <v>9920</v>
      </c>
      <c r="NR45" s="19">
        <v>42569</v>
      </c>
      <c r="NS45" s="1">
        <v>1040</v>
      </c>
      <c r="NT45" s="19">
        <v>42735</v>
      </c>
    </row>
    <row r="46" spans="1:384" x14ac:dyDescent="0.15">
      <c r="A46" s="1">
        <v>1993</v>
      </c>
      <c r="B46" s="18">
        <v>1070</v>
      </c>
      <c r="C46" s="18">
        <v>1070</v>
      </c>
      <c r="D46" s="18">
        <v>1070</v>
      </c>
      <c r="E46" s="18">
        <v>1060</v>
      </c>
      <c r="F46" s="18">
        <v>1050</v>
      </c>
      <c r="G46" s="18">
        <v>1040</v>
      </c>
      <c r="H46" s="18">
        <v>1040</v>
      </c>
      <c r="I46" s="18">
        <v>1030</v>
      </c>
      <c r="J46" s="18">
        <v>1030</v>
      </c>
      <c r="K46" s="18">
        <v>1030</v>
      </c>
      <c r="L46" s="18">
        <v>1030</v>
      </c>
      <c r="M46" s="18">
        <v>1030</v>
      </c>
      <c r="N46" s="18">
        <v>1030</v>
      </c>
      <c r="O46" s="18">
        <v>1050</v>
      </c>
      <c r="P46" s="18">
        <v>1060</v>
      </c>
      <c r="Q46" s="18">
        <v>1080</v>
      </c>
      <c r="R46" s="18">
        <v>1080</v>
      </c>
      <c r="S46" s="18">
        <v>1070</v>
      </c>
      <c r="T46" s="18">
        <v>1060</v>
      </c>
      <c r="U46" s="18">
        <v>1040</v>
      </c>
      <c r="V46" s="18">
        <v>1030</v>
      </c>
      <c r="W46" s="18">
        <v>1030</v>
      </c>
      <c r="X46" s="18">
        <v>1020</v>
      </c>
      <c r="Y46" s="18">
        <v>1010</v>
      </c>
      <c r="Z46" s="18">
        <v>1010</v>
      </c>
      <c r="AA46" s="18">
        <v>1010</v>
      </c>
      <c r="AB46" s="18">
        <v>1000</v>
      </c>
      <c r="AC46" s="18">
        <v>998</v>
      </c>
      <c r="AD46" s="18">
        <v>994</v>
      </c>
      <c r="AE46" s="18">
        <v>994</v>
      </c>
      <c r="AF46" s="18">
        <v>989</v>
      </c>
      <c r="AG46" s="18">
        <v>982</v>
      </c>
      <c r="AH46" s="18">
        <v>975</v>
      </c>
      <c r="AI46" s="18">
        <v>964</v>
      </c>
      <c r="AJ46" s="18">
        <v>957</v>
      </c>
      <c r="AK46" s="18">
        <v>951</v>
      </c>
      <c r="AL46" s="18">
        <v>952</v>
      </c>
      <c r="AM46" s="18">
        <v>948</v>
      </c>
      <c r="AN46" s="18">
        <v>946</v>
      </c>
      <c r="AO46" s="18">
        <v>943</v>
      </c>
      <c r="AP46" s="18">
        <v>941</v>
      </c>
      <c r="AQ46" s="18">
        <v>939</v>
      </c>
      <c r="AR46" s="18">
        <v>938</v>
      </c>
      <c r="AS46" s="18">
        <v>941</v>
      </c>
      <c r="AT46" s="18">
        <v>946</v>
      </c>
      <c r="AU46" s="18">
        <v>954</v>
      </c>
      <c r="AV46" s="18">
        <v>959</v>
      </c>
      <c r="AW46" s="18">
        <v>963</v>
      </c>
      <c r="AX46" s="18">
        <v>970</v>
      </c>
      <c r="AY46" s="18">
        <v>977</v>
      </c>
      <c r="AZ46" s="18">
        <v>980</v>
      </c>
      <c r="BA46" s="18">
        <v>976</v>
      </c>
      <c r="BB46" s="18">
        <v>973</v>
      </c>
      <c r="BC46" s="18">
        <v>977</v>
      </c>
      <c r="BD46" s="18">
        <v>981</v>
      </c>
      <c r="BE46" s="18">
        <v>983</v>
      </c>
      <c r="BF46" s="18">
        <v>985</v>
      </c>
      <c r="BG46" s="18">
        <v>980</v>
      </c>
      <c r="BH46" s="18">
        <v>970</v>
      </c>
      <c r="BI46" s="18"/>
      <c r="BJ46" s="18">
        <v>960</v>
      </c>
      <c r="BK46" s="18">
        <v>950</v>
      </c>
      <c r="BL46" s="18">
        <v>941</v>
      </c>
      <c r="BM46" s="18">
        <v>935</v>
      </c>
      <c r="BN46" s="18">
        <v>932</v>
      </c>
      <c r="BO46" s="18">
        <v>927</v>
      </c>
      <c r="BP46" s="18">
        <v>925</v>
      </c>
      <c r="BQ46" s="18">
        <v>920</v>
      </c>
      <c r="BR46" s="18">
        <v>919</v>
      </c>
      <c r="BS46" s="18">
        <v>918</v>
      </c>
      <c r="BT46" s="18">
        <v>913</v>
      </c>
      <c r="BU46" s="18">
        <v>910</v>
      </c>
      <c r="BV46" s="18">
        <v>909</v>
      </c>
      <c r="BW46" s="18">
        <v>910</v>
      </c>
      <c r="BX46" s="18">
        <v>913</v>
      </c>
      <c r="BY46" s="18">
        <v>917</v>
      </c>
      <c r="BZ46" s="18">
        <v>919</v>
      </c>
      <c r="CA46" s="18">
        <v>924</v>
      </c>
      <c r="CB46" s="18">
        <v>931</v>
      </c>
      <c r="CC46" s="18">
        <v>933</v>
      </c>
      <c r="CD46" s="18">
        <v>933</v>
      </c>
      <c r="CE46" s="18">
        <v>933</v>
      </c>
      <c r="CF46" s="18">
        <v>931</v>
      </c>
      <c r="CG46" s="18">
        <v>931</v>
      </c>
      <c r="CH46" s="18">
        <v>933</v>
      </c>
      <c r="CI46" s="18">
        <v>926</v>
      </c>
      <c r="CJ46" s="18">
        <v>917</v>
      </c>
      <c r="CK46" s="18">
        <v>914</v>
      </c>
      <c r="CL46" s="18">
        <v>917</v>
      </c>
      <c r="CM46" s="18">
        <v>914</v>
      </c>
      <c r="CN46" s="18">
        <v>916</v>
      </c>
      <c r="CO46" s="18">
        <v>923</v>
      </c>
      <c r="CP46" s="18">
        <v>920</v>
      </c>
      <c r="CQ46" s="18">
        <v>916</v>
      </c>
      <c r="CR46" s="18">
        <v>913</v>
      </c>
      <c r="CS46" s="18">
        <v>919</v>
      </c>
      <c r="CT46" s="18">
        <v>926</v>
      </c>
      <c r="CU46" s="18">
        <v>928</v>
      </c>
      <c r="CV46" s="18">
        <v>933</v>
      </c>
      <c r="CW46" s="18">
        <v>940</v>
      </c>
      <c r="CX46" s="18">
        <v>943</v>
      </c>
      <c r="CY46" s="18">
        <v>940</v>
      </c>
      <c r="CZ46" s="18">
        <v>936</v>
      </c>
      <c r="DA46" s="18">
        <v>936</v>
      </c>
      <c r="DB46" s="18">
        <v>936</v>
      </c>
      <c r="DC46" s="18">
        <v>933</v>
      </c>
      <c r="DD46" s="18">
        <v>933</v>
      </c>
      <c r="DE46" s="18">
        <v>934</v>
      </c>
      <c r="DF46" s="18">
        <v>937</v>
      </c>
      <c r="DG46" s="18">
        <v>944</v>
      </c>
      <c r="DH46" s="18">
        <v>960</v>
      </c>
      <c r="DI46" s="18">
        <v>978</v>
      </c>
      <c r="DJ46" s="18">
        <v>996</v>
      </c>
      <c r="DK46" s="18">
        <v>1010</v>
      </c>
      <c r="DL46" s="18">
        <v>1030</v>
      </c>
      <c r="DM46" s="18">
        <v>1050</v>
      </c>
      <c r="DN46" s="18">
        <v>1080</v>
      </c>
      <c r="DO46" s="18">
        <v>1070</v>
      </c>
      <c r="DP46" s="18">
        <v>1070</v>
      </c>
      <c r="DQ46" s="18">
        <v>1080</v>
      </c>
      <c r="DR46" s="18">
        <v>1140</v>
      </c>
      <c r="DS46" s="18">
        <v>1230</v>
      </c>
      <c r="DT46" s="18">
        <v>1340</v>
      </c>
      <c r="DU46" s="18">
        <v>1430</v>
      </c>
      <c r="DV46" s="18">
        <v>1570</v>
      </c>
      <c r="DW46" s="18">
        <v>1840</v>
      </c>
      <c r="DX46" s="18">
        <v>2130</v>
      </c>
      <c r="DY46" s="18">
        <v>2240</v>
      </c>
      <c r="DZ46" s="18">
        <v>2310</v>
      </c>
      <c r="EA46" s="18">
        <v>2270</v>
      </c>
      <c r="EB46" s="18">
        <v>2140</v>
      </c>
      <c r="EC46" s="18">
        <v>1980</v>
      </c>
      <c r="ED46" s="18">
        <v>1820</v>
      </c>
      <c r="EE46" s="18">
        <v>1740</v>
      </c>
      <c r="EF46" s="18">
        <v>1720</v>
      </c>
      <c r="EG46" s="18">
        <v>1760</v>
      </c>
      <c r="EH46" s="18">
        <v>1860</v>
      </c>
      <c r="EI46" s="18">
        <v>1910</v>
      </c>
      <c r="EJ46" s="18">
        <v>1830</v>
      </c>
      <c r="EK46" s="18">
        <v>1670</v>
      </c>
      <c r="EL46" s="18">
        <v>1500</v>
      </c>
      <c r="EM46" s="18">
        <v>1390</v>
      </c>
      <c r="EN46" s="18">
        <v>1330</v>
      </c>
      <c r="EO46" s="18">
        <v>1290</v>
      </c>
      <c r="EP46" s="18">
        <v>1270</v>
      </c>
      <c r="EQ46" s="18">
        <v>1270</v>
      </c>
      <c r="ER46" s="18">
        <v>1360</v>
      </c>
      <c r="ES46" s="18">
        <v>1470</v>
      </c>
      <c r="ET46" s="18">
        <v>1730</v>
      </c>
      <c r="EU46" s="18">
        <v>1750</v>
      </c>
      <c r="EV46" s="18">
        <v>1510</v>
      </c>
      <c r="EW46" s="18">
        <v>1610</v>
      </c>
      <c r="EX46" s="18">
        <v>1670</v>
      </c>
      <c r="EY46" s="18">
        <v>1600</v>
      </c>
      <c r="EZ46" s="18">
        <v>1570</v>
      </c>
      <c r="FA46" s="18">
        <v>1660</v>
      </c>
      <c r="FB46" s="18">
        <v>1760</v>
      </c>
      <c r="FC46" s="18">
        <v>1880</v>
      </c>
      <c r="FD46" s="18">
        <v>1940</v>
      </c>
      <c r="FE46" s="18">
        <v>2070</v>
      </c>
      <c r="FF46" s="18">
        <v>2330</v>
      </c>
      <c r="FG46" s="18">
        <v>2450</v>
      </c>
      <c r="FH46" s="18">
        <v>2450</v>
      </c>
      <c r="FI46" s="18">
        <v>2390</v>
      </c>
      <c r="FJ46" s="18">
        <v>2380</v>
      </c>
      <c r="FK46" s="18">
        <v>2730</v>
      </c>
      <c r="FL46" s="18">
        <v>3040</v>
      </c>
      <c r="FM46" s="18">
        <v>3160</v>
      </c>
      <c r="FN46" s="18">
        <v>3000</v>
      </c>
      <c r="FO46" s="18">
        <v>2760</v>
      </c>
      <c r="FP46" s="18">
        <v>2620</v>
      </c>
      <c r="FQ46" s="18">
        <v>2460</v>
      </c>
      <c r="FR46" s="18">
        <v>2360</v>
      </c>
      <c r="FS46" s="18">
        <v>2390</v>
      </c>
      <c r="FT46" s="18">
        <v>2720</v>
      </c>
      <c r="FU46" s="18">
        <v>3160</v>
      </c>
      <c r="FV46" s="18">
        <v>3530</v>
      </c>
      <c r="FW46" s="18">
        <v>3960</v>
      </c>
      <c r="FX46" s="18">
        <v>4070</v>
      </c>
      <c r="FY46" s="18">
        <v>3800</v>
      </c>
      <c r="FZ46" s="18">
        <v>3550</v>
      </c>
      <c r="GA46" s="18">
        <v>3590</v>
      </c>
      <c r="GB46" s="18">
        <v>3370</v>
      </c>
      <c r="GC46" s="18">
        <v>3700</v>
      </c>
      <c r="GD46" s="18">
        <v>4610</v>
      </c>
      <c r="GE46" s="18">
        <v>5980</v>
      </c>
      <c r="GF46" s="18">
        <v>6860</v>
      </c>
      <c r="GG46" s="18">
        <v>7650</v>
      </c>
      <c r="GH46" s="18">
        <v>8010</v>
      </c>
      <c r="GI46" s="18">
        <v>8810</v>
      </c>
      <c r="GJ46" s="18">
        <v>8160</v>
      </c>
      <c r="GK46" s="18">
        <v>7360</v>
      </c>
      <c r="GL46" s="18">
        <v>6730</v>
      </c>
      <c r="GM46" s="18">
        <v>6130</v>
      </c>
      <c r="GN46" s="18">
        <v>5660</v>
      </c>
      <c r="GO46" s="18">
        <v>5070</v>
      </c>
      <c r="GP46" s="18">
        <v>4760</v>
      </c>
      <c r="GQ46" s="18">
        <v>4490</v>
      </c>
      <c r="GR46" s="18">
        <v>4460</v>
      </c>
      <c r="GS46" s="18">
        <v>4650</v>
      </c>
      <c r="GT46" s="18">
        <v>5410</v>
      </c>
      <c r="GU46" s="18">
        <v>6740</v>
      </c>
      <c r="GV46" s="18">
        <v>6910</v>
      </c>
      <c r="GW46" s="18">
        <v>7430</v>
      </c>
      <c r="GX46" s="18">
        <v>8690</v>
      </c>
      <c r="GY46" s="18">
        <v>10700</v>
      </c>
      <c r="GZ46" s="18">
        <v>10000</v>
      </c>
      <c r="HA46" s="18">
        <v>9170</v>
      </c>
      <c r="HB46" s="18">
        <v>8740</v>
      </c>
      <c r="HC46" s="18">
        <v>8290</v>
      </c>
      <c r="HD46" s="18">
        <v>7730</v>
      </c>
      <c r="HE46" s="18">
        <v>7290</v>
      </c>
      <c r="HF46" s="18">
        <v>7890</v>
      </c>
      <c r="HG46" s="18">
        <v>9080</v>
      </c>
      <c r="HH46" s="18">
        <v>10500</v>
      </c>
      <c r="HI46" s="18">
        <v>11100</v>
      </c>
      <c r="HJ46" s="18">
        <v>11400</v>
      </c>
      <c r="HK46" s="18">
        <v>11900</v>
      </c>
      <c r="HL46" s="18">
        <v>12100</v>
      </c>
      <c r="HM46" s="18">
        <v>12600</v>
      </c>
      <c r="HN46" s="18">
        <v>12400</v>
      </c>
      <c r="HO46" s="18">
        <v>12800</v>
      </c>
      <c r="HP46" s="18">
        <v>12900</v>
      </c>
      <c r="HQ46" s="18">
        <v>12600</v>
      </c>
      <c r="HR46" s="18">
        <v>13300</v>
      </c>
      <c r="HS46" s="18">
        <v>13600</v>
      </c>
      <c r="HT46" s="18">
        <v>13900</v>
      </c>
      <c r="HU46" s="18">
        <v>13700</v>
      </c>
      <c r="HV46" s="18">
        <v>13400</v>
      </c>
      <c r="HW46" s="18">
        <v>13400</v>
      </c>
      <c r="HX46" s="18">
        <v>13800</v>
      </c>
      <c r="HY46" s="18">
        <v>13600</v>
      </c>
      <c r="HZ46" s="18">
        <v>13900</v>
      </c>
      <c r="IA46" s="18">
        <v>15200</v>
      </c>
      <c r="IB46" s="18">
        <v>15800</v>
      </c>
      <c r="IC46" s="18">
        <v>15400</v>
      </c>
      <c r="ID46" s="18">
        <v>15200</v>
      </c>
      <c r="IE46" s="18">
        <v>15200</v>
      </c>
      <c r="IF46" s="18">
        <v>16100</v>
      </c>
      <c r="IG46" s="18">
        <v>18700</v>
      </c>
      <c r="IH46" s="18">
        <v>18600</v>
      </c>
      <c r="II46" s="18">
        <v>18200</v>
      </c>
      <c r="IJ46" s="18">
        <v>21000</v>
      </c>
      <c r="IK46" s="18">
        <v>23200</v>
      </c>
      <c r="IL46" s="18">
        <v>21400</v>
      </c>
      <c r="IM46" s="18">
        <v>19200</v>
      </c>
      <c r="IN46" s="18">
        <v>17900</v>
      </c>
      <c r="IO46" s="18">
        <v>17400</v>
      </c>
      <c r="IP46" s="18">
        <v>16100</v>
      </c>
      <c r="IQ46" s="18">
        <v>14300</v>
      </c>
      <c r="IR46" s="18">
        <v>12700</v>
      </c>
      <c r="IS46" s="18">
        <v>11500</v>
      </c>
      <c r="IT46" s="18">
        <v>10800</v>
      </c>
      <c r="IU46" s="18">
        <v>10600</v>
      </c>
      <c r="IV46" s="18">
        <v>11200</v>
      </c>
      <c r="IW46" s="18">
        <v>12400</v>
      </c>
      <c r="IX46" s="18">
        <v>12300</v>
      </c>
      <c r="IY46" s="18">
        <v>11300</v>
      </c>
      <c r="IZ46" s="18">
        <v>10500</v>
      </c>
      <c r="JA46" s="18">
        <v>9980</v>
      </c>
      <c r="JB46" s="18">
        <v>9740</v>
      </c>
      <c r="JC46" s="18">
        <v>10200</v>
      </c>
      <c r="JD46" s="18">
        <v>9760</v>
      </c>
      <c r="JE46" s="18">
        <v>9500</v>
      </c>
      <c r="JF46" s="18">
        <v>9040</v>
      </c>
      <c r="JG46" s="18">
        <v>8860</v>
      </c>
      <c r="JH46" s="18">
        <v>9290</v>
      </c>
      <c r="JI46" s="18">
        <v>9710</v>
      </c>
      <c r="JJ46" s="18">
        <v>10300</v>
      </c>
      <c r="JK46" s="18">
        <v>10200</v>
      </c>
      <c r="JL46" s="18">
        <v>9830</v>
      </c>
      <c r="JM46" s="18">
        <v>9430</v>
      </c>
      <c r="JN46" s="18">
        <v>9170</v>
      </c>
      <c r="JO46" s="18">
        <v>9080</v>
      </c>
      <c r="JP46" s="18">
        <v>9390</v>
      </c>
      <c r="JQ46" s="18">
        <v>9480</v>
      </c>
      <c r="JR46" s="18">
        <v>10200</v>
      </c>
      <c r="JS46" s="18">
        <v>10400</v>
      </c>
      <c r="JT46" s="18">
        <v>10300</v>
      </c>
      <c r="JU46" s="18">
        <v>10800</v>
      </c>
      <c r="JV46" s="18">
        <v>10300</v>
      </c>
      <c r="JW46" s="18">
        <v>9720</v>
      </c>
      <c r="JX46" s="18">
        <v>9280</v>
      </c>
      <c r="JY46" s="18">
        <v>8890</v>
      </c>
      <c r="JZ46" s="18">
        <v>8390</v>
      </c>
      <c r="KA46" s="18">
        <v>7890</v>
      </c>
      <c r="KB46" s="18">
        <v>7520</v>
      </c>
      <c r="KC46" s="18">
        <v>7190</v>
      </c>
      <c r="KD46" s="18">
        <v>7300</v>
      </c>
      <c r="KE46" s="18">
        <v>7490</v>
      </c>
      <c r="KF46" s="18">
        <v>7310</v>
      </c>
      <c r="KG46" s="18">
        <v>7150</v>
      </c>
      <c r="KH46" s="18">
        <v>7020</v>
      </c>
      <c r="KI46" s="18">
        <v>6680</v>
      </c>
      <c r="KJ46" s="18">
        <v>6470</v>
      </c>
      <c r="KK46" s="18">
        <v>6310</v>
      </c>
      <c r="KL46" s="18">
        <v>6140</v>
      </c>
      <c r="KM46" s="18">
        <v>5940</v>
      </c>
      <c r="KN46" s="18">
        <v>5800</v>
      </c>
      <c r="KO46" s="18">
        <v>5600</v>
      </c>
      <c r="KP46" s="18">
        <v>5380</v>
      </c>
      <c r="KQ46" s="18">
        <v>5180</v>
      </c>
      <c r="KR46" s="18">
        <v>5000</v>
      </c>
      <c r="KS46" s="18">
        <v>4860</v>
      </c>
      <c r="KT46" s="18">
        <v>4780</v>
      </c>
      <c r="KU46" s="18">
        <v>4680</v>
      </c>
      <c r="KV46" s="18">
        <v>4590</v>
      </c>
      <c r="KW46" s="18">
        <v>4430</v>
      </c>
      <c r="KX46" s="18">
        <v>4300</v>
      </c>
      <c r="KY46" s="18">
        <v>4140</v>
      </c>
      <c r="KZ46" s="18">
        <v>4010</v>
      </c>
      <c r="LA46" s="18">
        <v>3930</v>
      </c>
      <c r="LB46" s="18">
        <v>3860</v>
      </c>
      <c r="LC46" s="18">
        <v>3790</v>
      </c>
      <c r="LD46" s="18">
        <v>3680</v>
      </c>
      <c r="LE46" s="18">
        <v>3600</v>
      </c>
      <c r="LF46" s="18">
        <v>3530</v>
      </c>
      <c r="LG46" s="18">
        <v>3440</v>
      </c>
      <c r="LH46" s="18">
        <v>3380</v>
      </c>
      <c r="LI46" s="18">
        <v>3290</v>
      </c>
      <c r="LJ46" s="18">
        <v>3200</v>
      </c>
      <c r="LK46" s="18">
        <v>3150</v>
      </c>
      <c r="LL46" s="18">
        <v>3090</v>
      </c>
      <c r="LM46" s="18">
        <v>3050</v>
      </c>
      <c r="LN46" s="18">
        <v>3000</v>
      </c>
      <c r="LO46" s="18">
        <v>2950</v>
      </c>
      <c r="LP46" s="18">
        <v>2900</v>
      </c>
      <c r="LQ46" s="18">
        <v>2850</v>
      </c>
      <c r="LR46" s="18">
        <v>2790</v>
      </c>
      <c r="LS46" s="18">
        <v>2750</v>
      </c>
      <c r="LT46" s="18">
        <v>2700</v>
      </c>
      <c r="LU46" s="18">
        <v>2640</v>
      </c>
      <c r="LV46" s="18">
        <v>2610</v>
      </c>
      <c r="LW46" s="18">
        <v>2560</v>
      </c>
      <c r="LX46" s="18">
        <v>2520</v>
      </c>
      <c r="LY46" s="18">
        <v>2460</v>
      </c>
      <c r="LZ46" s="18">
        <v>2420</v>
      </c>
      <c r="MA46" s="18">
        <v>2390</v>
      </c>
      <c r="MB46" s="18">
        <v>2370</v>
      </c>
      <c r="MC46" s="18">
        <v>2330</v>
      </c>
      <c r="MD46" s="18">
        <v>2300</v>
      </c>
      <c r="ME46" s="18">
        <v>2280</v>
      </c>
      <c r="MF46" s="18">
        <v>2250</v>
      </c>
      <c r="MG46" s="18">
        <v>2220</v>
      </c>
      <c r="MH46" s="18">
        <v>2200</v>
      </c>
      <c r="MI46" s="18">
        <v>2190</v>
      </c>
      <c r="MJ46" s="18">
        <v>2170</v>
      </c>
      <c r="MK46" s="18">
        <v>2160</v>
      </c>
      <c r="ML46" s="18">
        <v>2130</v>
      </c>
      <c r="MM46" s="18">
        <v>2100</v>
      </c>
      <c r="MN46" s="18">
        <v>2060</v>
      </c>
      <c r="MO46" s="18">
        <v>2020</v>
      </c>
      <c r="MP46" s="18">
        <v>2010</v>
      </c>
      <c r="MQ46" s="18">
        <v>2010</v>
      </c>
      <c r="MR46" s="18">
        <v>1990</v>
      </c>
      <c r="MS46" s="18">
        <v>1980</v>
      </c>
      <c r="MT46" s="18">
        <v>1940</v>
      </c>
      <c r="MU46" s="18">
        <v>1900</v>
      </c>
      <c r="MV46" s="18">
        <v>1870</v>
      </c>
      <c r="MW46" s="18">
        <v>1840</v>
      </c>
      <c r="MX46" s="18">
        <v>1810</v>
      </c>
      <c r="MY46" s="18">
        <v>1800</v>
      </c>
      <c r="MZ46" s="18">
        <v>1750</v>
      </c>
      <c r="NA46" s="18">
        <v>1710</v>
      </c>
      <c r="NB46" s="18">
        <v>1670</v>
      </c>
      <c r="NC46" s="18">
        <v>1650</v>
      </c>
      <c r="ND46" s="1">
        <v>1040</v>
      </c>
      <c r="NE46" s="1">
        <v>963</v>
      </c>
      <c r="NF46" s="1">
        <v>925</v>
      </c>
      <c r="NG46" s="1">
        <v>972</v>
      </c>
      <c r="NH46" s="1">
        <v>1690</v>
      </c>
      <c r="NI46" s="1">
        <v>2640</v>
      </c>
      <c r="NJ46" s="1">
        <v>6820</v>
      </c>
      <c r="NK46" s="1">
        <v>14300</v>
      </c>
      <c r="NL46" s="1">
        <v>11800</v>
      </c>
      <c r="NM46" s="1">
        <v>7550</v>
      </c>
      <c r="NN46" s="1">
        <v>3380</v>
      </c>
      <c r="NO46" s="1">
        <v>2060</v>
      </c>
      <c r="NP46" s="1">
        <v>4541.0164383561641</v>
      </c>
      <c r="NQ46" s="1">
        <v>23200</v>
      </c>
      <c r="NR46" s="19">
        <v>42613</v>
      </c>
      <c r="NS46" s="1">
        <v>909</v>
      </c>
      <c r="NT46" s="19">
        <v>42442</v>
      </c>
    </row>
    <row r="47" spans="1:384" x14ac:dyDescent="0.15">
      <c r="A47" s="1">
        <v>1994</v>
      </c>
      <c r="B47" s="18">
        <v>1730</v>
      </c>
      <c r="C47" s="18">
        <v>1700</v>
      </c>
      <c r="D47" s="18">
        <v>1700</v>
      </c>
      <c r="E47" s="18">
        <v>1690</v>
      </c>
      <c r="F47" s="18">
        <v>1700</v>
      </c>
      <c r="G47" s="18">
        <v>1690</v>
      </c>
      <c r="H47" s="18">
        <v>1690</v>
      </c>
      <c r="I47" s="18">
        <v>1670</v>
      </c>
      <c r="J47" s="18">
        <v>1650</v>
      </c>
      <c r="K47" s="18">
        <v>1630</v>
      </c>
      <c r="L47" s="18">
        <v>1620</v>
      </c>
      <c r="M47" s="18">
        <v>1610</v>
      </c>
      <c r="N47" s="18">
        <v>1590</v>
      </c>
      <c r="O47" s="18">
        <v>1560</v>
      </c>
      <c r="P47" s="18">
        <v>1540</v>
      </c>
      <c r="Q47" s="18">
        <v>1540</v>
      </c>
      <c r="R47" s="18">
        <v>1530</v>
      </c>
      <c r="S47" s="18">
        <v>1540</v>
      </c>
      <c r="T47" s="18">
        <v>1550</v>
      </c>
      <c r="U47" s="18">
        <v>1550</v>
      </c>
      <c r="V47" s="18">
        <v>1550</v>
      </c>
      <c r="W47" s="18">
        <v>1530</v>
      </c>
      <c r="X47" s="18">
        <v>1510</v>
      </c>
      <c r="Y47" s="18">
        <v>1490</v>
      </c>
      <c r="Z47" s="18">
        <v>1480</v>
      </c>
      <c r="AA47" s="18">
        <v>1480</v>
      </c>
      <c r="AB47" s="18">
        <v>1470</v>
      </c>
      <c r="AC47" s="18">
        <v>1450</v>
      </c>
      <c r="AD47" s="18">
        <v>1440</v>
      </c>
      <c r="AE47" s="18">
        <v>1420</v>
      </c>
      <c r="AF47" s="18">
        <v>1410</v>
      </c>
      <c r="AG47" s="18">
        <v>1400</v>
      </c>
      <c r="AH47" s="18">
        <v>1390</v>
      </c>
      <c r="AI47" s="18">
        <v>1400</v>
      </c>
      <c r="AJ47" s="18">
        <v>1450</v>
      </c>
      <c r="AK47" s="18">
        <v>1470</v>
      </c>
      <c r="AL47" s="18">
        <v>1480</v>
      </c>
      <c r="AM47" s="18">
        <v>1450</v>
      </c>
      <c r="AN47" s="18">
        <v>1420</v>
      </c>
      <c r="AO47" s="18">
        <v>1400</v>
      </c>
      <c r="AP47" s="18">
        <v>1380</v>
      </c>
      <c r="AQ47" s="18">
        <v>1370</v>
      </c>
      <c r="AR47" s="18">
        <v>1360</v>
      </c>
      <c r="AS47" s="18">
        <v>1340</v>
      </c>
      <c r="AT47" s="18">
        <v>1320</v>
      </c>
      <c r="AU47" s="18">
        <v>1300</v>
      </c>
      <c r="AV47" s="18">
        <v>1280</v>
      </c>
      <c r="AW47" s="18">
        <v>1270</v>
      </c>
      <c r="AX47" s="18">
        <v>1250</v>
      </c>
      <c r="AY47" s="18">
        <v>1230</v>
      </c>
      <c r="AZ47" s="18">
        <v>1220</v>
      </c>
      <c r="BA47" s="18">
        <v>1220</v>
      </c>
      <c r="BB47" s="18">
        <v>1190</v>
      </c>
      <c r="BC47" s="18">
        <v>1190</v>
      </c>
      <c r="BD47" s="18">
        <v>1180</v>
      </c>
      <c r="BE47" s="18">
        <v>1190</v>
      </c>
      <c r="BF47" s="18">
        <v>1180</v>
      </c>
      <c r="BG47" s="18">
        <v>1170</v>
      </c>
      <c r="BH47" s="18">
        <v>1180</v>
      </c>
      <c r="BI47" s="18"/>
      <c r="BJ47" s="18">
        <v>1180</v>
      </c>
      <c r="BK47" s="18">
        <v>1170</v>
      </c>
      <c r="BL47" s="18">
        <v>1170</v>
      </c>
      <c r="BM47" s="18">
        <v>1160</v>
      </c>
      <c r="BN47" s="18">
        <v>1140</v>
      </c>
      <c r="BO47" s="18">
        <v>1140</v>
      </c>
      <c r="BP47" s="18">
        <v>1140</v>
      </c>
      <c r="BQ47" s="18">
        <v>1130</v>
      </c>
      <c r="BR47" s="18">
        <v>1110</v>
      </c>
      <c r="BS47" s="18">
        <v>1110</v>
      </c>
      <c r="BT47" s="18">
        <v>1110</v>
      </c>
      <c r="BU47" s="18">
        <v>1110</v>
      </c>
      <c r="BV47" s="18">
        <v>1110</v>
      </c>
      <c r="BW47" s="18">
        <v>1100</v>
      </c>
      <c r="BX47" s="18">
        <v>1100</v>
      </c>
      <c r="BY47" s="18">
        <v>1090</v>
      </c>
      <c r="BZ47" s="18">
        <v>1100</v>
      </c>
      <c r="CA47" s="18">
        <v>1110</v>
      </c>
      <c r="CB47" s="18">
        <v>1130</v>
      </c>
      <c r="CC47" s="18">
        <v>1180</v>
      </c>
      <c r="CD47" s="18">
        <v>1230</v>
      </c>
      <c r="CE47" s="18">
        <v>1260</v>
      </c>
      <c r="CF47" s="18">
        <v>1280</v>
      </c>
      <c r="CG47" s="18">
        <v>1360</v>
      </c>
      <c r="CH47" s="18">
        <v>1440</v>
      </c>
      <c r="CI47" s="18">
        <v>1540</v>
      </c>
      <c r="CJ47" s="18">
        <v>1550</v>
      </c>
      <c r="CK47" s="18">
        <v>1560</v>
      </c>
      <c r="CL47" s="18">
        <v>1590</v>
      </c>
      <c r="CM47" s="18">
        <v>1570</v>
      </c>
      <c r="CN47" s="18">
        <v>1530</v>
      </c>
      <c r="CO47" s="18">
        <v>1490</v>
      </c>
      <c r="CP47" s="18">
        <v>1440</v>
      </c>
      <c r="CQ47" s="18">
        <v>1460</v>
      </c>
      <c r="CR47" s="18">
        <v>1460</v>
      </c>
      <c r="CS47" s="18">
        <v>1450</v>
      </c>
      <c r="CT47" s="18">
        <v>1450</v>
      </c>
      <c r="CU47" s="18">
        <v>1410</v>
      </c>
      <c r="CV47" s="18">
        <v>1410</v>
      </c>
      <c r="CW47" s="18">
        <v>1420</v>
      </c>
      <c r="CX47" s="18">
        <v>1450</v>
      </c>
      <c r="CY47" s="18">
        <v>1530</v>
      </c>
      <c r="CZ47" s="18">
        <v>1700</v>
      </c>
      <c r="DA47" s="18">
        <v>1940</v>
      </c>
      <c r="DB47" s="18">
        <v>2150</v>
      </c>
      <c r="DC47" s="18">
        <v>2180</v>
      </c>
      <c r="DD47" s="18">
        <v>2070</v>
      </c>
      <c r="DE47" s="18">
        <v>1910</v>
      </c>
      <c r="DF47" s="18">
        <v>1750</v>
      </c>
      <c r="DG47" s="18">
        <v>1630</v>
      </c>
      <c r="DH47" s="18">
        <v>1550</v>
      </c>
      <c r="DI47" s="18">
        <v>1510</v>
      </c>
      <c r="DJ47" s="18">
        <v>1490</v>
      </c>
      <c r="DK47" s="18">
        <v>1510</v>
      </c>
      <c r="DL47" s="18">
        <v>1420</v>
      </c>
      <c r="DM47" s="18">
        <v>1390</v>
      </c>
      <c r="DN47" s="18">
        <v>1370</v>
      </c>
      <c r="DO47" s="18">
        <v>1370</v>
      </c>
      <c r="DP47" s="18">
        <v>1380</v>
      </c>
      <c r="DQ47" s="18">
        <v>1400</v>
      </c>
      <c r="DR47" s="18">
        <v>1420</v>
      </c>
      <c r="DS47" s="18">
        <v>1420</v>
      </c>
      <c r="DT47" s="18">
        <v>1410</v>
      </c>
      <c r="DU47" s="18">
        <v>1410</v>
      </c>
      <c r="DV47" s="18">
        <v>1430</v>
      </c>
      <c r="DW47" s="18">
        <v>1460</v>
      </c>
      <c r="DX47" s="18">
        <v>1540</v>
      </c>
      <c r="DY47" s="18">
        <v>1640</v>
      </c>
      <c r="DZ47" s="18">
        <v>1750</v>
      </c>
      <c r="EA47" s="18">
        <v>1900</v>
      </c>
      <c r="EB47" s="18">
        <v>2090</v>
      </c>
      <c r="EC47" s="18">
        <v>2250</v>
      </c>
      <c r="ED47" s="18">
        <v>2140</v>
      </c>
      <c r="EE47" s="18">
        <v>2010</v>
      </c>
      <c r="EF47" s="18">
        <v>1960</v>
      </c>
      <c r="EG47" s="18">
        <v>1960</v>
      </c>
      <c r="EH47" s="18">
        <v>2050</v>
      </c>
      <c r="EI47" s="18">
        <v>2220</v>
      </c>
      <c r="EJ47" s="18">
        <v>2320</v>
      </c>
      <c r="EK47" s="18">
        <v>2290</v>
      </c>
      <c r="EL47" s="18">
        <v>2280</v>
      </c>
      <c r="EM47" s="18">
        <v>2290</v>
      </c>
      <c r="EN47" s="18">
        <v>2200</v>
      </c>
      <c r="EO47" s="18">
        <v>2050</v>
      </c>
      <c r="EP47" s="18">
        <v>2000</v>
      </c>
      <c r="EQ47" s="18">
        <v>2080</v>
      </c>
      <c r="ER47" s="18">
        <v>2240</v>
      </c>
      <c r="ES47" s="18">
        <v>2380</v>
      </c>
      <c r="ET47" s="18">
        <v>2390</v>
      </c>
      <c r="EU47" s="18">
        <v>2450</v>
      </c>
      <c r="EV47" s="18">
        <v>2550</v>
      </c>
      <c r="EW47" s="18">
        <v>2760</v>
      </c>
      <c r="EX47" s="18">
        <v>2780</v>
      </c>
      <c r="EY47" s="18">
        <v>2780</v>
      </c>
      <c r="EZ47" s="18">
        <v>2810</v>
      </c>
      <c r="FA47" s="18">
        <v>2960</v>
      </c>
      <c r="FB47" s="18">
        <v>3310</v>
      </c>
      <c r="FC47" s="18">
        <v>3870</v>
      </c>
      <c r="FD47" s="18">
        <v>4330</v>
      </c>
      <c r="FE47" s="18">
        <v>4570</v>
      </c>
      <c r="FF47" s="18">
        <v>4780</v>
      </c>
      <c r="FG47" s="18">
        <v>4560</v>
      </c>
      <c r="FH47" s="18">
        <v>4370</v>
      </c>
      <c r="FI47" s="18">
        <v>4250</v>
      </c>
      <c r="FJ47" s="18">
        <v>4090</v>
      </c>
      <c r="FK47" s="18">
        <v>4030</v>
      </c>
      <c r="FL47" s="18">
        <v>4110</v>
      </c>
      <c r="FM47" s="18">
        <v>4680</v>
      </c>
      <c r="FN47" s="18">
        <v>5020</v>
      </c>
      <c r="FO47" s="18">
        <v>5450</v>
      </c>
      <c r="FP47" s="18">
        <v>5640</v>
      </c>
      <c r="FQ47" s="18">
        <v>6360</v>
      </c>
      <c r="FR47" s="18">
        <v>8950</v>
      </c>
      <c r="FS47" s="18">
        <v>11400</v>
      </c>
      <c r="FT47" s="18">
        <v>10800</v>
      </c>
      <c r="FU47" s="18">
        <v>9480</v>
      </c>
      <c r="FV47" s="18">
        <v>8240</v>
      </c>
      <c r="FW47" s="18">
        <v>7560</v>
      </c>
      <c r="FX47" s="18">
        <v>6720</v>
      </c>
      <c r="FY47" s="18">
        <v>6060</v>
      </c>
      <c r="FZ47" s="18">
        <v>5420</v>
      </c>
      <c r="GA47" s="18">
        <v>5040</v>
      </c>
      <c r="GB47" s="18">
        <v>4620</v>
      </c>
      <c r="GC47" s="18">
        <v>5220</v>
      </c>
      <c r="GD47" s="18">
        <v>6700</v>
      </c>
      <c r="GE47" s="18">
        <v>7470</v>
      </c>
      <c r="GF47" s="18">
        <v>7210</v>
      </c>
      <c r="GG47" s="18">
        <v>6440</v>
      </c>
      <c r="GH47" s="18">
        <v>5780</v>
      </c>
      <c r="GI47" s="18">
        <v>5840</v>
      </c>
      <c r="GJ47" s="18">
        <v>6540</v>
      </c>
      <c r="GK47" s="18">
        <v>6330</v>
      </c>
      <c r="GL47" s="18">
        <v>6190</v>
      </c>
      <c r="GM47" s="18">
        <v>7580</v>
      </c>
      <c r="GN47" s="18">
        <v>7730</v>
      </c>
      <c r="GO47" s="18">
        <v>6770</v>
      </c>
      <c r="GP47" s="18">
        <v>5910</v>
      </c>
      <c r="GQ47" s="18">
        <v>5380</v>
      </c>
      <c r="GR47" s="18">
        <v>5150</v>
      </c>
      <c r="GS47" s="18">
        <v>4860</v>
      </c>
      <c r="GT47" s="18">
        <v>4510</v>
      </c>
      <c r="GU47" s="18">
        <v>4470</v>
      </c>
      <c r="GV47" s="18">
        <v>4680</v>
      </c>
      <c r="GW47" s="18">
        <v>4690</v>
      </c>
      <c r="GX47" s="18">
        <v>4540</v>
      </c>
      <c r="GY47" s="18">
        <v>4680</v>
      </c>
      <c r="GZ47" s="18">
        <v>4730</v>
      </c>
      <c r="HA47" s="18">
        <v>4960</v>
      </c>
      <c r="HB47" s="18">
        <v>4990</v>
      </c>
      <c r="HC47" s="18">
        <v>4800</v>
      </c>
      <c r="HD47" s="18">
        <v>4740</v>
      </c>
      <c r="HE47" s="18">
        <v>4800</v>
      </c>
      <c r="HF47" s="18">
        <v>4780</v>
      </c>
      <c r="HG47" s="18">
        <v>5200</v>
      </c>
      <c r="HH47" s="18">
        <v>5440</v>
      </c>
      <c r="HI47" s="18">
        <v>5360</v>
      </c>
      <c r="HJ47" s="18">
        <v>5280</v>
      </c>
      <c r="HK47" s="18">
        <v>5550</v>
      </c>
      <c r="HL47" s="18">
        <v>5470</v>
      </c>
      <c r="HM47" s="18">
        <v>5160</v>
      </c>
      <c r="HN47" s="18">
        <v>4940</v>
      </c>
      <c r="HO47" s="18">
        <v>4730</v>
      </c>
      <c r="HP47" s="18">
        <v>4490</v>
      </c>
      <c r="HQ47" s="18">
        <v>4260</v>
      </c>
      <c r="HR47" s="18">
        <v>4200</v>
      </c>
      <c r="HS47" s="18">
        <v>4150</v>
      </c>
      <c r="HT47" s="18">
        <v>4180</v>
      </c>
      <c r="HU47" s="18">
        <v>4260</v>
      </c>
      <c r="HV47" s="18">
        <v>4060</v>
      </c>
      <c r="HW47" s="18">
        <v>3870</v>
      </c>
      <c r="HX47" s="18">
        <v>3820</v>
      </c>
      <c r="HY47" s="18">
        <v>3860</v>
      </c>
      <c r="HZ47" s="18">
        <v>3760</v>
      </c>
      <c r="IA47" s="18">
        <v>3730</v>
      </c>
      <c r="IB47" s="18">
        <v>3890</v>
      </c>
      <c r="IC47" s="18">
        <v>4450</v>
      </c>
      <c r="ID47" s="18">
        <v>5330</v>
      </c>
      <c r="IE47" s="18">
        <v>6120</v>
      </c>
      <c r="IF47" s="18">
        <v>6620</v>
      </c>
      <c r="IG47" s="18">
        <v>6940</v>
      </c>
      <c r="IH47" s="18">
        <v>7160</v>
      </c>
      <c r="II47" s="18">
        <v>8190</v>
      </c>
      <c r="IJ47" s="18">
        <v>7590</v>
      </c>
      <c r="IK47" s="18">
        <v>7400</v>
      </c>
      <c r="IL47" s="18">
        <v>6860</v>
      </c>
      <c r="IM47" s="18">
        <v>6410</v>
      </c>
      <c r="IN47" s="18">
        <v>6850</v>
      </c>
      <c r="IO47" s="18">
        <v>7130</v>
      </c>
      <c r="IP47" s="18">
        <v>7410</v>
      </c>
      <c r="IQ47" s="18">
        <v>8450</v>
      </c>
      <c r="IR47" s="18">
        <v>7700</v>
      </c>
      <c r="IS47" s="18">
        <v>6850</v>
      </c>
      <c r="IT47" s="18">
        <v>6160</v>
      </c>
      <c r="IU47" s="18">
        <v>5900</v>
      </c>
      <c r="IV47" s="18">
        <v>5970</v>
      </c>
      <c r="IW47" s="18">
        <v>6180</v>
      </c>
      <c r="IX47" s="18">
        <v>6400</v>
      </c>
      <c r="IY47" s="18">
        <v>6250</v>
      </c>
      <c r="IZ47" s="18">
        <v>6180</v>
      </c>
      <c r="JA47" s="18">
        <v>5950</v>
      </c>
      <c r="JB47" s="18">
        <v>5790</v>
      </c>
      <c r="JC47" s="18">
        <v>6520</v>
      </c>
      <c r="JD47" s="18">
        <v>6410</v>
      </c>
      <c r="JE47" s="18">
        <v>6060</v>
      </c>
      <c r="JF47" s="18">
        <v>5860</v>
      </c>
      <c r="JG47" s="18">
        <v>5770</v>
      </c>
      <c r="JH47" s="18">
        <v>5870</v>
      </c>
      <c r="JI47" s="18">
        <v>5710</v>
      </c>
      <c r="JJ47" s="18">
        <v>6100</v>
      </c>
      <c r="JK47" s="18">
        <v>6920</v>
      </c>
      <c r="JL47" s="18">
        <v>7090</v>
      </c>
      <c r="JM47" s="18">
        <v>6400</v>
      </c>
      <c r="JN47" s="18">
        <v>6080</v>
      </c>
      <c r="JO47" s="18">
        <v>5660</v>
      </c>
      <c r="JP47" s="18">
        <v>5280</v>
      </c>
      <c r="JQ47" s="18">
        <v>5060</v>
      </c>
      <c r="JR47" s="18">
        <v>4950</v>
      </c>
      <c r="JS47" s="18">
        <v>4830</v>
      </c>
      <c r="JT47" s="18">
        <v>4850</v>
      </c>
      <c r="JU47" s="18">
        <v>4990</v>
      </c>
      <c r="JV47" s="18">
        <v>4700</v>
      </c>
      <c r="JW47" s="18">
        <v>4570</v>
      </c>
      <c r="JX47" s="18">
        <v>4530</v>
      </c>
      <c r="JY47" s="18">
        <v>4430</v>
      </c>
      <c r="JZ47" s="18">
        <v>4510</v>
      </c>
      <c r="KA47" s="18">
        <v>4460</v>
      </c>
      <c r="KB47" s="18">
        <v>4430</v>
      </c>
      <c r="KC47" s="18">
        <v>4290</v>
      </c>
      <c r="KD47" s="18">
        <v>4110</v>
      </c>
      <c r="KE47" s="18">
        <v>3880</v>
      </c>
      <c r="KF47" s="18">
        <v>3700</v>
      </c>
      <c r="KG47" s="18">
        <v>3540</v>
      </c>
      <c r="KH47" s="18">
        <v>3360</v>
      </c>
      <c r="KI47" s="18">
        <v>3220</v>
      </c>
      <c r="KJ47" s="18">
        <v>3090</v>
      </c>
      <c r="KK47" s="18">
        <v>3030</v>
      </c>
      <c r="KL47" s="18">
        <v>2960</v>
      </c>
      <c r="KM47" s="18">
        <v>2880</v>
      </c>
      <c r="KN47" s="18">
        <v>2820</v>
      </c>
      <c r="KO47" s="18">
        <v>2770</v>
      </c>
      <c r="KP47" s="18">
        <v>2750</v>
      </c>
      <c r="KQ47" s="18">
        <v>2680</v>
      </c>
      <c r="KR47" s="18">
        <v>2590</v>
      </c>
      <c r="KS47" s="18">
        <v>2520</v>
      </c>
      <c r="KT47" s="18">
        <v>2460</v>
      </c>
      <c r="KU47" s="18">
        <v>2400</v>
      </c>
      <c r="KV47" s="18">
        <v>2340</v>
      </c>
      <c r="KW47" s="18">
        <v>2290</v>
      </c>
      <c r="KX47" s="18">
        <v>2240</v>
      </c>
      <c r="KY47" s="18">
        <v>2190</v>
      </c>
      <c r="KZ47" s="18">
        <v>2140</v>
      </c>
      <c r="LA47" s="18">
        <v>2120</v>
      </c>
      <c r="LB47" s="18">
        <v>2110</v>
      </c>
      <c r="LC47" s="18">
        <v>2090</v>
      </c>
      <c r="LD47" s="18">
        <v>2050</v>
      </c>
      <c r="LE47" s="18">
        <v>2000</v>
      </c>
      <c r="LF47" s="18">
        <v>1960</v>
      </c>
      <c r="LG47" s="18">
        <v>1940</v>
      </c>
      <c r="LH47" s="18">
        <v>1910</v>
      </c>
      <c r="LI47" s="18">
        <v>1880</v>
      </c>
      <c r="LJ47" s="18">
        <v>1850</v>
      </c>
      <c r="LK47" s="18">
        <v>1810</v>
      </c>
      <c r="LL47" s="18">
        <v>1800</v>
      </c>
      <c r="LM47" s="18">
        <v>1780</v>
      </c>
      <c r="LN47" s="18">
        <v>1770</v>
      </c>
      <c r="LO47" s="18">
        <v>1740</v>
      </c>
      <c r="LP47" s="18">
        <v>1690</v>
      </c>
      <c r="LQ47" s="18">
        <v>1640</v>
      </c>
      <c r="LR47" s="18">
        <v>1610</v>
      </c>
      <c r="LS47" s="18">
        <v>1570</v>
      </c>
      <c r="LT47" s="18">
        <v>1540</v>
      </c>
      <c r="LU47" s="18">
        <v>1550</v>
      </c>
      <c r="LV47" s="18">
        <v>1650</v>
      </c>
      <c r="LW47" s="18">
        <v>1650</v>
      </c>
      <c r="LX47" s="18">
        <v>1620</v>
      </c>
      <c r="LY47" s="18">
        <v>1570</v>
      </c>
      <c r="LZ47" s="18">
        <v>1500</v>
      </c>
      <c r="MA47" s="18">
        <v>1470</v>
      </c>
      <c r="MB47" s="18">
        <v>1450</v>
      </c>
      <c r="MC47" s="18">
        <v>1420</v>
      </c>
      <c r="MD47" s="18">
        <v>1400</v>
      </c>
      <c r="ME47" s="18">
        <v>1370</v>
      </c>
      <c r="MF47" s="18">
        <v>1330</v>
      </c>
      <c r="MG47" s="18">
        <v>1310</v>
      </c>
      <c r="MH47" s="18">
        <v>1280</v>
      </c>
      <c r="MI47" s="18">
        <v>1260</v>
      </c>
      <c r="MJ47" s="18">
        <v>1240</v>
      </c>
      <c r="MK47" s="18">
        <v>1220</v>
      </c>
      <c r="ML47" s="18">
        <v>1200</v>
      </c>
      <c r="MM47" s="18">
        <v>1170</v>
      </c>
      <c r="MN47" s="18">
        <v>1150</v>
      </c>
      <c r="MO47" s="18">
        <v>1140</v>
      </c>
      <c r="MP47" s="18">
        <v>1120</v>
      </c>
      <c r="MQ47" s="18">
        <v>1110</v>
      </c>
      <c r="MR47" s="18">
        <v>1110</v>
      </c>
      <c r="MS47" s="18">
        <v>1110</v>
      </c>
      <c r="MT47" s="18">
        <v>1110</v>
      </c>
      <c r="MU47" s="18">
        <v>1110</v>
      </c>
      <c r="MV47" s="18">
        <v>1100</v>
      </c>
      <c r="MW47" s="18">
        <v>1070</v>
      </c>
      <c r="MX47" s="18">
        <v>1040</v>
      </c>
      <c r="MY47" s="18">
        <v>1020</v>
      </c>
      <c r="MZ47" s="18">
        <v>990</v>
      </c>
      <c r="NA47" s="18">
        <v>971</v>
      </c>
      <c r="NB47" s="18">
        <v>962</v>
      </c>
      <c r="NC47" s="18">
        <v>958</v>
      </c>
      <c r="ND47" s="1">
        <v>1570</v>
      </c>
      <c r="NE47" s="1">
        <v>1310</v>
      </c>
      <c r="NF47" s="1">
        <v>1240</v>
      </c>
      <c r="NG47" s="1">
        <v>1570</v>
      </c>
      <c r="NH47" s="1">
        <v>2030</v>
      </c>
      <c r="NI47" s="1">
        <v>5480</v>
      </c>
      <c r="NJ47" s="1">
        <v>5580</v>
      </c>
      <c r="NK47" s="1">
        <v>5140</v>
      </c>
      <c r="NL47" s="1">
        <v>6430</v>
      </c>
      <c r="NM47" s="1">
        <v>3810</v>
      </c>
      <c r="NN47" s="1">
        <v>1900</v>
      </c>
      <c r="NO47" s="1">
        <v>1200</v>
      </c>
      <c r="NP47" s="1">
        <v>3112.9068493150685</v>
      </c>
      <c r="NQ47" s="1">
        <v>11400</v>
      </c>
      <c r="NR47" s="19">
        <v>42543</v>
      </c>
      <c r="NS47" s="1">
        <v>958</v>
      </c>
      <c r="NT47" s="19">
        <v>42735</v>
      </c>
    </row>
    <row r="48" spans="1:384" x14ac:dyDescent="0.15">
      <c r="A48" s="1">
        <v>1995</v>
      </c>
      <c r="B48" s="18">
        <v>971</v>
      </c>
      <c r="C48" s="18">
        <v>986</v>
      </c>
      <c r="D48" s="18">
        <v>1020</v>
      </c>
      <c r="E48" s="18">
        <v>1020</v>
      </c>
      <c r="F48" s="18">
        <v>1020</v>
      </c>
      <c r="G48" s="18">
        <v>1000</v>
      </c>
      <c r="H48" s="18">
        <v>988</v>
      </c>
      <c r="I48" s="18">
        <v>972</v>
      </c>
      <c r="J48" s="18">
        <v>941</v>
      </c>
      <c r="K48" s="18">
        <v>902</v>
      </c>
      <c r="L48" s="18">
        <v>870</v>
      </c>
      <c r="M48" s="18">
        <v>862</v>
      </c>
      <c r="N48" s="18">
        <v>859</v>
      </c>
      <c r="O48" s="18">
        <v>856</v>
      </c>
      <c r="P48" s="18">
        <v>861</v>
      </c>
      <c r="Q48" s="18">
        <v>867</v>
      </c>
      <c r="R48" s="18">
        <v>868</v>
      </c>
      <c r="S48" s="18">
        <v>861</v>
      </c>
      <c r="T48" s="18">
        <v>856</v>
      </c>
      <c r="U48" s="18">
        <v>845</v>
      </c>
      <c r="V48" s="18">
        <v>830</v>
      </c>
      <c r="W48" s="18">
        <v>819</v>
      </c>
      <c r="X48" s="18">
        <v>813</v>
      </c>
      <c r="Y48" s="18">
        <v>810</v>
      </c>
      <c r="Z48" s="18">
        <v>796</v>
      </c>
      <c r="AA48" s="18">
        <v>786</v>
      </c>
      <c r="AB48" s="18">
        <v>779</v>
      </c>
      <c r="AC48" s="18">
        <v>772</v>
      </c>
      <c r="AD48" s="18">
        <v>757</v>
      </c>
      <c r="AE48" s="18">
        <v>737</v>
      </c>
      <c r="AF48" s="18">
        <v>734</v>
      </c>
      <c r="AG48" s="18">
        <v>734</v>
      </c>
      <c r="AH48" s="18">
        <v>734</v>
      </c>
      <c r="AI48" s="18">
        <v>729</v>
      </c>
      <c r="AJ48" s="18">
        <v>728</v>
      </c>
      <c r="AK48" s="18">
        <v>728</v>
      </c>
      <c r="AL48" s="18">
        <v>720</v>
      </c>
      <c r="AM48" s="18">
        <v>716</v>
      </c>
      <c r="AN48" s="18">
        <v>709</v>
      </c>
      <c r="AO48" s="18">
        <v>695</v>
      </c>
      <c r="AP48" s="18">
        <v>699</v>
      </c>
      <c r="AQ48" s="18">
        <v>697</v>
      </c>
      <c r="AR48" s="18">
        <v>692</v>
      </c>
      <c r="AS48" s="18">
        <v>690</v>
      </c>
      <c r="AT48" s="18">
        <v>690</v>
      </c>
      <c r="AU48" s="18">
        <v>692</v>
      </c>
      <c r="AV48" s="18">
        <v>705</v>
      </c>
      <c r="AW48" s="18">
        <v>715</v>
      </c>
      <c r="AX48" s="18">
        <v>730</v>
      </c>
      <c r="AY48" s="18">
        <v>739</v>
      </c>
      <c r="AZ48" s="18">
        <v>761</v>
      </c>
      <c r="BA48" s="18">
        <v>774</v>
      </c>
      <c r="BB48" s="18">
        <v>767</v>
      </c>
      <c r="BC48" s="18">
        <v>751</v>
      </c>
      <c r="BD48" s="18">
        <v>741</v>
      </c>
      <c r="BE48" s="18">
        <v>729</v>
      </c>
      <c r="BF48" s="18">
        <v>716</v>
      </c>
      <c r="BG48" s="18">
        <v>710</v>
      </c>
      <c r="BH48" s="18">
        <v>706</v>
      </c>
      <c r="BI48" s="18"/>
      <c r="BJ48" s="18">
        <v>704</v>
      </c>
      <c r="BK48" s="18">
        <v>695</v>
      </c>
      <c r="BL48" s="18">
        <v>685</v>
      </c>
      <c r="BM48" s="18">
        <v>679</v>
      </c>
      <c r="BN48" s="18">
        <v>670</v>
      </c>
      <c r="BO48" s="18">
        <v>657</v>
      </c>
      <c r="BP48" s="18">
        <v>658</v>
      </c>
      <c r="BQ48" s="18">
        <v>663</v>
      </c>
      <c r="BR48" s="18">
        <v>648</v>
      </c>
      <c r="BS48" s="18">
        <v>647</v>
      </c>
      <c r="BT48" s="18">
        <v>644</v>
      </c>
      <c r="BU48" s="18">
        <v>635</v>
      </c>
      <c r="BV48" s="18">
        <v>642</v>
      </c>
      <c r="BW48" s="18">
        <v>652</v>
      </c>
      <c r="BX48" s="18">
        <v>645</v>
      </c>
      <c r="BY48" s="18">
        <v>635</v>
      </c>
      <c r="BZ48" s="18">
        <v>626</v>
      </c>
      <c r="CA48" s="18">
        <v>622</v>
      </c>
      <c r="CB48" s="18">
        <v>629</v>
      </c>
      <c r="CC48" s="18">
        <v>629</v>
      </c>
      <c r="CD48" s="18">
        <v>630</v>
      </c>
      <c r="CE48" s="18">
        <v>631</v>
      </c>
      <c r="CF48" s="18">
        <v>631</v>
      </c>
      <c r="CG48" s="18">
        <v>631</v>
      </c>
      <c r="CH48" s="18">
        <v>629</v>
      </c>
      <c r="CI48" s="18">
        <v>642</v>
      </c>
      <c r="CJ48" s="18">
        <v>658</v>
      </c>
      <c r="CK48" s="18">
        <v>679</v>
      </c>
      <c r="CL48" s="18">
        <v>704</v>
      </c>
      <c r="CM48" s="18">
        <v>754</v>
      </c>
      <c r="CN48" s="18">
        <v>787</v>
      </c>
      <c r="CO48" s="18">
        <v>860</v>
      </c>
      <c r="CP48" s="18">
        <v>959</v>
      </c>
      <c r="CQ48" s="18">
        <v>1020</v>
      </c>
      <c r="CR48" s="18">
        <v>988</v>
      </c>
      <c r="CS48" s="18">
        <v>950</v>
      </c>
      <c r="CT48" s="18">
        <v>899</v>
      </c>
      <c r="CU48" s="18">
        <v>859</v>
      </c>
      <c r="CV48" s="18">
        <v>816</v>
      </c>
      <c r="CW48" s="18">
        <v>800</v>
      </c>
      <c r="CX48" s="18">
        <v>788</v>
      </c>
      <c r="CY48" s="18">
        <v>776</v>
      </c>
      <c r="CZ48" s="18">
        <v>760</v>
      </c>
      <c r="DA48" s="18">
        <v>740</v>
      </c>
      <c r="DB48" s="18">
        <v>713</v>
      </c>
      <c r="DC48" s="18">
        <v>691</v>
      </c>
      <c r="DD48" s="18">
        <v>677</v>
      </c>
      <c r="DE48" s="18">
        <v>694</v>
      </c>
      <c r="DF48" s="18">
        <v>734</v>
      </c>
      <c r="DG48" s="18">
        <v>758</v>
      </c>
      <c r="DH48" s="18">
        <v>757</v>
      </c>
      <c r="DI48" s="18">
        <v>753</v>
      </c>
      <c r="DJ48" s="18">
        <v>756</v>
      </c>
      <c r="DK48" s="18">
        <v>791</v>
      </c>
      <c r="DL48" s="18">
        <v>816</v>
      </c>
      <c r="DM48" s="18">
        <v>844</v>
      </c>
      <c r="DN48" s="18">
        <v>896</v>
      </c>
      <c r="DO48" s="18">
        <v>928</v>
      </c>
      <c r="DP48" s="18">
        <v>932</v>
      </c>
      <c r="DQ48" s="18">
        <v>940</v>
      </c>
      <c r="DR48" s="18">
        <v>975</v>
      </c>
      <c r="DS48" s="18">
        <v>980</v>
      </c>
      <c r="DT48" s="18">
        <v>1040</v>
      </c>
      <c r="DU48" s="18">
        <v>1150</v>
      </c>
      <c r="DV48" s="18">
        <v>1240</v>
      </c>
      <c r="DW48" s="18">
        <v>1280</v>
      </c>
      <c r="DX48" s="18">
        <v>1370</v>
      </c>
      <c r="DY48" s="18">
        <v>1420</v>
      </c>
      <c r="DZ48" s="18">
        <v>1520</v>
      </c>
      <c r="EA48" s="18">
        <v>1610</v>
      </c>
      <c r="EB48" s="18">
        <v>1620</v>
      </c>
      <c r="EC48" s="18">
        <v>1610</v>
      </c>
      <c r="ED48" s="18">
        <v>1570</v>
      </c>
      <c r="EE48" s="18">
        <v>1550</v>
      </c>
      <c r="EF48" s="18">
        <v>1630</v>
      </c>
      <c r="EG48" s="18">
        <v>1780</v>
      </c>
      <c r="EH48" s="18">
        <v>1970</v>
      </c>
      <c r="EI48" s="18">
        <v>2350</v>
      </c>
      <c r="EJ48" s="18">
        <v>2720</v>
      </c>
      <c r="EK48" s="18">
        <v>2870</v>
      </c>
      <c r="EL48" s="18">
        <v>3080</v>
      </c>
      <c r="EM48" s="18">
        <v>3150</v>
      </c>
      <c r="EN48" s="18">
        <v>3350</v>
      </c>
      <c r="EO48" s="18">
        <v>3520</v>
      </c>
      <c r="EP48" s="18">
        <v>3500</v>
      </c>
      <c r="EQ48" s="18">
        <v>3340</v>
      </c>
      <c r="ER48" s="18">
        <v>3050</v>
      </c>
      <c r="ES48" s="18">
        <v>2740</v>
      </c>
      <c r="ET48" s="18">
        <v>2510</v>
      </c>
      <c r="EU48" s="18">
        <v>2530</v>
      </c>
      <c r="EV48" s="18">
        <v>2510</v>
      </c>
      <c r="EW48" s="18">
        <v>2390</v>
      </c>
      <c r="EX48" s="18">
        <v>2290</v>
      </c>
      <c r="EY48" s="18">
        <v>2310</v>
      </c>
      <c r="EZ48" s="18">
        <v>2340</v>
      </c>
      <c r="FA48" s="18">
        <v>2510</v>
      </c>
      <c r="FB48" s="18">
        <v>2370</v>
      </c>
      <c r="FC48" s="18">
        <v>2480</v>
      </c>
      <c r="FD48" s="18">
        <v>2760</v>
      </c>
      <c r="FE48" s="18">
        <v>3920</v>
      </c>
      <c r="FF48" s="18">
        <v>3410</v>
      </c>
      <c r="FG48" s="18">
        <v>3040</v>
      </c>
      <c r="FH48" s="18">
        <v>2950</v>
      </c>
      <c r="FI48" s="18">
        <v>3130</v>
      </c>
      <c r="FJ48" s="18">
        <v>3350</v>
      </c>
      <c r="FK48" s="18">
        <v>3530</v>
      </c>
      <c r="FL48" s="18">
        <v>4000</v>
      </c>
      <c r="FM48" s="18">
        <v>4440</v>
      </c>
      <c r="FN48" s="18">
        <v>5280</v>
      </c>
      <c r="FO48" s="18">
        <v>6020</v>
      </c>
      <c r="FP48" s="18">
        <v>5880</v>
      </c>
      <c r="FQ48" s="18">
        <v>5490</v>
      </c>
      <c r="FR48" s="18">
        <v>5100</v>
      </c>
      <c r="FS48" s="18">
        <v>4700</v>
      </c>
      <c r="FT48" s="18">
        <v>4440</v>
      </c>
      <c r="FU48" s="18">
        <v>4390</v>
      </c>
      <c r="FV48" s="18">
        <v>4450</v>
      </c>
      <c r="FW48" s="18">
        <v>4410</v>
      </c>
      <c r="FX48" s="18">
        <v>4510</v>
      </c>
      <c r="FY48" s="18">
        <v>4580</v>
      </c>
      <c r="FZ48" s="18">
        <v>4750</v>
      </c>
      <c r="GA48" s="18">
        <v>4950</v>
      </c>
      <c r="GB48" s="18">
        <v>5980</v>
      </c>
      <c r="GC48" s="18">
        <v>6130</v>
      </c>
      <c r="GD48" s="18">
        <v>6740</v>
      </c>
      <c r="GE48" s="18">
        <v>7490</v>
      </c>
      <c r="GF48" s="18">
        <v>8660</v>
      </c>
      <c r="GG48" s="18">
        <v>10500</v>
      </c>
      <c r="GH48" s="18">
        <v>11300</v>
      </c>
      <c r="GI48" s="18">
        <v>11900</v>
      </c>
      <c r="GJ48" s="18">
        <v>12200</v>
      </c>
      <c r="GK48" s="18">
        <v>11500</v>
      </c>
      <c r="GL48" s="18">
        <v>10400</v>
      </c>
      <c r="GM48" s="18">
        <v>9910</v>
      </c>
      <c r="GN48" s="18">
        <v>9010</v>
      </c>
      <c r="GO48" s="18">
        <v>8810</v>
      </c>
      <c r="GP48" s="18">
        <v>10100</v>
      </c>
      <c r="GQ48" s="18">
        <v>9720</v>
      </c>
      <c r="GR48" s="18">
        <v>9800</v>
      </c>
      <c r="GS48" s="18">
        <v>10600</v>
      </c>
      <c r="GT48" s="18">
        <v>10800</v>
      </c>
      <c r="GU48" s="18">
        <v>12100</v>
      </c>
      <c r="GV48" s="18">
        <v>12800</v>
      </c>
      <c r="GW48" s="18">
        <v>12800</v>
      </c>
      <c r="GX48" s="18">
        <v>12200</v>
      </c>
      <c r="GY48" s="18">
        <v>10900</v>
      </c>
      <c r="GZ48" s="18">
        <v>10100</v>
      </c>
      <c r="HA48" s="18">
        <v>9690</v>
      </c>
      <c r="HB48" s="18">
        <v>8690</v>
      </c>
      <c r="HC48" s="18">
        <v>7650</v>
      </c>
      <c r="HD48" s="18">
        <v>6950</v>
      </c>
      <c r="HE48" s="18">
        <v>6290</v>
      </c>
      <c r="HF48" s="18">
        <v>6140</v>
      </c>
      <c r="HG48" s="18">
        <v>5880</v>
      </c>
      <c r="HH48" s="18">
        <v>5480</v>
      </c>
      <c r="HI48" s="18">
        <v>5060</v>
      </c>
      <c r="HJ48" s="18">
        <v>4840</v>
      </c>
      <c r="HK48" s="18">
        <v>5060</v>
      </c>
      <c r="HL48" s="18">
        <v>5840</v>
      </c>
      <c r="HM48" s="18">
        <v>7000</v>
      </c>
      <c r="HN48" s="18">
        <v>7170</v>
      </c>
      <c r="HO48" s="18">
        <v>6550</v>
      </c>
      <c r="HP48" s="18">
        <v>6110</v>
      </c>
      <c r="HQ48" s="18">
        <v>5800</v>
      </c>
      <c r="HR48" s="18">
        <v>6050</v>
      </c>
      <c r="HS48" s="18">
        <v>7610</v>
      </c>
      <c r="HT48" s="18">
        <v>8700</v>
      </c>
      <c r="HU48" s="18">
        <v>8660</v>
      </c>
      <c r="HV48" s="18">
        <v>7820</v>
      </c>
      <c r="HW48" s="18">
        <v>7460</v>
      </c>
      <c r="HX48" s="18">
        <v>8250</v>
      </c>
      <c r="HY48" s="18">
        <v>9000</v>
      </c>
      <c r="HZ48" s="18">
        <v>9620</v>
      </c>
      <c r="IA48" s="18">
        <v>8720</v>
      </c>
      <c r="IB48" s="18">
        <v>7900</v>
      </c>
      <c r="IC48" s="18">
        <v>7570</v>
      </c>
      <c r="ID48" s="18">
        <v>7240</v>
      </c>
      <c r="IE48" s="18">
        <v>7000</v>
      </c>
      <c r="IF48" s="18">
        <v>6970</v>
      </c>
      <c r="IG48" s="18">
        <v>7150</v>
      </c>
      <c r="IH48" s="18">
        <v>8270</v>
      </c>
      <c r="II48" s="18">
        <v>9120</v>
      </c>
      <c r="IJ48" s="18">
        <v>8990</v>
      </c>
      <c r="IK48" s="18">
        <v>8420</v>
      </c>
      <c r="IL48" s="18">
        <v>8130</v>
      </c>
      <c r="IM48" s="18">
        <v>7880</v>
      </c>
      <c r="IN48" s="18">
        <v>7520</v>
      </c>
      <c r="IO48" s="18">
        <v>7230</v>
      </c>
      <c r="IP48" s="18">
        <v>7050</v>
      </c>
      <c r="IQ48" s="18">
        <v>6630</v>
      </c>
      <c r="IR48" s="18">
        <v>6360</v>
      </c>
      <c r="IS48" s="18">
        <v>6090</v>
      </c>
      <c r="IT48" s="18">
        <v>6260</v>
      </c>
      <c r="IU48" s="18">
        <v>6080</v>
      </c>
      <c r="IV48" s="18">
        <v>6060</v>
      </c>
      <c r="IW48" s="18">
        <v>6430</v>
      </c>
      <c r="IX48" s="18">
        <v>6810</v>
      </c>
      <c r="IY48" s="18">
        <v>7100</v>
      </c>
      <c r="IZ48" s="18">
        <v>8360</v>
      </c>
      <c r="JA48" s="18">
        <v>8580</v>
      </c>
      <c r="JB48" s="18">
        <v>9250</v>
      </c>
      <c r="JC48" s="18">
        <v>9440</v>
      </c>
      <c r="JD48" s="18">
        <v>9750</v>
      </c>
      <c r="JE48" s="18">
        <v>10000</v>
      </c>
      <c r="JF48" s="18">
        <v>9510</v>
      </c>
      <c r="JG48" s="18">
        <v>9280</v>
      </c>
      <c r="JH48" s="18">
        <v>9690</v>
      </c>
      <c r="JI48" s="18">
        <v>10400</v>
      </c>
      <c r="JJ48" s="18">
        <v>11100</v>
      </c>
      <c r="JK48" s="18">
        <v>10800</v>
      </c>
      <c r="JL48" s="18">
        <v>9880</v>
      </c>
      <c r="JM48" s="18">
        <v>9320</v>
      </c>
      <c r="JN48" s="18">
        <v>9350</v>
      </c>
      <c r="JO48" s="18">
        <v>9400</v>
      </c>
      <c r="JP48" s="18">
        <v>8670</v>
      </c>
      <c r="JQ48" s="18">
        <v>8130</v>
      </c>
      <c r="JR48" s="18">
        <v>7690</v>
      </c>
      <c r="JS48" s="18">
        <v>7450</v>
      </c>
      <c r="JT48" s="18">
        <v>7280</v>
      </c>
      <c r="JU48" s="18">
        <v>7120</v>
      </c>
      <c r="JV48" s="18">
        <v>7160</v>
      </c>
      <c r="JW48" s="18">
        <v>8410</v>
      </c>
      <c r="JX48" s="18">
        <v>10800</v>
      </c>
      <c r="JY48" s="18">
        <v>10100</v>
      </c>
      <c r="JZ48" s="18">
        <v>8250</v>
      </c>
      <c r="KA48" s="18">
        <v>7410</v>
      </c>
      <c r="KB48" s="18">
        <v>6910</v>
      </c>
      <c r="KC48" s="18">
        <v>6440</v>
      </c>
      <c r="KD48" s="18">
        <v>6110</v>
      </c>
      <c r="KE48" s="18">
        <v>5890</v>
      </c>
      <c r="KF48" s="18">
        <v>5570</v>
      </c>
      <c r="KG48" s="18">
        <v>5250</v>
      </c>
      <c r="KH48" s="18">
        <v>4990</v>
      </c>
      <c r="KI48" s="18">
        <v>4820</v>
      </c>
      <c r="KJ48" s="18">
        <v>4670</v>
      </c>
      <c r="KK48" s="18">
        <v>4520</v>
      </c>
      <c r="KL48" s="18">
        <v>4370</v>
      </c>
      <c r="KM48" s="18">
        <v>4270</v>
      </c>
      <c r="KN48" s="18">
        <v>4200</v>
      </c>
      <c r="KO48" s="18">
        <v>4070</v>
      </c>
      <c r="KP48" s="18">
        <v>3940</v>
      </c>
      <c r="KQ48" s="18">
        <v>3800</v>
      </c>
      <c r="KR48" s="18">
        <v>3660</v>
      </c>
      <c r="KS48" s="18">
        <v>3550</v>
      </c>
      <c r="KT48" s="18">
        <v>3450</v>
      </c>
      <c r="KU48" s="18">
        <v>3360</v>
      </c>
      <c r="KV48" s="18">
        <v>3320</v>
      </c>
      <c r="KW48" s="18">
        <v>3520</v>
      </c>
      <c r="KX48" s="18">
        <v>4020</v>
      </c>
      <c r="KY48" s="18">
        <v>3980</v>
      </c>
      <c r="KZ48" s="18">
        <v>3750</v>
      </c>
      <c r="LA48" s="18">
        <v>3530</v>
      </c>
      <c r="LB48" s="18">
        <v>3380</v>
      </c>
      <c r="LC48" s="18">
        <v>3270</v>
      </c>
      <c r="LD48" s="18">
        <v>3180</v>
      </c>
      <c r="LE48" s="18">
        <v>3110</v>
      </c>
      <c r="LF48" s="18">
        <v>3040</v>
      </c>
      <c r="LG48" s="18">
        <v>2980</v>
      </c>
      <c r="LH48" s="18">
        <v>2980</v>
      </c>
      <c r="LI48" s="18">
        <v>2940</v>
      </c>
      <c r="LJ48" s="18">
        <v>2910</v>
      </c>
      <c r="LK48" s="18">
        <v>2870</v>
      </c>
      <c r="LL48" s="18">
        <v>2810</v>
      </c>
      <c r="LM48" s="18">
        <v>2740</v>
      </c>
      <c r="LN48" s="18">
        <v>2840</v>
      </c>
      <c r="LO48" s="18">
        <v>3220</v>
      </c>
      <c r="LP48" s="18">
        <v>3160</v>
      </c>
      <c r="LQ48" s="18">
        <v>2910</v>
      </c>
      <c r="LR48" s="18">
        <v>2760</v>
      </c>
      <c r="LS48" s="18">
        <v>2670</v>
      </c>
      <c r="LT48" s="18">
        <v>2590</v>
      </c>
      <c r="LU48" s="18">
        <v>2540</v>
      </c>
      <c r="LV48" s="18">
        <v>2530</v>
      </c>
      <c r="LW48" s="18">
        <v>2510</v>
      </c>
      <c r="LX48" s="18">
        <v>2460</v>
      </c>
      <c r="LY48" s="18">
        <v>2410</v>
      </c>
      <c r="LZ48" s="18">
        <v>2340</v>
      </c>
      <c r="MA48" s="18">
        <v>2290</v>
      </c>
      <c r="MB48" s="18">
        <v>2250</v>
      </c>
      <c r="MC48" s="18">
        <v>2210</v>
      </c>
      <c r="MD48" s="18">
        <v>2190</v>
      </c>
      <c r="ME48" s="18">
        <v>2150</v>
      </c>
      <c r="MF48" s="18">
        <v>2130</v>
      </c>
      <c r="MG48" s="18">
        <v>2090</v>
      </c>
      <c r="MH48" s="18">
        <v>2060</v>
      </c>
      <c r="MI48" s="18">
        <v>2010</v>
      </c>
      <c r="MJ48" s="18">
        <v>1980</v>
      </c>
      <c r="MK48" s="18">
        <v>1930</v>
      </c>
      <c r="ML48" s="18">
        <v>1880</v>
      </c>
      <c r="MM48" s="18">
        <v>1830</v>
      </c>
      <c r="MN48" s="18">
        <v>1810</v>
      </c>
      <c r="MO48" s="18">
        <v>1800</v>
      </c>
      <c r="MP48" s="18">
        <v>1780</v>
      </c>
      <c r="MQ48" s="18">
        <v>1760</v>
      </c>
      <c r="MR48" s="18">
        <v>1740</v>
      </c>
      <c r="MS48" s="18">
        <v>1730</v>
      </c>
      <c r="MT48" s="18">
        <v>1720</v>
      </c>
      <c r="MU48" s="18">
        <v>1710</v>
      </c>
      <c r="MV48" s="18">
        <v>1690</v>
      </c>
      <c r="MW48" s="18">
        <v>1680</v>
      </c>
      <c r="MX48" s="18">
        <v>1670</v>
      </c>
      <c r="MY48" s="18">
        <v>1640</v>
      </c>
      <c r="MZ48" s="18">
        <v>1630</v>
      </c>
      <c r="NA48" s="18">
        <v>1610</v>
      </c>
      <c r="NB48" s="18">
        <v>1590</v>
      </c>
      <c r="NC48" s="18">
        <v>1570</v>
      </c>
      <c r="ND48" s="1">
        <v>873</v>
      </c>
      <c r="NE48" s="1">
        <v>721</v>
      </c>
      <c r="NF48" s="1">
        <v>659</v>
      </c>
      <c r="NG48" s="1">
        <v>829</v>
      </c>
      <c r="NH48" s="1">
        <v>2160</v>
      </c>
      <c r="NI48" s="1">
        <v>3930</v>
      </c>
      <c r="NJ48" s="1">
        <v>9610</v>
      </c>
      <c r="NK48" s="1">
        <v>7270</v>
      </c>
      <c r="NL48" s="1">
        <v>8320</v>
      </c>
      <c r="NM48" s="1">
        <v>6100</v>
      </c>
      <c r="NN48" s="1">
        <v>3060</v>
      </c>
      <c r="NO48" s="1">
        <v>1900</v>
      </c>
      <c r="NP48" s="1">
        <v>3807.9890410958906</v>
      </c>
      <c r="NQ48" s="1">
        <v>12800</v>
      </c>
      <c r="NR48" s="19">
        <v>42572</v>
      </c>
      <c r="NS48" s="1">
        <v>622</v>
      </c>
      <c r="NT48" s="19">
        <v>42447</v>
      </c>
    </row>
    <row r="49" spans="1:384" x14ac:dyDescent="0.15">
      <c r="A49" s="1">
        <v>1996</v>
      </c>
      <c r="B49" s="18">
        <v>1530</v>
      </c>
      <c r="C49" s="18">
        <v>1520</v>
      </c>
      <c r="D49" s="18">
        <v>1480</v>
      </c>
      <c r="E49" s="18">
        <v>1440</v>
      </c>
      <c r="F49" s="18">
        <v>1400</v>
      </c>
      <c r="G49" s="18">
        <v>1370</v>
      </c>
      <c r="H49" s="18">
        <v>1350</v>
      </c>
      <c r="I49" s="18">
        <v>1330</v>
      </c>
      <c r="J49" s="18">
        <v>1310</v>
      </c>
      <c r="K49" s="18">
        <v>1300</v>
      </c>
      <c r="L49" s="18">
        <v>1300</v>
      </c>
      <c r="M49" s="18">
        <v>1300</v>
      </c>
      <c r="N49" s="18">
        <v>1290</v>
      </c>
      <c r="O49" s="18">
        <v>1280</v>
      </c>
      <c r="P49" s="18">
        <v>1280</v>
      </c>
      <c r="Q49" s="18">
        <v>1270</v>
      </c>
      <c r="R49" s="18">
        <v>1250</v>
      </c>
      <c r="S49" s="18">
        <v>1250</v>
      </c>
      <c r="T49" s="18">
        <v>1250</v>
      </c>
      <c r="U49" s="18">
        <v>1240</v>
      </c>
      <c r="V49" s="18">
        <v>1230</v>
      </c>
      <c r="W49" s="18">
        <v>1230</v>
      </c>
      <c r="X49" s="18">
        <v>1220</v>
      </c>
      <c r="Y49" s="18">
        <v>1210</v>
      </c>
      <c r="Z49" s="18">
        <v>1210</v>
      </c>
      <c r="AA49" s="18">
        <v>1200</v>
      </c>
      <c r="AB49" s="18">
        <v>1190</v>
      </c>
      <c r="AC49" s="18">
        <v>1180</v>
      </c>
      <c r="AD49" s="18">
        <v>1180</v>
      </c>
      <c r="AE49" s="18">
        <v>1180</v>
      </c>
      <c r="AF49" s="18">
        <v>1180</v>
      </c>
      <c r="AG49" s="18">
        <v>1180</v>
      </c>
      <c r="AH49" s="18">
        <v>1170</v>
      </c>
      <c r="AI49" s="18">
        <v>1170</v>
      </c>
      <c r="AJ49" s="18">
        <v>1160</v>
      </c>
      <c r="AK49" s="18">
        <v>1160</v>
      </c>
      <c r="AL49" s="18">
        <v>1160</v>
      </c>
      <c r="AM49" s="18">
        <v>1160</v>
      </c>
      <c r="AN49" s="18">
        <v>1160</v>
      </c>
      <c r="AO49" s="18">
        <v>1150</v>
      </c>
      <c r="AP49" s="18">
        <v>1130</v>
      </c>
      <c r="AQ49" s="18">
        <v>1130</v>
      </c>
      <c r="AR49" s="18">
        <v>1130</v>
      </c>
      <c r="AS49" s="18">
        <v>1110</v>
      </c>
      <c r="AT49" s="18">
        <v>1100</v>
      </c>
      <c r="AU49" s="18">
        <v>1090</v>
      </c>
      <c r="AV49" s="18">
        <v>1090</v>
      </c>
      <c r="AW49" s="18">
        <v>1080</v>
      </c>
      <c r="AX49" s="18">
        <v>1070</v>
      </c>
      <c r="AY49" s="18">
        <v>1070</v>
      </c>
      <c r="AZ49" s="18">
        <v>1070</v>
      </c>
      <c r="BA49" s="18">
        <v>1080</v>
      </c>
      <c r="BB49" s="18">
        <v>1090</v>
      </c>
      <c r="BC49" s="18">
        <v>1120</v>
      </c>
      <c r="BD49" s="18">
        <v>1150</v>
      </c>
      <c r="BE49" s="18">
        <v>1170</v>
      </c>
      <c r="BF49" s="18">
        <v>1170</v>
      </c>
      <c r="BG49" s="18">
        <v>1140</v>
      </c>
      <c r="BH49" s="18">
        <v>1120</v>
      </c>
      <c r="BI49" s="18">
        <v>1100</v>
      </c>
      <c r="BJ49" s="18">
        <v>1080</v>
      </c>
      <c r="BK49" s="18">
        <v>1070</v>
      </c>
      <c r="BL49" s="18">
        <v>1080</v>
      </c>
      <c r="BM49" s="18">
        <v>1080</v>
      </c>
      <c r="BN49" s="18">
        <v>1060</v>
      </c>
      <c r="BO49" s="18">
        <v>1040</v>
      </c>
      <c r="BP49" s="18">
        <v>1020</v>
      </c>
      <c r="BQ49" s="18">
        <v>1010</v>
      </c>
      <c r="BR49" s="18">
        <v>1000</v>
      </c>
      <c r="BS49" s="18">
        <v>1010</v>
      </c>
      <c r="BT49" s="18">
        <v>1020</v>
      </c>
      <c r="BU49" s="18">
        <v>1030</v>
      </c>
      <c r="BV49" s="18">
        <v>1040</v>
      </c>
      <c r="BW49" s="18">
        <v>1050</v>
      </c>
      <c r="BX49" s="18">
        <v>1060</v>
      </c>
      <c r="BY49" s="18">
        <v>1070</v>
      </c>
      <c r="BZ49" s="18">
        <v>1080</v>
      </c>
      <c r="CA49" s="18">
        <v>1110</v>
      </c>
      <c r="CB49" s="18">
        <v>1110</v>
      </c>
      <c r="CC49" s="18">
        <v>1100</v>
      </c>
      <c r="CD49" s="18">
        <v>1090</v>
      </c>
      <c r="CE49" s="18">
        <v>1090</v>
      </c>
      <c r="CF49" s="18">
        <v>1100</v>
      </c>
      <c r="CG49" s="18">
        <v>1110</v>
      </c>
      <c r="CH49" s="18">
        <v>1110</v>
      </c>
      <c r="CI49" s="18">
        <v>1130</v>
      </c>
      <c r="CJ49" s="18">
        <v>1150</v>
      </c>
      <c r="CK49" s="18">
        <v>1250</v>
      </c>
      <c r="CL49" s="18">
        <v>1330</v>
      </c>
      <c r="CM49" s="18">
        <v>1350</v>
      </c>
      <c r="CN49" s="18">
        <v>1300</v>
      </c>
      <c r="CO49" s="18">
        <v>1280</v>
      </c>
      <c r="CP49" s="18">
        <v>1240</v>
      </c>
      <c r="CQ49" s="18">
        <v>1200</v>
      </c>
      <c r="CR49" s="18">
        <v>1180</v>
      </c>
      <c r="CS49" s="18">
        <v>1180</v>
      </c>
      <c r="CT49" s="18">
        <v>1190</v>
      </c>
      <c r="CU49" s="18">
        <v>1180</v>
      </c>
      <c r="CV49" s="18">
        <v>1160</v>
      </c>
      <c r="CW49" s="18">
        <v>1120</v>
      </c>
      <c r="CX49" s="18">
        <v>1090</v>
      </c>
      <c r="CY49" s="18">
        <v>1090</v>
      </c>
      <c r="CZ49" s="18">
        <v>1090</v>
      </c>
      <c r="DA49" s="18">
        <v>1100</v>
      </c>
      <c r="DB49" s="18">
        <v>1120</v>
      </c>
      <c r="DC49" s="18">
        <v>1130</v>
      </c>
      <c r="DD49" s="18">
        <v>1150</v>
      </c>
      <c r="DE49" s="18">
        <v>1170</v>
      </c>
      <c r="DF49" s="18">
        <v>1190</v>
      </c>
      <c r="DG49" s="18">
        <v>1200</v>
      </c>
      <c r="DH49" s="18">
        <v>1240</v>
      </c>
      <c r="DI49" s="18">
        <v>1320</v>
      </c>
      <c r="DJ49" s="18">
        <v>1480</v>
      </c>
      <c r="DK49" s="18">
        <v>1980</v>
      </c>
      <c r="DL49" s="18">
        <v>2300</v>
      </c>
      <c r="DM49" s="18">
        <v>2370</v>
      </c>
      <c r="DN49" s="18">
        <v>2300</v>
      </c>
      <c r="DO49" s="18">
        <v>2100</v>
      </c>
      <c r="DP49" s="18">
        <v>1980</v>
      </c>
      <c r="DQ49" s="18">
        <v>1890</v>
      </c>
      <c r="DR49" s="18">
        <v>1780</v>
      </c>
      <c r="DS49" s="18">
        <v>1710</v>
      </c>
      <c r="DT49" s="18">
        <v>1640</v>
      </c>
      <c r="DU49" s="18">
        <v>1600</v>
      </c>
      <c r="DV49" s="18">
        <v>1590</v>
      </c>
      <c r="DW49" s="18">
        <v>1580</v>
      </c>
      <c r="DX49" s="18">
        <v>1540</v>
      </c>
      <c r="DY49" s="18">
        <v>1550</v>
      </c>
      <c r="DZ49" s="18">
        <v>1620</v>
      </c>
      <c r="EA49" s="18">
        <v>1720</v>
      </c>
      <c r="EB49" s="18">
        <v>1900</v>
      </c>
      <c r="EC49" s="18">
        <v>1970</v>
      </c>
      <c r="ED49" s="18">
        <v>2030</v>
      </c>
      <c r="EE49" s="18">
        <v>2030</v>
      </c>
      <c r="EF49" s="18">
        <v>1990</v>
      </c>
      <c r="EG49" s="18">
        <v>1950</v>
      </c>
      <c r="EH49" s="18">
        <v>1920</v>
      </c>
      <c r="EI49" s="18">
        <v>1850</v>
      </c>
      <c r="EJ49" s="18">
        <v>1780</v>
      </c>
      <c r="EK49" s="18">
        <v>1740</v>
      </c>
      <c r="EL49" s="18">
        <v>1680</v>
      </c>
      <c r="EM49" s="18">
        <v>1660</v>
      </c>
      <c r="EN49" s="18">
        <v>1660</v>
      </c>
      <c r="EO49" s="18">
        <v>1710</v>
      </c>
      <c r="EP49" s="18">
        <v>1790</v>
      </c>
      <c r="EQ49" s="18">
        <v>1910</v>
      </c>
      <c r="ER49" s="18">
        <v>2000</v>
      </c>
      <c r="ES49" s="18">
        <v>2090</v>
      </c>
      <c r="ET49" s="18">
        <v>2310</v>
      </c>
      <c r="EU49" s="18">
        <v>2500</v>
      </c>
      <c r="EV49" s="18">
        <v>2580</v>
      </c>
      <c r="EW49" s="18">
        <v>2560</v>
      </c>
      <c r="EX49" s="18">
        <v>2640</v>
      </c>
      <c r="EY49" s="18">
        <v>2620</v>
      </c>
      <c r="EZ49" s="18">
        <v>2560</v>
      </c>
      <c r="FA49" s="18">
        <v>2590</v>
      </c>
      <c r="FB49" s="18">
        <v>2660</v>
      </c>
      <c r="FC49" s="18">
        <v>2690</v>
      </c>
      <c r="FD49" s="18">
        <v>2700</v>
      </c>
      <c r="FE49" s="18">
        <v>2700</v>
      </c>
      <c r="FF49" s="18">
        <v>2600</v>
      </c>
      <c r="FG49" s="18">
        <v>2730</v>
      </c>
      <c r="FH49" s="18">
        <v>3300</v>
      </c>
      <c r="FI49" s="18">
        <v>3080</v>
      </c>
      <c r="FJ49" s="18">
        <v>2940</v>
      </c>
      <c r="FK49" s="18">
        <v>2770</v>
      </c>
      <c r="FL49" s="18">
        <v>2640</v>
      </c>
      <c r="FM49" s="18">
        <v>2490</v>
      </c>
      <c r="FN49" s="18">
        <v>2480</v>
      </c>
      <c r="FO49" s="18">
        <v>2980</v>
      </c>
      <c r="FP49" s="18">
        <v>2570</v>
      </c>
      <c r="FQ49" s="18">
        <v>2590</v>
      </c>
      <c r="FR49" s="18">
        <v>2910</v>
      </c>
      <c r="FS49" s="18">
        <v>3330</v>
      </c>
      <c r="FT49" s="18">
        <v>3390</v>
      </c>
      <c r="FU49" s="18">
        <v>3500</v>
      </c>
      <c r="FV49" s="18">
        <v>3480</v>
      </c>
      <c r="FW49" s="18">
        <v>3940</v>
      </c>
      <c r="FX49" s="18">
        <v>4900</v>
      </c>
      <c r="FY49" s="18">
        <v>5500</v>
      </c>
      <c r="FZ49" s="18">
        <v>5770</v>
      </c>
      <c r="GA49" s="18">
        <v>5750</v>
      </c>
      <c r="GB49" s="18">
        <v>5520</v>
      </c>
      <c r="GC49" s="18">
        <v>5340</v>
      </c>
      <c r="GD49" s="18">
        <v>5380</v>
      </c>
      <c r="GE49" s="18">
        <v>6070</v>
      </c>
      <c r="GF49" s="18">
        <v>7380</v>
      </c>
      <c r="GG49" s="18">
        <v>8210</v>
      </c>
      <c r="GH49" s="18">
        <v>9160</v>
      </c>
      <c r="GI49" s="18">
        <v>9960</v>
      </c>
      <c r="GJ49" s="18">
        <v>9980</v>
      </c>
      <c r="GK49" s="18">
        <v>10700</v>
      </c>
      <c r="GL49" s="18">
        <v>11500</v>
      </c>
      <c r="GM49" s="18">
        <v>11500</v>
      </c>
      <c r="GN49" s="18">
        <v>10800</v>
      </c>
      <c r="GO49" s="18">
        <v>9850</v>
      </c>
      <c r="GP49" s="18">
        <v>9150</v>
      </c>
      <c r="GQ49" s="18">
        <v>8680</v>
      </c>
      <c r="GR49" s="18">
        <v>8960</v>
      </c>
      <c r="GS49" s="18">
        <v>9910</v>
      </c>
      <c r="GT49" s="18">
        <v>9970</v>
      </c>
      <c r="GU49" s="18">
        <v>9970</v>
      </c>
      <c r="GV49" s="18">
        <v>11000</v>
      </c>
      <c r="GW49" s="18">
        <v>12400</v>
      </c>
      <c r="GX49" s="18">
        <v>15600</v>
      </c>
      <c r="GY49" s="18">
        <v>17600</v>
      </c>
      <c r="GZ49" s="18">
        <v>17100</v>
      </c>
      <c r="HA49" s="18">
        <v>14900</v>
      </c>
      <c r="HB49" s="18">
        <v>12500</v>
      </c>
      <c r="HC49" s="18">
        <v>10700</v>
      </c>
      <c r="HD49" s="18">
        <v>9670</v>
      </c>
      <c r="HE49" s="18">
        <v>9250</v>
      </c>
      <c r="HF49" s="18">
        <v>8880</v>
      </c>
      <c r="HG49" s="18">
        <v>9150</v>
      </c>
      <c r="HH49" s="18">
        <v>10100</v>
      </c>
      <c r="HI49" s="18">
        <v>11200</v>
      </c>
      <c r="HJ49" s="18">
        <v>11800</v>
      </c>
      <c r="HK49" s="18">
        <v>11400</v>
      </c>
      <c r="HL49" s="18">
        <v>10800</v>
      </c>
      <c r="HM49" s="18">
        <v>10700</v>
      </c>
      <c r="HN49" s="18">
        <v>11000</v>
      </c>
      <c r="HO49" s="18">
        <v>11500</v>
      </c>
      <c r="HP49" s="18">
        <v>11200</v>
      </c>
      <c r="HQ49" s="18">
        <v>11000</v>
      </c>
      <c r="HR49" s="18">
        <v>10800</v>
      </c>
      <c r="HS49" s="18">
        <v>10400</v>
      </c>
      <c r="HT49" s="18">
        <v>9990</v>
      </c>
      <c r="HU49" s="18">
        <v>9810</v>
      </c>
      <c r="HV49" s="18">
        <v>9690</v>
      </c>
      <c r="HW49" s="18">
        <v>9560</v>
      </c>
      <c r="HX49" s="18">
        <v>9950</v>
      </c>
      <c r="HY49" s="18">
        <v>9320</v>
      </c>
      <c r="HZ49" s="18">
        <v>8660</v>
      </c>
      <c r="IA49" s="18">
        <v>8130</v>
      </c>
      <c r="IB49" s="18">
        <v>7490</v>
      </c>
      <c r="IC49" s="18">
        <v>6910</v>
      </c>
      <c r="ID49" s="18">
        <v>6440</v>
      </c>
      <c r="IE49" s="18">
        <v>6100</v>
      </c>
      <c r="IF49" s="18">
        <v>5850</v>
      </c>
      <c r="IG49" s="18">
        <v>5600</v>
      </c>
      <c r="IH49" s="18">
        <v>5380</v>
      </c>
      <c r="II49" s="18">
        <v>5440</v>
      </c>
      <c r="IJ49" s="18">
        <v>5630</v>
      </c>
      <c r="IK49" s="18">
        <v>5780</v>
      </c>
      <c r="IL49" s="18">
        <v>6030</v>
      </c>
      <c r="IM49" s="18">
        <v>6250</v>
      </c>
      <c r="IN49" s="18">
        <v>6450</v>
      </c>
      <c r="IO49" s="18">
        <v>6390</v>
      </c>
      <c r="IP49" s="18">
        <v>6360</v>
      </c>
      <c r="IQ49" s="18">
        <v>6390</v>
      </c>
      <c r="IR49" s="18">
        <v>6330</v>
      </c>
      <c r="IS49" s="18">
        <v>6450</v>
      </c>
      <c r="IT49" s="18">
        <v>6520</v>
      </c>
      <c r="IU49" s="18">
        <v>6750</v>
      </c>
      <c r="IV49" s="18">
        <v>6770</v>
      </c>
      <c r="IW49" s="18">
        <v>6810</v>
      </c>
      <c r="IX49" s="18">
        <v>6970</v>
      </c>
      <c r="IY49" s="18">
        <v>7120</v>
      </c>
      <c r="IZ49" s="18">
        <v>7360</v>
      </c>
      <c r="JA49" s="18">
        <v>7250</v>
      </c>
      <c r="JB49" s="18">
        <v>6840</v>
      </c>
      <c r="JC49" s="18">
        <v>6460</v>
      </c>
      <c r="JD49" s="18">
        <v>6250</v>
      </c>
      <c r="JE49" s="18">
        <v>6780</v>
      </c>
      <c r="JF49" s="18">
        <v>6910</v>
      </c>
      <c r="JG49" s="18">
        <v>6740</v>
      </c>
      <c r="JH49" s="18">
        <v>6670</v>
      </c>
      <c r="JI49" s="18">
        <v>7240</v>
      </c>
      <c r="JJ49" s="18">
        <v>7660</v>
      </c>
      <c r="JK49" s="18">
        <v>7530</v>
      </c>
      <c r="JL49" s="18">
        <v>7130</v>
      </c>
      <c r="JM49" s="18">
        <v>6710</v>
      </c>
      <c r="JN49" s="18">
        <v>6540</v>
      </c>
      <c r="JO49" s="18">
        <v>6390</v>
      </c>
      <c r="JP49" s="18">
        <v>6660</v>
      </c>
      <c r="JQ49" s="18">
        <v>7080</v>
      </c>
      <c r="JR49" s="18">
        <v>7640</v>
      </c>
      <c r="JS49" s="18">
        <v>7380</v>
      </c>
      <c r="JT49" s="18">
        <v>6910</v>
      </c>
      <c r="JU49" s="18">
        <v>6500</v>
      </c>
      <c r="JV49" s="18">
        <v>6150</v>
      </c>
      <c r="JW49" s="18">
        <v>6110</v>
      </c>
      <c r="JX49" s="18">
        <v>5900</v>
      </c>
      <c r="JY49" s="18">
        <v>5620</v>
      </c>
      <c r="JZ49" s="18">
        <v>5470</v>
      </c>
      <c r="KA49" s="18">
        <v>5400</v>
      </c>
      <c r="KB49" s="18">
        <v>5220</v>
      </c>
      <c r="KC49" s="18">
        <v>5090</v>
      </c>
      <c r="KD49" s="18">
        <v>4960</v>
      </c>
      <c r="KE49" s="18">
        <v>4770</v>
      </c>
      <c r="KF49" s="18">
        <v>4620</v>
      </c>
      <c r="KG49" s="18">
        <v>4410</v>
      </c>
      <c r="KH49" s="18">
        <v>4270</v>
      </c>
      <c r="KI49" s="18">
        <v>4170</v>
      </c>
      <c r="KJ49" s="18">
        <v>3970</v>
      </c>
      <c r="KK49" s="18">
        <v>3840</v>
      </c>
      <c r="KL49" s="18">
        <v>3710</v>
      </c>
      <c r="KM49" s="18">
        <v>3630</v>
      </c>
      <c r="KN49" s="18">
        <v>3530</v>
      </c>
      <c r="KO49" s="18">
        <v>3440</v>
      </c>
      <c r="KP49" s="18">
        <v>3410</v>
      </c>
      <c r="KQ49" s="18">
        <v>3450</v>
      </c>
      <c r="KR49" s="18">
        <v>3410</v>
      </c>
      <c r="KS49" s="18">
        <v>3340</v>
      </c>
      <c r="KT49" s="18">
        <v>3280</v>
      </c>
      <c r="KU49" s="18">
        <v>3240</v>
      </c>
      <c r="KV49" s="18">
        <v>3230</v>
      </c>
      <c r="KW49" s="18">
        <v>3260</v>
      </c>
      <c r="KX49" s="18">
        <v>3330</v>
      </c>
      <c r="KY49" s="18">
        <v>3380</v>
      </c>
      <c r="KZ49" s="18">
        <v>3470</v>
      </c>
      <c r="LA49" s="18">
        <v>3620</v>
      </c>
      <c r="LB49" s="18">
        <v>3460</v>
      </c>
      <c r="LC49" s="18">
        <v>3250</v>
      </c>
      <c r="LD49" s="18">
        <v>3090</v>
      </c>
      <c r="LE49" s="18">
        <v>2990</v>
      </c>
      <c r="LF49" s="18">
        <v>2910</v>
      </c>
      <c r="LG49" s="18">
        <v>2840</v>
      </c>
      <c r="LH49" s="18">
        <v>2780</v>
      </c>
      <c r="LI49" s="18">
        <v>2700</v>
      </c>
      <c r="LJ49" s="18">
        <v>2630</v>
      </c>
      <c r="LK49" s="18">
        <v>2580</v>
      </c>
      <c r="LL49" s="18">
        <v>2540</v>
      </c>
      <c r="LM49" s="18">
        <v>2510</v>
      </c>
      <c r="LN49" s="18">
        <v>2490</v>
      </c>
      <c r="LO49" s="18">
        <v>2440</v>
      </c>
      <c r="LP49" s="18">
        <v>2390</v>
      </c>
      <c r="LQ49" s="18">
        <v>2350</v>
      </c>
      <c r="LR49" s="18">
        <v>2310</v>
      </c>
      <c r="LS49" s="18">
        <v>2270</v>
      </c>
      <c r="LT49" s="18">
        <v>2250</v>
      </c>
      <c r="LU49" s="18">
        <v>2220</v>
      </c>
      <c r="LV49" s="18">
        <v>2190</v>
      </c>
      <c r="LW49" s="18">
        <v>2160</v>
      </c>
      <c r="LX49" s="18">
        <v>2140</v>
      </c>
      <c r="LY49" s="18">
        <v>2120</v>
      </c>
      <c r="LZ49" s="18">
        <v>2090</v>
      </c>
      <c r="MA49" s="18">
        <v>2060</v>
      </c>
      <c r="MB49" s="18">
        <v>2020</v>
      </c>
      <c r="MC49" s="18">
        <v>1970</v>
      </c>
      <c r="MD49" s="18">
        <v>1930</v>
      </c>
      <c r="ME49" s="18">
        <v>1900</v>
      </c>
      <c r="MF49" s="18">
        <v>1870</v>
      </c>
      <c r="MG49" s="18">
        <v>1860</v>
      </c>
      <c r="MH49" s="18">
        <v>1850</v>
      </c>
      <c r="MI49" s="18">
        <v>1840</v>
      </c>
      <c r="MJ49" s="18">
        <v>1810</v>
      </c>
      <c r="MK49" s="18">
        <v>1790</v>
      </c>
      <c r="ML49" s="18">
        <v>1770</v>
      </c>
      <c r="MM49" s="18">
        <v>1750</v>
      </c>
      <c r="MN49" s="18">
        <v>1720</v>
      </c>
      <c r="MO49" s="18">
        <v>1700</v>
      </c>
      <c r="MP49" s="18">
        <v>1670</v>
      </c>
      <c r="MQ49" s="18">
        <v>1660</v>
      </c>
      <c r="MR49" s="18">
        <v>1640</v>
      </c>
      <c r="MS49" s="18">
        <v>1610</v>
      </c>
      <c r="MT49" s="18">
        <v>1580</v>
      </c>
      <c r="MU49" s="18">
        <v>1570</v>
      </c>
      <c r="MV49" s="18">
        <v>1560</v>
      </c>
      <c r="MW49" s="18">
        <v>1540</v>
      </c>
      <c r="MX49" s="18">
        <v>1520</v>
      </c>
      <c r="MY49" s="18">
        <v>1520</v>
      </c>
      <c r="MZ49" s="18">
        <v>1500</v>
      </c>
      <c r="NA49" s="18">
        <v>1490</v>
      </c>
      <c r="NB49" s="18">
        <v>1480</v>
      </c>
      <c r="NC49" s="18">
        <v>1460</v>
      </c>
      <c r="ND49" s="1">
        <v>1290</v>
      </c>
      <c r="NE49" s="1">
        <v>1130</v>
      </c>
      <c r="NF49" s="1">
        <v>1100</v>
      </c>
      <c r="NG49" s="1">
        <v>1430</v>
      </c>
      <c r="NH49" s="1">
        <v>1880</v>
      </c>
      <c r="NI49" s="1">
        <v>3230</v>
      </c>
      <c r="NJ49" s="1">
        <v>10200</v>
      </c>
      <c r="NK49" s="1">
        <v>8930</v>
      </c>
      <c r="NL49" s="1">
        <v>6740</v>
      </c>
      <c r="NM49" s="1">
        <v>4950</v>
      </c>
      <c r="NN49" s="1">
        <v>2770</v>
      </c>
      <c r="NO49" s="1">
        <v>1740</v>
      </c>
      <c r="NP49" s="1">
        <v>3800.9562841530055</v>
      </c>
      <c r="NQ49" s="1">
        <v>17600</v>
      </c>
      <c r="NR49" s="19">
        <v>42575</v>
      </c>
      <c r="NS49" s="1">
        <v>1000</v>
      </c>
      <c r="NT49" s="19">
        <v>42438</v>
      </c>
    </row>
    <row r="50" spans="1:384" x14ac:dyDescent="0.15">
      <c r="A50" s="1">
        <v>1997</v>
      </c>
      <c r="B50" s="18">
        <v>1430</v>
      </c>
      <c r="C50" s="18">
        <v>1420</v>
      </c>
      <c r="D50" s="18">
        <v>1400</v>
      </c>
      <c r="E50" s="18">
        <v>1380</v>
      </c>
      <c r="F50" s="18">
        <v>1360</v>
      </c>
      <c r="G50" s="18">
        <v>1340</v>
      </c>
      <c r="H50" s="18">
        <v>1350</v>
      </c>
      <c r="I50" s="18">
        <v>1350</v>
      </c>
      <c r="J50" s="18">
        <v>1340</v>
      </c>
      <c r="K50" s="18">
        <v>1330</v>
      </c>
      <c r="L50" s="18">
        <v>1330</v>
      </c>
      <c r="M50" s="18">
        <v>1320</v>
      </c>
      <c r="N50" s="18">
        <v>1320</v>
      </c>
      <c r="O50" s="18">
        <v>1310</v>
      </c>
      <c r="P50" s="18">
        <v>1300</v>
      </c>
      <c r="Q50" s="18">
        <v>1280</v>
      </c>
      <c r="R50" s="18">
        <v>1260</v>
      </c>
      <c r="S50" s="18">
        <v>1240</v>
      </c>
      <c r="T50" s="18">
        <v>1240</v>
      </c>
      <c r="U50" s="18">
        <v>1230</v>
      </c>
      <c r="V50" s="18">
        <v>1230</v>
      </c>
      <c r="W50" s="18">
        <v>1220</v>
      </c>
      <c r="X50" s="18">
        <v>1220</v>
      </c>
      <c r="Y50" s="18">
        <v>1220</v>
      </c>
      <c r="Z50" s="18">
        <v>1220</v>
      </c>
      <c r="AA50" s="18">
        <v>1220</v>
      </c>
      <c r="AB50" s="18">
        <v>1220</v>
      </c>
      <c r="AC50" s="18">
        <v>1220</v>
      </c>
      <c r="AD50" s="18">
        <v>1220</v>
      </c>
      <c r="AE50" s="18">
        <v>1210</v>
      </c>
      <c r="AF50" s="18">
        <v>1200</v>
      </c>
      <c r="AG50" s="18">
        <v>1180</v>
      </c>
      <c r="AH50" s="18">
        <v>1170</v>
      </c>
      <c r="AI50" s="18">
        <v>1160</v>
      </c>
      <c r="AJ50" s="18">
        <v>1150</v>
      </c>
      <c r="AK50" s="18">
        <v>1150</v>
      </c>
      <c r="AL50" s="18">
        <v>1140</v>
      </c>
      <c r="AM50" s="18">
        <v>1150</v>
      </c>
      <c r="AN50" s="18">
        <v>1150</v>
      </c>
      <c r="AO50" s="18">
        <v>1150</v>
      </c>
      <c r="AP50" s="18">
        <v>1150</v>
      </c>
      <c r="AQ50" s="18">
        <v>1140</v>
      </c>
      <c r="AR50" s="18">
        <v>1130</v>
      </c>
      <c r="AS50" s="18">
        <v>1120</v>
      </c>
      <c r="AT50" s="18">
        <v>1120</v>
      </c>
      <c r="AU50" s="18">
        <v>1120</v>
      </c>
      <c r="AV50" s="18">
        <v>1130</v>
      </c>
      <c r="AW50" s="18">
        <v>1130</v>
      </c>
      <c r="AX50" s="18">
        <v>1130</v>
      </c>
      <c r="AY50" s="18">
        <v>1140</v>
      </c>
      <c r="AZ50" s="18">
        <v>1130</v>
      </c>
      <c r="BA50" s="18">
        <v>1140</v>
      </c>
      <c r="BB50" s="18">
        <v>1140</v>
      </c>
      <c r="BC50" s="18">
        <v>1140</v>
      </c>
      <c r="BD50" s="18">
        <v>1130</v>
      </c>
      <c r="BE50" s="18">
        <v>1120</v>
      </c>
      <c r="BF50" s="18">
        <v>1110</v>
      </c>
      <c r="BG50" s="18">
        <v>1100</v>
      </c>
      <c r="BH50" s="18">
        <v>1090</v>
      </c>
      <c r="BI50" s="18"/>
      <c r="BJ50" s="18">
        <v>1080</v>
      </c>
      <c r="BK50" s="18">
        <v>1080</v>
      </c>
      <c r="BL50" s="18">
        <v>1080</v>
      </c>
      <c r="BM50" s="18">
        <v>1080</v>
      </c>
      <c r="BN50" s="18">
        <v>1070</v>
      </c>
      <c r="BO50" s="18">
        <v>1070</v>
      </c>
      <c r="BP50" s="18">
        <v>1060</v>
      </c>
      <c r="BQ50" s="18">
        <v>1060</v>
      </c>
      <c r="BR50" s="18">
        <v>1060</v>
      </c>
      <c r="BS50" s="18">
        <v>1050</v>
      </c>
      <c r="BT50" s="18">
        <v>1060</v>
      </c>
      <c r="BU50" s="18">
        <v>1060</v>
      </c>
      <c r="BV50" s="18">
        <v>1060</v>
      </c>
      <c r="BW50" s="18">
        <v>1060</v>
      </c>
      <c r="BX50" s="18">
        <v>1060</v>
      </c>
      <c r="BY50" s="18">
        <v>1070</v>
      </c>
      <c r="BZ50" s="18">
        <v>1080</v>
      </c>
      <c r="CA50" s="18">
        <v>1100</v>
      </c>
      <c r="CB50" s="18">
        <v>1110</v>
      </c>
      <c r="CC50" s="18">
        <v>1120</v>
      </c>
      <c r="CD50" s="18">
        <v>1120</v>
      </c>
      <c r="CE50" s="18">
        <v>1130</v>
      </c>
      <c r="CF50" s="18">
        <v>1130</v>
      </c>
      <c r="CG50" s="18">
        <v>1120</v>
      </c>
      <c r="CH50" s="18">
        <v>1130</v>
      </c>
      <c r="CI50" s="18">
        <v>1130</v>
      </c>
      <c r="CJ50" s="18">
        <v>1110</v>
      </c>
      <c r="CK50" s="18">
        <v>1100</v>
      </c>
      <c r="CL50" s="18">
        <v>1100</v>
      </c>
      <c r="CM50" s="18">
        <v>1100</v>
      </c>
      <c r="CN50" s="18">
        <v>1100</v>
      </c>
      <c r="CO50" s="18">
        <v>1110</v>
      </c>
      <c r="CP50" s="18">
        <v>1100</v>
      </c>
      <c r="CQ50" s="18">
        <v>1110</v>
      </c>
      <c r="CR50" s="18">
        <v>1100</v>
      </c>
      <c r="CS50" s="18">
        <v>1100</v>
      </c>
      <c r="CT50" s="18">
        <v>1100</v>
      </c>
      <c r="CU50" s="18">
        <v>1110</v>
      </c>
      <c r="CV50" s="18">
        <v>1120</v>
      </c>
      <c r="CW50" s="18">
        <v>1140</v>
      </c>
      <c r="CX50" s="18">
        <v>1150</v>
      </c>
      <c r="CY50" s="18">
        <v>1160</v>
      </c>
      <c r="CZ50" s="18">
        <v>1150</v>
      </c>
      <c r="DA50" s="18">
        <v>1140</v>
      </c>
      <c r="DB50" s="18">
        <v>1130</v>
      </c>
      <c r="DC50" s="18">
        <v>1130</v>
      </c>
      <c r="DD50" s="18">
        <v>1120</v>
      </c>
      <c r="DE50" s="18">
        <v>1130</v>
      </c>
      <c r="DF50" s="18">
        <v>1130</v>
      </c>
      <c r="DG50" s="18">
        <v>1120</v>
      </c>
      <c r="DH50" s="18">
        <v>1110</v>
      </c>
      <c r="DI50" s="18">
        <v>1110</v>
      </c>
      <c r="DJ50" s="18">
        <v>1120</v>
      </c>
      <c r="DK50" s="18">
        <v>1120</v>
      </c>
      <c r="DL50" s="18">
        <v>1140</v>
      </c>
      <c r="DM50" s="18">
        <v>1170</v>
      </c>
      <c r="DN50" s="18">
        <v>1230</v>
      </c>
      <c r="DO50" s="18">
        <v>1270</v>
      </c>
      <c r="DP50" s="18">
        <v>1300</v>
      </c>
      <c r="DQ50" s="18">
        <v>1320</v>
      </c>
      <c r="DR50" s="18">
        <v>1280</v>
      </c>
      <c r="DS50" s="18">
        <v>1240</v>
      </c>
      <c r="DT50" s="18">
        <v>1250</v>
      </c>
      <c r="DU50" s="18">
        <v>1250</v>
      </c>
      <c r="DV50" s="18">
        <v>1240</v>
      </c>
      <c r="DW50" s="18">
        <v>1220</v>
      </c>
      <c r="DX50" s="18">
        <v>1220</v>
      </c>
      <c r="DY50" s="18">
        <v>1260</v>
      </c>
      <c r="DZ50" s="18">
        <v>1490</v>
      </c>
      <c r="EA50" s="18">
        <v>1750</v>
      </c>
      <c r="EB50" s="18">
        <v>1950</v>
      </c>
      <c r="EC50" s="18">
        <v>2100</v>
      </c>
      <c r="ED50" s="18">
        <v>2150</v>
      </c>
      <c r="EE50" s="18">
        <v>2230</v>
      </c>
      <c r="EF50" s="18">
        <v>2250</v>
      </c>
      <c r="EG50" s="18">
        <v>2220</v>
      </c>
      <c r="EH50" s="18">
        <v>2230</v>
      </c>
      <c r="EI50" s="18">
        <v>2280</v>
      </c>
      <c r="EJ50" s="18">
        <v>2240</v>
      </c>
      <c r="EK50" s="18">
        <v>2200</v>
      </c>
      <c r="EL50" s="18">
        <v>2190</v>
      </c>
      <c r="EM50" s="18">
        <v>2190</v>
      </c>
      <c r="EN50" s="18">
        <v>2140</v>
      </c>
      <c r="EO50" s="18">
        <v>2190</v>
      </c>
      <c r="EP50" s="18">
        <v>2320</v>
      </c>
      <c r="EQ50" s="18">
        <v>2430</v>
      </c>
      <c r="ER50" s="18">
        <v>2550</v>
      </c>
      <c r="ES50" s="18">
        <v>2550</v>
      </c>
      <c r="ET50" s="18">
        <v>2510</v>
      </c>
      <c r="EU50" s="18">
        <v>2460</v>
      </c>
      <c r="EV50" s="18">
        <v>2450</v>
      </c>
      <c r="EW50" s="18">
        <v>2480</v>
      </c>
      <c r="EX50" s="18">
        <v>2540</v>
      </c>
      <c r="EY50" s="18">
        <v>2500</v>
      </c>
      <c r="EZ50" s="18">
        <v>2370</v>
      </c>
      <c r="FA50" s="18">
        <v>2460</v>
      </c>
      <c r="FB50" s="18">
        <v>2640</v>
      </c>
      <c r="FC50" s="18">
        <v>2700</v>
      </c>
      <c r="FD50" s="18">
        <v>2760</v>
      </c>
      <c r="FE50" s="18">
        <v>3010</v>
      </c>
      <c r="FF50" s="18">
        <v>2990</v>
      </c>
      <c r="FG50" s="18">
        <v>2920</v>
      </c>
      <c r="FH50" s="18">
        <v>2900</v>
      </c>
      <c r="FI50" s="18">
        <v>2940</v>
      </c>
      <c r="FJ50" s="18">
        <v>3170</v>
      </c>
      <c r="FK50" s="18">
        <v>3340</v>
      </c>
      <c r="FL50" s="18">
        <v>3780</v>
      </c>
      <c r="FM50" s="18">
        <v>4140</v>
      </c>
      <c r="FN50" s="18">
        <v>4260</v>
      </c>
      <c r="FO50" s="18">
        <v>5220</v>
      </c>
      <c r="FP50" s="18">
        <v>5640</v>
      </c>
      <c r="FQ50" s="18">
        <v>6100</v>
      </c>
      <c r="FR50" s="18">
        <v>6590</v>
      </c>
      <c r="FS50" s="18">
        <v>6880</v>
      </c>
      <c r="FT50" s="18">
        <v>6320</v>
      </c>
      <c r="FU50" s="18">
        <v>6220</v>
      </c>
      <c r="FV50" s="18">
        <v>6260</v>
      </c>
      <c r="FW50" s="18">
        <v>6070</v>
      </c>
      <c r="FX50" s="18">
        <v>5520</v>
      </c>
      <c r="FY50" s="18">
        <v>5640</v>
      </c>
      <c r="FZ50" s="18">
        <v>5480</v>
      </c>
      <c r="GA50" s="18">
        <v>5310</v>
      </c>
      <c r="GB50" s="18">
        <v>5900</v>
      </c>
      <c r="GC50" s="18">
        <v>6830</v>
      </c>
      <c r="GD50" s="18">
        <v>7760</v>
      </c>
      <c r="GE50" s="18">
        <v>8490</v>
      </c>
      <c r="GF50" s="18">
        <v>8720</v>
      </c>
      <c r="GG50" s="18">
        <v>8630</v>
      </c>
      <c r="GH50" s="18">
        <v>9250</v>
      </c>
      <c r="GI50" s="18">
        <v>12300</v>
      </c>
      <c r="GJ50" s="18">
        <v>12500</v>
      </c>
      <c r="GK50" s="18">
        <v>12900</v>
      </c>
      <c r="GL50" s="18">
        <v>13000</v>
      </c>
      <c r="GM50" s="18">
        <v>13100</v>
      </c>
      <c r="GN50" s="18">
        <v>12300</v>
      </c>
      <c r="GO50" s="18">
        <v>11400</v>
      </c>
      <c r="GP50" s="18">
        <v>12200</v>
      </c>
      <c r="GQ50" s="18">
        <v>13200</v>
      </c>
      <c r="GR50" s="18">
        <v>12200</v>
      </c>
      <c r="GS50" s="18">
        <v>12400</v>
      </c>
      <c r="GT50" s="18">
        <v>14100</v>
      </c>
      <c r="GU50" s="18">
        <v>14900</v>
      </c>
      <c r="GV50" s="18">
        <v>13100</v>
      </c>
      <c r="GW50" s="18">
        <v>10800</v>
      </c>
      <c r="GX50" s="18">
        <v>9050</v>
      </c>
      <c r="GY50" s="18">
        <v>7930</v>
      </c>
      <c r="GZ50" s="18">
        <v>7290</v>
      </c>
      <c r="HA50" s="18">
        <v>7070</v>
      </c>
      <c r="HB50" s="18">
        <v>6950</v>
      </c>
      <c r="HC50" s="18">
        <v>6710</v>
      </c>
      <c r="HD50" s="18">
        <v>6420</v>
      </c>
      <c r="HE50" s="18">
        <v>6530</v>
      </c>
      <c r="HF50" s="18">
        <v>7200</v>
      </c>
      <c r="HG50" s="18">
        <v>8700</v>
      </c>
      <c r="HH50" s="18">
        <v>9400</v>
      </c>
      <c r="HI50" s="18">
        <v>8850</v>
      </c>
      <c r="HJ50" s="18">
        <v>7940</v>
      </c>
      <c r="HK50" s="18">
        <v>7200</v>
      </c>
      <c r="HL50" s="18">
        <v>6660</v>
      </c>
      <c r="HM50" s="18">
        <v>6190</v>
      </c>
      <c r="HN50" s="18">
        <v>6250</v>
      </c>
      <c r="HO50" s="18">
        <v>6540</v>
      </c>
      <c r="HP50" s="18">
        <v>6550</v>
      </c>
      <c r="HQ50" s="18">
        <v>6080</v>
      </c>
      <c r="HR50" s="18">
        <v>5850</v>
      </c>
      <c r="HS50" s="18">
        <v>5920</v>
      </c>
      <c r="HT50" s="18">
        <v>5970</v>
      </c>
      <c r="HU50" s="18">
        <v>5890</v>
      </c>
      <c r="HV50" s="18">
        <v>6210</v>
      </c>
      <c r="HW50" s="18">
        <v>6590</v>
      </c>
      <c r="HX50" s="18">
        <v>6680</v>
      </c>
      <c r="HY50" s="18">
        <v>6430</v>
      </c>
      <c r="HZ50" s="18">
        <v>6180</v>
      </c>
      <c r="IA50" s="18">
        <v>6360</v>
      </c>
      <c r="IB50" s="18">
        <v>6660</v>
      </c>
      <c r="IC50" s="18">
        <v>6570</v>
      </c>
      <c r="ID50" s="18">
        <v>6530</v>
      </c>
      <c r="IE50" s="18">
        <v>6700</v>
      </c>
      <c r="IF50" s="18">
        <v>6470</v>
      </c>
      <c r="IG50" s="18">
        <v>6020</v>
      </c>
      <c r="IH50" s="18">
        <v>5900</v>
      </c>
      <c r="II50" s="18">
        <v>6260</v>
      </c>
      <c r="IJ50" s="18">
        <v>6100</v>
      </c>
      <c r="IK50" s="18">
        <v>6140</v>
      </c>
      <c r="IL50" s="18">
        <v>5800</v>
      </c>
      <c r="IM50" s="18">
        <v>5660</v>
      </c>
      <c r="IN50" s="18">
        <v>5700</v>
      </c>
      <c r="IO50" s="18">
        <v>5800</v>
      </c>
      <c r="IP50" s="18">
        <v>6340</v>
      </c>
      <c r="IQ50" s="18">
        <v>7110</v>
      </c>
      <c r="IR50" s="18">
        <v>7620</v>
      </c>
      <c r="IS50" s="18">
        <v>7230</v>
      </c>
      <c r="IT50" s="18">
        <v>6520</v>
      </c>
      <c r="IU50" s="18">
        <v>5920</v>
      </c>
      <c r="IV50" s="18">
        <v>5460</v>
      </c>
      <c r="IW50" s="18">
        <v>5150</v>
      </c>
      <c r="IX50" s="18">
        <v>4950</v>
      </c>
      <c r="IY50" s="18">
        <v>4830</v>
      </c>
      <c r="IZ50" s="18">
        <v>4980</v>
      </c>
      <c r="JA50" s="18">
        <v>5700</v>
      </c>
      <c r="JB50" s="18">
        <v>6210</v>
      </c>
      <c r="JC50" s="18">
        <v>7520</v>
      </c>
      <c r="JD50" s="18">
        <v>8720</v>
      </c>
      <c r="JE50" s="18">
        <v>9100</v>
      </c>
      <c r="JF50" s="18">
        <v>9420</v>
      </c>
      <c r="JG50" s="18">
        <v>8620</v>
      </c>
      <c r="JH50" s="18">
        <v>7830</v>
      </c>
      <c r="JI50" s="18">
        <v>7270</v>
      </c>
      <c r="JJ50" s="18">
        <v>7080</v>
      </c>
      <c r="JK50" s="18">
        <v>8020</v>
      </c>
      <c r="JL50" s="18">
        <v>9530</v>
      </c>
      <c r="JM50" s="18">
        <v>10600</v>
      </c>
      <c r="JN50" s="18">
        <v>11200</v>
      </c>
      <c r="JO50" s="18">
        <v>10500</v>
      </c>
      <c r="JP50" s="18">
        <v>9690</v>
      </c>
      <c r="JQ50" s="18">
        <v>8880</v>
      </c>
      <c r="JR50" s="18">
        <v>8240</v>
      </c>
      <c r="JS50" s="18">
        <v>7690</v>
      </c>
      <c r="JT50" s="18">
        <v>7190</v>
      </c>
      <c r="JU50" s="18">
        <v>6830</v>
      </c>
      <c r="JV50" s="18">
        <v>6790</v>
      </c>
      <c r="JW50" s="18">
        <v>7080</v>
      </c>
      <c r="JX50" s="18">
        <v>7640</v>
      </c>
      <c r="JY50" s="18">
        <v>6860</v>
      </c>
      <c r="JZ50" s="18">
        <v>6350</v>
      </c>
      <c r="KA50" s="18">
        <v>5960</v>
      </c>
      <c r="KB50" s="18">
        <v>5620</v>
      </c>
      <c r="KC50" s="18">
        <v>5190</v>
      </c>
      <c r="KD50" s="18">
        <v>5060</v>
      </c>
      <c r="KE50" s="18">
        <v>4980</v>
      </c>
      <c r="KF50" s="18">
        <v>4850</v>
      </c>
      <c r="KG50" s="18">
        <v>4730</v>
      </c>
      <c r="KH50" s="18">
        <v>4600</v>
      </c>
      <c r="KI50" s="18">
        <v>4490</v>
      </c>
      <c r="KJ50" s="18">
        <v>4410</v>
      </c>
      <c r="KK50" s="18">
        <v>4330</v>
      </c>
      <c r="KL50" s="18">
        <v>4210</v>
      </c>
      <c r="KM50" s="18">
        <v>4080</v>
      </c>
      <c r="KN50" s="18">
        <v>3980</v>
      </c>
      <c r="KO50" s="18">
        <v>3860</v>
      </c>
      <c r="KP50" s="18">
        <v>3760</v>
      </c>
      <c r="KQ50" s="18">
        <v>3690</v>
      </c>
      <c r="KR50" s="18">
        <v>3580</v>
      </c>
      <c r="KS50" s="18">
        <v>3500</v>
      </c>
      <c r="KT50" s="18">
        <v>3440</v>
      </c>
      <c r="KU50" s="18">
        <v>3370</v>
      </c>
      <c r="KV50" s="18">
        <v>3380</v>
      </c>
      <c r="KW50" s="18">
        <v>3330</v>
      </c>
      <c r="KX50" s="18">
        <v>3260</v>
      </c>
      <c r="KY50" s="18">
        <v>3120</v>
      </c>
      <c r="KZ50" s="18">
        <v>3080</v>
      </c>
      <c r="LA50" s="18">
        <v>3060</v>
      </c>
      <c r="LB50" s="18">
        <v>2990</v>
      </c>
      <c r="LC50" s="18">
        <v>2900</v>
      </c>
      <c r="LD50" s="18">
        <v>2820</v>
      </c>
      <c r="LE50" s="18">
        <v>2760</v>
      </c>
      <c r="LF50" s="18">
        <v>2720</v>
      </c>
      <c r="LG50" s="18">
        <v>2680</v>
      </c>
      <c r="LH50" s="18">
        <v>2640</v>
      </c>
      <c r="LI50" s="18">
        <v>2610</v>
      </c>
      <c r="LJ50" s="18">
        <v>2560</v>
      </c>
      <c r="LK50" s="18">
        <v>2540</v>
      </c>
      <c r="LL50" s="18">
        <v>2510</v>
      </c>
      <c r="LM50" s="18">
        <v>2450</v>
      </c>
      <c r="LN50" s="18">
        <v>2380</v>
      </c>
      <c r="LO50" s="18">
        <v>2320</v>
      </c>
      <c r="LP50" s="18">
        <v>2280</v>
      </c>
      <c r="LQ50" s="18">
        <v>2230</v>
      </c>
      <c r="LR50" s="18">
        <v>2200</v>
      </c>
      <c r="LS50" s="18">
        <v>2170</v>
      </c>
      <c r="LT50" s="18">
        <v>2120</v>
      </c>
      <c r="LU50" s="18">
        <v>2100</v>
      </c>
      <c r="LV50" s="18">
        <v>2080</v>
      </c>
      <c r="LW50" s="18">
        <v>2040</v>
      </c>
      <c r="LX50" s="18">
        <v>2020</v>
      </c>
      <c r="LY50" s="18">
        <v>1990</v>
      </c>
      <c r="LZ50" s="18">
        <v>1940</v>
      </c>
      <c r="MA50" s="18">
        <v>1930</v>
      </c>
      <c r="MB50" s="18">
        <v>1920</v>
      </c>
      <c r="MC50" s="18">
        <v>1910</v>
      </c>
      <c r="MD50" s="18">
        <v>1900</v>
      </c>
      <c r="ME50" s="18">
        <v>1880</v>
      </c>
      <c r="MF50" s="18">
        <v>1860</v>
      </c>
      <c r="MG50" s="18">
        <v>1860</v>
      </c>
      <c r="MH50" s="18">
        <v>1870</v>
      </c>
      <c r="MI50" s="18">
        <v>1870</v>
      </c>
      <c r="MJ50" s="18">
        <v>1860</v>
      </c>
      <c r="MK50" s="18">
        <v>1840</v>
      </c>
      <c r="ML50" s="18">
        <v>1800</v>
      </c>
      <c r="MM50" s="18">
        <v>1710</v>
      </c>
      <c r="MN50" s="18">
        <v>1690</v>
      </c>
      <c r="MO50" s="18">
        <v>1670</v>
      </c>
      <c r="MP50" s="18">
        <v>1630</v>
      </c>
      <c r="MQ50" s="18">
        <v>1620</v>
      </c>
      <c r="MR50" s="18">
        <v>1620</v>
      </c>
      <c r="MS50" s="18">
        <v>1600</v>
      </c>
      <c r="MT50" s="18">
        <v>1560</v>
      </c>
      <c r="MU50" s="18">
        <v>1490</v>
      </c>
      <c r="MV50" s="18">
        <v>1490</v>
      </c>
      <c r="MW50" s="18">
        <v>1480</v>
      </c>
      <c r="MX50" s="18">
        <v>1470</v>
      </c>
      <c r="MY50" s="18">
        <v>1460</v>
      </c>
      <c r="MZ50" s="18">
        <v>1420</v>
      </c>
      <c r="NA50" s="18">
        <v>1400</v>
      </c>
      <c r="NB50" s="18">
        <v>1370</v>
      </c>
      <c r="NC50" s="18">
        <v>1350</v>
      </c>
      <c r="ND50" s="1">
        <v>1290</v>
      </c>
      <c r="NE50" s="1">
        <v>1140</v>
      </c>
      <c r="NF50" s="1">
        <v>1090</v>
      </c>
      <c r="NG50" s="1">
        <v>1150</v>
      </c>
      <c r="NH50" s="1">
        <v>2010</v>
      </c>
      <c r="NI50" s="1">
        <v>4290</v>
      </c>
      <c r="NJ50" s="1">
        <v>10000</v>
      </c>
      <c r="NK50" s="1">
        <v>6640</v>
      </c>
      <c r="NL50" s="1">
        <v>7210</v>
      </c>
      <c r="NM50" s="1">
        <v>5530</v>
      </c>
      <c r="NN50" s="1">
        <v>2620</v>
      </c>
      <c r="NO50" s="1">
        <v>1690</v>
      </c>
      <c r="NP50" s="1">
        <v>3745.0684931506848</v>
      </c>
      <c r="NQ50" s="1">
        <v>14900</v>
      </c>
      <c r="NR50" s="19">
        <v>42571</v>
      </c>
      <c r="NS50" s="1">
        <v>1050</v>
      </c>
      <c r="NT50" s="19">
        <v>42439</v>
      </c>
    </row>
    <row r="51" spans="1:384" x14ac:dyDescent="0.15">
      <c r="A51" s="1">
        <v>1998</v>
      </c>
      <c r="B51" s="18">
        <v>1350</v>
      </c>
      <c r="C51" s="18">
        <v>1340</v>
      </c>
      <c r="D51" s="18">
        <v>1330</v>
      </c>
      <c r="E51" s="18">
        <v>1330</v>
      </c>
      <c r="F51" s="18">
        <v>1330</v>
      </c>
      <c r="G51" s="18">
        <v>1340</v>
      </c>
      <c r="H51" s="18">
        <v>1330</v>
      </c>
      <c r="I51" s="18">
        <v>1310</v>
      </c>
      <c r="J51" s="18">
        <v>1300</v>
      </c>
      <c r="K51" s="18">
        <v>1290</v>
      </c>
      <c r="L51" s="18">
        <v>1260</v>
      </c>
      <c r="M51" s="18">
        <v>1250</v>
      </c>
      <c r="N51" s="18">
        <v>1250</v>
      </c>
      <c r="O51" s="18">
        <v>1240</v>
      </c>
      <c r="P51" s="18">
        <v>1240</v>
      </c>
      <c r="Q51" s="18">
        <v>1240</v>
      </c>
      <c r="R51" s="18">
        <v>1240</v>
      </c>
      <c r="S51" s="18">
        <v>1240</v>
      </c>
      <c r="T51" s="18">
        <v>1230</v>
      </c>
      <c r="U51" s="18">
        <v>1220</v>
      </c>
      <c r="V51" s="18">
        <v>1210</v>
      </c>
      <c r="W51" s="18">
        <v>1210</v>
      </c>
      <c r="X51" s="18">
        <v>1220</v>
      </c>
      <c r="Y51" s="18">
        <v>1220</v>
      </c>
      <c r="Z51" s="18">
        <v>1210</v>
      </c>
      <c r="AA51" s="18">
        <v>1200</v>
      </c>
      <c r="AB51" s="18">
        <v>1180</v>
      </c>
      <c r="AC51" s="18">
        <v>1160</v>
      </c>
      <c r="AD51" s="18">
        <v>1150</v>
      </c>
      <c r="AE51" s="18">
        <v>1150</v>
      </c>
      <c r="AF51" s="18">
        <v>1150</v>
      </c>
      <c r="AG51" s="18">
        <v>1150</v>
      </c>
      <c r="AH51" s="18">
        <v>1150</v>
      </c>
      <c r="AI51" s="18">
        <v>1140</v>
      </c>
      <c r="AJ51" s="18">
        <v>1130</v>
      </c>
      <c r="AK51" s="18">
        <v>1120</v>
      </c>
      <c r="AL51" s="18">
        <v>1110</v>
      </c>
      <c r="AM51" s="18">
        <v>1110</v>
      </c>
      <c r="AN51" s="18">
        <v>1110</v>
      </c>
      <c r="AO51" s="18">
        <v>1120</v>
      </c>
      <c r="AP51" s="18">
        <v>1110</v>
      </c>
      <c r="AQ51" s="18">
        <v>1110</v>
      </c>
      <c r="AR51" s="18">
        <v>1090</v>
      </c>
      <c r="AS51" s="18">
        <v>1080</v>
      </c>
      <c r="AT51" s="18">
        <v>1060</v>
      </c>
      <c r="AU51" s="18">
        <v>1050</v>
      </c>
      <c r="AV51" s="18">
        <v>1040</v>
      </c>
      <c r="AW51" s="18">
        <v>1040</v>
      </c>
      <c r="AX51" s="18">
        <v>1040</v>
      </c>
      <c r="AY51" s="18">
        <v>1050</v>
      </c>
      <c r="AZ51" s="18">
        <v>1050</v>
      </c>
      <c r="BA51" s="18">
        <v>1060</v>
      </c>
      <c r="BB51" s="18">
        <v>1060</v>
      </c>
      <c r="BC51" s="18">
        <v>1060</v>
      </c>
      <c r="BD51" s="18">
        <v>1070</v>
      </c>
      <c r="BE51" s="18">
        <v>1070</v>
      </c>
      <c r="BF51" s="18">
        <v>1080</v>
      </c>
      <c r="BG51" s="18">
        <v>1080</v>
      </c>
      <c r="BH51" s="18">
        <v>1070</v>
      </c>
      <c r="BI51" s="18"/>
      <c r="BJ51" s="18">
        <v>1060</v>
      </c>
      <c r="BK51" s="18">
        <v>1050</v>
      </c>
      <c r="BL51" s="18">
        <v>1040</v>
      </c>
      <c r="BM51" s="18">
        <v>1040</v>
      </c>
      <c r="BN51" s="18">
        <v>1040</v>
      </c>
      <c r="BO51" s="18">
        <v>1040</v>
      </c>
      <c r="BP51" s="18">
        <v>1040</v>
      </c>
      <c r="BQ51" s="18">
        <v>1040</v>
      </c>
      <c r="BR51" s="18">
        <v>1070</v>
      </c>
      <c r="BS51" s="18">
        <v>1070</v>
      </c>
      <c r="BT51" s="18">
        <v>1070</v>
      </c>
      <c r="BU51" s="18">
        <v>1080</v>
      </c>
      <c r="BV51" s="18">
        <v>1080</v>
      </c>
      <c r="BW51" s="18">
        <v>1080</v>
      </c>
      <c r="BX51" s="18">
        <v>1050</v>
      </c>
      <c r="BY51" s="18">
        <v>1050</v>
      </c>
      <c r="BZ51" s="18">
        <v>1040</v>
      </c>
      <c r="CA51" s="18">
        <v>1030</v>
      </c>
      <c r="CB51" s="18">
        <v>1020</v>
      </c>
      <c r="CC51" s="18">
        <v>1010</v>
      </c>
      <c r="CD51" s="18">
        <v>1010</v>
      </c>
      <c r="CE51" s="18">
        <v>1010</v>
      </c>
      <c r="CF51" s="18">
        <v>1010</v>
      </c>
      <c r="CG51" s="18">
        <v>1020</v>
      </c>
      <c r="CH51" s="18">
        <v>1050</v>
      </c>
      <c r="CI51" s="18">
        <v>1060</v>
      </c>
      <c r="CJ51" s="18">
        <v>1090</v>
      </c>
      <c r="CK51" s="18">
        <v>1110</v>
      </c>
      <c r="CL51" s="18">
        <v>1130</v>
      </c>
      <c r="CM51" s="18">
        <v>1130</v>
      </c>
      <c r="CN51" s="18">
        <v>1120</v>
      </c>
      <c r="CO51" s="18">
        <v>1100</v>
      </c>
      <c r="CP51" s="18">
        <v>1100</v>
      </c>
      <c r="CQ51" s="18">
        <v>1080</v>
      </c>
      <c r="CR51" s="18">
        <v>1070</v>
      </c>
      <c r="CS51" s="18">
        <v>1070</v>
      </c>
      <c r="CT51" s="18">
        <v>1060</v>
      </c>
      <c r="CU51" s="18">
        <v>1070</v>
      </c>
      <c r="CV51" s="18">
        <v>1080</v>
      </c>
      <c r="CW51" s="18">
        <v>1110</v>
      </c>
      <c r="CX51" s="18">
        <v>1160</v>
      </c>
      <c r="CY51" s="18">
        <v>1220</v>
      </c>
      <c r="CZ51" s="18">
        <v>1280</v>
      </c>
      <c r="DA51" s="18">
        <v>1280</v>
      </c>
      <c r="DB51" s="18">
        <v>1260</v>
      </c>
      <c r="DC51" s="18">
        <v>1270</v>
      </c>
      <c r="DD51" s="18">
        <v>1310</v>
      </c>
      <c r="DE51" s="18">
        <v>1330</v>
      </c>
      <c r="DF51" s="18">
        <v>1320</v>
      </c>
      <c r="DG51" s="18">
        <v>1300</v>
      </c>
      <c r="DH51" s="18">
        <v>1310</v>
      </c>
      <c r="DI51" s="18">
        <v>1340</v>
      </c>
      <c r="DJ51" s="18">
        <v>1350</v>
      </c>
      <c r="DK51" s="18">
        <v>1350</v>
      </c>
      <c r="DL51" s="18">
        <v>1360</v>
      </c>
      <c r="DM51" s="18">
        <v>1390</v>
      </c>
      <c r="DN51" s="18">
        <v>1420</v>
      </c>
      <c r="DO51" s="18">
        <v>1510</v>
      </c>
      <c r="DP51" s="18">
        <v>1640</v>
      </c>
      <c r="DQ51" s="18">
        <v>1870</v>
      </c>
      <c r="DR51" s="18">
        <v>2040</v>
      </c>
      <c r="DS51" s="18">
        <v>2240</v>
      </c>
      <c r="DT51" s="18">
        <v>2270</v>
      </c>
      <c r="DU51" s="18">
        <v>1580</v>
      </c>
      <c r="DV51" s="18">
        <v>1650</v>
      </c>
      <c r="DW51" s="18">
        <v>1730</v>
      </c>
      <c r="DX51" s="18">
        <v>1710</v>
      </c>
      <c r="DY51" s="18">
        <v>1640</v>
      </c>
      <c r="DZ51" s="18">
        <v>1620</v>
      </c>
      <c r="EA51" s="18">
        <v>1660</v>
      </c>
      <c r="EB51" s="18">
        <v>1970</v>
      </c>
      <c r="EC51" s="18">
        <v>2070</v>
      </c>
      <c r="ED51" s="18">
        <v>2090</v>
      </c>
      <c r="EE51" s="18">
        <v>2070</v>
      </c>
      <c r="EF51" s="18">
        <v>2040</v>
      </c>
      <c r="EG51" s="18">
        <v>2020</v>
      </c>
      <c r="EH51" s="18">
        <v>2020</v>
      </c>
      <c r="EI51" s="18">
        <v>1940</v>
      </c>
      <c r="EJ51" s="18">
        <v>1800</v>
      </c>
      <c r="EK51" s="18">
        <v>1730</v>
      </c>
      <c r="EL51" s="18">
        <v>1650</v>
      </c>
      <c r="EM51" s="18">
        <v>1590</v>
      </c>
      <c r="EN51" s="18">
        <v>1550</v>
      </c>
      <c r="EO51" s="18">
        <v>1500</v>
      </c>
      <c r="EP51" s="18">
        <v>1500</v>
      </c>
      <c r="EQ51" s="18">
        <v>1620</v>
      </c>
      <c r="ER51" s="18">
        <v>1650</v>
      </c>
      <c r="ES51" s="18">
        <v>1760</v>
      </c>
      <c r="ET51" s="18">
        <v>1970</v>
      </c>
      <c r="EU51" s="18">
        <v>2010</v>
      </c>
      <c r="EV51" s="18">
        <v>1890</v>
      </c>
      <c r="EW51" s="18">
        <v>1780</v>
      </c>
      <c r="EX51" s="18">
        <v>1810</v>
      </c>
      <c r="EY51" s="18">
        <v>1900</v>
      </c>
      <c r="EZ51" s="18">
        <v>1910</v>
      </c>
      <c r="FA51" s="18">
        <v>2070</v>
      </c>
      <c r="FB51" s="18">
        <v>2220</v>
      </c>
      <c r="FC51" s="18">
        <v>2140</v>
      </c>
      <c r="FD51" s="18">
        <v>2000</v>
      </c>
      <c r="FE51" s="18">
        <v>2050</v>
      </c>
      <c r="FF51" s="18">
        <v>1880</v>
      </c>
      <c r="FG51" s="18">
        <v>1880</v>
      </c>
      <c r="FH51" s="18">
        <v>1950</v>
      </c>
      <c r="FI51" s="18">
        <v>1990</v>
      </c>
      <c r="FJ51" s="18">
        <v>2170</v>
      </c>
      <c r="FK51" s="18">
        <v>2390</v>
      </c>
      <c r="FL51" s="18">
        <v>2760</v>
      </c>
      <c r="FM51" s="18">
        <v>2730</v>
      </c>
      <c r="FN51" s="18">
        <v>2710</v>
      </c>
      <c r="FO51" s="18">
        <v>2890</v>
      </c>
      <c r="FP51" s="18">
        <v>3270</v>
      </c>
      <c r="FQ51" s="18">
        <v>4180</v>
      </c>
      <c r="FR51" s="18">
        <v>4150</v>
      </c>
      <c r="FS51" s="18">
        <v>5460</v>
      </c>
      <c r="FT51" s="18">
        <v>4140</v>
      </c>
      <c r="FU51" s="18">
        <v>4000</v>
      </c>
      <c r="FV51" s="18">
        <v>5460</v>
      </c>
      <c r="FW51" s="18">
        <v>6750</v>
      </c>
      <c r="FX51" s="18">
        <v>7950</v>
      </c>
      <c r="FY51" s="18">
        <v>9680</v>
      </c>
      <c r="FZ51" s="18">
        <v>9490</v>
      </c>
      <c r="GA51" s="18">
        <v>9120</v>
      </c>
      <c r="GB51" s="18">
        <v>11400</v>
      </c>
      <c r="GC51" s="18">
        <v>11900</v>
      </c>
      <c r="GD51" s="18">
        <v>14100</v>
      </c>
      <c r="GE51" s="18">
        <v>13200</v>
      </c>
      <c r="GF51" s="18">
        <v>12200</v>
      </c>
      <c r="GG51" s="18">
        <v>12400</v>
      </c>
      <c r="GH51" s="18">
        <v>13600</v>
      </c>
      <c r="GI51" s="18">
        <v>13700</v>
      </c>
      <c r="GJ51" s="18">
        <v>14500</v>
      </c>
      <c r="GK51" s="18">
        <v>15800</v>
      </c>
      <c r="GL51" s="18">
        <v>16500</v>
      </c>
      <c r="GM51" s="18">
        <v>16600</v>
      </c>
      <c r="GN51" s="18">
        <v>16400</v>
      </c>
      <c r="GO51" s="18">
        <v>16700</v>
      </c>
      <c r="GP51" s="18">
        <v>17500</v>
      </c>
      <c r="GQ51" s="18">
        <v>17900</v>
      </c>
      <c r="GR51" s="18">
        <v>16700</v>
      </c>
      <c r="GS51" s="18">
        <v>16000</v>
      </c>
      <c r="GT51" s="18">
        <v>15100</v>
      </c>
      <c r="GU51" s="18">
        <v>13800</v>
      </c>
      <c r="GV51" s="18">
        <v>12700</v>
      </c>
      <c r="GW51" s="18">
        <v>12100</v>
      </c>
      <c r="GX51" s="18">
        <v>9920</v>
      </c>
      <c r="GY51" s="18">
        <v>11000</v>
      </c>
      <c r="GZ51" s="18">
        <v>11700</v>
      </c>
      <c r="HA51" s="18">
        <v>13000</v>
      </c>
      <c r="HB51" s="18">
        <v>13800</v>
      </c>
      <c r="HC51" s="18">
        <v>14300</v>
      </c>
      <c r="HD51" s="18">
        <v>14800</v>
      </c>
      <c r="HE51" s="18">
        <v>15800</v>
      </c>
      <c r="HF51" s="18">
        <v>15400</v>
      </c>
      <c r="HG51" s="18">
        <v>14600</v>
      </c>
      <c r="HH51" s="18">
        <v>14500</v>
      </c>
      <c r="HI51" s="18">
        <v>14700</v>
      </c>
      <c r="HJ51" s="18">
        <v>14900</v>
      </c>
      <c r="HK51" s="18">
        <v>15700</v>
      </c>
      <c r="HL51" s="18">
        <v>16200</v>
      </c>
      <c r="HM51" s="18">
        <v>15900</v>
      </c>
      <c r="HN51" s="18">
        <v>16100</v>
      </c>
      <c r="HO51" s="18">
        <v>16200</v>
      </c>
      <c r="HP51" s="18">
        <v>17100</v>
      </c>
      <c r="HQ51" s="18">
        <v>19100</v>
      </c>
      <c r="HR51" s="18">
        <v>19800</v>
      </c>
      <c r="HS51" s="18">
        <v>19700</v>
      </c>
      <c r="HT51" s="18">
        <v>19400</v>
      </c>
      <c r="HU51" s="18">
        <v>17700</v>
      </c>
      <c r="HV51" s="18">
        <v>16200</v>
      </c>
      <c r="HW51" s="18">
        <v>17000</v>
      </c>
      <c r="HX51" s="18">
        <v>18000</v>
      </c>
      <c r="HY51" s="18">
        <v>18500</v>
      </c>
      <c r="HZ51" s="18">
        <v>18400</v>
      </c>
      <c r="IA51" s="18">
        <v>17000</v>
      </c>
      <c r="IB51" s="18">
        <v>16000</v>
      </c>
      <c r="IC51" s="18">
        <v>15200</v>
      </c>
      <c r="ID51" s="18">
        <v>14400</v>
      </c>
      <c r="IE51" s="18">
        <v>14700</v>
      </c>
      <c r="IF51" s="18">
        <v>15100</v>
      </c>
      <c r="IG51" s="18">
        <v>14700</v>
      </c>
      <c r="IH51" s="18">
        <v>14800</v>
      </c>
      <c r="II51" s="18">
        <v>15100</v>
      </c>
      <c r="IJ51" s="18">
        <v>16300</v>
      </c>
      <c r="IK51" s="18">
        <v>16100</v>
      </c>
      <c r="IL51" s="18">
        <v>16000</v>
      </c>
      <c r="IM51" s="18">
        <v>15100</v>
      </c>
      <c r="IN51" s="18">
        <v>18000</v>
      </c>
      <c r="IO51" s="18">
        <v>19300</v>
      </c>
      <c r="IP51" s="18">
        <v>19600</v>
      </c>
      <c r="IQ51" s="18">
        <v>19300</v>
      </c>
      <c r="IR51" s="18">
        <v>18800</v>
      </c>
      <c r="IS51" s="18">
        <v>18100</v>
      </c>
      <c r="IT51" s="18">
        <v>16700</v>
      </c>
      <c r="IU51" s="18">
        <v>15300</v>
      </c>
      <c r="IV51" s="18">
        <v>14200</v>
      </c>
      <c r="IW51" s="18">
        <v>13400</v>
      </c>
      <c r="IX51" s="18">
        <v>12800</v>
      </c>
      <c r="IY51" s="18">
        <v>12100</v>
      </c>
      <c r="IZ51" s="18">
        <v>10100</v>
      </c>
      <c r="JA51" s="18">
        <v>9720</v>
      </c>
      <c r="JB51" s="18">
        <v>9430</v>
      </c>
      <c r="JC51" s="18">
        <v>9130</v>
      </c>
      <c r="JD51" s="18">
        <v>8960</v>
      </c>
      <c r="JE51" s="18">
        <v>9090</v>
      </c>
      <c r="JF51" s="18">
        <v>8960</v>
      </c>
      <c r="JG51" s="18">
        <v>7810</v>
      </c>
      <c r="JH51" s="18">
        <v>8680</v>
      </c>
      <c r="JI51" s="18">
        <v>8590</v>
      </c>
      <c r="JJ51" s="18">
        <v>8090</v>
      </c>
      <c r="JK51" s="18">
        <v>7650</v>
      </c>
      <c r="JL51" s="18">
        <v>7940</v>
      </c>
      <c r="JM51" s="18">
        <v>7540</v>
      </c>
      <c r="JN51" s="18">
        <v>8180</v>
      </c>
      <c r="JO51" s="18">
        <v>8380</v>
      </c>
      <c r="JP51" s="18">
        <v>8050</v>
      </c>
      <c r="JQ51" s="18">
        <v>7320</v>
      </c>
      <c r="JR51" s="18">
        <v>6970</v>
      </c>
      <c r="JS51" s="18">
        <v>6590</v>
      </c>
      <c r="JT51" s="18">
        <v>6500</v>
      </c>
      <c r="JU51" s="18">
        <v>6450</v>
      </c>
      <c r="JV51" s="18">
        <v>6340</v>
      </c>
      <c r="JW51" s="18">
        <v>5910</v>
      </c>
      <c r="JX51" s="18">
        <v>5960</v>
      </c>
      <c r="JY51" s="18">
        <v>6010</v>
      </c>
      <c r="JZ51" s="18">
        <v>6850</v>
      </c>
      <c r="KA51" s="18">
        <v>5380</v>
      </c>
      <c r="KB51" s="18">
        <v>6230</v>
      </c>
      <c r="KC51" s="18">
        <v>5910</v>
      </c>
      <c r="KD51" s="18">
        <v>5450</v>
      </c>
      <c r="KE51" s="18">
        <v>5360</v>
      </c>
      <c r="KF51" s="18">
        <v>4870</v>
      </c>
      <c r="KG51" s="18">
        <v>5330</v>
      </c>
      <c r="KH51" s="18">
        <v>5150</v>
      </c>
      <c r="KI51" s="18">
        <v>5100</v>
      </c>
      <c r="KJ51" s="18">
        <v>5060</v>
      </c>
      <c r="KK51" s="18">
        <v>4850</v>
      </c>
      <c r="KL51" s="18">
        <v>4990</v>
      </c>
      <c r="KM51" s="18">
        <v>5220</v>
      </c>
      <c r="KN51" s="18">
        <v>5550</v>
      </c>
      <c r="KO51" s="18">
        <v>5540</v>
      </c>
      <c r="KP51" s="18">
        <v>5900</v>
      </c>
      <c r="KQ51" s="18">
        <v>5710</v>
      </c>
      <c r="KR51" s="18">
        <v>5360</v>
      </c>
      <c r="KS51" s="18">
        <v>5010</v>
      </c>
      <c r="KT51" s="18">
        <v>4900</v>
      </c>
      <c r="KU51" s="18">
        <v>4820</v>
      </c>
      <c r="KV51" s="18">
        <v>4890</v>
      </c>
      <c r="KW51" s="18">
        <v>4600</v>
      </c>
      <c r="KX51" s="18">
        <v>4320</v>
      </c>
      <c r="KY51" s="18">
        <v>3760</v>
      </c>
      <c r="KZ51" s="18">
        <v>2880</v>
      </c>
      <c r="LA51" s="18">
        <v>2760</v>
      </c>
      <c r="LB51" s="18">
        <v>2700</v>
      </c>
      <c r="LC51" s="18">
        <v>2550</v>
      </c>
      <c r="LD51" s="18">
        <v>2540</v>
      </c>
      <c r="LE51" s="18">
        <v>2540</v>
      </c>
      <c r="LF51" s="18">
        <v>2510</v>
      </c>
      <c r="LG51" s="18">
        <v>2470</v>
      </c>
      <c r="LH51" s="18">
        <v>2380</v>
      </c>
      <c r="LI51" s="18">
        <v>2360</v>
      </c>
      <c r="LJ51" s="18">
        <v>2350</v>
      </c>
      <c r="LK51" s="18">
        <v>2310</v>
      </c>
      <c r="LL51" s="18">
        <v>2260</v>
      </c>
      <c r="LM51" s="18">
        <v>2220</v>
      </c>
      <c r="LN51" s="18">
        <v>2200</v>
      </c>
      <c r="LO51" s="18">
        <v>2170</v>
      </c>
      <c r="LP51" s="18">
        <v>2150</v>
      </c>
      <c r="LQ51" s="18">
        <v>2140</v>
      </c>
      <c r="LR51" s="18">
        <v>2120</v>
      </c>
      <c r="LS51" s="18">
        <v>2400</v>
      </c>
      <c r="LT51" s="18">
        <v>2910</v>
      </c>
      <c r="LU51" s="18">
        <v>2930</v>
      </c>
      <c r="LV51" s="18">
        <v>2900</v>
      </c>
      <c r="LW51" s="18">
        <v>2790</v>
      </c>
      <c r="LX51" s="18">
        <v>2120</v>
      </c>
      <c r="LY51" s="18">
        <v>2040</v>
      </c>
      <c r="LZ51" s="18">
        <v>2710</v>
      </c>
      <c r="MA51" s="18">
        <v>2790</v>
      </c>
      <c r="MB51" s="18">
        <v>2620</v>
      </c>
      <c r="MC51" s="18">
        <v>1950</v>
      </c>
      <c r="MD51" s="18">
        <v>1890</v>
      </c>
      <c r="ME51" s="18">
        <v>2280</v>
      </c>
      <c r="MF51" s="18">
        <v>2280</v>
      </c>
      <c r="MG51" s="18">
        <v>2250</v>
      </c>
      <c r="MH51" s="18">
        <v>2220</v>
      </c>
      <c r="MI51" s="18">
        <v>2200</v>
      </c>
      <c r="MJ51" s="18">
        <v>2420</v>
      </c>
      <c r="MK51" s="18">
        <v>2500</v>
      </c>
      <c r="ML51" s="18">
        <v>2470</v>
      </c>
      <c r="MM51" s="18">
        <v>2200</v>
      </c>
      <c r="MN51" s="18">
        <v>1790</v>
      </c>
      <c r="MO51" s="18">
        <v>1740</v>
      </c>
      <c r="MP51" s="18">
        <v>1710</v>
      </c>
      <c r="MQ51" s="18">
        <v>1710</v>
      </c>
      <c r="MR51" s="18">
        <v>1700</v>
      </c>
      <c r="MS51" s="18">
        <v>2310</v>
      </c>
      <c r="MT51" s="18">
        <v>2160</v>
      </c>
      <c r="MU51" s="18">
        <v>1720</v>
      </c>
      <c r="MV51" s="18">
        <v>1670</v>
      </c>
      <c r="MW51" s="18">
        <v>1710</v>
      </c>
      <c r="MX51" s="18">
        <v>2780</v>
      </c>
      <c r="MY51" s="18">
        <v>2890</v>
      </c>
      <c r="MZ51" s="18">
        <v>2850</v>
      </c>
      <c r="NA51" s="18">
        <v>2460</v>
      </c>
      <c r="NB51" s="18">
        <v>1750</v>
      </c>
      <c r="NC51" s="18">
        <v>1630</v>
      </c>
      <c r="ND51" s="1">
        <v>1250</v>
      </c>
      <c r="NE51" s="1">
        <v>1090</v>
      </c>
      <c r="NF51" s="1">
        <v>1060</v>
      </c>
      <c r="NG51" s="1">
        <v>1300</v>
      </c>
      <c r="NH51" s="1">
        <v>1820</v>
      </c>
      <c r="NI51" s="1">
        <v>3770</v>
      </c>
      <c r="NJ51" s="1">
        <v>14200</v>
      </c>
      <c r="NK51" s="1">
        <v>16400</v>
      </c>
      <c r="NL51" s="1">
        <v>12200</v>
      </c>
      <c r="NM51" s="1">
        <v>5800</v>
      </c>
      <c r="NN51" s="1">
        <v>2800</v>
      </c>
      <c r="NO51" s="1">
        <v>2170</v>
      </c>
      <c r="NP51" s="1">
        <v>5364.8767123287671</v>
      </c>
      <c r="NQ51" s="1">
        <v>19800</v>
      </c>
      <c r="NR51" s="19">
        <v>42594</v>
      </c>
      <c r="NS51" s="1">
        <v>1010</v>
      </c>
      <c r="NT51" s="19">
        <v>42449</v>
      </c>
    </row>
    <row r="52" spans="1:384" x14ac:dyDescent="0.15">
      <c r="A52" s="1">
        <v>1999</v>
      </c>
      <c r="B52" s="18">
        <v>1810</v>
      </c>
      <c r="C52" s="18">
        <v>2380</v>
      </c>
      <c r="D52" s="18">
        <v>2440</v>
      </c>
      <c r="E52" s="18">
        <v>2360</v>
      </c>
      <c r="F52" s="18">
        <v>1610</v>
      </c>
      <c r="G52" s="18">
        <v>1540</v>
      </c>
      <c r="H52" s="18">
        <v>1500</v>
      </c>
      <c r="I52" s="18">
        <v>1470</v>
      </c>
      <c r="J52" s="18">
        <v>1460</v>
      </c>
      <c r="K52" s="18">
        <v>1430</v>
      </c>
      <c r="L52" s="18">
        <v>1420</v>
      </c>
      <c r="M52" s="18">
        <v>1540</v>
      </c>
      <c r="N52" s="18">
        <v>1580</v>
      </c>
      <c r="O52" s="18">
        <v>1620</v>
      </c>
      <c r="P52" s="18">
        <v>1660</v>
      </c>
      <c r="Q52" s="18">
        <v>2630</v>
      </c>
      <c r="R52" s="18">
        <v>2730</v>
      </c>
      <c r="S52" s="18">
        <v>2690</v>
      </c>
      <c r="T52" s="18">
        <v>2820</v>
      </c>
      <c r="U52" s="18">
        <v>2700</v>
      </c>
      <c r="V52" s="18">
        <v>2510</v>
      </c>
      <c r="W52" s="18">
        <v>2380</v>
      </c>
      <c r="X52" s="18">
        <v>2300</v>
      </c>
      <c r="Y52" s="18">
        <v>2120</v>
      </c>
      <c r="Z52" s="18">
        <v>1870</v>
      </c>
      <c r="AA52" s="18">
        <v>1820</v>
      </c>
      <c r="AB52" s="18">
        <v>2030</v>
      </c>
      <c r="AC52" s="18">
        <v>2040</v>
      </c>
      <c r="AD52" s="18">
        <v>1980</v>
      </c>
      <c r="AE52" s="18">
        <v>1930</v>
      </c>
      <c r="AF52" s="18">
        <v>1900</v>
      </c>
      <c r="AG52" s="18">
        <v>1830</v>
      </c>
      <c r="AH52" s="18">
        <v>1800</v>
      </c>
      <c r="AI52" s="18">
        <v>1760</v>
      </c>
      <c r="AJ52" s="18">
        <v>1810</v>
      </c>
      <c r="AK52" s="18">
        <v>1750</v>
      </c>
      <c r="AL52" s="18">
        <v>1740</v>
      </c>
      <c r="AM52" s="18">
        <v>1740</v>
      </c>
      <c r="AN52" s="18">
        <v>1620</v>
      </c>
      <c r="AO52" s="18">
        <v>1620</v>
      </c>
      <c r="AP52" s="18">
        <v>1600</v>
      </c>
      <c r="AQ52" s="18">
        <v>1600</v>
      </c>
      <c r="AR52" s="18">
        <v>2160</v>
      </c>
      <c r="AS52" s="18">
        <v>2190</v>
      </c>
      <c r="AT52" s="18">
        <v>2090</v>
      </c>
      <c r="AU52" s="18">
        <v>2060</v>
      </c>
      <c r="AV52" s="18">
        <v>2010</v>
      </c>
      <c r="AW52" s="18">
        <v>2030</v>
      </c>
      <c r="AX52" s="18">
        <v>1990</v>
      </c>
      <c r="AY52" s="18">
        <v>2040</v>
      </c>
      <c r="AZ52" s="18">
        <v>2030</v>
      </c>
      <c r="BA52" s="18">
        <v>2020</v>
      </c>
      <c r="BB52" s="18">
        <v>2030</v>
      </c>
      <c r="BC52" s="18">
        <v>2040</v>
      </c>
      <c r="BD52" s="18">
        <v>2000</v>
      </c>
      <c r="BE52" s="18">
        <v>1950</v>
      </c>
      <c r="BF52" s="18">
        <v>1920</v>
      </c>
      <c r="BG52" s="18">
        <v>1430</v>
      </c>
      <c r="BH52" s="18">
        <v>1290</v>
      </c>
      <c r="BI52" s="18"/>
      <c r="BJ52" s="18">
        <v>1290</v>
      </c>
      <c r="BK52" s="18">
        <v>1300</v>
      </c>
      <c r="BL52" s="18">
        <v>1300</v>
      </c>
      <c r="BM52" s="18">
        <v>1270</v>
      </c>
      <c r="BN52" s="18">
        <v>1270</v>
      </c>
      <c r="BO52" s="18">
        <v>1260</v>
      </c>
      <c r="BP52" s="18">
        <v>1250</v>
      </c>
      <c r="BQ52" s="18">
        <v>1280</v>
      </c>
      <c r="BR52" s="18">
        <v>1240</v>
      </c>
      <c r="BS52" s="18">
        <v>1230</v>
      </c>
      <c r="BT52" s="18">
        <v>1290</v>
      </c>
      <c r="BU52" s="18">
        <v>1270</v>
      </c>
      <c r="BV52" s="18">
        <v>1290</v>
      </c>
      <c r="BW52" s="18">
        <v>1170</v>
      </c>
      <c r="BX52" s="18">
        <v>1080</v>
      </c>
      <c r="BY52" s="18">
        <v>1210</v>
      </c>
      <c r="BZ52" s="18">
        <v>1220</v>
      </c>
      <c r="CA52" s="18">
        <v>1220</v>
      </c>
      <c r="CB52" s="18">
        <v>1220</v>
      </c>
      <c r="CC52" s="18">
        <v>1220</v>
      </c>
      <c r="CD52" s="18">
        <v>1270</v>
      </c>
      <c r="CE52" s="18">
        <v>1230</v>
      </c>
      <c r="CF52" s="18">
        <v>1180</v>
      </c>
      <c r="CG52" s="18">
        <v>1170</v>
      </c>
      <c r="CH52" s="18">
        <v>1180</v>
      </c>
      <c r="CI52" s="18">
        <v>1170</v>
      </c>
      <c r="CJ52" s="18">
        <v>1220</v>
      </c>
      <c r="CK52" s="18">
        <v>1240</v>
      </c>
      <c r="CL52" s="18">
        <v>1120</v>
      </c>
      <c r="CM52" s="18">
        <v>1170</v>
      </c>
      <c r="CN52" s="18">
        <v>1240</v>
      </c>
      <c r="CO52" s="18">
        <v>1250</v>
      </c>
      <c r="CP52" s="18">
        <v>1220</v>
      </c>
      <c r="CQ52" s="18">
        <v>1220</v>
      </c>
      <c r="CR52" s="18">
        <v>1240</v>
      </c>
      <c r="CS52" s="18">
        <v>1150</v>
      </c>
      <c r="CT52" s="18">
        <v>1190</v>
      </c>
      <c r="CU52" s="18">
        <v>1210</v>
      </c>
      <c r="CV52" s="18">
        <v>1170</v>
      </c>
      <c r="CW52" s="18">
        <v>1200</v>
      </c>
      <c r="CX52" s="18">
        <v>1220</v>
      </c>
      <c r="CY52" s="18">
        <v>1170</v>
      </c>
      <c r="CZ52" s="18">
        <v>1190</v>
      </c>
      <c r="DA52" s="18">
        <v>1180</v>
      </c>
      <c r="DB52" s="18">
        <v>1190</v>
      </c>
      <c r="DC52" s="18">
        <v>1210</v>
      </c>
      <c r="DD52" s="18">
        <v>1230</v>
      </c>
      <c r="DE52" s="18">
        <v>1240</v>
      </c>
      <c r="DF52" s="18">
        <v>1190</v>
      </c>
      <c r="DG52" s="18">
        <v>1180</v>
      </c>
      <c r="DH52" s="18">
        <v>1260</v>
      </c>
      <c r="DI52" s="18">
        <v>1260</v>
      </c>
      <c r="DJ52" s="18">
        <v>1280</v>
      </c>
      <c r="DK52" s="18">
        <v>1290</v>
      </c>
      <c r="DL52" s="18">
        <v>1270</v>
      </c>
      <c r="DM52" s="18">
        <v>1250</v>
      </c>
      <c r="DN52" s="18">
        <v>1190</v>
      </c>
      <c r="DO52" s="18">
        <v>1140</v>
      </c>
      <c r="DP52" s="18">
        <v>1150</v>
      </c>
      <c r="DQ52" s="18">
        <v>1100</v>
      </c>
      <c r="DR52" s="18">
        <v>1040</v>
      </c>
      <c r="DS52" s="18">
        <v>1350</v>
      </c>
      <c r="DT52" s="18">
        <v>1200</v>
      </c>
      <c r="DU52" s="18">
        <v>1200</v>
      </c>
      <c r="DV52" s="18">
        <v>1240</v>
      </c>
      <c r="DW52" s="18">
        <v>1320</v>
      </c>
      <c r="DX52" s="18">
        <v>1330</v>
      </c>
      <c r="DY52" s="18">
        <v>1320</v>
      </c>
      <c r="DZ52" s="18">
        <v>1430</v>
      </c>
      <c r="EA52" s="18">
        <v>1690</v>
      </c>
      <c r="EB52" s="18">
        <v>1650</v>
      </c>
      <c r="EC52" s="18">
        <v>1540</v>
      </c>
      <c r="ED52" s="18">
        <v>1430</v>
      </c>
      <c r="EE52" s="18">
        <v>1350</v>
      </c>
      <c r="EF52" s="18">
        <v>1420</v>
      </c>
      <c r="EG52" s="18">
        <v>1400</v>
      </c>
      <c r="EH52" s="18">
        <v>1400</v>
      </c>
      <c r="EI52" s="18">
        <v>1360</v>
      </c>
      <c r="EJ52" s="18">
        <v>1340</v>
      </c>
      <c r="EK52" s="18">
        <v>1370</v>
      </c>
      <c r="EL52" s="18">
        <v>1440</v>
      </c>
      <c r="EM52" s="18">
        <v>1460</v>
      </c>
      <c r="EN52" s="18">
        <v>1490</v>
      </c>
      <c r="EO52" s="18">
        <v>1540</v>
      </c>
      <c r="EP52" s="18">
        <v>1510</v>
      </c>
      <c r="EQ52" s="18">
        <v>1590</v>
      </c>
      <c r="ER52" s="18">
        <v>1760</v>
      </c>
      <c r="ES52" s="18">
        <v>1940</v>
      </c>
      <c r="ET52" s="18">
        <v>2120</v>
      </c>
      <c r="EU52" s="18">
        <v>2210</v>
      </c>
      <c r="EV52" s="18">
        <v>2250</v>
      </c>
      <c r="EW52" s="18">
        <v>2290</v>
      </c>
      <c r="EX52" s="18">
        <v>2390</v>
      </c>
      <c r="EY52" s="18">
        <v>3360</v>
      </c>
      <c r="EZ52" s="18">
        <v>5060</v>
      </c>
      <c r="FA52" s="18">
        <v>4880</v>
      </c>
      <c r="FB52" s="18">
        <v>4800</v>
      </c>
      <c r="FC52" s="18">
        <v>5640</v>
      </c>
      <c r="FD52" s="18">
        <v>5490</v>
      </c>
      <c r="FE52" s="18">
        <v>5450</v>
      </c>
      <c r="FF52" s="18">
        <v>5320</v>
      </c>
      <c r="FG52" s="18">
        <v>5190</v>
      </c>
      <c r="FH52" s="18">
        <v>5180</v>
      </c>
      <c r="FI52" s="18">
        <v>4820</v>
      </c>
      <c r="FJ52" s="18">
        <v>4700</v>
      </c>
      <c r="FK52" s="18">
        <v>5500</v>
      </c>
      <c r="FL52" s="18">
        <v>5680</v>
      </c>
      <c r="FM52" s="18">
        <v>5400</v>
      </c>
      <c r="FN52" s="18">
        <v>5230</v>
      </c>
      <c r="FO52" s="18">
        <v>5410</v>
      </c>
      <c r="FP52" s="18">
        <v>5730</v>
      </c>
      <c r="FQ52" s="18">
        <v>5720</v>
      </c>
      <c r="FR52" s="18">
        <v>5820</v>
      </c>
      <c r="FS52" s="18">
        <v>6010</v>
      </c>
      <c r="FT52" s="18">
        <v>6140</v>
      </c>
      <c r="FU52" s="18">
        <v>6400</v>
      </c>
      <c r="FV52" s="18">
        <v>7180</v>
      </c>
      <c r="FW52" s="18">
        <v>6810</v>
      </c>
      <c r="FX52" s="18">
        <v>6890</v>
      </c>
      <c r="FY52" s="18">
        <v>7620</v>
      </c>
      <c r="FZ52" s="18">
        <v>8050</v>
      </c>
      <c r="GA52" s="18">
        <v>8550</v>
      </c>
      <c r="GB52" s="18">
        <v>10700</v>
      </c>
      <c r="GC52" s="18">
        <v>13400</v>
      </c>
      <c r="GD52" s="18">
        <v>14100</v>
      </c>
      <c r="GE52" s="18">
        <v>13600</v>
      </c>
      <c r="GF52" s="18">
        <v>12200</v>
      </c>
      <c r="GG52" s="18">
        <v>11500</v>
      </c>
      <c r="GH52" s="18">
        <v>10700</v>
      </c>
      <c r="GI52" s="18">
        <v>10500</v>
      </c>
      <c r="GJ52" s="18">
        <v>11000</v>
      </c>
      <c r="GK52" s="18">
        <v>11300</v>
      </c>
      <c r="GL52" s="18">
        <v>11300</v>
      </c>
      <c r="GM52" s="18">
        <v>11300</v>
      </c>
      <c r="GN52" s="18">
        <v>11100</v>
      </c>
      <c r="GO52" s="18">
        <v>10500</v>
      </c>
      <c r="GP52" s="18">
        <v>9910</v>
      </c>
      <c r="GQ52" s="18">
        <v>12600</v>
      </c>
      <c r="GR52" s="18">
        <v>13900</v>
      </c>
      <c r="GS52" s="18">
        <v>12200</v>
      </c>
      <c r="GT52" s="18">
        <v>11100</v>
      </c>
      <c r="GU52" s="18">
        <v>10500</v>
      </c>
      <c r="GV52" s="18">
        <v>9570</v>
      </c>
      <c r="GW52" s="18">
        <v>8980</v>
      </c>
      <c r="GX52" s="18">
        <v>8530</v>
      </c>
      <c r="GY52" s="18">
        <v>8750</v>
      </c>
      <c r="GZ52" s="18">
        <v>9160</v>
      </c>
      <c r="HA52" s="18">
        <v>9480</v>
      </c>
      <c r="HB52" s="18">
        <v>10400</v>
      </c>
      <c r="HC52" s="18">
        <v>10700</v>
      </c>
      <c r="HD52" s="18">
        <v>10600</v>
      </c>
      <c r="HE52" s="18">
        <v>10700</v>
      </c>
      <c r="HF52" s="18">
        <v>10500</v>
      </c>
      <c r="HG52" s="18">
        <v>9910</v>
      </c>
      <c r="HH52" s="18">
        <v>9190</v>
      </c>
      <c r="HI52" s="18">
        <v>8110</v>
      </c>
      <c r="HJ52" s="18">
        <v>7300</v>
      </c>
      <c r="HK52" s="18">
        <v>7160</v>
      </c>
      <c r="HL52" s="18">
        <v>7000</v>
      </c>
      <c r="HM52" s="18">
        <v>6950</v>
      </c>
      <c r="HN52" s="18">
        <v>6800</v>
      </c>
      <c r="HO52" s="18">
        <v>6580</v>
      </c>
      <c r="HP52" s="18">
        <v>6460</v>
      </c>
      <c r="HQ52" s="18">
        <v>6880</v>
      </c>
      <c r="HR52" s="18">
        <v>6720</v>
      </c>
      <c r="HS52" s="18">
        <v>6920</v>
      </c>
      <c r="HT52" s="18">
        <v>7730</v>
      </c>
      <c r="HU52" s="18">
        <v>8000</v>
      </c>
      <c r="HV52" s="18">
        <v>8580</v>
      </c>
      <c r="HW52" s="18">
        <v>9550</v>
      </c>
      <c r="HX52" s="18">
        <v>11600</v>
      </c>
      <c r="HY52" s="18">
        <v>11700</v>
      </c>
      <c r="HZ52" s="18">
        <v>10900</v>
      </c>
      <c r="IA52" s="18">
        <v>10400</v>
      </c>
      <c r="IB52" s="18">
        <v>11200</v>
      </c>
      <c r="IC52" s="18">
        <v>13000</v>
      </c>
      <c r="ID52" s="18">
        <v>12900</v>
      </c>
      <c r="IE52" s="18">
        <v>13000</v>
      </c>
      <c r="IF52" s="18">
        <v>14100</v>
      </c>
      <c r="IG52" s="18">
        <v>13800</v>
      </c>
      <c r="IH52" s="18">
        <v>13400</v>
      </c>
      <c r="II52" s="18">
        <v>13600</v>
      </c>
      <c r="IJ52" s="18">
        <v>13300</v>
      </c>
      <c r="IK52" s="18">
        <v>12600</v>
      </c>
      <c r="IL52" s="18">
        <v>11700</v>
      </c>
      <c r="IM52" s="18">
        <v>11900</v>
      </c>
      <c r="IN52" s="18">
        <v>13000</v>
      </c>
      <c r="IO52" s="18">
        <v>17700</v>
      </c>
      <c r="IP52" s="18">
        <v>17000</v>
      </c>
      <c r="IQ52" s="18">
        <v>15600</v>
      </c>
      <c r="IR52" s="18">
        <v>15600</v>
      </c>
      <c r="IS52" s="18">
        <v>15200</v>
      </c>
      <c r="IT52" s="18">
        <v>14300</v>
      </c>
      <c r="IU52" s="18">
        <v>13200</v>
      </c>
      <c r="IV52" s="18">
        <v>12100</v>
      </c>
      <c r="IW52" s="18">
        <v>11200</v>
      </c>
      <c r="IX52" s="18">
        <v>11100</v>
      </c>
      <c r="IY52" s="18">
        <v>10200</v>
      </c>
      <c r="IZ52" s="18">
        <v>8910</v>
      </c>
      <c r="JA52" s="18">
        <v>8520</v>
      </c>
      <c r="JB52" s="18">
        <v>8670</v>
      </c>
      <c r="JC52" s="18">
        <v>8500</v>
      </c>
      <c r="JD52" s="18">
        <v>9260</v>
      </c>
      <c r="JE52" s="18">
        <v>10500</v>
      </c>
      <c r="JF52" s="18">
        <v>11400</v>
      </c>
      <c r="JG52" s="18">
        <v>9510</v>
      </c>
      <c r="JH52" s="18">
        <v>7340</v>
      </c>
      <c r="JI52" s="18">
        <v>7160</v>
      </c>
      <c r="JJ52" s="18">
        <v>6710</v>
      </c>
      <c r="JK52" s="18">
        <v>6630</v>
      </c>
      <c r="JL52" s="18">
        <v>8350</v>
      </c>
      <c r="JM52" s="18">
        <v>8610</v>
      </c>
      <c r="JN52" s="18">
        <v>6740</v>
      </c>
      <c r="JO52" s="18">
        <v>5750</v>
      </c>
      <c r="JP52" s="18">
        <v>5540</v>
      </c>
      <c r="JQ52" s="18">
        <v>5320</v>
      </c>
      <c r="JR52" s="18">
        <v>5110</v>
      </c>
      <c r="JS52" s="18">
        <v>5040</v>
      </c>
      <c r="JT52" s="18">
        <v>4980</v>
      </c>
      <c r="JU52" s="18">
        <v>4800</v>
      </c>
      <c r="JV52" s="18">
        <v>5090</v>
      </c>
      <c r="JW52" s="18">
        <v>6100</v>
      </c>
      <c r="JX52" s="18">
        <v>5880</v>
      </c>
      <c r="JY52" s="18">
        <v>5880</v>
      </c>
      <c r="JZ52" s="18">
        <v>5520</v>
      </c>
      <c r="KA52" s="18">
        <v>5760</v>
      </c>
      <c r="KB52" s="18">
        <v>5860</v>
      </c>
      <c r="KC52" s="18">
        <v>5580</v>
      </c>
      <c r="KD52" s="18">
        <v>5620</v>
      </c>
      <c r="KE52" s="18">
        <v>5600</v>
      </c>
      <c r="KF52" s="18">
        <v>6160</v>
      </c>
      <c r="KG52" s="18">
        <v>5820</v>
      </c>
      <c r="KH52" s="18">
        <v>5890</v>
      </c>
      <c r="KI52" s="18">
        <v>7160</v>
      </c>
      <c r="KJ52" s="18">
        <v>5300</v>
      </c>
      <c r="KK52" s="18">
        <v>6480</v>
      </c>
      <c r="KL52" s="18">
        <v>4750</v>
      </c>
      <c r="KM52" s="18">
        <v>5760</v>
      </c>
      <c r="KN52" s="18">
        <v>5100</v>
      </c>
      <c r="KO52" s="18">
        <v>6100</v>
      </c>
      <c r="KP52" s="18">
        <v>4960</v>
      </c>
      <c r="KQ52" s="18">
        <v>4840</v>
      </c>
      <c r="KR52" s="18">
        <v>6290</v>
      </c>
      <c r="KS52" s="18">
        <v>4410</v>
      </c>
      <c r="KT52" s="18">
        <v>4770</v>
      </c>
      <c r="KU52" s="18">
        <v>5150</v>
      </c>
      <c r="KV52" s="18">
        <v>5570</v>
      </c>
      <c r="KW52" s="18">
        <v>5830</v>
      </c>
      <c r="KX52" s="18">
        <v>5870</v>
      </c>
      <c r="KY52" s="18">
        <v>6150</v>
      </c>
      <c r="KZ52" s="18">
        <v>6030</v>
      </c>
      <c r="LA52" s="18">
        <v>5700</v>
      </c>
      <c r="LB52" s="18">
        <v>5470</v>
      </c>
      <c r="LC52" s="18">
        <v>5280</v>
      </c>
      <c r="LD52" s="18">
        <v>5160</v>
      </c>
      <c r="LE52" s="18">
        <v>4810</v>
      </c>
      <c r="LF52" s="18">
        <v>4500</v>
      </c>
      <c r="LG52" s="18">
        <v>4340</v>
      </c>
      <c r="LH52" s="18">
        <v>4210</v>
      </c>
      <c r="LI52" s="18">
        <v>4170</v>
      </c>
      <c r="LJ52" s="18">
        <v>3670</v>
      </c>
      <c r="LK52" s="18">
        <v>3770</v>
      </c>
      <c r="LL52" s="18">
        <v>3830</v>
      </c>
      <c r="LM52" s="18">
        <v>4370</v>
      </c>
      <c r="LN52" s="18">
        <v>4910</v>
      </c>
      <c r="LO52" s="18">
        <v>5080</v>
      </c>
      <c r="LP52" s="18">
        <v>5070</v>
      </c>
      <c r="LQ52" s="18">
        <v>5110</v>
      </c>
      <c r="LR52" s="18">
        <v>5340</v>
      </c>
      <c r="LS52" s="18">
        <v>5130</v>
      </c>
      <c r="LT52" s="18">
        <v>5320</v>
      </c>
      <c r="LU52" s="18">
        <v>4800</v>
      </c>
      <c r="LV52" s="18">
        <v>4030</v>
      </c>
      <c r="LW52" s="18">
        <v>2820</v>
      </c>
      <c r="LX52" s="18">
        <v>2690</v>
      </c>
      <c r="LY52" s="18">
        <v>2630</v>
      </c>
      <c r="LZ52" s="18">
        <v>2560</v>
      </c>
      <c r="MA52" s="18">
        <v>2540</v>
      </c>
      <c r="MB52" s="18">
        <v>2470</v>
      </c>
      <c r="MC52" s="18">
        <v>2420</v>
      </c>
      <c r="MD52" s="18">
        <v>2440</v>
      </c>
      <c r="ME52" s="18">
        <v>2370</v>
      </c>
      <c r="MF52" s="18">
        <v>2380</v>
      </c>
      <c r="MG52" s="18">
        <v>2360</v>
      </c>
      <c r="MH52" s="18">
        <v>2380</v>
      </c>
      <c r="MI52" s="18">
        <v>2290</v>
      </c>
      <c r="MJ52" s="18">
        <v>2250</v>
      </c>
      <c r="MK52" s="18">
        <v>2280</v>
      </c>
      <c r="ML52" s="18">
        <v>2260</v>
      </c>
      <c r="MM52" s="18">
        <v>2300</v>
      </c>
      <c r="MN52" s="18">
        <v>2370</v>
      </c>
      <c r="MO52" s="18">
        <v>2300</v>
      </c>
      <c r="MP52" s="18">
        <v>2270</v>
      </c>
      <c r="MQ52" s="18">
        <v>2180</v>
      </c>
      <c r="MR52" s="18">
        <v>2110</v>
      </c>
      <c r="MS52" s="18">
        <v>2050</v>
      </c>
      <c r="MT52" s="18">
        <v>2100</v>
      </c>
      <c r="MU52" s="18">
        <v>2130</v>
      </c>
      <c r="MV52" s="18">
        <v>1930</v>
      </c>
      <c r="MW52" s="18">
        <v>1900</v>
      </c>
      <c r="MX52" s="18">
        <v>1960</v>
      </c>
      <c r="MY52" s="18">
        <v>2040</v>
      </c>
      <c r="MZ52" s="18">
        <v>2070</v>
      </c>
      <c r="NA52" s="18">
        <v>2090</v>
      </c>
      <c r="NB52" s="18">
        <v>2080</v>
      </c>
      <c r="NC52" s="18">
        <v>2060</v>
      </c>
      <c r="ND52" s="1">
        <v>2010</v>
      </c>
      <c r="NE52" s="1">
        <v>1860</v>
      </c>
      <c r="NF52" s="1">
        <v>1230</v>
      </c>
      <c r="NG52" s="1">
        <v>1200</v>
      </c>
      <c r="NH52" s="1">
        <v>1550</v>
      </c>
      <c r="NI52" s="1">
        <v>5680</v>
      </c>
      <c r="NJ52" s="1">
        <v>11000</v>
      </c>
      <c r="NK52" s="1">
        <v>9850</v>
      </c>
      <c r="NL52" s="1">
        <v>10700</v>
      </c>
      <c r="NM52" s="1">
        <v>5530</v>
      </c>
      <c r="NN52" s="1">
        <v>4810</v>
      </c>
      <c r="NO52" s="1">
        <v>2240</v>
      </c>
      <c r="NP52" s="1">
        <v>4823.6438356164381</v>
      </c>
      <c r="NQ52" s="1">
        <v>17700</v>
      </c>
      <c r="NR52" s="19">
        <v>42617</v>
      </c>
      <c r="NS52" s="1">
        <v>1040</v>
      </c>
      <c r="NT52" s="19">
        <v>42490</v>
      </c>
    </row>
    <row r="53" spans="1:384" x14ac:dyDescent="0.15">
      <c r="A53" s="1">
        <v>2000</v>
      </c>
      <c r="B53" s="18">
        <v>1870</v>
      </c>
      <c r="C53" s="18">
        <v>1710</v>
      </c>
      <c r="D53" s="18">
        <v>1640</v>
      </c>
      <c r="E53" s="18">
        <v>1740</v>
      </c>
      <c r="F53" s="18">
        <v>1950</v>
      </c>
      <c r="G53" s="18">
        <v>1960</v>
      </c>
      <c r="H53" s="18">
        <v>1900</v>
      </c>
      <c r="I53" s="18">
        <v>1840</v>
      </c>
      <c r="J53" s="18">
        <v>1780</v>
      </c>
      <c r="K53" s="18">
        <v>1730</v>
      </c>
      <c r="L53" s="18">
        <v>1740</v>
      </c>
      <c r="M53" s="18">
        <v>1810</v>
      </c>
      <c r="N53" s="18">
        <v>1810</v>
      </c>
      <c r="O53" s="18">
        <v>1850</v>
      </c>
      <c r="P53" s="18">
        <v>1830</v>
      </c>
      <c r="Q53" s="18">
        <v>1800</v>
      </c>
      <c r="R53" s="18">
        <v>1730</v>
      </c>
      <c r="S53" s="18">
        <v>1680</v>
      </c>
      <c r="T53" s="18">
        <v>1680</v>
      </c>
      <c r="U53" s="18">
        <v>1610</v>
      </c>
      <c r="V53" s="18">
        <v>1780</v>
      </c>
      <c r="W53" s="18">
        <v>1830</v>
      </c>
      <c r="X53" s="18">
        <v>1750</v>
      </c>
      <c r="Y53" s="18">
        <v>1750</v>
      </c>
      <c r="Z53" s="18">
        <v>1660</v>
      </c>
      <c r="AA53" s="18">
        <v>1710</v>
      </c>
      <c r="AB53" s="18">
        <v>1710</v>
      </c>
      <c r="AC53" s="18">
        <v>1700</v>
      </c>
      <c r="AD53" s="18">
        <v>1700</v>
      </c>
      <c r="AE53" s="18">
        <v>1710</v>
      </c>
      <c r="AF53" s="18">
        <v>1700</v>
      </c>
      <c r="AG53" s="18">
        <v>1790</v>
      </c>
      <c r="AH53" s="18">
        <v>1640</v>
      </c>
      <c r="AI53" s="18">
        <v>1700</v>
      </c>
      <c r="AJ53" s="18">
        <v>1770</v>
      </c>
      <c r="AK53" s="18">
        <v>1670</v>
      </c>
      <c r="AL53" s="18">
        <v>1590</v>
      </c>
      <c r="AM53" s="18">
        <v>1460</v>
      </c>
      <c r="AN53" s="18">
        <v>1460</v>
      </c>
      <c r="AO53" s="18">
        <v>1480</v>
      </c>
      <c r="AP53" s="18">
        <v>1620</v>
      </c>
      <c r="AQ53" s="18">
        <v>1650</v>
      </c>
      <c r="AR53" s="18">
        <v>1640</v>
      </c>
      <c r="AS53" s="18">
        <v>1640</v>
      </c>
      <c r="AT53" s="18">
        <v>1710</v>
      </c>
      <c r="AU53" s="18">
        <v>1660</v>
      </c>
      <c r="AV53" s="18">
        <v>1630</v>
      </c>
      <c r="AW53" s="18">
        <v>1560</v>
      </c>
      <c r="AX53" s="18">
        <v>1560</v>
      </c>
      <c r="AY53" s="18">
        <v>1600</v>
      </c>
      <c r="AZ53" s="18">
        <v>1590</v>
      </c>
      <c r="BA53" s="18">
        <v>1600</v>
      </c>
      <c r="BB53" s="18">
        <v>1580</v>
      </c>
      <c r="BC53" s="18">
        <v>1530</v>
      </c>
      <c r="BD53" s="18">
        <v>1600</v>
      </c>
      <c r="BE53" s="18">
        <v>1550</v>
      </c>
      <c r="BF53" s="18">
        <v>1550</v>
      </c>
      <c r="BG53" s="18">
        <v>1520</v>
      </c>
      <c r="BH53" s="18">
        <v>1600</v>
      </c>
      <c r="BI53" s="18">
        <v>1630</v>
      </c>
      <c r="BJ53" s="18">
        <v>1650</v>
      </c>
      <c r="BK53" s="18">
        <v>1670</v>
      </c>
      <c r="BL53" s="18">
        <v>1650</v>
      </c>
      <c r="BM53" s="18">
        <v>1620</v>
      </c>
      <c r="BN53" s="18">
        <v>1680</v>
      </c>
      <c r="BO53" s="18">
        <v>1640</v>
      </c>
      <c r="BP53" s="18">
        <v>1620</v>
      </c>
      <c r="BQ53" s="18">
        <v>1600</v>
      </c>
      <c r="BR53" s="18">
        <v>1610</v>
      </c>
      <c r="BS53" s="18">
        <v>1700</v>
      </c>
      <c r="BT53" s="18">
        <v>1680</v>
      </c>
      <c r="BU53" s="18">
        <v>1680</v>
      </c>
      <c r="BV53" s="18">
        <v>1670</v>
      </c>
      <c r="BW53" s="18">
        <v>1650</v>
      </c>
      <c r="BX53" s="18">
        <v>1690</v>
      </c>
      <c r="BY53" s="18">
        <v>1630</v>
      </c>
      <c r="BZ53" s="18">
        <v>1500</v>
      </c>
      <c r="CA53" s="18">
        <v>1470</v>
      </c>
      <c r="CB53" s="18">
        <v>1540</v>
      </c>
      <c r="CC53" s="18">
        <v>1520</v>
      </c>
      <c r="CD53" s="18">
        <v>1510</v>
      </c>
      <c r="CE53" s="18">
        <v>1500</v>
      </c>
      <c r="CF53" s="18">
        <v>1450</v>
      </c>
      <c r="CG53" s="18">
        <v>1280</v>
      </c>
      <c r="CH53" s="18">
        <v>1420</v>
      </c>
      <c r="CI53" s="18">
        <v>1490</v>
      </c>
      <c r="CJ53" s="18">
        <v>1460</v>
      </c>
      <c r="CK53" s="18">
        <v>1500</v>
      </c>
      <c r="CL53" s="18">
        <v>1510</v>
      </c>
      <c r="CM53" s="18">
        <v>1520</v>
      </c>
      <c r="CN53" s="18">
        <v>1480</v>
      </c>
      <c r="CO53" s="18">
        <v>1490</v>
      </c>
      <c r="CP53" s="18">
        <v>1540</v>
      </c>
      <c r="CQ53" s="18">
        <v>1590</v>
      </c>
      <c r="CR53" s="18">
        <v>1510</v>
      </c>
      <c r="CS53" s="18">
        <v>1670</v>
      </c>
      <c r="CT53" s="18">
        <v>1750</v>
      </c>
      <c r="CU53" s="18">
        <v>1830</v>
      </c>
      <c r="CV53" s="18">
        <v>1820</v>
      </c>
      <c r="CW53" s="18">
        <v>1870</v>
      </c>
      <c r="CX53" s="18">
        <v>1840</v>
      </c>
      <c r="CY53" s="18">
        <v>1720</v>
      </c>
      <c r="CZ53" s="18">
        <v>1530</v>
      </c>
      <c r="DA53" s="18">
        <v>1500</v>
      </c>
      <c r="DB53" s="18">
        <v>1490</v>
      </c>
      <c r="DC53" s="18">
        <v>1480</v>
      </c>
      <c r="DD53" s="18">
        <v>1600</v>
      </c>
      <c r="DE53" s="18">
        <v>1690</v>
      </c>
      <c r="DF53" s="18">
        <v>1720</v>
      </c>
      <c r="DG53" s="18">
        <v>1740</v>
      </c>
      <c r="DH53" s="18">
        <v>1730</v>
      </c>
      <c r="DI53" s="18">
        <v>1610</v>
      </c>
      <c r="DJ53" s="18">
        <v>1460</v>
      </c>
      <c r="DK53" s="18">
        <v>1470</v>
      </c>
      <c r="DL53" s="18">
        <v>1590</v>
      </c>
      <c r="DM53" s="18">
        <v>1710</v>
      </c>
      <c r="DN53" s="18">
        <v>1710</v>
      </c>
      <c r="DO53" s="18">
        <v>1740</v>
      </c>
      <c r="DP53" s="18">
        <v>1760</v>
      </c>
      <c r="DQ53" s="18">
        <v>1780</v>
      </c>
      <c r="DR53" s="18">
        <v>1950</v>
      </c>
      <c r="DS53" s="18">
        <v>1790</v>
      </c>
      <c r="DT53" s="18">
        <v>1640</v>
      </c>
      <c r="DU53" s="18">
        <v>1660</v>
      </c>
      <c r="DV53" s="18">
        <v>1770</v>
      </c>
      <c r="DW53" s="18">
        <v>1910</v>
      </c>
      <c r="DX53" s="18">
        <v>2100</v>
      </c>
      <c r="DY53" s="18">
        <v>2130</v>
      </c>
      <c r="DZ53" s="18">
        <v>1990</v>
      </c>
      <c r="EA53" s="18">
        <v>1890</v>
      </c>
      <c r="EB53" s="18">
        <v>1800</v>
      </c>
      <c r="EC53" s="18">
        <v>1890</v>
      </c>
      <c r="ED53" s="18">
        <v>2020</v>
      </c>
      <c r="EE53" s="18">
        <v>2310</v>
      </c>
      <c r="EF53" s="18">
        <v>2350</v>
      </c>
      <c r="EG53" s="18">
        <v>2360</v>
      </c>
      <c r="EH53" s="18">
        <v>2300</v>
      </c>
      <c r="EI53" s="18">
        <v>2080</v>
      </c>
      <c r="EJ53" s="18">
        <v>2060</v>
      </c>
      <c r="EK53" s="18">
        <v>2280</v>
      </c>
      <c r="EL53" s="18">
        <v>2560</v>
      </c>
      <c r="EM53" s="18">
        <v>3120</v>
      </c>
      <c r="EN53" s="18">
        <v>4330</v>
      </c>
      <c r="EO53" s="18">
        <v>4480</v>
      </c>
      <c r="EP53" s="18">
        <v>4660</v>
      </c>
      <c r="EQ53" s="18">
        <v>4450</v>
      </c>
      <c r="ER53" s="18">
        <v>4620</v>
      </c>
      <c r="ES53" s="18">
        <v>4970</v>
      </c>
      <c r="ET53" s="18">
        <v>5290</v>
      </c>
      <c r="EU53" s="18">
        <v>5440</v>
      </c>
      <c r="EV53" s="18">
        <v>5300</v>
      </c>
      <c r="EW53" s="18">
        <v>5110</v>
      </c>
      <c r="EX53" s="18">
        <v>5190</v>
      </c>
      <c r="EY53" s="18">
        <v>5290</v>
      </c>
      <c r="EZ53" s="18">
        <v>5100</v>
      </c>
      <c r="FA53" s="18">
        <v>5290</v>
      </c>
      <c r="FB53" s="18">
        <v>5600</v>
      </c>
      <c r="FC53" s="18">
        <v>5460</v>
      </c>
      <c r="FD53" s="18">
        <v>5750</v>
      </c>
      <c r="FE53" s="18">
        <v>6030</v>
      </c>
      <c r="FF53" s="18">
        <v>6000</v>
      </c>
      <c r="FG53" s="18">
        <v>6230</v>
      </c>
      <c r="FH53" s="18">
        <v>6320</v>
      </c>
      <c r="FI53" s="18">
        <v>6540</v>
      </c>
      <c r="FJ53" s="18">
        <v>6740</v>
      </c>
      <c r="FK53" s="18">
        <v>7050</v>
      </c>
      <c r="FL53" s="18">
        <v>7550</v>
      </c>
      <c r="FM53" s="18">
        <v>9260</v>
      </c>
      <c r="FN53" s="18">
        <v>9760</v>
      </c>
      <c r="FO53" s="18">
        <v>9330</v>
      </c>
      <c r="FP53" s="18">
        <v>8340</v>
      </c>
      <c r="FQ53" s="18">
        <v>9110</v>
      </c>
      <c r="FR53" s="18">
        <v>9540</v>
      </c>
      <c r="FS53" s="18">
        <v>8480</v>
      </c>
      <c r="FT53" s="18">
        <v>7350</v>
      </c>
      <c r="FU53" s="18">
        <v>6510</v>
      </c>
      <c r="FV53" s="18">
        <v>5600</v>
      </c>
      <c r="FW53" s="18">
        <v>5590</v>
      </c>
      <c r="FX53" s="18">
        <v>5340</v>
      </c>
      <c r="FY53" s="18">
        <v>6060</v>
      </c>
      <c r="FZ53" s="18">
        <v>7800</v>
      </c>
      <c r="GA53" s="18">
        <v>9560</v>
      </c>
      <c r="GB53" s="18">
        <v>10600</v>
      </c>
      <c r="GC53" s="18">
        <v>10100</v>
      </c>
      <c r="GD53" s="18">
        <v>8960</v>
      </c>
      <c r="GE53" s="18">
        <v>9140</v>
      </c>
      <c r="GF53" s="18">
        <v>10200</v>
      </c>
      <c r="GG53" s="18">
        <v>9890</v>
      </c>
      <c r="GH53" s="18">
        <v>9540</v>
      </c>
      <c r="GI53" s="18">
        <v>8910</v>
      </c>
      <c r="GJ53" s="18">
        <v>10200</v>
      </c>
      <c r="GK53" s="18">
        <v>11200</v>
      </c>
      <c r="GL53" s="18">
        <v>11500</v>
      </c>
      <c r="GM53" s="18">
        <v>12600</v>
      </c>
      <c r="GN53" s="18">
        <v>13800</v>
      </c>
      <c r="GO53" s="18">
        <v>14200</v>
      </c>
      <c r="GP53" s="18">
        <v>15200</v>
      </c>
      <c r="GQ53" s="18">
        <v>15700</v>
      </c>
      <c r="GR53" s="18">
        <v>14700</v>
      </c>
      <c r="GS53" s="18">
        <v>13400</v>
      </c>
      <c r="GT53" s="18">
        <v>11600</v>
      </c>
      <c r="GU53" s="18">
        <v>11100</v>
      </c>
      <c r="GV53" s="18">
        <v>9740</v>
      </c>
      <c r="GW53" s="18">
        <v>8400</v>
      </c>
      <c r="GX53" s="18">
        <v>8280</v>
      </c>
      <c r="GY53" s="18">
        <v>8090</v>
      </c>
      <c r="GZ53" s="18">
        <v>7940</v>
      </c>
      <c r="HA53" s="18">
        <v>7780</v>
      </c>
      <c r="HB53" s="18">
        <v>7580</v>
      </c>
      <c r="HC53" s="18">
        <v>7480</v>
      </c>
      <c r="HD53" s="18">
        <v>7030</v>
      </c>
      <c r="HE53" s="18">
        <v>6380</v>
      </c>
      <c r="HF53" s="18">
        <v>6240</v>
      </c>
      <c r="HG53" s="18">
        <v>6140</v>
      </c>
      <c r="HH53" s="18">
        <v>6110</v>
      </c>
      <c r="HI53" s="18">
        <v>6470</v>
      </c>
      <c r="HJ53" s="18">
        <v>6480</v>
      </c>
      <c r="HK53" s="18">
        <v>6870</v>
      </c>
      <c r="HL53" s="18">
        <v>7640</v>
      </c>
      <c r="HM53" s="18">
        <v>8830</v>
      </c>
      <c r="HN53" s="18">
        <v>9200</v>
      </c>
      <c r="HO53" s="18">
        <v>9480</v>
      </c>
      <c r="HP53" s="18">
        <v>11000</v>
      </c>
      <c r="HQ53" s="18">
        <v>11400</v>
      </c>
      <c r="HR53" s="18">
        <v>11200</v>
      </c>
      <c r="HS53" s="18">
        <v>11600</v>
      </c>
      <c r="HT53" s="18">
        <v>11100</v>
      </c>
      <c r="HU53" s="18">
        <v>9770</v>
      </c>
      <c r="HV53" s="18">
        <v>8790</v>
      </c>
      <c r="HW53" s="18">
        <v>8640</v>
      </c>
      <c r="HX53" s="18">
        <v>8660</v>
      </c>
      <c r="HY53" s="18">
        <v>9730</v>
      </c>
      <c r="HZ53" s="18">
        <v>11500</v>
      </c>
      <c r="IA53" s="18">
        <v>11700</v>
      </c>
      <c r="IB53" s="18">
        <v>11600</v>
      </c>
      <c r="IC53" s="18">
        <v>10800</v>
      </c>
      <c r="ID53" s="18">
        <v>9880</v>
      </c>
      <c r="IE53" s="18">
        <v>10400</v>
      </c>
      <c r="IF53" s="18">
        <v>10900</v>
      </c>
      <c r="IG53" s="18">
        <v>12000</v>
      </c>
      <c r="IH53" s="18">
        <v>14100</v>
      </c>
      <c r="II53" s="18">
        <v>14900</v>
      </c>
      <c r="IJ53" s="18">
        <v>15800</v>
      </c>
      <c r="IK53" s="18">
        <v>16400</v>
      </c>
      <c r="IL53" s="18">
        <v>16700</v>
      </c>
      <c r="IM53" s="18">
        <v>17200</v>
      </c>
      <c r="IN53" s="18">
        <v>16600</v>
      </c>
      <c r="IO53" s="18">
        <v>16100</v>
      </c>
      <c r="IP53" s="18">
        <v>15200</v>
      </c>
      <c r="IQ53" s="18">
        <v>13800</v>
      </c>
      <c r="IR53" s="18">
        <v>13200</v>
      </c>
      <c r="IS53" s="18">
        <v>12600</v>
      </c>
      <c r="IT53" s="18">
        <v>12400</v>
      </c>
      <c r="IU53" s="18">
        <v>12700</v>
      </c>
      <c r="IV53" s="18">
        <v>13300</v>
      </c>
      <c r="IW53" s="18">
        <v>13600</v>
      </c>
      <c r="IX53" s="18">
        <v>13800</v>
      </c>
      <c r="IY53" s="18">
        <v>13800</v>
      </c>
      <c r="IZ53" s="18">
        <v>13300</v>
      </c>
      <c r="JA53" s="18">
        <v>13300</v>
      </c>
      <c r="JB53" s="18">
        <v>13400</v>
      </c>
      <c r="JC53" s="18">
        <v>12700</v>
      </c>
      <c r="JD53" s="18">
        <v>12800</v>
      </c>
      <c r="JE53" s="18">
        <v>13600</v>
      </c>
      <c r="JF53" s="18">
        <v>13600</v>
      </c>
      <c r="JG53" s="18">
        <v>12900</v>
      </c>
      <c r="JH53" s="18">
        <v>12600</v>
      </c>
      <c r="JI53" s="18">
        <v>11700</v>
      </c>
      <c r="JJ53" s="18">
        <v>11200</v>
      </c>
      <c r="JK53" s="18">
        <v>9740</v>
      </c>
      <c r="JL53" s="18">
        <v>7620</v>
      </c>
      <c r="JM53" s="18">
        <v>6940</v>
      </c>
      <c r="JN53" s="18">
        <v>6660</v>
      </c>
      <c r="JO53" s="18">
        <v>6450</v>
      </c>
      <c r="JP53" s="18">
        <v>6150</v>
      </c>
      <c r="JQ53" s="18">
        <v>7440</v>
      </c>
      <c r="JR53" s="18">
        <v>9010</v>
      </c>
      <c r="JS53" s="18">
        <v>6790</v>
      </c>
      <c r="JT53" s="18">
        <v>7040</v>
      </c>
      <c r="JU53" s="18">
        <v>7710</v>
      </c>
      <c r="JV53" s="18">
        <v>6940</v>
      </c>
      <c r="JW53" s="18">
        <v>6730</v>
      </c>
      <c r="JX53" s="18">
        <v>6260</v>
      </c>
      <c r="JY53" s="18">
        <v>6010</v>
      </c>
      <c r="JZ53" s="18">
        <v>5840</v>
      </c>
      <c r="KA53" s="18">
        <v>5530</v>
      </c>
      <c r="KB53" s="18">
        <v>5560</v>
      </c>
      <c r="KC53" s="18">
        <v>5560</v>
      </c>
      <c r="KD53" s="18">
        <v>6130</v>
      </c>
      <c r="KE53" s="18">
        <v>6210</v>
      </c>
      <c r="KF53" s="18">
        <v>5690</v>
      </c>
      <c r="KG53" s="18">
        <v>5130</v>
      </c>
      <c r="KH53" s="18">
        <v>5640</v>
      </c>
      <c r="KI53" s="18">
        <v>5300</v>
      </c>
      <c r="KJ53" s="18">
        <v>5220</v>
      </c>
      <c r="KK53" s="18">
        <v>5020</v>
      </c>
      <c r="KL53" s="18">
        <v>5000</v>
      </c>
      <c r="KM53" s="18">
        <v>4960</v>
      </c>
      <c r="KN53" s="18">
        <v>4950</v>
      </c>
      <c r="KO53" s="18">
        <v>4950</v>
      </c>
      <c r="KP53" s="18">
        <v>4980</v>
      </c>
      <c r="KQ53" s="18">
        <v>4960</v>
      </c>
      <c r="KR53" s="18">
        <v>5100</v>
      </c>
      <c r="KS53" s="18">
        <v>5790</v>
      </c>
      <c r="KT53" s="18">
        <v>5880</v>
      </c>
      <c r="KU53" s="18">
        <v>5460</v>
      </c>
      <c r="KV53" s="18">
        <v>5040</v>
      </c>
      <c r="KW53" s="18">
        <v>4440</v>
      </c>
      <c r="KX53" s="18">
        <v>4220</v>
      </c>
      <c r="KY53" s="18">
        <v>4300</v>
      </c>
      <c r="KZ53" s="18">
        <v>4240</v>
      </c>
      <c r="LA53" s="18">
        <v>4220</v>
      </c>
      <c r="LB53" s="18">
        <v>4060</v>
      </c>
      <c r="LC53" s="18">
        <v>3890</v>
      </c>
      <c r="LD53" s="18">
        <v>3790</v>
      </c>
      <c r="LE53" s="18">
        <v>3820</v>
      </c>
      <c r="LF53" s="18">
        <v>3700</v>
      </c>
      <c r="LG53" s="18">
        <v>3600</v>
      </c>
      <c r="LH53" s="18">
        <v>3610</v>
      </c>
      <c r="LI53" s="18">
        <v>3560</v>
      </c>
      <c r="LJ53" s="18">
        <v>3420</v>
      </c>
      <c r="LK53" s="18">
        <v>3400</v>
      </c>
      <c r="LL53" s="18">
        <v>3330</v>
      </c>
      <c r="LM53" s="18">
        <v>3360</v>
      </c>
      <c r="LN53" s="18">
        <v>3230</v>
      </c>
      <c r="LO53" s="18">
        <v>3320</v>
      </c>
      <c r="LP53" s="18">
        <v>3230</v>
      </c>
      <c r="LQ53" s="18">
        <v>3280</v>
      </c>
      <c r="LR53" s="18">
        <v>3250</v>
      </c>
      <c r="LS53" s="18">
        <v>3170</v>
      </c>
      <c r="LT53" s="18">
        <v>3090</v>
      </c>
      <c r="LU53" s="18">
        <v>3040</v>
      </c>
      <c r="LV53" s="18">
        <v>3000</v>
      </c>
      <c r="LW53" s="18">
        <v>2940</v>
      </c>
      <c r="LX53" s="18">
        <v>2890</v>
      </c>
      <c r="LY53" s="18">
        <v>2860</v>
      </c>
      <c r="LZ53" s="18">
        <v>2870</v>
      </c>
      <c r="MA53" s="18">
        <v>2810</v>
      </c>
      <c r="MB53" s="18">
        <v>2820</v>
      </c>
      <c r="MC53" s="18">
        <v>2800</v>
      </c>
      <c r="MD53" s="18">
        <v>2770</v>
      </c>
      <c r="ME53" s="18">
        <v>2780</v>
      </c>
      <c r="MF53" s="18">
        <v>2780</v>
      </c>
      <c r="MG53" s="18">
        <v>2760</v>
      </c>
      <c r="MH53" s="18">
        <v>2750</v>
      </c>
      <c r="MI53" s="18">
        <v>2710</v>
      </c>
      <c r="MJ53" s="18">
        <v>2680</v>
      </c>
      <c r="MK53" s="18">
        <v>2770</v>
      </c>
      <c r="ML53" s="18">
        <v>2800</v>
      </c>
      <c r="MM53" s="18">
        <v>2760</v>
      </c>
      <c r="MN53" s="18">
        <v>2740</v>
      </c>
      <c r="MO53" s="18">
        <v>2620</v>
      </c>
      <c r="MP53" s="18">
        <v>2490</v>
      </c>
      <c r="MQ53" s="18">
        <v>2530</v>
      </c>
      <c r="MR53" s="18">
        <v>2520</v>
      </c>
      <c r="MS53" s="18">
        <v>2440</v>
      </c>
      <c r="MT53" s="18">
        <v>2430</v>
      </c>
      <c r="MU53" s="18">
        <v>2400</v>
      </c>
      <c r="MV53" s="18">
        <v>2330</v>
      </c>
      <c r="MW53" s="18">
        <v>2270</v>
      </c>
      <c r="MX53" s="18">
        <v>2320</v>
      </c>
      <c r="MY53" s="18">
        <v>2320</v>
      </c>
      <c r="MZ53" s="18">
        <v>2270</v>
      </c>
      <c r="NA53" s="18">
        <v>2260</v>
      </c>
      <c r="NB53" s="18">
        <v>2200</v>
      </c>
      <c r="NC53" s="18">
        <v>2120</v>
      </c>
      <c r="ND53" s="1">
        <v>1760</v>
      </c>
      <c r="NE53" s="1">
        <v>1610</v>
      </c>
      <c r="NF53" s="1">
        <v>1570</v>
      </c>
      <c r="NG53" s="1">
        <v>1660</v>
      </c>
      <c r="NH53" s="1">
        <v>2990</v>
      </c>
      <c r="NI53" s="1">
        <v>6930</v>
      </c>
      <c r="NJ53" s="1">
        <v>10200</v>
      </c>
      <c r="NK53" s="1">
        <v>10300</v>
      </c>
      <c r="NL53" s="1">
        <v>12700</v>
      </c>
      <c r="NM53" s="1">
        <v>5920</v>
      </c>
      <c r="NN53" s="1">
        <v>3660</v>
      </c>
      <c r="NO53" s="1">
        <v>2580</v>
      </c>
      <c r="NP53" s="1">
        <v>5162.8142076502736</v>
      </c>
      <c r="NQ53" s="1">
        <v>17200</v>
      </c>
      <c r="NR53" s="19">
        <v>42615</v>
      </c>
      <c r="NS53" s="1">
        <v>1280</v>
      </c>
      <c r="NT53" s="19">
        <v>42453</v>
      </c>
    </row>
    <row r="54" spans="1:384" x14ac:dyDescent="0.15">
      <c r="A54" s="1">
        <v>2001</v>
      </c>
      <c r="B54" s="18">
        <v>2110</v>
      </c>
      <c r="C54" s="18">
        <v>1980</v>
      </c>
      <c r="D54" s="18">
        <v>2230</v>
      </c>
      <c r="E54" s="18">
        <v>2340</v>
      </c>
      <c r="F54" s="18">
        <v>2320</v>
      </c>
      <c r="G54" s="18">
        <v>2180</v>
      </c>
      <c r="H54" s="18">
        <v>2020</v>
      </c>
      <c r="I54" s="18">
        <v>2010</v>
      </c>
      <c r="J54" s="18">
        <v>2050</v>
      </c>
      <c r="K54" s="18">
        <v>2090</v>
      </c>
      <c r="L54" s="18">
        <v>2000</v>
      </c>
      <c r="M54" s="18">
        <v>1980</v>
      </c>
      <c r="N54" s="18">
        <v>2030</v>
      </c>
      <c r="O54" s="18">
        <v>2020</v>
      </c>
      <c r="P54" s="18">
        <v>1970</v>
      </c>
      <c r="Q54" s="18">
        <v>1990</v>
      </c>
      <c r="R54" s="18">
        <v>2020</v>
      </c>
      <c r="S54" s="18">
        <v>1950</v>
      </c>
      <c r="T54" s="18">
        <v>1970</v>
      </c>
      <c r="U54" s="18">
        <v>1890</v>
      </c>
      <c r="V54" s="18">
        <v>1770</v>
      </c>
      <c r="W54" s="18">
        <v>1760</v>
      </c>
      <c r="X54" s="18">
        <v>1760</v>
      </c>
      <c r="Y54" s="18">
        <v>1900</v>
      </c>
      <c r="Z54" s="18">
        <v>1950</v>
      </c>
      <c r="AA54" s="18">
        <v>1870</v>
      </c>
      <c r="AB54" s="18">
        <v>1940</v>
      </c>
      <c r="AC54" s="18">
        <v>1880</v>
      </c>
      <c r="AD54" s="18">
        <v>1880</v>
      </c>
      <c r="AE54" s="18">
        <v>1940</v>
      </c>
      <c r="AF54" s="18">
        <v>1990</v>
      </c>
      <c r="AG54" s="18">
        <v>2030</v>
      </c>
      <c r="AH54" s="18">
        <v>2020</v>
      </c>
      <c r="AI54" s="18">
        <v>2030</v>
      </c>
      <c r="AJ54" s="18">
        <v>2040</v>
      </c>
      <c r="AK54" s="18">
        <v>2030</v>
      </c>
      <c r="AL54" s="18">
        <v>2040</v>
      </c>
      <c r="AM54" s="18">
        <v>2030</v>
      </c>
      <c r="AN54" s="18">
        <v>2030</v>
      </c>
      <c r="AO54" s="18">
        <v>1990</v>
      </c>
      <c r="AP54" s="18">
        <v>2010</v>
      </c>
      <c r="AQ54" s="18">
        <v>2060</v>
      </c>
      <c r="AR54" s="18">
        <v>2080</v>
      </c>
      <c r="AS54" s="18">
        <v>2020</v>
      </c>
      <c r="AT54" s="18">
        <v>1940</v>
      </c>
      <c r="AU54" s="18">
        <v>1920</v>
      </c>
      <c r="AV54" s="18">
        <v>1950</v>
      </c>
      <c r="AW54" s="18">
        <v>1870</v>
      </c>
      <c r="AX54" s="18">
        <v>1970</v>
      </c>
      <c r="AY54" s="18">
        <v>1920</v>
      </c>
      <c r="AZ54" s="18">
        <v>1940</v>
      </c>
      <c r="BA54" s="18">
        <v>2000</v>
      </c>
      <c r="BB54" s="18">
        <v>1940</v>
      </c>
      <c r="BC54" s="18">
        <v>2020</v>
      </c>
      <c r="BD54" s="18">
        <v>2020</v>
      </c>
      <c r="BE54" s="18">
        <v>1940</v>
      </c>
      <c r="BF54" s="18">
        <v>1910</v>
      </c>
      <c r="BG54" s="18">
        <v>1940</v>
      </c>
      <c r="BH54" s="18">
        <v>1990</v>
      </c>
      <c r="BI54" s="18"/>
      <c r="BJ54" s="18">
        <v>1980</v>
      </c>
      <c r="BK54" s="18">
        <v>2040</v>
      </c>
      <c r="BL54" s="18">
        <v>2040</v>
      </c>
      <c r="BM54" s="18">
        <v>1990</v>
      </c>
      <c r="BN54" s="18">
        <v>1960</v>
      </c>
      <c r="BO54" s="18">
        <v>1940</v>
      </c>
      <c r="BP54" s="18">
        <v>1950</v>
      </c>
      <c r="BQ54" s="18">
        <v>1610</v>
      </c>
      <c r="BR54" s="18">
        <v>1760</v>
      </c>
      <c r="BS54" s="18">
        <v>1980</v>
      </c>
      <c r="BT54" s="18">
        <v>2070</v>
      </c>
      <c r="BU54" s="18">
        <v>2060</v>
      </c>
      <c r="BV54" s="18">
        <v>2090</v>
      </c>
      <c r="BW54" s="18">
        <v>2050</v>
      </c>
      <c r="BX54" s="18">
        <v>1960</v>
      </c>
      <c r="BY54" s="18">
        <v>1960</v>
      </c>
      <c r="BZ54" s="18">
        <v>2000</v>
      </c>
      <c r="CA54" s="18">
        <v>2060</v>
      </c>
      <c r="CB54" s="18">
        <v>2080</v>
      </c>
      <c r="CC54" s="18">
        <v>2070</v>
      </c>
      <c r="CD54" s="18">
        <v>2100</v>
      </c>
      <c r="CE54" s="18">
        <v>2070</v>
      </c>
      <c r="CF54" s="18">
        <v>2080</v>
      </c>
      <c r="CG54" s="18">
        <v>2040</v>
      </c>
      <c r="CH54" s="18">
        <v>2040</v>
      </c>
      <c r="CI54" s="18">
        <v>2040</v>
      </c>
      <c r="CJ54" s="18">
        <v>2010</v>
      </c>
      <c r="CK54" s="18">
        <v>2060</v>
      </c>
      <c r="CL54" s="18">
        <v>2110</v>
      </c>
      <c r="CM54" s="18">
        <v>2040</v>
      </c>
      <c r="CN54" s="18">
        <v>2140</v>
      </c>
      <c r="CO54" s="18">
        <v>2110</v>
      </c>
      <c r="CP54" s="18">
        <v>1930</v>
      </c>
      <c r="CQ54" s="18">
        <v>1990</v>
      </c>
      <c r="CR54" s="18">
        <v>2030</v>
      </c>
      <c r="CS54" s="18">
        <v>1930</v>
      </c>
      <c r="CT54" s="18">
        <v>1890</v>
      </c>
      <c r="CU54" s="18">
        <v>1820</v>
      </c>
      <c r="CV54" s="18">
        <v>1810</v>
      </c>
      <c r="CW54" s="18">
        <v>1900</v>
      </c>
      <c r="CX54" s="18">
        <v>2070</v>
      </c>
      <c r="CY54" s="18">
        <v>2100</v>
      </c>
      <c r="CZ54" s="18">
        <v>2070</v>
      </c>
      <c r="DA54" s="18">
        <v>2140</v>
      </c>
      <c r="DB54" s="18">
        <v>2140</v>
      </c>
      <c r="DC54" s="18">
        <v>1720</v>
      </c>
      <c r="DD54" s="18">
        <v>1570</v>
      </c>
      <c r="DE54" s="18">
        <v>1580</v>
      </c>
      <c r="DF54" s="18">
        <v>1440</v>
      </c>
      <c r="DG54" s="18">
        <v>1470</v>
      </c>
      <c r="DH54" s="18">
        <v>1480</v>
      </c>
      <c r="DI54" s="18">
        <v>1450</v>
      </c>
      <c r="DJ54" s="18">
        <v>1470</v>
      </c>
      <c r="DK54" s="18">
        <v>1460</v>
      </c>
      <c r="DL54" s="18">
        <v>1620</v>
      </c>
      <c r="DM54" s="18">
        <v>1680</v>
      </c>
      <c r="DN54" s="18">
        <v>1820</v>
      </c>
      <c r="DO54" s="18">
        <v>1850</v>
      </c>
      <c r="DP54" s="18">
        <v>1870</v>
      </c>
      <c r="DQ54" s="18">
        <v>1900</v>
      </c>
      <c r="DR54" s="18">
        <v>1940</v>
      </c>
      <c r="DS54" s="18">
        <v>1960</v>
      </c>
      <c r="DT54" s="18">
        <v>1710</v>
      </c>
      <c r="DU54" s="18">
        <v>1720</v>
      </c>
      <c r="DV54" s="18">
        <v>1790</v>
      </c>
      <c r="DW54" s="18">
        <v>1940</v>
      </c>
      <c r="DX54" s="18">
        <v>1960</v>
      </c>
      <c r="DY54" s="18">
        <v>2000</v>
      </c>
      <c r="DZ54" s="18">
        <v>1950</v>
      </c>
      <c r="EA54" s="18">
        <v>1820</v>
      </c>
      <c r="EB54" s="18">
        <v>1720</v>
      </c>
      <c r="EC54" s="18">
        <v>1830</v>
      </c>
      <c r="ED54" s="18">
        <v>1980</v>
      </c>
      <c r="EE54" s="18">
        <v>2090</v>
      </c>
      <c r="EF54" s="18">
        <v>2280</v>
      </c>
      <c r="EG54" s="18">
        <v>2570</v>
      </c>
      <c r="EH54" s="18">
        <v>2570</v>
      </c>
      <c r="EI54" s="18">
        <v>2260</v>
      </c>
      <c r="EJ54" s="18">
        <v>2010</v>
      </c>
      <c r="EK54" s="18">
        <v>1970</v>
      </c>
      <c r="EL54" s="18">
        <v>2080</v>
      </c>
      <c r="EM54" s="18">
        <v>2250</v>
      </c>
      <c r="EN54" s="18">
        <v>2470</v>
      </c>
      <c r="EO54" s="18">
        <v>2510</v>
      </c>
      <c r="EP54" s="18">
        <v>2480</v>
      </c>
      <c r="EQ54" s="18">
        <v>2300</v>
      </c>
      <c r="ER54" s="18">
        <v>2300</v>
      </c>
      <c r="ES54" s="18">
        <v>2510</v>
      </c>
      <c r="ET54" s="18">
        <v>2510</v>
      </c>
      <c r="EU54" s="18">
        <v>2840</v>
      </c>
      <c r="EV54" s="18">
        <v>3040</v>
      </c>
      <c r="EW54" s="18">
        <v>3150</v>
      </c>
      <c r="EX54" s="18">
        <v>4300</v>
      </c>
      <c r="EY54" s="18">
        <v>6100</v>
      </c>
      <c r="EZ54" s="18">
        <v>5980</v>
      </c>
      <c r="FA54" s="18">
        <v>5290</v>
      </c>
      <c r="FB54" s="18">
        <v>4750</v>
      </c>
      <c r="FC54" s="18">
        <v>4330</v>
      </c>
      <c r="FD54" s="18">
        <v>4210</v>
      </c>
      <c r="FE54" s="18">
        <v>4100</v>
      </c>
      <c r="FF54" s="18">
        <v>3870</v>
      </c>
      <c r="FG54" s="18">
        <v>3690</v>
      </c>
      <c r="FH54" s="18">
        <v>3840</v>
      </c>
      <c r="FI54" s="18">
        <v>4200</v>
      </c>
      <c r="FJ54" s="18">
        <v>4820</v>
      </c>
      <c r="FK54" s="18">
        <v>5760</v>
      </c>
      <c r="FL54" s="18">
        <v>7200</v>
      </c>
      <c r="FM54" s="18">
        <v>7170</v>
      </c>
      <c r="FN54" s="18">
        <v>7000</v>
      </c>
      <c r="FO54" s="18">
        <v>6700</v>
      </c>
      <c r="FP54" s="18">
        <v>6900</v>
      </c>
      <c r="FQ54" s="18">
        <v>6400</v>
      </c>
      <c r="FR54" s="18">
        <v>6800</v>
      </c>
      <c r="FS54" s="18">
        <v>6950</v>
      </c>
      <c r="FT54" s="18">
        <v>8660</v>
      </c>
      <c r="FU54" s="18">
        <v>9270</v>
      </c>
      <c r="FV54" s="18">
        <v>9810</v>
      </c>
      <c r="FW54" s="18">
        <v>10100</v>
      </c>
      <c r="FX54" s="18">
        <v>10100</v>
      </c>
      <c r="FY54" s="18">
        <v>10000</v>
      </c>
      <c r="FZ54" s="18">
        <v>11700</v>
      </c>
      <c r="GA54" s="18">
        <v>13000</v>
      </c>
      <c r="GB54" s="18">
        <v>13800</v>
      </c>
      <c r="GC54" s="18">
        <v>13500</v>
      </c>
      <c r="GD54" s="18">
        <v>13200</v>
      </c>
      <c r="GE54" s="18">
        <v>10800</v>
      </c>
      <c r="GF54" s="18">
        <v>8140</v>
      </c>
      <c r="GG54" s="18">
        <v>7740</v>
      </c>
      <c r="GH54" s="18">
        <v>7260</v>
      </c>
      <c r="GI54" s="18">
        <v>6220</v>
      </c>
      <c r="GJ54" s="18">
        <v>5860</v>
      </c>
      <c r="GK54" s="18">
        <v>6120</v>
      </c>
      <c r="GL54" s="18">
        <v>7020</v>
      </c>
      <c r="GM54" s="18">
        <v>7300</v>
      </c>
      <c r="GN54" s="18">
        <v>6900</v>
      </c>
      <c r="GO54" s="18">
        <v>6690</v>
      </c>
      <c r="GP54" s="18">
        <v>6540</v>
      </c>
      <c r="GQ54" s="18">
        <v>6740</v>
      </c>
      <c r="GR54" s="18">
        <v>6570</v>
      </c>
      <c r="GS54" s="18">
        <v>6320</v>
      </c>
      <c r="GT54" s="18">
        <v>5950</v>
      </c>
      <c r="GU54" s="18">
        <v>5600</v>
      </c>
      <c r="GV54" s="18">
        <v>5150</v>
      </c>
      <c r="GW54" s="18">
        <v>4500</v>
      </c>
      <c r="GX54" s="18">
        <v>4500</v>
      </c>
      <c r="GY54" s="18">
        <v>4840</v>
      </c>
      <c r="GZ54" s="18">
        <v>5340</v>
      </c>
      <c r="HA54" s="18">
        <v>5790</v>
      </c>
      <c r="HB54" s="18">
        <v>5770</v>
      </c>
      <c r="HC54" s="18">
        <v>5410</v>
      </c>
      <c r="HD54" s="18">
        <v>5480</v>
      </c>
      <c r="HE54" s="18">
        <v>5900</v>
      </c>
      <c r="HF54" s="18">
        <v>8120</v>
      </c>
      <c r="HG54" s="18">
        <v>11400</v>
      </c>
      <c r="HH54" s="18">
        <v>11700</v>
      </c>
      <c r="HI54" s="18">
        <v>10800</v>
      </c>
      <c r="HJ54" s="18">
        <v>9960</v>
      </c>
      <c r="HK54" s="18">
        <v>9060</v>
      </c>
      <c r="HL54" s="18">
        <v>8070</v>
      </c>
      <c r="HM54" s="18">
        <v>6680</v>
      </c>
      <c r="HN54" s="18">
        <v>5830</v>
      </c>
      <c r="HO54" s="18">
        <v>5420</v>
      </c>
      <c r="HP54" s="18">
        <v>5040</v>
      </c>
      <c r="HQ54" s="18">
        <v>5260</v>
      </c>
      <c r="HR54" s="18">
        <v>6060</v>
      </c>
      <c r="HS54" s="18">
        <v>6940</v>
      </c>
      <c r="HT54" s="18">
        <v>8300</v>
      </c>
      <c r="HU54" s="18">
        <v>9740</v>
      </c>
      <c r="HV54" s="18">
        <v>9630</v>
      </c>
      <c r="HW54" s="18">
        <v>9160</v>
      </c>
      <c r="HX54" s="18">
        <v>8690</v>
      </c>
      <c r="HY54" s="18">
        <v>8620</v>
      </c>
      <c r="HZ54" s="18">
        <v>8970</v>
      </c>
      <c r="IA54" s="18">
        <v>11200</v>
      </c>
      <c r="IB54" s="18">
        <v>10400</v>
      </c>
      <c r="IC54" s="18">
        <v>10900</v>
      </c>
      <c r="ID54" s="18">
        <v>12100</v>
      </c>
      <c r="IE54" s="18">
        <v>12200</v>
      </c>
      <c r="IF54" s="18">
        <v>12000</v>
      </c>
      <c r="IG54" s="18">
        <v>11900</v>
      </c>
      <c r="IH54" s="18">
        <v>12400</v>
      </c>
      <c r="II54" s="18">
        <v>13700</v>
      </c>
      <c r="IJ54" s="18">
        <v>14700</v>
      </c>
      <c r="IK54" s="18">
        <v>15800</v>
      </c>
      <c r="IL54" s="18">
        <v>17000</v>
      </c>
      <c r="IM54" s="18">
        <v>17600</v>
      </c>
      <c r="IN54" s="18">
        <v>17600</v>
      </c>
      <c r="IO54" s="18">
        <v>18000</v>
      </c>
      <c r="IP54" s="18">
        <v>19100</v>
      </c>
      <c r="IQ54" s="18">
        <v>16900</v>
      </c>
      <c r="IR54" s="18">
        <v>15700</v>
      </c>
      <c r="IS54" s="18">
        <v>14900</v>
      </c>
      <c r="IT54" s="18">
        <v>13900</v>
      </c>
      <c r="IU54" s="18">
        <v>12900</v>
      </c>
      <c r="IV54" s="18">
        <v>12500</v>
      </c>
      <c r="IW54" s="18">
        <v>12500</v>
      </c>
      <c r="IX54" s="18">
        <v>12700</v>
      </c>
      <c r="IY54" s="18">
        <v>12800</v>
      </c>
      <c r="IZ54" s="18">
        <v>12700</v>
      </c>
      <c r="JA54" s="18">
        <v>12700</v>
      </c>
      <c r="JB54" s="18">
        <v>12800</v>
      </c>
      <c r="JC54" s="18">
        <v>10200</v>
      </c>
      <c r="JD54" s="18">
        <v>8520</v>
      </c>
      <c r="JE54" s="18">
        <v>7710</v>
      </c>
      <c r="JF54" s="18">
        <v>9670</v>
      </c>
      <c r="JG54" s="18">
        <v>10600</v>
      </c>
      <c r="JH54" s="18">
        <v>9890</v>
      </c>
      <c r="JI54" s="18">
        <v>10100</v>
      </c>
      <c r="JJ54" s="18">
        <v>10200</v>
      </c>
      <c r="JK54" s="18">
        <v>11000</v>
      </c>
      <c r="JL54" s="18">
        <v>11100</v>
      </c>
      <c r="JM54" s="18">
        <v>11000</v>
      </c>
      <c r="JN54" s="18">
        <v>11000</v>
      </c>
      <c r="JO54" s="18">
        <v>10800</v>
      </c>
      <c r="JP54" s="18">
        <v>10500</v>
      </c>
      <c r="JQ54" s="18">
        <v>9820</v>
      </c>
      <c r="JR54" s="18">
        <v>10300</v>
      </c>
      <c r="JS54" s="18">
        <v>11500</v>
      </c>
      <c r="JT54" s="18">
        <v>11500</v>
      </c>
      <c r="JU54" s="18">
        <v>10100</v>
      </c>
      <c r="JV54" s="18">
        <v>8960</v>
      </c>
      <c r="JW54" s="18">
        <v>8550</v>
      </c>
      <c r="JX54" s="18">
        <v>8280</v>
      </c>
      <c r="JY54" s="18">
        <v>8170</v>
      </c>
      <c r="JZ54" s="18">
        <v>8140</v>
      </c>
      <c r="KA54" s="18">
        <v>7720</v>
      </c>
      <c r="KB54" s="18">
        <v>7820</v>
      </c>
      <c r="KC54" s="18">
        <v>7220</v>
      </c>
      <c r="KD54" s="18">
        <v>6970</v>
      </c>
      <c r="KE54" s="18">
        <v>6660</v>
      </c>
      <c r="KF54" s="18">
        <v>6080</v>
      </c>
      <c r="KG54" s="18">
        <v>6240</v>
      </c>
      <c r="KH54" s="18">
        <v>6240</v>
      </c>
      <c r="KI54" s="18">
        <v>5720</v>
      </c>
      <c r="KJ54" s="18">
        <v>5640</v>
      </c>
      <c r="KK54" s="18">
        <v>5820</v>
      </c>
      <c r="KL54" s="18">
        <v>5700</v>
      </c>
      <c r="KM54" s="18">
        <v>5630</v>
      </c>
      <c r="KN54" s="18">
        <v>5360</v>
      </c>
      <c r="KO54" s="18">
        <v>6220</v>
      </c>
      <c r="KP54" s="18">
        <v>6170</v>
      </c>
      <c r="KQ54" s="18">
        <v>5490</v>
      </c>
      <c r="KR54" s="18">
        <v>5300</v>
      </c>
      <c r="KS54" s="18">
        <v>5260</v>
      </c>
      <c r="KT54" s="18">
        <v>4700</v>
      </c>
      <c r="KU54" s="18">
        <v>4860</v>
      </c>
      <c r="KV54" s="18">
        <v>5000</v>
      </c>
      <c r="KW54" s="18">
        <v>4970</v>
      </c>
      <c r="KX54" s="18">
        <v>4840</v>
      </c>
      <c r="KY54" s="18">
        <v>4590</v>
      </c>
      <c r="KZ54" s="18">
        <v>4420</v>
      </c>
      <c r="LA54" s="18">
        <v>4270</v>
      </c>
      <c r="LB54" s="18">
        <v>4150</v>
      </c>
      <c r="LC54" s="18">
        <v>3960</v>
      </c>
      <c r="LD54" s="18">
        <v>3940</v>
      </c>
      <c r="LE54" s="18">
        <v>3900</v>
      </c>
      <c r="LF54" s="18">
        <v>3800</v>
      </c>
      <c r="LG54" s="18">
        <v>3650</v>
      </c>
      <c r="LH54" s="18">
        <v>3760</v>
      </c>
      <c r="LI54" s="18">
        <v>3700</v>
      </c>
      <c r="LJ54" s="18">
        <v>3670</v>
      </c>
      <c r="LK54" s="18">
        <v>3630</v>
      </c>
      <c r="LL54" s="18">
        <v>3540</v>
      </c>
      <c r="LM54" s="18">
        <v>3540</v>
      </c>
      <c r="LN54" s="18">
        <v>3530</v>
      </c>
      <c r="LO54" s="18">
        <v>3550</v>
      </c>
      <c r="LP54" s="18">
        <v>3430</v>
      </c>
      <c r="LQ54" s="18">
        <v>3340</v>
      </c>
      <c r="LR54" s="18">
        <v>3260</v>
      </c>
      <c r="LS54" s="18">
        <v>3220</v>
      </c>
      <c r="LT54" s="18">
        <v>3150</v>
      </c>
      <c r="LU54" s="18">
        <v>3070</v>
      </c>
      <c r="LV54" s="18">
        <v>2980</v>
      </c>
      <c r="LW54" s="18">
        <v>2980</v>
      </c>
      <c r="LX54" s="18">
        <v>2890</v>
      </c>
      <c r="LY54" s="18">
        <v>2910</v>
      </c>
      <c r="LZ54" s="18">
        <v>2810</v>
      </c>
      <c r="MA54" s="18">
        <v>2760</v>
      </c>
      <c r="MB54" s="18">
        <v>2730</v>
      </c>
      <c r="MC54" s="18">
        <v>2740</v>
      </c>
      <c r="MD54" s="18">
        <v>2720</v>
      </c>
      <c r="ME54" s="18">
        <v>2650</v>
      </c>
      <c r="MF54" s="18">
        <v>2610</v>
      </c>
      <c r="MG54" s="18">
        <v>2600</v>
      </c>
      <c r="MH54" s="18">
        <v>2530</v>
      </c>
      <c r="MI54" s="18">
        <v>2560</v>
      </c>
      <c r="MJ54" s="18">
        <v>2590</v>
      </c>
      <c r="MK54" s="18">
        <v>2560</v>
      </c>
      <c r="ML54" s="18">
        <v>2510</v>
      </c>
      <c r="MM54" s="18">
        <v>2480</v>
      </c>
      <c r="MN54" s="18">
        <v>2520</v>
      </c>
      <c r="MO54" s="18">
        <v>2480</v>
      </c>
      <c r="MP54" s="18">
        <v>2470</v>
      </c>
      <c r="MQ54" s="18">
        <v>2490</v>
      </c>
      <c r="MR54" s="18">
        <v>2440</v>
      </c>
      <c r="MS54" s="18">
        <v>2450</v>
      </c>
      <c r="MT54" s="18">
        <v>2400</v>
      </c>
      <c r="MU54" s="18">
        <v>2360</v>
      </c>
      <c r="MV54" s="18">
        <v>2360</v>
      </c>
      <c r="MW54" s="18">
        <v>2330</v>
      </c>
      <c r="MX54" s="18">
        <v>2330</v>
      </c>
      <c r="MY54" s="18">
        <v>2260</v>
      </c>
      <c r="MZ54" s="18">
        <v>2180</v>
      </c>
      <c r="NA54" s="18">
        <v>2110</v>
      </c>
      <c r="NB54" s="18">
        <v>2100</v>
      </c>
      <c r="NC54" s="18">
        <v>2070</v>
      </c>
      <c r="ND54" s="1">
        <v>1990</v>
      </c>
      <c r="NE54" s="1">
        <v>1990</v>
      </c>
      <c r="NF54" s="1">
        <v>2010</v>
      </c>
      <c r="NG54" s="1">
        <v>1810</v>
      </c>
      <c r="NH54" s="1">
        <v>2210</v>
      </c>
      <c r="NI54" s="1">
        <v>6770</v>
      </c>
      <c r="NJ54" s="1">
        <v>7070</v>
      </c>
      <c r="NK54" s="1">
        <v>9760</v>
      </c>
      <c r="NL54" s="1">
        <v>12800</v>
      </c>
      <c r="NM54" s="1">
        <v>7350</v>
      </c>
      <c r="NN54" s="1">
        <v>3790</v>
      </c>
      <c r="NO54" s="1">
        <v>2490</v>
      </c>
      <c r="NP54" s="1">
        <v>5013.5342465753429</v>
      </c>
      <c r="NQ54" s="1">
        <v>19100</v>
      </c>
      <c r="NR54" s="19">
        <v>42618</v>
      </c>
      <c r="NS54" s="1">
        <v>1440</v>
      </c>
      <c r="NT54" s="19">
        <v>42478</v>
      </c>
    </row>
    <row r="55" spans="1:384" x14ac:dyDescent="0.15">
      <c r="A55" s="1">
        <v>2002</v>
      </c>
      <c r="B55" s="18">
        <v>2070</v>
      </c>
      <c r="C55" s="18">
        <v>2090</v>
      </c>
      <c r="D55" s="18">
        <v>2040</v>
      </c>
      <c r="E55" s="18">
        <v>2060</v>
      </c>
      <c r="F55" s="18">
        <v>2140</v>
      </c>
      <c r="G55" s="18">
        <v>2130</v>
      </c>
      <c r="H55" s="18">
        <v>2080</v>
      </c>
      <c r="I55" s="18">
        <v>2080</v>
      </c>
      <c r="J55" s="18">
        <v>2120</v>
      </c>
      <c r="K55" s="18">
        <v>2110</v>
      </c>
      <c r="L55" s="18">
        <v>2050</v>
      </c>
      <c r="M55" s="18">
        <v>2030</v>
      </c>
      <c r="N55" s="18">
        <v>2020</v>
      </c>
      <c r="O55" s="18">
        <v>1940</v>
      </c>
      <c r="P55" s="18">
        <v>1780</v>
      </c>
      <c r="Q55" s="18">
        <v>1850</v>
      </c>
      <c r="R55" s="18">
        <v>1780</v>
      </c>
      <c r="S55" s="18">
        <v>1860</v>
      </c>
      <c r="T55" s="18">
        <v>1960</v>
      </c>
      <c r="U55" s="18">
        <v>1960</v>
      </c>
      <c r="V55" s="18">
        <v>1980</v>
      </c>
      <c r="W55" s="18">
        <v>1920</v>
      </c>
      <c r="X55" s="18">
        <v>1900</v>
      </c>
      <c r="Y55" s="18">
        <v>1920</v>
      </c>
      <c r="Z55" s="18">
        <v>1960</v>
      </c>
      <c r="AA55" s="18">
        <v>1980</v>
      </c>
      <c r="AB55" s="18">
        <v>1900</v>
      </c>
      <c r="AC55" s="18">
        <v>1900</v>
      </c>
      <c r="AD55" s="18">
        <v>1910</v>
      </c>
      <c r="AE55" s="18">
        <v>1980</v>
      </c>
      <c r="AF55" s="18">
        <v>1910</v>
      </c>
      <c r="AG55" s="18">
        <v>1970</v>
      </c>
      <c r="AH55" s="18">
        <v>1990</v>
      </c>
      <c r="AI55" s="18">
        <v>1980</v>
      </c>
      <c r="AJ55" s="18">
        <v>1930</v>
      </c>
      <c r="AK55" s="18">
        <v>1830</v>
      </c>
      <c r="AL55" s="18">
        <v>1710</v>
      </c>
      <c r="AM55" s="18">
        <v>1530</v>
      </c>
      <c r="AN55" s="18">
        <v>1560</v>
      </c>
      <c r="AO55" s="18">
        <v>1570</v>
      </c>
      <c r="AP55" s="18">
        <v>1490</v>
      </c>
      <c r="AQ55" s="18">
        <v>1460</v>
      </c>
      <c r="AR55" s="18">
        <v>1420</v>
      </c>
      <c r="AS55" s="18">
        <v>1440</v>
      </c>
      <c r="AT55" s="18">
        <v>1400</v>
      </c>
      <c r="AU55" s="18">
        <v>1370</v>
      </c>
      <c r="AV55" s="18">
        <v>1410</v>
      </c>
      <c r="AW55" s="18">
        <v>1480</v>
      </c>
      <c r="AX55" s="18">
        <v>1430</v>
      </c>
      <c r="AY55" s="18">
        <v>1520</v>
      </c>
      <c r="AZ55" s="18">
        <v>1450</v>
      </c>
      <c r="BA55" s="18">
        <v>1440</v>
      </c>
      <c r="BB55" s="18">
        <v>1480</v>
      </c>
      <c r="BC55" s="18">
        <v>1500</v>
      </c>
      <c r="BD55" s="18">
        <v>1430</v>
      </c>
      <c r="BE55" s="18">
        <v>1430</v>
      </c>
      <c r="BF55" s="18">
        <v>1480</v>
      </c>
      <c r="BG55" s="18">
        <v>1400</v>
      </c>
      <c r="BH55" s="18">
        <v>1320</v>
      </c>
      <c r="BI55" s="18"/>
      <c r="BJ55" s="18">
        <v>1300</v>
      </c>
      <c r="BK55" s="18">
        <v>1280</v>
      </c>
      <c r="BL55" s="18">
        <v>1280</v>
      </c>
      <c r="BM55" s="18">
        <v>1370</v>
      </c>
      <c r="BN55" s="18">
        <v>1350</v>
      </c>
      <c r="BO55" s="18">
        <v>1350</v>
      </c>
      <c r="BP55" s="18">
        <v>1330</v>
      </c>
      <c r="BQ55" s="18">
        <v>1370</v>
      </c>
      <c r="BR55" s="18">
        <v>1510</v>
      </c>
      <c r="BS55" s="18">
        <v>1730</v>
      </c>
      <c r="BT55" s="18">
        <v>1680</v>
      </c>
      <c r="BU55" s="18">
        <v>1700</v>
      </c>
      <c r="BV55" s="18">
        <v>1850</v>
      </c>
      <c r="BW55" s="18">
        <v>1660</v>
      </c>
      <c r="BX55" s="18">
        <v>1560</v>
      </c>
      <c r="BY55" s="18">
        <v>1490</v>
      </c>
      <c r="BZ55" s="18">
        <v>1410</v>
      </c>
      <c r="CA55" s="18">
        <v>1440</v>
      </c>
      <c r="CB55" s="18">
        <v>1450</v>
      </c>
      <c r="CC55" s="18">
        <v>1540</v>
      </c>
      <c r="CD55" s="18">
        <v>1480</v>
      </c>
      <c r="CE55" s="18">
        <v>1550</v>
      </c>
      <c r="CF55" s="18">
        <v>1610</v>
      </c>
      <c r="CG55" s="18">
        <v>1600</v>
      </c>
      <c r="CH55" s="18">
        <v>1670</v>
      </c>
      <c r="CI55" s="18">
        <v>1760</v>
      </c>
      <c r="CJ55" s="18">
        <v>1790</v>
      </c>
      <c r="CK55" s="18">
        <v>1800</v>
      </c>
      <c r="CL55" s="18">
        <v>1710</v>
      </c>
      <c r="CM55" s="18">
        <v>1580</v>
      </c>
      <c r="CN55" s="18">
        <v>1680</v>
      </c>
      <c r="CO55" s="18">
        <v>1660</v>
      </c>
      <c r="CP55" s="18">
        <v>1650</v>
      </c>
      <c r="CQ55" s="18">
        <v>1750</v>
      </c>
      <c r="CR55" s="18">
        <v>1740</v>
      </c>
      <c r="CS55" s="18">
        <v>1730</v>
      </c>
      <c r="CT55" s="18">
        <v>1490</v>
      </c>
      <c r="CU55" s="18">
        <v>1360</v>
      </c>
      <c r="CV55" s="18">
        <v>1500</v>
      </c>
      <c r="CW55" s="18">
        <v>1600</v>
      </c>
      <c r="CX55" s="18">
        <v>1610</v>
      </c>
      <c r="CY55" s="18">
        <v>1680</v>
      </c>
      <c r="CZ55" s="18">
        <v>1620</v>
      </c>
      <c r="DA55" s="18">
        <v>1560</v>
      </c>
      <c r="DB55" s="18">
        <v>1610</v>
      </c>
      <c r="DC55" s="18">
        <v>1560</v>
      </c>
      <c r="DD55" s="18">
        <v>1620</v>
      </c>
      <c r="DE55" s="18">
        <v>1610</v>
      </c>
      <c r="DF55" s="18">
        <v>1550</v>
      </c>
      <c r="DG55" s="18">
        <v>1400</v>
      </c>
      <c r="DH55" s="18">
        <v>1440</v>
      </c>
      <c r="DI55" s="18">
        <v>1470</v>
      </c>
      <c r="DJ55" s="18">
        <v>1560</v>
      </c>
      <c r="DK55" s="18">
        <v>1690</v>
      </c>
      <c r="DL55" s="18">
        <v>1860</v>
      </c>
      <c r="DM55" s="18">
        <v>1920</v>
      </c>
      <c r="DN55" s="18">
        <v>1830</v>
      </c>
      <c r="DO55" s="18">
        <v>1840</v>
      </c>
      <c r="DP55" s="18">
        <v>1990</v>
      </c>
      <c r="DQ55" s="18">
        <v>1980</v>
      </c>
      <c r="DR55" s="18">
        <v>2050</v>
      </c>
      <c r="DS55" s="18">
        <v>2080</v>
      </c>
      <c r="DT55" s="18">
        <v>1990</v>
      </c>
      <c r="DU55" s="18">
        <v>1770</v>
      </c>
      <c r="DV55" s="18">
        <v>1710</v>
      </c>
      <c r="DW55" s="18">
        <v>1690</v>
      </c>
      <c r="DX55" s="18">
        <v>1640</v>
      </c>
      <c r="DY55" s="18">
        <v>1540</v>
      </c>
      <c r="DZ55" s="18">
        <v>1640</v>
      </c>
      <c r="EA55" s="18">
        <v>1780</v>
      </c>
      <c r="EB55" s="18">
        <v>1530</v>
      </c>
      <c r="EC55" s="18">
        <v>1450</v>
      </c>
      <c r="ED55" s="18">
        <v>1840</v>
      </c>
      <c r="EE55" s="18">
        <v>2740</v>
      </c>
      <c r="EF55" s="18">
        <v>2830</v>
      </c>
      <c r="EG55" s="18">
        <v>2540</v>
      </c>
      <c r="EH55" s="18">
        <v>2510</v>
      </c>
      <c r="EI55" s="18">
        <v>2400</v>
      </c>
      <c r="EJ55" s="18">
        <v>2340</v>
      </c>
      <c r="EK55" s="18">
        <v>2240</v>
      </c>
      <c r="EL55" s="18">
        <v>2250</v>
      </c>
      <c r="EM55" s="18">
        <v>2220</v>
      </c>
      <c r="EN55" s="18">
        <v>2420</v>
      </c>
      <c r="EO55" s="18">
        <v>2340</v>
      </c>
      <c r="EP55" s="18">
        <v>2270</v>
      </c>
      <c r="EQ55" s="18">
        <v>2120</v>
      </c>
      <c r="ER55" s="18">
        <v>2320</v>
      </c>
      <c r="ES55" s="18">
        <v>2470</v>
      </c>
      <c r="ET55" s="18">
        <v>2600</v>
      </c>
      <c r="EU55" s="18">
        <v>2980</v>
      </c>
      <c r="EV55" s="18">
        <v>3040</v>
      </c>
      <c r="EW55" s="18">
        <v>3200</v>
      </c>
      <c r="EX55" s="18">
        <v>3220</v>
      </c>
      <c r="EY55" s="18">
        <v>3140</v>
      </c>
      <c r="EZ55" s="18">
        <v>3180</v>
      </c>
      <c r="FA55" s="18">
        <v>3100</v>
      </c>
      <c r="FB55" s="18">
        <v>3260</v>
      </c>
      <c r="FC55" s="18">
        <v>3230</v>
      </c>
      <c r="FD55" s="18">
        <v>3380</v>
      </c>
      <c r="FE55" s="18">
        <v>3460</v>
      </c>
      <c r="FF55" s="18">
        <v>3540</v>
      </c>
      <c r="FG55" s="18">
        <v>3450</v>
      </c>
      <c r="FH55" s="18">
        <v>3650</v>
      </c>
      <c r="FI55" s="18">
        <v>3690</v>
      </c>
      <c r="FJ55" s="18">
        <v>3580</v>
      </c>
      <c r="FK55" s="18">
        <v>3870</v>
      </c>
      <c r="FL55" s="18">
        <v>4290</v>
      </c>
      <c r="FM55" s="18">
        <v>4230</v>
      </c>
      <c r="FN55" s="18">
        <v>4460</v>
      </c>
      <c r="FO55" s="18">
        <v>4600</v>
      </c>
      <c r="FP55" s="18">
        <v>4470</v>
      </c>
      <c r="FQ55" s="18">
        <v>4680</v>
      </c>
      <c r="FR55" s="18">
        <v>5740</v>
      </c>
      <c r="FS55" s="18">
        <v>6770</v>
      </c>
      <c r="FT55" s="18">
        <v>5480</v>
      </c>
      <c r="FU55" s="18">
        <v>4540</v>
      </c>
      <c r="FV55" s="18">
        <v>4470</v>
      </c>
      <c r="FW55" s="18">
        <v>5770</v>
      </c>
      <c r="FX55" s="18">
        <v>6290</v>
      </c>
      <c r="FY55" s="18">
        <v>5940</v>
      </c>
      <c r="FZ55" s="18">
        <v>5500</v>
      </c>
      <c r="GA55" s="18">
        <v>5320</v>
      </c>
      <c r="GB55" s="18">
        <v>6100</v>
      </c>
      <c r="GC55" s="18">
        <v>6660</v>
      </c>
      <c r="GD55" s="18">
        <v>7260</v>
      </c>
      <c r="GE55" s="18">
        <v>7360</v>
      </c>
      <c r="GF55" s="18">
        <v>8130</v>
      </c>
      <c r="GG55" s="18">
        <v>9360</v>
      </c>
      <c r="GH55" s="18">
        <v>9210</v>
      </c>
      <c r="GI55" s="18">
        <v>9560</v>
      </c>
      <c r="GJ55" s="18">
        <v>12000</v>
      </c>
      <c r="GK55" s="18">
        <v>13900</v>
      </c>
      <c r="GL55" s="18">
        <v>13900</v>
      </c>
      <c r="GM55" s="18">
        <v>13400</v>
      </c>
      <c r="GN55" s="18">
        <v>12200</v>
      </c>
      <c r="GO55" s="18">
        <v>10900</v>
      </c>
      <c r="GP55" s="18">
        <v>9990</v>
      </c>
      <c r="GQ55" s="18">
        <v>8690</v>
      </c>
      <c r="GR55" s="18">
        <v>7540</v>
      </c>
      <c r="GS55" s="18">
        <v>7000</v>
      </c>
      <c r="GT55" s="18">
        <v>6760</v>
      </c>
      <c r="GU55" s="18">
        <v>6960</v>
      </c>
      <c r="GV55" s="18">
        <v>6950</v>
      </c>
      <c r="GW55" s="18">
        <v>7380</v>
      </c>
      <c r="GX55" s="18">
        <v>8320</v>
      </c>
      <c r="GY55" s="18">
        <v>9610</v>
      </c>
      <c r="GZ55" s="18">
        <v>11700</v>
      </c>
      <c r="HA55" s="18">
        <v>13500</v>
      </c>
      <c r="HB55" s="18">
        <v>14300</v>
      </c>
      <c r="HC55" s="18">
        <v>13900</v>
      </c>
      <c r="HD55" s="18">
        <v>13200</v>
      </c>
      <c r="HE55" s="18">
        <v>11400</v>
      </c>
      <c r="HF55" s="18">
        <v>10200</v>
      </c>
      <c r="HG55" s="18">
        <v>11000</v>
      </c>
      <c r="HH55" s="18">
        <v>12800</v>
      </c>
      <c r="HI55" s="18">
        <v>13800</v>
      </c>
      <c r="HJ55" s="18">
        <v>13600</v>
      </c>
      <c r="HK55" s="18">
        <v>13000</v>
      </c>
      <c r="HL55" s="18">
        <v>11600</v>
      </c>
      <c r="HM55" s="18">
        <v>10200</v>
      </c>
      <c r="HN55" s="18">
        <v>9120</v>
      </c>
      <c r="HO55" s="18">
        <v>7790</v>
      </c>
      <c r="HP55" s="18">
        <v>8320</v>
      </c>
      <c r="HQ55" s="18">
        <v>10500</v>
      </c>
      <c r="HR55" s="18">
        <v>11100</v>
      </c>
      <c r="HS55" s="18">
        <v>12600</v>
      </c>
      <c r="HT55" s="18">
        <v>15300</v>
      </c>
      <c r="HU55" s="18">
        <v>17600</v>
      </c>
      <c r="HV55" s="18">
        <v>18300</v>
      </c>
      <c r="HW55" s="18">
        <v>18800</v>
      </c>
      <c r="HX55" s="18">
        <v>16900</v>
      </c>
      <c r="HY55" s="18">
        <v>16400</v>
      </c>
      <c r="HZ55" s="18">
        <v>14900</v>
      </c>
      <c r="IA55" s="18">
        <v>12600</v>
      </c>
      <c r="IB55" s="18">
        <v>10700</v>
      </c>
      <c r="IC55" s="18">
        <v>8990</v>
      </c>
      <c r="ID55" s="18">
        <v>8440</v>
      </c>
      <c r="IE55" s="18">
        <v>8260</v>
      </c>
      <c r="IF55" s="18">
        <v>8950</v>
      </c>
      <c r="IG55" s="18">
        <v>9250</v>
      </c>
      <c r="IH55" s="18">
        <v>8970</v>
      </c>
      <c r="II55" s="18">
        <v>8620</v>
      </c>
      <c r="IJ55" s="18">
        <v>8180</v>
      </c>
      <c r="IK55" s="18">
        <v>8110</v>
      </c>
      <c r="IL55" s="18">
        <v>7660</v>
      </c>
      <c r="IM55" s="18">
        <v>7090</v>
      </c>
      <c r="IN55" s="18">
        <v>6960</v>
      </c>
      <c r="IO55" s="18">
        <v>6780</v>
      </c>
      <c r="IP55" s="18">
        <v>6640</v>
      </c>
      <c r="IQ55" s="18">
        <v>6370</v>
      </c>
      <c r="IR55" s="18">
        <v>6110</v>
      </c>
      <c r="IS55" s="18">
        <v>5940</v>
      </c>
      <c r="IT55" s="18">
        <v>5850</v>
      </c>
      <c r="IU55" s="18">
        <v>5740</v>
      </c>
      <c r="IV55" s="18">
        <v>5760</v>
      </c>
      <c r="IW55" s="18">
        <v>5700</v>
      </c>
      <c r="IX55" s="18">
        <v>5660</v>
      </c>
      <c r="IY55" s="18">
        <v>5650</v>
      </c>
      <c r="IZ55" s="18">
        <v>5660</v>
      </c>
      <c r="JA55" s="18">
        <v>6100</v>
      </c>
      <c r="JB55" s="18">
        <v>6240</v>
      </c>
      <c r="JC55" s="18">
        <v>6020</v>
      </c>
      <c r="JD55" s="18">
        <v>5930</v>
      </c>
      <c r="JE55" s="18">
        <v>5910</v>
      </c>
      <c r="JF55" s="18">
        <v>5920</v>
      </c>
      <c r="JG55" s="18">
        <v>5890</v>
      </c>
      <c r="JH55" s="18">
        <v>6040</v>
      </c>
      <c r="JI55" s="18">
        <v>6010</v>
      </c>
      <c r="JJ55" s="18">
        <v>6100</v>
      </c>
      <c r="JK55" s="18">
        <v>6270</v>
      </c>
      <c r="JL55" s="18">
        <v>6560</v>
      </c>
      <c r="JM55" s="18">
        <v>6680</v>
      </c>
      <c r="JN55" s="18">
        <v>6470</v>
      </c>
      <c r="JO55" s="18">
        <v>6600</v>
      </c>
      <c r="JP55" s="18">
        <v>6900</v>
      </c>
      <c r="JQ55" s="18">
        <v>7270</v>
      </c>
      <c r="JR55" s="18">
        <v>6870</v>
      </c>
      <c r="JS55" s="18">
        <v>6830</v>
      </c>
      <c r="JT55" s="18">
        <v>7390</v>
      </c>
      <c r="JU55" s="18">
        <v>7190</v>
      </c>
      <c r="JV55" s="18">
        <v>6920</v>
      </c>
      <c r="JW55" s="18">
        <v>6440</v>
      </c>
      <c r="JX55" s="18">
        <v>6230</v>
      </c>
      <c r="JY55" s="18">
        <v>5980</v>
      </c>
      <c r="JZ55" s="18">
        <v>5750</v>
      </c>
      <c r="KA55" s="18">
        <v>5500</v>
      </c>
      <c r="KB55" s="18">
        <v>5350</v>
      </c>
      <c r="KC55" s="18">
        <v>5230</v>
      </c>
      <c r="KD55" s="18">
        <v>5110</v>
      </c>
      <c r="KE55" s="18">
        <v>5080</v>
      </c>
      <c r="KF55" s="18">
        <v>5140</v>
      </c>
      <c r="KG55" s="18">
        <v>4950</v>
      </c>
      <c r="KH55" s="18">
        <v>4820</v>
      </c>
      <c r="KI55" s="18">
        <v>4550</v>
      </c>
      <c r="KJ55" s="18">
        <v>4310</v>
      </c>
      <c r="KK55" s="18">
        <v>4250</v>
      </c>
      <c r="KL55" s="18">
        <v>4030</v>
      </c>
      <c r="KM55" s="18">
        <v>3910</v>
      </c>
      <c r="KN55" s="18">
        <v>3800</v>
      </c>
      <c r="KO55" s="18">
        <v>3740</v>
      </c>
      <c r="KP55" s="18">
        <v>3620</v>
      </c>
      <c r="KQ55" s="18">
        <v>3580</v>
      </c>
      <c r="KR55" s="18">
        <v>3690</v>
      </c>
      <c r="KS55" s="18">
        <v>3600</v>
      </c>
      <c r="KT55" s="18">
        <v>3520</v>
      </c>
      <c r="KU55" s="18">
        <v>3340</v>
      </c>
      <c r="KV55" s="18">
        <v>3140</v>
      </c>
      <c r="KW55" s="18">
        <v>3000</v>
      </c>
      <c r="KX55" s="18">
        <v>2880</v>
      </c>
      <c r="KY55" s="18">
        <v>2850</v>
      </c>
      <c r="KZ55" s="18">
        <v>3080</v>
      </c>
      <c r="LA55" s="18">
        <v>3150</v>
      </c>
      <c r="LB55" s="18">
        <v>3180</v>
      </c>
      <c r="LC55" s="18">
        <v>3230</v>
      </c>
      <c r="LD55" s="18">
        <v>3230</v>
      </c>
      <c r="LE55" s="18">
        <v>3080</v>
      </c>
      <c r="LF55" s="18">
        <v>3130</v>
      </c>
      <c r="LG55" s="18">
        <v>3010</v>
      </c>
      <c r="LH55" s="18">
        <v>2790</v>
      </c>
      <c r="LI55" s="18">
        <v>2770</v>
      </c>
      <c r="LJ55" s="18">
        <v>2590</v>
      </c>
      <c r="LK55" s="18">
        <v>2570</v>
      </c>
      <c r="LL55" s="18">
        <v>2570</v>
      </c>
      <c r="LM55" s="18">
        <v>2480</v>
      </c>
      <c r="LN55" s="18">
        <v>2610</v>
      </c>
      <c r="LO55" s="18">
        <v>2850</v>
      </c>
      <c r="LP55" s="18">
        <v>2700</v>
      </c>
      <c r="LQ55" s="18">
        <v>2800</v>
      </c>
      <c r="LR55" s="18">
        <v>2830</v>
      </c>
      <c r="LS55" s="18">
        <v>2810</v>
      </c>
      <c r="LT55" s="18">
        <v>2750</v>
      </c>
      <c r="LU55" s="18">
        <v>2850</v>
      </c>
      <c r="LV55" s="18">
        <v>2570</v>
      </c>
      <c r="LW55" s="18">
        <v>2110</v>
      </c>
      <c r="LX55" s="18">
        <v>2060</v>
      </c>
      <c r="LY55" s="18">
        <v>2020</v>
      </c>
      <c r="LZ55" s="18">
        <v>1900</v>
      </c>
      <c r="MA55" s="18">
        <v>1840</v>
      </c>
      <c r="MB55" s="18">
        <v>1840</v>
      </c>
      <c r="MC55" s="18">
        <v>1860</v>
      </c>
      <c r="MD55" s="18">
        <v>1860</v>
      </c>
      <c r="ME55" s="18">
        <v>1850</v>
      </c>
      <c r="MF55" s="18">
        <v>1730</v>
      </c>
      <c r="MG55" s="18">
        <v>1700</v>
      </c>
      <c r="MH55" s="18">
        <v>1680</v>
      </c>
      <c r="MI55" s="18">
        <v>1650</v>
      </c>
      <c r="MJ55" s="18">
        <v>1640</v>
      </c>
      <c r="MK55" s="18">
        <v>1560</v>
      </c>
      <c r="ML55" s="18">
        <v>1650</v>
      </c>
      <c r="MM55" s="18">
        <v>1710</v>
      </c>
      <c r="MN55" s="18">
        <v>1690</v>
      </c>
      <c r="MO55" s="18">
        <v>1670</v>
      </c>
      <c r="MP55" s="18">
        <v>1650</v>
      </c>
      <c r="MQ55" s="18">
        <v>1530</v>
      </c>
      <c r="MR55" s="18">
        <v>1530</v>
      </c>
      <c r="MS55" s="18">
        <v>1520</v>
      </c>
      <c r="MT55" s="18">
        <v>1530</v>
      </c>
      <c r="MU55" s="18">
        <v>1540</v>
      </c>
      <c r="MV55" s="18">
        <v>1500</v>
      </c>
      <c r="MW55" s="18">
        <v>1540</v>
      </c>
      <c r="MX55" s="18">
        <v>1570</v>
      </c>
      <c r="MY55" s="18">
        <v>1530</v>
      </c>
      <c r="MZ55" s="18">
        <v>1530</v>
      </c>
      <c r="NA55" s="18">
        <v>1540</v>
      </c>
      <c r="NB55" s="18">
        <v>1570</v>
      </c>
      <c r="NC55" s="18">
        <v>1390</v>
      </c>
      <c r="ND55" s="1">
        <v>1980</v>
      </c>
      <c r="NE55" s="1">
        <v>1550</v>
      </c>
      <c r="NF55" s="1">
        <v>1540</v>
      </c>
      <c r="NG55" s="1">
        <v>1660</v>
      </c>
      <c r="NH55" s="1">
        <v>2210</v>
      </c>
      <c r="NI55" s="1">
        <v>4340</v>
      </c>
      <c r="NJ55" s="1">
        <v>9910</v>
      </c>
      <c r="NK55" s="1">
        <v>11800</v>
      </c>
      <c r="NL55" s="1">
        <v>6210</v>
      </c>
      <c r="NM55" s="1">
        <v>5210</v>
      </c>
      <c r="NN55" s="1">
        <v>2830</v>
      </c>
      <c r="NO55" s="1">
        <v>1660</v>
      </c>
      <c r="NP55" s="1">
        <v>4267.5616438356165</v>
      </c>
      <c r="NQ55" s="1">
        <v>18800</v>
      </c>
      <c r="NR55" s="19">
        <v>42599</v>
      </c>
      <c r="NS55" s="1">
        <v>1280</v>
      </c>
      <c r="NT55" s="19">
        <v>42431</v>
      </c>
    </row>
    <row r="56" spans="1:384" x14ac:dyDescent="0.15">
      <c r="A56" s="1">
        <v>2003</v>
      </c>
      <c r="B56" s="18">
        <v>1260</v>
      </c>
      <c r="C56" s="18">
        <v>1510</v>
      </c>
      <c r="D56" s="18">
        <v>1720</v>
      </c>
      <c r="E56" s="18">
        <v>1720</v>
      </c>
      <c r="F56" s="18">
        <v>1750</v>
      </c>
      <c r="G56" s="18">
        <v>1840</v>
      </c>
      <c r="H56" s="18">
        <v>1900</v>
      </c>
      <c r="I56" s="18">
        <v>1930</v>
      </c>
      <c r="J56" s="18">
        <v>1760</v>
      </c>
      <c r="K56" s="18">
        <v>1770</v>
      </c>
      <c r="L56" s="18">
        <v>1760</v>
      </c>
      <c r="M56" s="18">
        <v>1900</v>
      </c>
      <c r="N56" s="18">
        <v>1880</v>
      </c>
      <c r="O56" s="18">
        <v>1850</v>
      </c>
      <c r="P56" s="18">
        <v>1830</v>
      </c>
      <c r="Q56" s="18">
        <v>1820</v>
      </c>
      <c r="R56" s="18">
        <v>1800</v>
      </c>
      <c r="S56" s="18">
        <v>1790</v>
      </c>
      <c r="T56" s="18">
        <v>1780</v>
      </c>
      <c r="U56" s="18">
        <v>1720</v>
      </c>
      <c r="V56" s="18">
        <v>1720</v>
      </c>
      <c r="W56" s="18">
        <v>1620</v>
      </c>
      <c r="X56" s="18">
        <v>1590</v>
      </c>
      <c r="Y56" s="18">
        <v>1510</v>
      </c>
      <c r="Z56" s="18">
        <v>1490</v>
      </c>
      <c r="AA56" s="18">
        <v>1440</v>
      </c>
      <c r="AB56" s="18">
        <v>1290</v>
      </c>
      <c r="AC56" s="18">
        <v>1330</v>
      </c>
      <c r="AD56" s="18">
        <v>1340</v>
      </c>
      <c r="AE56" s="18">
        <v>1320</v>
      </c>
      <c r="AF56" s="18">
        <v>1300</v>
      </c>
      <c r="AG56" s="18">
        <v>1220</v>
      </c>
      <c r="AH56" s="18">
        <v>1200</v>
      </c>
      <c r="AI56" s="18">
        <v>1210</v>
      </c>
      <c r="AJ56" s="18">
        <v>1140</v>
      </c>
      <c r="AK56" s="18">
        <v>1120</v>
      </c>
      <c r="AL56" s="18">
        <v>1180</v>
      </c>
      <c r="AM56" s="18">
        <v>1160</v>
      </c>
      <c r="AN56" s="18">
        <v>1200</v>
      </c>
      <c r="AO56" s="18">
        <v>1230</v>
      </c>
      <c r="AP56" s="18">
        <v>1330</v>
      </c>
      <c r="AQ56" s="18">
        <v>1420</v>
      </c>
      <c r="AR56" s="18">
        <v>1590</v>
      </c>
      <c r="AS56" s="18">
        <v>1640</v>
      </c>
      <c r="AT56" s="18">
        <v>1650</v>
      </c>
      <c r="AU56" s="18">
        <v>1610</v>
      </c>
      <c r="AV56" s="18">
        <v>1600</v>
      </c>
      <c r="AW56" s="18">
        <v>1500</v>
      </c>
      <c r="AX56" s="18">
        <v>1600</v>
      </c>
      <c r="AY56" s="18">
        <v>1630</v>
      </c>
      <c r="AZ56" s="18">
        <v>1510</v>
      </c>
      <c r="BA56" s="18">
        <v>1280</v>
      </c>
      <c r="BB56" s="18">
        <v>1310</v>
      </c>
      <c r="BC56" s="18">
        <v>1320</v>
      </c>
      <c r="BD56" s="18">
        <v>1340</v>
      </c>
      <c r="BE56" s="18">
        <v>1240</v>
      </c>
      <c r="BF56" s="18">
        <v>1290</v>
      </c>
      <c r="BG56" s="18">
        <v>1380</v>
      </c>
      <c r="BH56" s="18">
        <v>1350</v>
      </c>
      <c r="BI56" s="18"/>
      <c r="BJ56" s="18">
        <v>1350</v>
      </c>
      <c r="BK56" s="18">
        <v>1420</v>
      </c>
      <c r="BL56" s="18">
        <v>1430</v>
      </c>
      <c r="BM56" s="18">
        <v>1370</v>
      </c>
      <c r="BN56" s="18">
        <v>1420</v>
      </c>
      <c r="BO56" s="18">
        <v>1430</v>
      </c>
      <c r="BP56" s="18">
        <v>1450</v>
      </c>
      <c r="BQ56" s="18">
        <v>1340</v>
      </c>
      <c r="BR56" s="18">
        <v>1380</v>
      </c>
      <c r="BS56" s="18">
        <v>1320</v>
      </c>
      <c r="BT56" s="18">
        <v>1340</v>
      </c>
      <c r="BU56" s="18">
        <v>1430</v>
      </c>
      <c r="BV56" s="18">
        <v>1410</v>
      </c>
      <c r="BW56" s="18">
        <v>1440</v>
      </c>
      <c r="BX56" s="18">
        <v>1470</v>
      </c>
      <c r="BY56" s="18">
        <v>1460</v>
      </c>
      <c r="BZ56" s="18">
        <v>1430</v>
      </c>
      <c r="CA56" s="18">
        <v>1490</v>
      </c>
      <c r="CB56" s="18">
        <v>1400</v>
      </c>
      <c r="CC56" s="18">
        <v>1460</v>
      </c>
      <c r="CD56" s="18">
        <v>1490</v>
      </c>
      <c r="CE56" s="18">
        <v>1380</v>
      </c>
      <c r="CF56" s="18">
        <v>1310</v>
      </c>
      <c r="CG56" s="18">
        <v>1320</v>
      </c>
      <c r="CH56" s="18">
        <v>1290</v>
      </c>
      <c r="CI56" s="18">
        <v>1300</v>
      </c>
      <c r="CJ56" s="18">
        <v>1340</v>
      </c>
      <c r="CK56" s="18">
        <v>1360</v>
      </c>
      <c r="CL56" s="18">
        <v>1350</v>
      </c>
      <c r="CM56" s="18">
        <v>1330</v>
      </c>
      <c r="CN56" s="18">
        <v>1330</v>
      </c>
      <c r="CO56" s="18">
        <v>1340</v>
      </c>
      <c r="CP56" s="18">
        <v>1290</v>
      </c>
      <c r="CQ56" s="18">
        <v>1300</v>
      </c>
      <c r="CR56" s="18">
        <v>1340</v>
      </c>
      <c r="CS56" s="18">
        <v>1300</v>
      </c>
      <c r="CT56" s="18">
        <v>1270</v>
      </c>
      <c r="CU56" s="18">
        <v>1300</v>
      </c>
      <c r="CV56" s="18">
        <v>1250</v>
      </c>
      <c r="CW56" s="18">
        <v>1340</v>
      </c>
      <c r="CX56" s="18">
        <v>1400</v>
      </c>
      <c r="CY56" s="18">
        <v>1490</v>
      </c>
      <c r="CZ56" s="18">
        <v>1460</v>
      </c>
      <c r="DA56" s="18">
        <v>1460</v>
      </c>
      <c r="DB56" s="18">
        <v>1430</v>
      </c>
      <c r="DC56" s="18">
        <v>1290</v>
      </c>
      <c r="DD56" s="18">
        <v>1280</v>
      </c>
      <c r="DE56" s="18">
        <v>1210</v>
      </c>
      <c r="DF56" s="18">
        <v>1260</v>
      </c>
      <c r="DG56" s="18">
        <v>1200</v>
      </c>
      <c r="DH56" s="18">
        <v>1080</v>
      </c>
      <c r="DI56" s="18">
        <v>1120</v>
      </c>
      <c r="DJ56" s="18">
        <v>1140</v>
      </c>
      <c r="DK56" s="18">
        <v>1150</v>
      </c>
      <c r="DL56" s="18">
        <v>1140</v>
      </c>
      <c r="DM56" s="18">
        <v>1120</v>
      </c>
      <c r="DN56" s="18">
        <v>1140</v>
      </c>
      <c r="DO56" s="18">
        <v>1440</v>
      </c>
      <c r="DP56" s="18">
        <v>1440</v>
      </c>
      <c r="DQ56" s="18">
        <v>1470</v>
      </c>
      <c r="DR56" s="18">
        <v>1410</v>
      </c>
      <c r="DS56" s="18">
        <v>1270</v>
      </c>
      <c r="DT56" s="18">
        <v>1280</v>
      </c>
      <c r="DU56" s="18">
        <v>1350</v>
      </c>
      <c r="DV56" s="18">
        <v>1450</v>
      </c>
      <c r="DW56" s="18">
        <v>1350</v>
      </c>
      <c r="DX56" s="18">
        <v>1300</v>
      </c>
      <c r="DY56" s="18">
        <v>1250</v>
      </c>
      <c r="DZ56" s="18">
        <v>1300</v>
      </c>
      <c r="EA56" s="18">
        <v>1320</v>
      </c>
      <c r="EB56" s="18">
        <v>1390</v>
      </c>
      <c r="EC56" s="18">
        <v>1340</v>
      </c>
      <c r="ED56" s="18">
        <v>1330</v>
      </c>
      <c r="EE56" s="18">
        <v>1310</v>
      </c>
      <c r="EF56" s="18">
        <v>1260</v>
      </c>
      <c r="EG56" s="18">
        <v>1200</v>
      </c>
      <c r="EH56" s="18">
        <v>1190</v>
      </c>
      <c r="EI56" s="18">
        <v>1120</v>
      </c>
      <c r="EJ56" s="18">
        <v>1100</v>
      </c>
      <c r="EK56" s="18">
        <v>1140</v>
      </c>
      <c r="EL56" s="18">
        <v>1180</v>
      </c>
      <c r="EM56" s="18">
        <v>1540</v>
      </c>
      <c r="EN56" s="18">
        <v>1810</v>
      </c>
      <c r="EO56" s="18">
        <v>2090</v>
      </c>
      <c r="EP56" s="18">
        <v>1900</v>
      </c>
      <c r="EQ56" s="18">
        <v>1930</v>
      </c>
      <c r="ER56" s="18">
        <v>1740</v>
      </c>
      <c r="ES56" s="18">
        <v>1720</v>
      </c>
      <c r="ET56" s="18">
        <v>1900</v>
      </c>
      <c r="EU56" s="18">
        <v>1840</v>
      </c>
      <c r="EV56" s="18">
        <v>1730</v>
      </c>
      <c r="EW56" s="18">
        <v>2090</v>
      </c>
      <c r="EX56" s="18">
        <v>2040</v>
      </c>
      <c r="EY56" s="18">
        <v>2260</v>
      </c>
      <c r="EZ56" s="18">
        <v>2620</v>
      </c>
      <c r="FA56" s="18">
        <v>2830</v>
      </c>
      <c r="FB56" s="18">
        <v>2730</v>
      </c>
      <c r="FC56" s="18">
        <v>3250</v>
      </c>
      <c r="FD56" s="18">
        <v>3810</v>
      </c>
      <c r="FE56" s="18">
        <v>3600</v>
      </c>
      <c r="FF56" s="18">
        <v>3850</v>
      </c>
      <c r="FG56" s="18">
        <v>4190</v>
      </c>
      <c r="FH56" s="18">
        <v>4740</v>
      </c>
      <c r="FI56" s="18">
        <v>5000</v>
      </c>
      <c r="FJ56" s="18">
        <v>4960</v>
      </c>
      <c r="FK56" s="18">
        <v>5170</v>
      </c>
      <c r="FL56" s="18">
        <v>5180</v>
      </c>
      <c r="FM56" s="18">
        <v>4870</v>
      </c>
      <c r="FN56" s="18">
        <v>5270</v>
      </c>
      <c r="FO56" s="18">
        <v>6070</v>
      </c>
      <c r="FP56" s="18">
        <v>6410</v>
      </c>
      <c r="FQ56" s="18">
        <v>6780</v>
      </c>
      <c r="FR56" s="18">
        <v>6740</v>
      </c>
      <c r="FS56" s="18">
        <v>6650</v>
      </c>
      <c r="FT56" s="18">
        <v>6310</v>
      </c>
      <c r="FU56" s="18">
        <v>6490</v>
      </c>
      <c r="FV56" s="18">
        <v>6690</v>
      </c>
      <c r="FW56" s="18">
        <v>7960</v>
      </c>
      <c r="FX56" s="18">
        <v>7970</v>
      </c>
      <c r="FY56" s="18">
        <v>8320</v>
      </c>
      <c r="FZ56" s="18">
        <v>7800</v>
      </c>
      <c r="GA56" s="18">
        <v>7500</v>
      </c>
      <c r="GB56" s="18">
        <v>7760</v>
      </c>
      <c r="GC56" s="18">
        <v>7930</v>
      </c>
      <c r="GD56" s="18">
        <v>7820</v>
      </c>
      <c r="GE56" s="18">
        <v>8490</v>
      </c>
      <c r="GF56" s="18">
        <v>8920</v>
      </c>
      <c r="GG56" s="18">
        <v>9880</v>
      </c>
      <c r="GH56" s="18">
        <v>11700</v>
      </c>
      <c r="GI56" s="18">
        <v>11900</v>
      </c>
      <c r="GJ56" s="18">
        <v>11200</v>
      </c>
      <c r="GK56" s="18">
        <v>10900</v>
      </c>
      <c r="GL56" s="18">
        <v>10700</v>
      </c>
      <c r="GM56" s="18">
        <v>10700</v>
      </c>
      <c r="GN56" s="18">
        <v>10500</v>
      </c>
      <c r="GO56" s="18">
        <v>9420</v>
      </c>
      <c r="GP56" s="18">
        <v>8350</v>
      </c>
      <c r="GQ56" s="18">
        <v>8000</v>
      </c>
      <c r="GR56" s="18">
        <v>7720</v>
      </c>
      <c r="GS56" s="18">
        <v>6700</v>
      </c>
      <c r="GT56" s="18">
        <v>5760</v>
      </c>
      <c r="GU56" s="18">
        <v>5740</v>
      </c>
      <c r="GV56" s="18">
        <v>6740</v>
      </c>
      <c r="GW56" s="18">
        <v>7900</v>
      </c>
      <c r="GX56" s="18">
        <v>7990</v>
      </c>
      <c r="GY56" s="18">
        <v>7970</v>
      </c>
      <c r="GZ56" s="18">
        <v>7840</v>
      </c>
      <c r="HA56" s="18">
        <v>7920</v>
      </c>
      <c r="HB56" s="18">
        <v>8120</v>
      </c>
      <c r="HC56" s="18">
        <v>8100</v>
      </c>
      <c r="HD56" s="18">
        <v>7690</v>
      </c>
      <c r="HE56" s="18">
        <v>6880</v>
      </c>
      <c r="HF56" s="18">
        <v>8320</v>
      </c>
      <c r="HG56" s="18">
        <v>8160</v>
      </c>
      <c r="HH56" s="18">
        <v>7880</v>
      </c>
      <c r="HI56" s="18">
        <v>6600</v>
      </c>
      <c r="HJ56" s="18">
        <v>5350</v>
      </c>
      <c r="HK56" s="18">
        <v>5980</v>
      </c>
      <c r="HL56" s="18">
        <v>5890</v>
      </c>
      <c r="HM56" s="18">
        <v>5090</v>
      </c>
      <c r="HN56" s="18">
        <v>5190</v>
      </c>
      <c r="HO56" s="18">
        <v>5410</v>
      </c>
      <c r="HP56" s="18">
        <v>5800</v>
      </c>
      <c r="HQ56" s="18">
        <v>5780</v>
      </c>
      <c r="HR56" s="18">
        <v>6630</v>
      </c>
      <c r="HS56" s="18">
        <v>7080</v>
      </c>
      <c r="HT56" s="18">
        <v>5440</v>
      </c>
      <c r="HU56" s="18">
        <v>6810</v>
      </c>
      <c r="HV56" s="18">
        <v>7830</v>
      </c>
      <c r="HW56" s="18">
        <v>8680</v>
      </c>
      <c r="HX56" s="18">
        <v>8900</v>
      </c>
      <c r="HY56" s="18">
        <v>9200</v>
      </c>
      <c r="HZ56" s="18">
        <v>11000</v>
      </c>
      <c r="IA56" s="18">
        <v>12100</v>
      </c>
      <c r="IB56" s="18">
        <v>11800</v>
      </c>
      <c r="IC56" s="18">
        <v>11000</v>
      </c>
      <c r="ID56" s="18">
        <v>10600</v>
      </c>
      <c r="IE56" s="18">
        <v>10500</v>
      </c>
      <c r="IF56" s="18">
        <v>9410</v>
      </c>
      <c r="IG56" s="18">
        <v>7320</v>
      </c>
      <c r="IH56" s="18">
        <v>6890</v>
      </c>
      <c r="II56" s="18">
        <v>6680</v>
      </c>
      <c r="IJ56" s="18">
        <v>6480</v>
      </c>
      <c r="IK56" s="18">
        <v>7690</v>
      </c>
      <c r="IL56" s="18">
        <v>9840</v>
      </c>
      <c r="IM56" s="18">
        <v>10600</v>
      </c>
      <c r="IN56" s="18">
        <v>11300</v>
      </c>
      <c r="IO56" s="18">
        <v>12400</v>
      </c>
      <c r="IP56" s="18">
        <v>12500</v>
      </c>
      <c r="IQ56" s="18">
        <v>12800</v>
      </c>
      <c r="IR56" s="18">
        <v>13100</v>
      </c>
      <c r="IS56" s="18">
        <v>13200</v>
      </c>
      <c r="IT56" s="18">
        <v>13300</v>
      </c>
      <c r="IU56" s="18">
        <v>13900</v>
      </c>
      <c r="IV56" s="18">
        <v>14600</v>
      </c>
      <c r="IW56" s="18">
        <v>15000</v>
      </c>
      <c r="IX56" s="18">
        <v>14100</v>
      </c>
      <c r="IY56" s="18">
        <v>13300</v>
      </c>
      <c r="IZ56" s="18">
        <v>13900</v>
      </c>
      <c r="JA56" s="18">
        <v>13900</v>
      </c>
      <c r="JB56" s="18">
        <v>14100</v>
      </c>
      <c r="JC56" s="18">
        <v>13900</v>
      </c>
      <c r="JD56" s="18">
        <v>13500</v>
      </c>
      <c r="JE56" s="18">
        <v>12700</v>
      </c>
      <c r="JF56" s="18">
        <v>11800</v>
      </c>
      <c r="JG56" s="18">
        <v>11700</v>
      </c>
      <c r="JH56" s="18">
        <v>12700</v>
      </c>
      <c r="JI56" s="18">
        <v>13200</v>
      </c>
      <c r="JJ56" s="18">
        <v>12500</v>
      </c>
      <c r="JK56" s="18">
        <v>10900</v>
      </c>
      <c r="JL56" s="18">
        <v>9410</v>
      </c>
      <c r="JM56" s="18">
        <v>8820</v>
      </c>
      <c r="JN56" s="18">
        <v>8420</v>
      </c>
      <c r="JO56" s="18">
        <v>8280</v>
      </c>
      <c r="JP56" s="18">
        <v>8120</v>
      </c>
      <c r="JQ56" s="18">
        <v>7760</v>
      </c>
      <c r="JR56" s="18">
        <v>7600</v>
      </c>
      <c r="JS56" s="18">
        <v>7450</v>
      </c>
      <c r="JT56" s="18">
        <v>7360</v>
      </c>
      <c r="JU56" s="18">
        <v>7270</v>
      </c>
      <c r="JV56" s="18">
        <v>7250</v>
      </c>
      <c r="JW56" s="18">
        <v>7260</v>
      </c>
      <c r="JX56" s="18">
        <v>6460</v>
      </c>
      <c r="JY56" s="18">
        <v>5490</v>
      </c>
      <c r="JZ56" s="18">
        <v>5380</v>
      </c>
      <c r="KA56" s="18">
        <v>5500</v>
      </c>
      <c r="KB56" s="18">
        <v>5170</v>
      </c>
      <c r="KC56" s="18">
        <v>5230</v>
      </c>
      <c r="KD56" s="18">
        <v>5120</v>
      </c>
      <c r="KE56" s="18">
        <v>4990</v>
      </c>
      <c r="KF56" s="18">
        <v>4780</v>
      </c>
      <c r="KG56" s="18">
        <v>4680</v>
      </c>
      <c r="KH56" s="18">
        <v>4530</v>
      </c>
      <c r="KI56" s="18">
        <v>4330</v>
      </c>
      <c r="KJ56" s="18">
        <v>4320</v>
      </c>
      <c r="KK56" s="18">
        <v>4220</v>
      </c>
      <c r="KL56" s="18">
        <v>4200</v>
      </c>
      <c r="KM56" s="18">
        <v>4110</v>
      </c>
      <c r="KN56" s="18">
        <v>3960</v>
      </c>
      <c r="KO56" s="18">
        <v>3920</v>
      </c>
      <c r="KP56" s="18">
        <v>3910</v>
      </c>
      <c r="KQ56" s="18">
        <v>3910</v>
      </c>
      <c r="KR56" s="18">
        <v>3950</v>
      </c>
      <c r="KS56" s="18">
        <v>3960</v>
      </c>
      <c r="KT56" s="18">
        <v>4000</v>
      </c>
      <c r="KU56" s="18">
        <v>3970</v>
      </c>
      <c r="KV56" s="18">
        <v>3880</v>
      </c>
      <c r="KW56" s="18">
        <v>3800</v>
      </c>
      <c r="KX56" s="18">
        <v>3720</v>
      </c>
      <c r="KY56" s="18">
        <v>3600</v>
      </c>
      <c r="KZ56" s="18">
        <v>3470</v>
      </c>
      <c r="LA56" s="18">
        <v>3260</v>
      </c>
      <c r="LB56" s="18">
        <v>3160</v>
      </c>
      <c r="LC56" s="18">
        <v>3040</v>
      </c>
      <c r="LD56" s="18">
        <v>3030</v>
      </c>
      <c r="LE56" s="18">
        <v>3040</v>
      </c>
      <c r="LF56" s="18">
        <v>2970</v>
      </c>
      <c r="LG56" s="18">
        <v>2950</v>
      </c>
      <c r="LH56" s="18">
        <v>2970</v>
      </c>
      <c r="LI56" s="18">
        <v>3010</v>
      </c>
      <c r="LJ56" s="18">
        <v>2860</v>
      </c>
      <c r="LK56" s="18">
        <v>2750</v>
      </c>
      <c r="LL56" s="18">
        <v>2700</v>
      </c>
      <c r="LM56" s="18">
        <v>2600</v>
      </c>
      <c r="LN56" s="18">
        <v>2570</v>
      </c>
      <c r="LO56" s="18">
        <v>2460</v>
      </c>
      <c r="LP56" s="18">
        <v>2350</v>
      </c>
      <c r="LQ56" s="18">
        <v>2220</v>
      </c>
      <c r="LR56" s="18">
        <v>2300</v>
      </c>
      <c r="LS56" s="18">
        <v>2320</v>
      </c>
      <c r="LT56" s="18">
        <v>2270</v>
      </c>
      <c r="LU56" s="18">
        <v>2260</v>
      </c>
      <c r="LV56" s="18">
        <v>2430</v>
      </c>
      <c r="LW56" s="18">
        <v>2220</v>
      </c>
      <c r="LX56" s="18">
        <v>2270</v>
      </c>
      <c r="LY56" s="18">
        <v>2250</v>
      </c>
      <c r="LZ56" s="18">
        <v>2080</v>
      </c>
      <c r="MA56" s="18">
        <v>2190</v>
      </c>
      <c r="MB56" s="18">
        <v>2200</v>
      </c>
      <c r="MC56" s="18">
        <v>2000</v>
      </c>
      <c r="MD56" s="18">
        <v>2040</v>
      </c>
      <c r="ME56" s="18">
        <v>2020</v>
      </c>
      <c r="MF56" s="18">
        <v>2090</v>
      </c>
      <c r="MG56" s="18">
        <v>2000</v>
      </c>
      <c r="MH56" s="18">
        <v>2010</v>
      </c>
      <c r="MI56" s="18">
        <v>2000</v>
      </c>
      <c r="MJ56" s="18">
        <v>1940</v>
      </c>
      <c r="MK56" s="18">
        <v>1950</v>
      </c>
      <c r="ML56" s="18">
        <v>1940</v>
      </c>
      <c r="MM56" s="18">
        <v>1930</v>
      </c>
      <c r="MN56" s="18">
        <v>1890</v>
      </c>
      <c r="MO56" s="18">
        <v>1910</v>
      </c>
      <c r="MP56" s="18">
        <v>1920</v>
      </c>
      <c r="MQ56" s="18">
        <v>1850</v>
      </c>
      <c r="MR56" s="18">
        <v>1770</v>
      </c>
      <c r="MS56" s="18">
        <v>1730</v>
      </c>
      <c r="MT56" s="18">
        <v>1630</v>
      </c>
      <c r="MU56" s="18">
        <v>1690</v>
      </c>
      <c r="MV56" s="18">
        <v>1650</v>
      </c>
      <c r="MW56" s="18">
        <v>1550</v>
      </c>
      <c r="MX56" s="18">
        <v>1580</v>
      </c>
      <c r="MY56" s="18">
        <v>1620</v>
      </c>
      <c r="MZ56" s="18">
        <v>1640</v>
      </c>
      <c r="NA56" s="18">
        <v>1430</v>
      </c>
      <c r="NB56" s="18">
        <v>1540</v>
      </c>
      <c r="NC56" s="18">
        <v>1590</v>
      </c>
      <c r="ND56" s="1">
        <v>1650</v>
      </c>
      <c r="NE56" s="1">
        <v>1370</v>
      </c>
      <c r="NF56" s="1">
        <v>1390</v>
      </c>
      <c r="NG56" s="1">
        <v>1300</v>
      </c>
      <c r="NH56" s="1">
        <v>1470</v>
      </c>
      <c r="NI56" s="1">
        <v>5270</v>
      </c>
      <c r="NJ56" s="1">
        <v>8570</v>
      </c>
      <c r="NK56" s="1">
        <v>7720</v>
      </c>
      <c r="NL56" s="1">
        <v>12300</v>
      </c>
      <c r="NM56" s="1">
        <v>5360</v>
      </c>
      <c r="NN56" s="1">
        <v>2880</v>
      </c>
      <c r="NO56" s="1">
        <v>1860</v>
      </c>
      <c r="NP56" s="1">
        <v>4273.5342465753429</v>
      </c>
      <c r="NQ56" s="1">
        <v>15000</v>
      </c>
      <c r="NR56" s="19">
        <v>42625</v>
      </c>
      <c r="NS56" s="1">
        <v>1080</v>
      </c>
      <c r="NT56" s="19">
        <v>42480</v>
      </c>
    </row>
    <row r="57" spans="1:384" x14ac:dyDescent="0.15">
      <c r="A57" s="1">
        <v>2004</v>
      </c>
      <c r="B57" s="18">
        <v>1610</v>
      </c>
      <c r="C57" s="18">
        <v>1750</v>
      </c>
      <c r="D57" s="18">
        <v>1740</v>
      </c>
      <c r="E57" s="18">
        <v>1790</v>
      </c>
      <c r="F57" s="18">
        <v>1810</v>
      </c>
      <c r="G57" s="18">
        <v>1730</v>
      </c>
      <c r="H57" s="18">
        <v>1700</v>
      </c>
      <c r="I57" s="18">
        <v>1600</v>
      </c>
      <c r="J57" s="18">
        <v>1610</v>
      </c>
      <c r="K57" s="18">
        <v>1680</v>
      </c>
      <c r="L57" s="18">
        <v>1670</v>
      </c>
      <c r="M57" s="18">
        <v>1640</v>
      </c>
      <c r="N57" s="18">
        <v>1550</v>
      </c>
      <c r="O57" s="18">
        <v>1580</v>
      </c>
      <c r="P57" s="18">
        <v>1550</v>
      </c>
      <c r="Q57" s="18">
        <v>1520</v>
      </c>
      <c r="R57" s="18">
        <v>1520</v>
      </c>
      <c r="S57" s="18">
        <v>1460</v>
      </c>
      <c r="T57" s="18">
        <v>1420</v>
      </c>
      <c r="U57" s="18">
        <v>1380</v>
      </c>
      <c r="V57" s="18">
        <v>1380</v>
      </c>
      <c r="W57" s="18">
        <v>1260</v>
      </c>
      <c r="X57" s="18">
        <v>1200</v>
      </c>
      <c r="Y57" s="18">
        <v>1120</v>
      </c>
      <c r="Z57" s="18">
        <v>1130</v>
      </c>
      <c r="AA57" s="18">
        <v>1270</v>
      </c>
      <c r="AB57" s="18">
        <v>1320</v>
      </c>
      <c r="AC57" s="18">
        <v>1400</v>
      </c>
      <c r="AD57" s="18">
        <v>1490</v>
      </c>
      <c r="AE57" s="18">
        <v>1480</v>
      </c>
      <c r="AF57" s="18">
        <v>1480</v>
      </c>
      <c r="AG57" s="18">
        <v>1440</v>
      </c>
      <c r="AH57" s="18">
        <v>1460</v>
      </c>
      <c r="AI57" s="18">
        <v>1490</v>
      </c>
      <c r="AJ57" s="18">
        <v>1530</v>
      </c>
      <c r="AK57" s="18">
        <v>1530</v>
      </c>
      <c r="AL57" s="18">
        <v>1530</v>
      </c>
      <c r="AM57" s="18">
        <v>1550</v>
      </c>
      <c r="AN57" s="18">
        <v>1560</v>
      </c>
      <c r="AO57" s="18">
        <v>1570</v>
      </c>
      <c r="AP57" s="18">
        <v>1610</v>
      </c>
      <c r="AQ57" s="18">
        <v>1600</v>
      </c>
      <c r="AR57" s="18">
        <v>1500</v>
      </c>
      <c r="AS57" s="18">
        <v>1460</v>
      </c>
      <c r="AT57" s="18">
        <v>1520</v>
      </c>
      <c r="AU57" s="18">
        <v>1520</v>
      </c>
      <c r="AV57" s="18">
        <v>1510</v>
      </c>
      <c r="AW57" s="18">
        <v>1500</v>
      </c>
      <c r="AX57" s="18">
        <v>1530</v>
      </c>
      <c r="AY57" s="18">
        <v>1440</v>
      </c>
      <c r="AZ57" s="18">
        <v>1400</v>
      </c>
      <c r="BA57" s="18">
        <v>1430</v>
      </c>
      <c r="BB57" s="18">
        <v>1410</v>
      </c>
      <c r="BC57" s="18">
        <v>1410</v>
      </c>
      <c r="BD57" s="18">
        <v>1330</v>
      </c>
      <c r="BE57" s="18">
        <v>1450</v>
      </c>
      <c r="BF57" s="18">
        <v>1480</v>
      </c>
      <c r="BG57" s="18">
        <v>1460</v>
      </c>
      <c r="BH57" s="18">
        <v>1420</v>
      </c>
      <c r="BI57" s="18">
        <v>1440</v>
      </c>
      <c r="BJ57" s="18">
        <v>1450</v>
      </c>
      <c r="BK57" s="18">
        <v>1420</v>
      </c>
      <c r="BL57" s="18">
        <v>1440</v>
      </c>
      <c r="BM57" s="18">
        <v>1440</v>
      </c>
      <c r="BN57" s="18">
        <v>1450</v>
      </c>
      <c r="BO57" s="18">
        <v>1450</v>
      </c>
      <c r="BP57" s="18">
        <v>1560</v>
      </c>
      <c r="BQ57" s="18">
        <v>1750</v>
      </c>
      <c r="BR57" s="18">
        <v>1840</v>
      </c>
      <c r="BS57" s="18">
        <v>1810</v>
      </c>
      <c r="BT57" s="18">
        <v>1840</v>
      </c>
      <c r="BU57" s="18">
        <v>1810</v>
      </c>
      <c r="BV57" s="18">
        <v>1810</v>
      </c>
      <c r="BW57" s="18">
        <v>1610</v>
      </c>
      <c r="BX57" s="18">
        <v>1410</v>
      </c>
      <c r="BY57" s="18">
        <v>1340</v>
      </c>
      <c r="BZ57" s="18">
        <v>1380</v>
      </c>
      <c r="CA57" s="18">
        <v>1360</v>
      </c>
      <c r="CB57" s="18">
        <v>1330</v>
      </c>
      <c r="CC57" s="18">
        <v>1350</v>
      </c>
      <c r="CD57" s="18">
        <v>1260</v>
      </c>
      <c r="CE57" s="18">
        <v>1230</v>
      </c>
      <c r="CF57" s="18">
        <v>1190</v>
      </c>
      <c r="CG57" s="18">
        <v>1280</v>
      </c>
      <c r="CH57" s="18">
        <v>1370</v>
      </c>
      <c r="CI57" s="18">
        <v>1460</v>
      </c>
      <c r="CJ57" s="18">
        <v>1480</v>
      </c>
      <c r="CK57" s="18">
        <v>1460</v>
      </c>
      <c r="CL57" s="18">
        <v>1510</v>
      </c>
      <c r="CM57" s="18">
        <v>1600</v>
      </c>
      <c r="CN57" s="18">
        <v>1640</v>
      </c>
      <c r="CO57" s="18">
        <v>1690</v>
      </c>
      <c r="CP57" s="18">
        <v>1710</v>
      </c>
      <c r="CQ57" s="18">
        <v>1760</v>
      </c>
      <c r="CR57" s="18">
        <v>1780</v>
      </c>
      <c r="CS57" s="18">
        <v>1800</v>
      </c>
      <c r="CT57" s="18">
        <v>1920</v>
      </c>
      <c r="CU57" s="18">
        <v>1920</v>
      </c>
      <c r="CV57" s="18">
        <v>1900</v>
      </c>
      <c r="CW57" s="18">
        <v>1970</v>
      </c>
      <c r="CX57" s="18">
        <v>1980</v>
      </c>
      <c r="CY57" s="18">
        <v>1970</v>
      </c>
      <c r="CZ57" s="18">
        <v>2000</v>
      </c>
      <c r="DA57" s="18">
        <v>1810</v>
      </c>
      <c r="DB57" s="18">
        <v>1710</v>
      </c>
      <c r="DC57" s="18">
        <v>1490</v>
      </c>
      <c r="DD57" s="18">
        <v>1360</v>
      </c>
      <c r="DE57" s="18">
        <v>1550</v>
      </c>
      <c r="DF57" s="18">
        <v>2080</v>
      </c>
      <c r="DG57" s="18">
        <v>2270</v>
      </c>
      <c r="DH57" s="18">
        <v>2440</v>
      </c>
      <c r="DI57" s="18">
        <v>2400</v>
      </c>
      <c r="DJ57" s="18">
        <v>2370</v>
      </c>
      <c r="DK57" s="18">
        <v>2500</v>
      </c>
      <c r="DL57" s="18">
        <v>2240</v>
      </c>
      <c r="DM57" s="18">
        <v>2010</v>
      </c>
      <c r="DN57" s="18">
        <v>2300</v>
      </c>
      <c r="DO57" s="18">
        <v>2460</v>
      </c>
      <c r="DP57" s="18">
        <v>2670</v>
      </c>
      <c r="DQ57" s="18">
        <v>2740</v>
      </c>
      <c r="DR57" s="18">
        <v>2760</v>
      </c>
      <c r="DS57" s="18">
        <v>2650</v>
      </c>
      <c r="DT57" s="18">
        <v>2250</v>
      </c>
      <c r="DU57" s="18">
        <v>1770</v>
      </c>
      <c r="DV57" s="18">
        <v>1510</v>
      </c>
      <c r="DW57" s="18">
        <v>1380</v>
      </c>
      <c r="DX57" s="18">
        <v>1480</v>
      </c>
      <c r="DY57" s="18">
        <v>1720</v>
      </c>
      <c r="DZ57" s="18">
        <v>2210</v>
      </c>
      <c r="EA57" s="18">
        <v>2320</v>
      </c>
      <c r="EB57" s="18">
        <v>2430</v>
      </c>
      <c r="EC57" s="18">
        <v>2290</v>
      </c>
      <c r="ED57" s="18">
        <v>1620</v>
      </c>
      <c r="EE57" s="18">
        <v>1460</v>
      </c>
      <c r="EF57" s="18">
        <v>1440</v>
      </c>
      <c r="EG57" s="18">
        <v>1430</v>
      </c>
      <c r="EH57" s="18">
        <v>1680</v>
      </c>
      <c r="EI57" s="18">
        <v>1740</v>
      </c>
      <c r="EJ57" s="18">
        <v>1820</v>
      </c>
      <c r="EK57" s="18">
        <v>2340</v>
      </c>
      <c r="EL57" s="18">
        <v>2540</v>
      </c>
      <c r="EM57" s="18">
        <v>2970</v>
      </c>
      <c r="EN57" s="18">
        <v>3260</v>
      </c>
      <c r="EO57" s="18">
        <v>3320</v>
      </c>
      <c r="EP57" s="18">
        <v>3120</v>
      </c>
      <c r="EQ57" s="18">
        <v>2840</v>
      </c>
      <c r="ER57" s="18">
        <v>2680</v>
      </c>
      <c r="ES57" s="18">
        <v>2550</v>
      </c>
      <c r="ET57" s="18">
        <v>2660</v>
      </c>
      <c r="EU57" s="18">
        <v>2840</v>
      </c>
      <c r="EV57" s="18">
        <v>2780</v>
      </c>
      <c r="EW57" s="18">
        <v>2660</v>
      </c>
      <c r="EX57" s="18">
        <v>2750</v>
      </c>
      <c r="EY57" s="18">
        <v>3100</v>
      </c>
      <c r="EZ57" s="18">
        <v>3060</v>
      </c>
      <c r="FA57" s="18">
        <v>2900</v>
      </c>
      <c r="FB57" s="18">
        <v>2830</v>
      </c>
      <c r="FC57" s="18">
        <v>2880</v>
      </c>
      <c r="FD57" s="18">
        <v>2880</v>
      </c>
      <c r="FE57" s="18">
        <v>3210</v>
      </c>
      <c r="FF57" s="18">
        <v>3360</v>
      </c>
      <c r="FG57" s="18">
        <v>3600</v>
      </c>
      <c r="FH57" s="18">
        <v>3700</v>
      </c>
      <c r="FI57" s="18">
        <v>4020</v>
      </c>
      <c r="FJ57" s="18">
        <v>3800</v>
      </c>
      <c r="FK57" s="18">
        <v>3530</v>
      </c>
      <c r="FL57" s="18">
        <v>3400</v>
      </c>
      <c r="FM57" s="18">
        <v>3460</v>
      </c>
      <c r="FN57" s="18">
        <v>3600</v>
      </c>
      <c r="FO57" s="18">
        <v>3540</v>
      </c>
      <c r="FP57" s="18">
        <v>3900</v>
      </c>
      <c r="FQ57" s="18">
        <v>4320</v>
      </c>
      <c r="FR57" s="18">
        <v>4460</v>
      </c>
      <c r="FS57" s="18">
        <v>4930</v>
      </c>
      <c r="FT57" s="18">
        <v>5420</v>
      </c>
      <c r="FU57" s="18">
        <v>5580</v>
      </c>
      <c r="FV57" s="18">
        <v>5590</v>
      </c>
      <c r="FW57" s="18">
        <v>5520</v>
      </c>
      <c r="FX57" s="18">
        <v>5450</v>
      </c>
      <c r="FY57" s="18">
        <v>6090</v>
      </c>
      <c r="FZ57" s="18">
        <v>7460</v>
      </c>
      <c r="GA57" s="18">
        <v>7420</v>
      </c>
      <c r="GB57" s="18">
        <v>7480</v>
      </c>
      <c r="GC57" s="18">
        <v>8040</v>
      </c>
      <c r="GD57" s="18">
        <v>8270</v>
      </c>
      <c r="GE57" s="18">
        <v>8080</v>
      </c>
      <c r="GF57" s="18">
        <v>7830</v>
      </c>
      <c r="GG57" s="18">
        <v>8070</v>
      </c>
      <c r="GH57" s="18">
        <v>8440</v>
      </c>
      <c r="GI57" s="18">
        <v>9050</v>
      </c>
      <c r="GJ57" s="18">
        <v>9790</v>
      </c>
      <c r="GK57" s="18">
        <v>10300</v>
      </c>
      <c r="GL57" s="18">
        <v>11200</v>
      </c>
      <c r="GM57" s="18">
        <v>11900</v>
      </c>
      <c r="GN57" s="18">
        <v>12100</v>
      </c>
      <c r="GO57" s="18">
        <v>10100</v>
      </c>
      <c r="GP57" s="18">
        <v>8370</v>
      </c>
      <c r="GQ57" s="18">
        <v>9070</v>
      </c>
      <c r="GR57" s="18">
        <v>10000</v>
      </c>
      <c r="GS57" s="18">
        <v>10000</v>
      </c>
      <c r="GT57" s="18">
        <v>10400</v>
      </c>
      <c r="GU57" s="18">
        <v>10300</v>
      </c>
      <c r="GV57" s="18">
        <v>10100</v>
      </c>
      <c r="GW57" s="18">
        <v>10100</v>
      </c>
      <c r="GX57" s="18">
        <v>9540</v>
      </c>
      <c r="GY57" s="18">
        <v>9240</v>
      </c>
      <c r="GZ57" s="18">
        <v>8940</v>
      </c>
      <c r="HA57" s="18">
        <v>8670</v>
      </c>
      <c r="HB57" s="18">
        <v>8730</v>
      </c>
      <c r="HC57" s="18">
        <v>8770</v>
      </c>
      <c r="HD57" s="18">
        <v>8500</v>
      </c>
      <c r="HE57" s="18">
        <v>8160</v>
      </c>
      <c r="HF57" s="18">
        <v>8060</v>
      </c>
      <c r="HG57" s="18">
        <v>8660</v>
      </c>
      <c r="HH57" s="18">
        <v>8830</v>
      </c>
      <c r="HI57" s="18">
        <v>8840</v>
      </c>
      <c r="HJ57" s="18">
        <v>9240</v>
      </c>
      <c r="HK57" s="18">
        <v>10600</v>
      </c>
      <c r="HL57" s="18">
        <v>11500</v>
      </c>
      <c r="HM57" s="18">
        <v>10900</v>
      </c>
      <c r="HN57" s="18">
        <v>10500</v>
      </c>
      <c r="HO57" s="18">
        <v>9440</v>
      </c>
      <c r="HP57" s="18">
        <v>8490</v>
      </c>
      <c r="HQ57" s="18">
        <v>8140</v>
      </c>
      <c r="HR57" s="18">
        <v>7550</v>
      </c>
      <c r="HS57" s="18">
        <v>7010</v>
      </c>
      <c r="HT57" s="18">
        <v>6780</v>
      </c>
      <c r="HU57" s="18">
        <v>6700</v>
      </c>
      <c r="HV57" s="18">
        <v>6550</v>
      </c>
      <c r="HW57" s="18">
        <v>6680</v>
      </c>
      <c r="HX57" s="18">
        <v>6740</v>
      </c>
      <c r="HY57" s="18">
        <v>6940</v>
      </c>
      <c r="HZ57" s="18">
        <v>7060</v>
      </c>
      <c r="IA57" s="18">
        <v>7220</v>
      </c>
      <c r="IB57" s="18">
        <v>7130</v>
      </c>
      <c r="IC57" s="18">
        <v>7020</v>
      </c>
      <c r="ID57" s="18">
        <v>7230</v>
      </c>
      <c r="IE57" s="18">
        <v>8060</v>
      </c>
      <c r="IF57" s="18">
        <v>9280</v>
      </c>
      <c r="IG57" s="18">
        <v>9620</v>
      </c>
      <c r="IH57" s="18">
        <v>9490</v>
      </c>
      <c r="II57" s="18">
        <v>9450</v>
      </c>
      <c r="IJ57" s="18">
        <v>9670</v>
      </c>
      <c r="IK57" s="18">
        <v>9990</v>
      </c>
      <c r="IL57" s="18">
        <v>10700</v>
      </c>
      <c r="IM57" s="18">
        <v>11000</v>
      </c>
      <c r="IN57" s="18">
        <v>12200</v>
      </c>
      <c r="IO57" s="18">
        <v>12400</v>
      </c>
      <c r="IP57" s="18">
        <v>12100</v>
      </c>
      <c r="IQ57" s="18">
        <v>12800</v>
      </c>
      <c r="IR57" s="18">
        <v>13300</v>
      </c>
      <c r="IS57" s="18">
        <v>13400</v>
      </c>
      <c r="IT57" s="18">
        <v>12400</v>
      </c>
      <c r="IU57" s="18">
        <v>12800</v>
      </c>
      <c r="IV57" s="18">
        <v>13700</v>
      </c>
      <c r="IW57" s="18">
        <v>12500</v>
      </c>
      <c r="IX57" s="18">
        <v>10600</v>
      </c>
      <c r="IY57" s="18">
        <v>11100</v>
      </c>
      <c r="IZ57" s="18">
        <v>10200</v>
      </c>
      <c r="JA57" s="18">
        <v>9630</v>
      </c>
      <c r="JB57" s="18">
        <v>9180</v>
      </c>
      <c r="JC57" s="18">
        <v>8220</v>
      </c>
      <c r="JD57" s="18">
        <v>7470</v>
      </c>
      <c r="JE57" s="18">
        <v>7220</v>
      </c>
      <c r="JF57" s="18">
        <v>7070</v>
      </c>
      <c r="JG57" s="18">
        <v>7750</v>
      </c>
      <c r="JH57" s="18">
        <v>8420</v>
      </c>
      <c r="JI57" s="18">
        <v>8150</v>
      </c>
      <c r="JJ57" s="18">
        <v>7730</v>
      </c>
      <c r="JK57" s="18">
        <v>7640</v>
      </c>
      <c r="JL57" s="18">
        <v>7950</v>
      </c>
      <c r="JM57" s="18">
        <v>7810</v>
      </c>
      <c r="JN57" s="18">
        <v>8270</v>
      </c>
      <c r="JO57" s="18">
        <v>7960</v>
      </c>
      <c r="JP57" s="18">
        <v>7670</v>
      </c>
      <c r="JQ57" s="18">
        <v>8000</v>
      </c>
      <c r="JR57" s="18">
        <v>8640</v>
      </c>
      <c r="JS57" s="18">
        <v>8520</v>
      </c>
      <c r="JT57" s="18">
        <v>8300</v>
      </c>
      <c r="JU57" s="18">
        <v>8260</v>
      </c>
      <c r="JV57" s="18">
        <v>8180</v>
      </c>
      <c r="JW57" s="18">
        <v>8250</v>
      </c>
      <c r="JX57" s="18">
        <v>8310</v>
      </c>
      <c r="JY57" s="18">
        <v>8260</v>
      </c>
      <c r="JZ57" s="18">
        <v>7780</v>
      </c>
      <c r="KA57" s="18">
        <v>7070</v>
      </c>
      <c r="KB57" s="18">
        <v>7510</v>
      </c>
      <c r="KC57" s="18">
        <v>7040</v>
      </c>
      <c r="KD57" s="18">
        <v>6560</v>
      </c>
      <c r="KE57" s="18">
        <v>6470</v>
      </c>
      <c r="KF57" s="18">
        <v>6370</v>
      </c>
      <c r="KG57" s="18">
        <v>6250</v>
      </c>
      <c r="KH57" s="18">
        <v>6150</v>
      </c>
      <c r="KI57" s="18">
        <v>5940</v>
      </c>
      <c r="KJ57" s="18">
        <v>5810</v>
      </c>
      <c r="KK57" s="18">
        <v>5520</v>
      </c>
      <c r="KL57" s="18">
        <v>4920</v>
      </c>
      <c r="KM57" s="18">
        <v>5040</v>
      </c>
      <c r="KN57" s="18">
        <v>4930</v>
      </c>
      <c r="KO57" s="18">
        <v>4850</v>
      </c>
      <c r="KP57" s="18">
        <v>4830</v>
      </c>
      <c r="KQ57" s="18">
        <v>4680</v>
      </c>
      <c r="KR57" s="18">
        <v>4350</v>
      </c>
      <c r="KS57" s="18">
        <v>4280</v>
      </c>
      <c r="KT57" s="18">
        <v>4180</v>
      </c>
      <c r="KU57" s="18">
        <v>4040</v>
      </c>
      <c r="KV57" s="18">
        <v>3960</v>
      </c>
      <c r="KW57" s="18">
        <v>3880</v>
      </c>
      <c r="KX57" s="18">
        <v>3820</v>
      </c>
      <c r="KY57" s="18">
        <v>3760</v>
      </c>
      <c r="KZ57" s="18">
        <v>3670</v>
      </c>
      <c r="LA57" s="18">
        <v>3610</v>
      </c>
      <c r="LB57" s="18">
        <v>3460</v>
      </c>
      <c r="LC57" s="18">
        <v>3460</v>
      </c>
      <c r="LD57" s="18">
        <v>3250</v>
      </c>
      <c r="LE57" s="18">
        <v>3160</v>
      </c>
      <c r="LF57" s="18">
        <v>3240</v>
      </c>
      <c r="LG57" s="18">
        <v>3130</v>
      </c>
      <c r="LH57" s="18">
        <v>3140</v>
      </c>
      <c r="LI57" s="18">
        <v>3100</v>
      </c>
      <c r="LJ57" s="18">
        <v>2990</v>
      </c>
      <c r="LK57" s="18">
        <v>2930</v>
      </c>
      <c r="LL57" s="18">
        <v>2820</v>
      </c>
      <c r="LM57" s="18">
        <v>2750</v>
      </c>
      <c r="LN57" s="18">
        <v>2800</v>
      </c>
      <c r="LO57" s="18">
        <v>2680</v>
      </c>
      <c r="LP57" s="18">
        <v>2660</v>
      </c>
      <c r="LQ57" s="18">
        <v>2650</v>
      </c>
      <c r="LR57" s="18">
        <v>2650</v>
      </c>
      <c r="LS57" s="18">
        <v>2620</v>
      </c>
      <c r="LT57" s="18">
        <v>2620</v>
      </c>
      <c r="LU57" s="18">
        <v>2490</v>
      </c>
      <c r="LV57" s="18">
        <v>2540</v>
      </c>
      <c r="LW57" s="18">
        <v>2520</v>
      </c>
      <c r="LX57" s="18">
        <v>2440</v>
      </c>
      <c r="LY57" s="18">
        <v>2480</v>
      </c>
      <c r="LZ57" s="18">
        <v>2330</v>
      </c>
      <c r="MA57" s="18">
        <v>2240</v>
      </c>
      <c r="MB57" s="18">
        <v>2240</v>
      </c>
      <c r="MC57" s="18">
        <v>2220</v>
      </c>
      <c r="MD57" s="18">
        <v>2200</v>
      </c>
      <c r="ME57" s="18">
        <v>2170</v>
      </c>
      <c r="MF57" s="18">
        <v>2160</v>
      </c>
      <c r="MG57" s="18">
        <v>2160</v>
      </c>
      <c r="MH57" s="18">
        <v>2160</v>
      </c>
      <c r="MI57" s="18">
        <v>2180</v>
      </c>
      <c r="MJ57" s="18">
        <v>2180</v>
      </c>
      <c r="MK57" s="18">
        <v>2090</v>
      </c>
      <c r="ML57" s="18">
        <v>1990</v>
      </c>
      <c r="MM57" s="18">
        <v>2040</v>
      </c>
      <c r="MN57" s="18">
        <v>1920</v>
      </c>
      <c r="MO57" s="18">
        <v>1840</v>
      </c>
      <c r="MP57" s="18">
        <v>1720</v>
      </c>
      <c r="MQ57" s="18">
        <v>1850</v>
      </c>
      <c r="MR57" s="18">
        <v>1970</v>
      </c>
      <c r="MS57" s="18">
        <v>1860</v>
      </c>
      <c r="MT57" s="18">
        <v>1900</v>
      </c>
      <c r="MU57" s="18">
        <v>1850</v>
      </c>
      <c r="MV57" s="18">
        <v>1820</v>
      </c>
      <c r="MW57" s="18">
        <v>1740</v>
      </c>
      <c r="MX57" s="18">
        <v>1820</v>
      </c>
      <c r="MY57" s="18">
        <v>1810</v>
      </c>
      <c r="MZ57" s="18">
        <v>1660</v>
      </c>
      <c r="NA57" s="18">
        <v>1760</v>
      </c>
      <c r="NB57" s="18">
        <v>1680</v>
      </c>
      <c r="NC57" s="18">
        <v>1680</v>
      </c>
      <c r="ND57" s="1">
        <v>1510</v>
      </c>
      <c r="NE57" s="1">
        <v>1490</v>
      </c>
      <c r="NF57" s="1">
        <v>1490</v>
      </c>
      <c r="NG57" s="1">
        <v>2050</v>
      </c>
      <c r="NH57" s="1">
        <v>2250</v>
      </c>
      <c r="NI57" s="1">
        <v>4190</v>
      </c>
      <c r="NJ57" s="1">
        <v>9280</v>
      </c>
      <c r="NK57" s="1">
        <v>8430</v>
      </c>
      <c r="NL57" s="1">
        <v>10100</v>
      </c>
      <c r="NM57" s="1">
        <v>6550</v>
      </c>
      <c r="NN57" s="1">
        <v>3090</v>
      </c>
      <c r="NO57" s="1">
        <v>1990</v>
      </c>
      <c r="NP57" s="1">
        <v>4375.3825136612022</v>
      </c>
      <c r="NQ57" s="1">
        <v>13700</v>
      </c>
      <c r="NR57" s="19">
        <v>42624</v>
      </c>
      <c r="NS57" s="1">
        <v>1120</v>
      </c>
      <c r="NT57" s="19">
        <v>42393</v>
      </c>
    </row>
    <row r="58" spans="1:384" x14ac:dyDescent="0.15">
      <c r="A58" s="1">
        <v>2005</v>
      </c>
      <c r="B58" s="18">
        <v>1600</v>
      </c>
      <c r="C58" s="18">
        <v>1830</v>
      </c>
      <c r="D58" s="18">
        <v>1880</v>
      </c>
      <c r="E58" s="18">
        <v>1840</v>
      </c>
      <c r="F58" s="18">
        <v>2040</v>
      </c>
      <c r="G58" s="18">
        <v>1920</v>
      </c>
      <c r="H58" s="18">
        <v>1890</v>
      </c>
      <c r="I58" s="18">
        <v>1840</v>
      </c>
      <c r="J58" s="18">
        <v>1930</v>
      </c>
      <c r="K58" s="18">
        <v>1910</v>
      </c>
      <c r="L58" s="18">
        <v>1840</v>
      </c>
      <c r="M58" s="18">
        <v>1840</v>
      </c>
      <c r="N58" s="18">
        <v>1870</v>
      </c>
      <c r="O58" s="18">
        <v>1840</v>
      </c>
      <c r="P58" s="18">
        <v>1850</v>
      </c>
      <c r="Q58" s="18">
        <v>1870</v>
      </c>
      <c r="R58" s="18">
        <v>1830</v>
      </c>
      <c r="S58" s="18">
        <v>1830</v>
      </c>
      <c r="T58" s="18">
        <v>1820</v>
      </c>
      <c r="U58" s="18">
        <v>1840</v>
      </c>
      <c r="V58" s="18">
        <v>1840</v>
      </c>
      <c r="W58" s="18">
        <v>1820</v>
      </c>
      <c r="X58" s="18">
        <v>1790</v>
      </c>
      <c r="Y58" s="18">
        <v>1790</v>
      </c>
      <c r="Z58" s="18">
        <v>1780</v>
      </c>
      <c r="AA58" s="18">
        <v>1750</v>
      </c>
      <c r="AB58" s="18">
        <v>1760</v>
      </c>
      <c r="AC58" s="18">
        <v>1750</v>
      </c>
      <c r="AD58" s="18">
        <v>1710</v>
      </c>
      <c r="AE58" s="18">
        <v>1670</v>
      </c>
      <c r="AF58" s="18">
        <v>1630</v>
      </c>
      <c r="AG58" s="18">
        <v>1700</v>
      </c>
      <c r="AH58" s="18">
        <v>1660</v>
      </c>
      <c r="AI58" s="18">
        <v>1690</v>
      </c>
      <c r="AJ58" s="18">
        <v>1680</v>
      </c>
      <c r="AK58" s="18">
        <v>1640</v>
      </c>
      <c r="AL58" s="18">
        <v>1660</v>
      </c>
      <c r="AM58" s="18">
        <v>1660</v>
      </c>
      <c r="AN58" s="18">
        <v>1560</v>
      </c>
      <c r="AO58" s="18">
        <v>1530</v>
      </c>
      <c r="AP58" s="18">
        <v>1700</v>
      </c>
      <c r="AQ58" s="18">
        <v>1740</v>
      </c>
      <c r="AR58" s="18">
        <v>1720</v>
      </c>
      <c r="AS58" s="18">
        <v>1780</v>
      </c>
      <c r="AT58" s="18">
        <v>1750</v>
      </c>
      <c r="AU58" s="18">
        <v>1680</v>
      </c>
      <c r="AV58" s="18">
        <v>1630</v>
      </c>
      <c r="AW58" s="18">
        <v>1740</v>
      </c>
      <c r="AX58" s="18">
        <v>1750</v>
      </c>
      <c r="AY58" s="18">
        <v>1750</v>
      </c>
      <c r="AZ58" s="18">
        <v>1760</v>
      </c>
      <c r="BA58" s="18">
        <v>1730</v>
      </c>
      <c r="BB58" s="18">
        <v>1610</v>
      </c>
      <c r="BC58" s="18">
        <v>1600</v>
      </c>
      <c r="BD58" s="18">
        <v>1540</v>
      </c>
      <c r="BE58" s="18">
        <v>1530</v>
      </c>
      <c r="BF58" s="18">
        <v>1650</v>
      </c>
      <c r="BG58" s="18">
        <v>1670</v>
      </c>
      <c r="BH58" s="18">
        <v>1670</v>
      </c>
      <c r="BI58" s="18"/>
      <c r="BJ58" s="18">
        <v>1700</v>
      </c>
      <c r="BK58" s="18">
        <v>1750</v>
      </c>
      <c r="BL58" s="18">
        <v>1760</v>
      </c>
      <c r="BM58" s="18">
        <v>1760</v>
      </c>
      <c r="BN58" s="18">
        <v>1720</v>
      </c>
      <c r="BO58" s="18">
        <v>1600</v>
      </c>
      <c r="BP58" s="18">
        <v>1620</v>
      </c>
      <c r="BQ58" s="18">
        <v>1720</v>
      </c>
      <c r="BR58" s="18">
        <v>1720</v>
      </c>
      <c r="BS58" s="18">
        <v>1680</v>
      </c>
      <c r="BT58" s="18">
        <v>1630</v>
      </c>
      <c r="BU58" s="18">
        <v>1620</v>
      </c>
      <c r="BV58" s="18">
        <v>1700</v>
      </c>
      <c r="BW58" s="18">
        <v>1720</v>
      </c>
      <c r="BX58" s="18">
        <v>1660</v>
      </c>
      <c r="BY58" s="18">
        <v>1630</v>
      </c>
      <c r="BZ58" s="18">
        <v>1700</v>
      </c>
      <c r="CA58" s="18">
        <v>1700</v>
      </c>
      <c r="CB58" s="18">
        <v>1610</v>
      </c>
      <c r="CC58" s="18">
        <v>1520</v>
      </c>
      <c r="CD58" s="18">
        <v>1450</v>
      </c>
      <c r="CE58" s="18">
        <v>1550</v>
      </c>
      <c r="CF58" s="18">
        <v>1630</v>
      </c>
      <c r="CG58" s="18">
        <v>1600</v>
      </c>
      <c r="CH58" s="18">
        <v>1680</v>
      </c>
      <c r="CI58" s="18">
        <v>1850</v>
      </c>
      <c r="CJ58" s="18">
        <v>1880</v>
      </c>
      <c r="CK58" s="18">
        <v>1910</v>
      </c>
      <c r="CL58" s="18">
        <v>1860</v>
      </c>
      <c r="CM58" s="18">
        <v>1800</v>
      </c>
      <c r="CN58" s="18">
        <v>1840</v>
      </c>
      <c r="CO58" s="18">
        <v>1690</v>
      </c>
      <c r="CP58" s="18">
        <v>1710</v>
      </c>
      <c r="CQ58" s="18">
        <v>1700</v>
      </c>
      <c r="CR58" s="18">
        <v>1720</v>
      </c>
      <c r="CS58" s="18">
        <v>1670</v>
      </c>
      <c r="CT58" s="18">
        <v>1750</v>
      </c>
      <c r="CU58" s="18">
        <v>1800</v>
      </c>
      <c r="CV58" s="18">
        <v>1780</v>
      </c>
      <c r="CW58" s="18">
        <v>1600</v>
      </c>
      <c r="CX58" s="18">
        <v>1450</v>
      </c>
      <c r="CY58" s="18">
        <v>1530</v>
      </c>
      <c r="CZ58" s="18">
        <v>1650</v>
      </c>
      <c r="DA58" s="18">
        <v>1640</v>
      </c>
      <c r="DB58" s="18">
        <v>1660</v>
      </c>
      <c r="DC58" s="18">
        <v>1630</v>
      </c>
      <c r="DD58" s="18">
        <v>1590</v>
      </c>
      <c r="DE58" s="18">
        <v>1500</v>
      </c>
      <c r="DF58" s="18">
        <v>1450</v>
      </c>
      <c r="DG58" s="18">
        <v>1380</v>
      </c>
      <c r="DH58" s="18">
        <v>1370</v>
      </c>
      <c r="DI58" s="18">
        <v>1430</v>
      </c>
      <c r="DJ58" s="18">
        <v>1420</v>
      </c>
      <c r="DK58" s="18">
        <v>1400</v>
      </c>
      <c r="DL58" s="18">
        <v>1550</v>
      </c>
      <c r="DM58" s="18">
        <v>1580</v>
      </c>
      <c r="DN58" s="18">
        <v>1420</v>
      </c>
      <c r="DO58" s="18">
        <v>1500</v>
      </c>
      <c r="DP58" s="18">
        <v>1690</v>
      </c>
      <c r="DQ58" s="18">
        <v>1720</v>
      </c>
      <c r="DR58" s="18">
        <v>1790</v>
      </c>
      <c r="DS58" s="18">
        <v>1870</v>
      </c>
      <c r="DT58" s="18">
        <v>2040</v>
      </c>
      <c r="DU58" s="18">
        <v>2160</v>
      </c>
      <c r="DV58" s="18">
        <v>2440</v>
      </c>
      <c r="DW58" s="18">
        <v>2630</v>
      </c>
      <c r="DX58" s="18">
        <v>2740</v>
      </c>
      <c r="DY58" s="18">
        <v>2800</v>
      </c>
      <c r="DZ58" s="18">
        <v>2900</v>
      </c>
      <c r="EA58" s="18">
        <v>2910</v>
      </c>
      <c r="EB58" s="18">
        <v>3000</v>
      </c>
      <c r="EC58" s="18">
        <v>3090</v>
      </c>
      <c r="ED58" s="18">
        <v>3060</v>
      </c>
      <c r="EE58" s="18">
        <v>3290</v>
      </c>
      <c r="EF58" s="18">
        <v>3450</v>
      </c>
      <c r="EG58" s="18">
        <v>3260</v>
      </c>
      <c r="EH58" s="18">
        <v>3130</v>
      </c>
      <c r="EI58" s="18">
        <v>3070</v>
      </c>
      <c r="EJ58" s="18">
        <v>3120</v>
      </c>
      <c r="EK58" s="18">
        <v>2980</v>
      </c>
      <c r="EL58" s="18">
        <v>2790</v>
      </c>
      <c r="EM58" s="18">
        <v>2640</v>
      </c>
      <c r="EN58" s="18">
        <v>2350</v>
      </c>
      <c r="EO58" s="18">
        <v>2280</v>
      </c>
      <c r="EP58" s="18">
        <v>2150</v>
      </c>
      <c r="EQ58" s="18">
        <v>2020</v>
      </c>
      <c r="ER58" s="18">
        <v>1880</v>
      </c>
      <c r="ES58" s="18">
        <v>1820</v>
      </c>
      <c r="ET58" s="18">
        <v>1860</v>
      </c>
      <c r="EU58" s="18">
        <v>1920</v>
      </c>
      <c r="EV58" s="18">
        <v>1850</v>
      </c>
      <c r="EW58" s="18">
        <v>1940</v>
      </c>
      <c r="EX58" s="18">
        <v>2010</v>
      </c>
      <c r="EY58" s="18">
        <v>2370</v>
      </c>
      <c r="EZ58" s="18">
        <v>2600</v>
      </c>
      <c r="FA58" s="18">
        <v>2820</v>
      </c>
      <c r="FB58" s="18">
        <v>2950</v>
      </c>
      <c r="FC58" s="18">
        <v>2920</v>
      </c>
      <c r="FD58" s="18">
        <v>2880</v>
      </c>
      <c r="FE58" s="18">
        <v>3130</v>
      </c>
      <c r="FF58" s="18">
        <v>3240</v>
      </c>
      <c r="FG58" s="18">
        <v>3150</v>
      </c>
      <c r="FH58" s="18">
        <v>3000</v>
      </c>
      <c r="FI58" s="18">
        <v>3050</v>
      </c>
      <c r="FJ58" s="18">
        <v>3060</v>
      </c>
      <c r="FK58" s="18">
        <v>3280</v>
      </c>
      <c r="FL58" s="18">
        <v>3610</v>
      </c>
      <c r="FM58" s="18">
        <v>3570</v>
      </c>
      <c r="FN58" s="18">
        <v>3630</v>
      </c>
      <c r="FO58" s="18">
        <v>3630</v>
      </c>
      <c r="FP58" s="18">
        <v>4190</v>
      </c>
      <c r="FQ58" s="18">
        <v>4530</v>
      </c>
      <c r="FR58" s="18">
        <v>4570</v>
      </c>
      <c r="FS58" s="18">
        <v>4580</v>
      </c>
      <c r="FT58" s="18">
        <v>4580</v>
      </c>
      <c r="FU58" s="18">
        <v>4700</v>
      </c>
      <c r="FV58" s="18">
        <v>5120</v>
      </c>
      <c r="FW58" s="18">
        <v>5220</v>
      </c>
      <c r="FX58" s="18">
        <v>5430</v>
      </c>
      <c r="FY58" s="18">
        <v>6480</v>
      </c>
      <c r="FZ58" s="18">
        <v>7650</v>
      </c>
      <c r="GA58" s="18">
        <v>7850</v>
      </c>
      <c r="GB58" s="18">
        <v>6760</v>
      </c>
      <c r="GC58" s="18">
        <v>5440</v>
      </c>
      <c r="GD58" s="18">
        <v>5150</v>
      </c>
      <c r="GE58" s="18">
        <v>4880</v>
      </c>
      <c r="GF58" s="18">
        <v>4740</v>
      </c>
      <c r="GG58" s="18">
        <v>4750</v>
      </c>
      <c r="GH58" s="18">
        <v>4570</v>
      </c>
      <c r="GI58" s="18">
        <v>4460</v>
      </c>
      <c r="GJ58" s="18">
        <v>5500</v>
      </c>
      <c r="GK58" s="18">
        <v>7490</v>
      </c>
      <c r="GL58" s="18">
        <v>8150</v>
      </c>
      <c r="GM58" s="18">
        <v>8350</v>
      </c>
      <c r="GN58" s="18">
        <v>8820</v>
      </c>
      <c r="GO58" s="18">
        <v>10200</v>
      </c>
      <c r="GP58" s="18">
        <v>10500</v>
      </c>
      <c r="GQ58" s="18">
        <v>9820</v>
      </c>
      <c r="GR58" s="18">
        <v>9490</v>
      </c>
      <c r="GS58" s="18">
        <v>9680</v>
      </c>
      <c r="GT58" s="18">
        <v>11000</v>
      </c>
      <c r="GU58" s="18">
        <v>11500</v>
      </c>
      <c r="GV58" s="18">
        <v>10300</v>
      </c>
      <c r="GW58" s="18">
        <v>9340</v>
      </c>
      <c r="GX58" s="18">
        <v>8530</v>
      </c>
      <c r="GY58" s="18">
        <v>9050</v>
      </c>
      <c r="GZ58" s="18">
        <v>9930</v>
      </c>
      <c r="HA58" s="18">
        <v>10300</v>
      </c>
      <c r="HB58" s="18">
        <v>10700</v>
      </c>
      <c r="HC58" s="18">
        <v>10500</v>
      </c>
      <c r="HD58" s="18">
        <v>9890</v>
      </c>
      <c r="HE58" s="18">
        <v>9160</v>
      </c>
      <c r="HF58" s="18">
        <v>8950</v>
      </c>
      <c r="HG58" s="18">
        <v>8640</v>
      </c>
      <c r="HH58" s="18">
        <v>8440</v>
      </c>
      <c r="HI58" s="18">
        <v>8470</v>
      </c>
      <c r="HJ58" s="18">
        <v>8950</v>
      </c>
      <c r="HK58" s="18">
        <v>9360</v>
      </c>
      <c r="HL58" s="18">
        <v>9470</v>
      </c>
      <c r="HM58" s="18">
        <v>10300</v>
      </c>
      <c r="HN58" s="18">
        <v>11500</v>
      </c>
      <c r="HO58" s="18">
        <v>12600</v>
      </c>
      <c r="HP58" s="18">
        <v>15200</v>
      </c>
      <c r="HQ58" s="18">
        <v>17600</v>
      </c>
      <c r="HR58" s="18">
        <v>19000</v>
      </c>
      <c r="HS58" s="18">
        <v>18100</v>
      </c>
      <c r="HT58" s="18">
        <v>17900</v>
      </c>
      <c r="HU58" s="18">
        <v>16700</v>
      </c>
      <c r="HV58" s="18">
        <v>15400</v>
      </c>
      <c r="HW58" s="18">
        <v>14100</v>
      </c>
      <c r="HX58" s="18">
        <v>12900</v>
      </c>
      <c r="HY58" s="18">
        <v>11700</v>
      </c>
      <c r="HZ58" s="18">
        <v>10100</v>
      </c>
      <c r="IA58" s="18">
        <v>11100</v>
      </c>
      <c r="IB58" s="18">
        <v>10800</v>
      </c>
      <c r="IC58" s="18">
        <v>10600</v>
      </c>
      <c r="ID58" s="18">
        <v>12000</v>
      </c>
      <c r="IE58" s="18">
        <v>13700</v>
      </c>
      <c r="IF58" s="18">
        <v>14200</v>
      </c>
      <c r="IG58" s="18">
        <v>14400</v>
      </c>
      <c r="IH58" s="18">
        <v>14500</v>
      </c>
      <c r="II58" s="18">
        <v>14600</v>
      </c>
      <c r="IJ58" s="18">
        <v>15400</v>
      </c>
      <c r="IK58" s="18">
        <v>15700</v>
      </c>
      <c r="IL58" s="18">
        <v>15200</v>
      </c>
      <c r="IM58" s="18">
        <v>13600</v>
      </c>
      <c r="IN58" s="18">
        <v>11900</v>
      </c>
      <c r="IO58" s="18">
        <v>11200</v>
      </c>
      <c r="IP58" s="18">
        <v>11500</v>
      </c>
      <c r="IQ58" s="18">
        <v>12100</v>
      </c>
      <c r="IR58" s="18">
        <v>12400</v>
      </c>
      <c r="IS58" s="18">
        <v>13700</v>
      </c>
      <c r="IT58" s="18">
        <v>13500</v>
      </c>
      <c r="IU58" s="18">
        <v>12100</v>
      </c>
      <c r="IV58" s="18">
        <v>11700</v>
      </c>
      <c r="IW58" s="18">
        <v>11200</v>
      </c>
      <c r="IX58" s="18">
        <v>10300</v>
      </c>
      <c r="IY58" s="18">
        <v>9440</v>
      </c>
      <c r="IZ58" s="18">
        <v>8600</v>
      </c>
      <c r="JA58" s="18">
        <v>7100</v>
      </c>
      <c r="JB58" s="18">
        <v>7290</v>
      </c>
      <c r="JC58" s="18">
        <v>8170</v>
      </c>
      <c r="JD58" s="18">
        <v>7960</v>
      </c>
      <c r="JE58" s="18">
        <v>7240</v>
      </c>
      <c r="JF58" s="18">
        <v>6680</v>
      </c>
      <c r="JG58" s="18">
        <v>6770</v>
      </c>
      <c r="JH58" s="18">
        <v>7630</v>
      </c>
      <c r="JI58" s="18">
        <v>7860</v>
      </c>
      <c r="JJ58" s="18">
        <v>9100</v>
      </c>
      <c r="JK58" s="18">
        <v>9220</v>
      </c>
      <c r="JL58" s="18">
        <v>9210</v>
      </c>
      <c r="JM58" s="18">
        <v>9020</v>
      </c>
      <c r="JN58" s="18">
        <v>8710</v>
      </c>
      <c r="JO58" s="18">
        <v>8210</v>
      </c>
      <c r="JP58" s="18">
        <v>7840</v>
      </c>
      <c r="JQ58" s="18">
        <v>7610</v>
      </c>
      <c r="JR58" s="18">
        <v>7740</v>
      </c>
      <c r="JS58" s="18">
        <v>8080</v>
      </c>
      <c r="JT58" s="18">
        <v>8910</v>
      </c>
      <c r="JU58" s="18">
        <v>9070</v>
      </c>
      <c r="JV58" s="18">
        <v>8760</v>
      </c>
      <c r="JW58" s="18">
        <v>8870</v>
      </c>
      <c r="JX58" s="18">
        <v>8550</v>
      </c>
      <c r="JY58" s="18">
        <v>8170</v>
      </c>
      <c r="JZ58" s="18">
        <v>7640</v>
      </c>
      <c r="KA58" s="18">
        <v>7030</v>
      </c>
      <c r="KB58" s="18">
        <v>6990</v>
      </c>
      <c r="KC58" s="18">
        <v>6980</v>
      </c>
      <c r="KD58" s="18">
        <v>6510</v>
      </c>
      <c r="KE58" s="18">
        <v>6030</v>
      </c>
      <c r="KF58" s="18">
        <v>5820</v>
      </c>
      <c r="KG58" s="18">
        <v>5750</v>
      </c>
      <c r="KH58" s="18">
        <v>5670</v>
      </c>
      <c r="KI58" s="18">
        <v>5530</v>
      </c>
      <c r="KJ58" s="18">
        <v>5270</v>
      </c>
      <c r="KK58" s="18">
        <v>5240</v>
      </c>
      <c r="KL58" s="18">
        <v>5250</v>
      </c>
      <c r="KM58" s="18">
        <v>5310</v>
      </c>
      <c r="KN58" s="18">
        <v>5770</v>
      </c>
      <c r="KO58" s="18">
        <v>5760</v>
      </c>
      <c r="KP58" s="18">
        <v>5530</v>
      </c>
      <c r="KQ58" s="18">
        <v>5270</v>
      </c>
      <c r="KR58" s="18">
        <v>4970</v>
      </c>
      <c r="KS58" s="18">
        <v>4700</v>
      </c>
      <c r="KT58" s="18">
        <v>4680</v>
      </c>
      <c r="KU58" s="18">
        <v>4460</v>
      </c>
      <c r="KV58" s="18">
        <v>4500</v>
      </c>
      <c r="KW58" s="18">
        <v>4390</v>
      </c>
      <c r="KX58" s="18">
        <v>4240</v>
      </c>
      <c r="KY58" s="18">
        <v>4240</v>
      </c>
      <c r="KZ58" s="18">
        <v>4010</v>
      </c>
      <c r="LA58" s="18">
        <v>3930</v>
      </c>
      <c r="LB58" s="18">
        <v>3750</v>
      </c>
      <c r="LC58" s="18">
        <v>3620</v>
      </c>
      <c r="LD58" s="18">
        <v>3590</v>
      </c>
      <c r="LE58" s="18">
        <v>3530</v>
      </c>
      <c r="LF58" s="18">
        <v>3400</v>
      </c>
      <c r="LG58" s="18">
        <v>3470</v>
      </c>
      <c r="LH58" s="18">
        <v>3400</v>
      </c>
      <c r="LI58" s="18">
        <v>3250</v>
      </c>
      <c r="LJ58" s="18">
        <v>3250</v>
      </c>
      <c r="LK58" s="18">
        <v>3340</v>
      </c>
      <c r="LL58" s="18">
        <v>3220</v>
      </c>
      <c r="LM58" s="18">
        <v>3020</v>
      </c>
      <c r="LN58" s="18">
        <v>2930</v>
      </c>
      <c r="LO58" s="18">
        <v>2960</v>
      </c>
      <c r="LP58" s="18">
        <v>2730</v>
      </c>
      <c r="LQ58" s="18">
        <v>2760</v>
      </c>
      <c r="LR58" s="18">
        <v>2920</v>
      </c>
      <c r="LS58" s="18">
        <v>2520</v>
      </c>
      <c r="LT58" s="18">
        <v>2360</v>
      </c>
      <c r="LU58" s="18">
        <v>2490</v>
      </c>
      <c r="LV58" s="18">
        <v>2550</v>
      </c>
      <c r="LW58" s="18">
        <v>2690</v>
      </c>
      <c r="LX58" s="18">
        <v>2600</v>
      </c>
      <c r="LY58" s="18">
        <v>2420</v>
      </c>
      <c r="LZ58" s="18">
        <v>2320</v>
      </c>
      <c r="MA58" s="18">
        <v>2330</v>
      </c>
      <c r="MB58" s="18">
        <v>2300</v>
      </c>
      <c r="MC58" s="18">
        <v>2260</v>
      </c>
      <c r="MD58" s="18">
        <v>2100</v>
      </c>
      <c r="ME58" s="18">
        <v>2140</v>
      </c>
      <c r="MF58" s="18">
        <v>2230</v>
      </c>
      <c r="MG58" s="18">
        <v>2210</v>
      </c>
      <c r="MH58" s="18">
        <v>2120</v>
      </c>
      <c r="MI58" s="18">
        <v>2280</v>
      </c>
      <c r="MJ58" s="18">
        <v>2190</v>
      </c>
      <c r="MK58" s="18">
        <v>2170</v>
      </c>
      <c r="ML58" s="18">
        <v>2090</v>
      </c>
      <c r="MM58" s="18">
        <v>2080</v>
      </c>
      <c r="MN58" s="18">
        <v>2010</v>
      </c>
      <c r="MO58" s="18">
        <v>1850</v>
      </c>
      <c r="MP58" s="18">
        <v>1790</v>
      </c>
      <c r="MQ58" s="18">
        <v>1760</v>
      </c>
      <c r="MR58" s="18">
        <v>1760</v>
      </c>
      <c r="MS58" s="18">
        <v>1820</v>
      </c>
      <c r="MT58" s="18">
        <v>1800</v>
      </c>
      <c r="MU58" s="18">
        <v>1870</v>
      </c>
      <c r="MV58" s="18">
        <v>1880</v>
      </c>
      <c r="MW58" s="18">
        <v>1720</v>
      </c>
      <c r="MX58" s="18">
        <v>1610</v>
      </c>
      <c r="MY58" s="18">
        <v>1560</v>
      </c>
      <c r="MZ58" s="18">
        <v>1760</v>
      </c>
      <c r="NA58" s="18">
        <v>1770</v>
      </c>
      <c r="NB58" s="18">
        <v>1710</v>
      </c>
      <c r="NC58" s="18">
        <v>1750</v>
      </c>
      <c r="ND58" s="1">
        <v>1820</v>
      </c>
      <c r="NE58" s="1">
        <v>1670</v>
      </c>
      <c r="NF58" s="1">
        <v>1700</v>
      </c>
      <c r="NG58" s="1">
        <v>1590</v>
      </c>
      <c r="NH58" s="1">
        <v>2560</v>
      </c>
      <c r="NI58" s="1">
        <v>3990</v>
      </c>
      <c r="NJ58" s="1">
        <v>8320</v>
      </c>
      <c r="NK58" s="1">
        <v>13000</v>
      </c>
      <c r="NL58" s="1">
        <v>9950</v>
      </c>
      <c r="NM58" s="1">
        <v>6620</v>
      </c>
      <c r="NN58" s="1">
        <v>3340</v>
      </c>
      <c r="NO58" s="1">
        <v>1990</v>
      </c>
      <c r="NP58" s="1">
        <v>4739.1232876712329</v>
      </c>
      <c r="NQ58" s="1">
        <v>19000</v>
      </c>
      <c r="NR58" s="19">
        <v>42594</v>
      </c>
      <c r="NS58" s="1">
        <v>1370</v>
      </c>
      <c r="NT58" s="19">
        <v>42480</v>
      </c>
    </row>
    <row r="59" spans="1:384" x14ac:dyDescent="0.15">
      <c r="A59" s="1">
        <v>2006</v>
      </c>
      <c r="B59" s="18">
        <v>1650</v>
      </c>
      <c r="C59" s="18">
        <v>1720</v>
      </c>
      <c r="D59" s="18">
        <v>1830</v>
      </c>
      <c r="E59" s="18">
        <v>1880</v>
      </c>
      <c r="F59" s="18">
        <v>1920</v>
      </c>
      <c r="G59" s="18">
        <v>1910</v>
      </c>
      <c r="H59" s="18">
        <v>1900</v>
      </c>
      <c r="I59" s="18">
        <v>1900</v>
      </c>
      <c r="J59" s="18">
        <v>1840</v>
      </c>
      <c r="K59" s="18">
        <v>1880</v>
      </c>
      <c r="L59" s="18">
        <v>1970</v>
      </c>
      <c r="M59" s="18">
        <v>1980</v>
      </c>
      <c r="N59" s="18">
        <v>1960</v>
      </c>
      <c r="O59" s="18">
        <v>1920</v>
      </c>
      <c r="P59" s="18">
        <v>1880</v>
      </c>
      <c r="Q59" s="18">
        <v>1840</v>
      </c>
      <c r="R59" s="18">
        <v>1840</v>
      </c>
      <c r="S59" s="18">
        <v>1890</v>
      </c>
      <c r="T59" s="18">
        <v>1930</v>
      </c>
      <c r="U59" s="18">
        <v>2040</v>
      </c>
      <c r="V59" s="18">
        <v>2120</v>
      </c>
      <c r="W59" s="18">
        <v>2090</v>
      </c>
      <c r="X59" s="18">
        <v>2060</v>
      </c>
      <c r="Y59" s="18">
        <v>2110</v>
      </c>
      <c r="Z59" s="18">
        <v>2180</v>
      </c>
      <c r="AA59" s="18">
        <v>2050</v>
      </c>
      <c r="AB59" s="18">
        <v>1990</v>
      </c>
      <c r="AC59" s="18">
        <v>2070</v>
      </c>
      <c r="AD59" s="18">
        <v>1880</v>
      </c>
      <c r="AE59" s="18">
        <v>1790</v>
      </c>
      <c r="AF59" s="18">
        <v>1710</v>
      </c>
      <c r="AG59" s="18">
        <v>1780</v>
      </c>
      <c r="AH59" s="18">
        <v>1890</v>
      </c>
      <c r="AI59" s="18">
        <v>2020</v>
      </c>
      <c r="AJ59" s="18">
        <v>1980</v>
      </c>
      <c r="AK59" s="18">
        <v>1830</v>
      </c>
      <c r="AL59" s="18">
        <v>1830</v>
      </c>
      <c r="AM59" s="18">
        <v>1910</v>
      </c>
      <c r="AN59" s="18">
        <v>2080</v>
      </c>
      <c r="AO59" s="18">
        <v>1850</v>
      </c>
      <c r="AP59" s="18">
        <v>1820</v>
      </c>
      <c r="AQ59" s="18">
        <v>1810</v>
      </c>
      <c r="AR59" s="18">
        <v>1760</v>
      </c>
      <c r="AS59" s="18">
        <v>1580</v>
      </c>
      <c r="AT59" s="18">
        <v>1450</v>
      </c>
      <c r="AU59" s="18">
        <v>1510</v>
      </c>
      <c r="AV59" s="18">
        <v>1580</v>
      </c>
      <c r="AW59" s="18">
        <v>1580</v>
      </c>
      <c r="AX59" s="18">
        <v>1570</v>
      </c>
      <c r="AY59" s="18">
        <v>1750</v>
      </c>
      <c r="AZ59" s="18">
        <v>1730</v>
      </c>
      <c r="BA59" s="18">
        <v>1720</v>
      </c>
      <c r="BB59" s="18">
        <v>1650</v>
      </c>
      <c r="BC59" s="18">
        <v>1560</v>
      </c>
      <c r="BD59" s="18">
        <v>1650</v>
      </c>
      <c r="BE59" s="18">
        <v>1610</v>
      </c>
      <c r="BF59" s="18">
        <v>1690</v>
      </c>
      <c r="BG59" s="18">
        <v>1700</v>
      </c>
      <c r="BH59" s="18">
        <v>1720</v>
      </c>
      <c r="BI59" s="18"/>
      <c r="BJ59" s="18">
        <v>1590</v>
      </c>
      <c r="BK59" s="18">
        <v>1530</v>
      </c>
      <c r="BL59" s="18">
        <v>1560</v>
      </c>
      <c r="BM59" s="18">
        <v>1630</v>
      </c>
      <c r="BN59" s="18">
        <v>1650</v>
      </c>
      <c r="BO59" s="18">
        <v>1600</v>
      </c>
      <c r="BP59" s="18">
        <v>1560</v>
      </c>
      <c r="BQ59" s="18">
        <v>1470</v>
      </c>
      <c r="BR59" s="18">
        <v>1680</v>
      </c>
      <c r="BS59" s="18">
        <v>1630</v>
      </c>
      <c r="BT59" s="18">
        <v>1690</v>
      </c>
      <c r="BU59" s="18">
        <v>1720</v>
      </c>
      <c r="BV59" s="18">
        <v>1680</v>
      </c>
      <c r="BW59" s="18">
        <v>1440</v>
      </c>
      <c r="BX59" s="18">
        <v>1640</v>
      </c>
      <c r="BY59" s="18">
        <v>1600</v>
      </c>
      <c r="BZ59" s="18">
        <v>1630</v>
      </c>
      <c r="CA59" s="18">
        <v>1590</v>
      </c>
      <c r="CB59" s="18">
        <v>1580</v>
      </c>
      <c r="CC59" s="18">
        <v>1620</v>
      </c>
      <c r="CD59" s="18">
        <v>1610</v>
      </c>
      <c r="CE59" s="18">
        <v>1570</v>
      </c>
      <c r="CF59" s="18">
        <v>1560</v>
      </c>
      <c r="CG59" s="18">
        <v>1480</v>
      </c>
      <c r="CH59" s="18">
        <v>1430</v>
      </c>
      <c r="CI59" s="18">
        <v>1550</v>
      </c>
      <c r="CJ59" s="18">
        <v>1380</v>
      </c>
      <c r="CK59" s="18">
        <v>1380</v>
      </c>
      <c r="CL59" s="18">
        <v>1360</v>
      </c>
      <c r="CM59" s="18">
        <v>1400</v>
      </c>
      <c r="CN59" s="18">
        <v>1480</v>
      </c>
      <c r="CO59" s="18">
        <v>1610</v>
      </c>
      <c r="CP59" s="18">
        <v>1600</v>
      </c>
      <c r="CQ59" s="18">
        <v>1510</v>
      </c>
      <c r="CR59" s="18">
        <v>1550</v>
      </c>
      <c r="CS59" s="18">
        <v>1470</v>
      </c>
      <c r="CT59" s="18">
        <v>1400</v>
      </c>
      <c r="CU59" s="18">
        <v>1610</v>
      </c>
      <c r="CV59" s="18">
        <v>1750</v>
      </c>
      <c r="CW59" s="18">
        <v>1730</v>
      </c>
      <c r="CX59" s="18">
        <v>1580</v>
      </c>
      <c r="CY59" s="18">
        <v>1530</v>
      </c>
      <c r="CZ59" s="18">
        <v>1640</v>
      </c>
      <c r="DA59" s="18">
        <v>1570</v>
      </c>
      <c r="DB59" s="18">
        <v>1540</v>
      </c>
      <c r="DC59" s="18">
        <v>1460</v>
      </c>
      <c r="DD59" s="18">
        <v>1390</v>
      </c>
      <c r="DE59" s="18">
        <v>1410</v>
      </c>
      <c r="DF59" s="18">
        <v>1380</v>
      </c>
      <c r="DG59" s="18">
        <v>1500</v>
      </c>
      <c r="DH59" s="18">
        <v>1480</v>
      </c>
      <c r="DI59" s="18">
        <v>1380</v>
      </c>
      <c r="DJ59" s="18">
        <v>1360</v>
      </c>
      <c r="DK59" s="18">
        <v>1480</v>
      </c>
      <c r="DL59" s="18">
        <v>1400</v>
      </c>
      <c r="DM59" s="18">
        <v>1410</v>
      </c>
      <c r="DN59" s="18">
        <v>1600</v>
      </c>
      <c r="DO59" s="18">
        <v>1710</v>
      </c>
      <c r="DP59" s="18">
        <v>1700</v>
      </c>
      <c r="DQ59" s="18">
        <v>1710</v>
      </c>
      <c r="DR59" s="18">
        <v>1740</v>
      </c>
      <c r="DS59" s="18">
        <v>1790</v>
      </c>
      <c r="DT59" s="18">
        <v>1900</v>
      </c>
      <c r="DU59" s="18">
        <v>1980</v>
      </c>
      <c r="DV59" s="18">
        <v>1800</v>
      </c>
      <c r="DW59" s="18">
        <v>1880</v>
      </c>
      <c r="DX59" s="18">
        <v>1660</v>
      </c>
      <c r="DY59" s="18">
        <v>1600</v>
      </c>
      <c r="DZ59" s="18">
        <v>1650</v>
      </c>
      <c r="EA59" s="18">
        <v>1860</v>
      </c>
      <c r="EB59" s="18">
        <v>2240</v>
      </c>
      <c r="EC59" s="18">
        <v>2410</v>
      </c>
      <c r="ED59" s="18">
        <v>2360</v>
      </c>
      <c r="EE59" s="18">
        <v>2240</v>
      </c>
      <c r="EF59" s="18">
        <v>2290</v>
      </c>
      <c r="EG59" s="18">
        <v>2510</v>
      </c>
      <c r="EH59" s="18">
        <v>2750</v>
      </c>
      <c r="EI59" s="18">
        <v>3230</v>
      </c>
      <c r="EJ59" s="18">
        <v>3210</v>
      </c>
      <c r="EK59" s="18">
        <v>2320</v>
      </c>
      <c r="EL59" s="18">
        <v>2030</v>
      </c>
      <c r="EM59" s="18">
        <v>1800</v>
      </c>
      <c r="EN59" s="18">
        <v>1540</v>
      </c>
      <c r="EO59" s="18">
        <v>1590</v>
      </c>
      <c r="EP59" s="18">
        <v>1770</v>
      </c>
      <c r="EQ59" s="18">
        <v>1900</v>
      </c>
      <c r="ER59" s="18">
        <v>1950</v>
      </c>
      <c r="ES59" s="18">
        <v>1990</v>
      </c>
      <c r="ET59" s="18">
        <v>2210</v>
      </c>
      <c r="EU59" s="18">
        <v>2210</v>
      </c>
      <c r="EV59" s="18">
        <v>2400</v>
      </c>
      <c r="EW59" s="18">
        <v>2530</v>
      </c>
      <c r="EX59" s="18">
        <v>2760</v>
      </c>
      <c r="EY59" s="18">
        <v>3220</v>
      </c>
      <c r="EZ59" s="18">
        <v>3670</v>
      </c>
      <c r="FA59" s="18">
        <v>3480</v>
      </c>
      <c r="FB59" s="18">
        <v>3520</v>
      </c>
      <c r="FC59" s="18">
        <v>3520</v>
      </c>
      <c r="FD59" s="18">
        <v>3360</v>
      </c>
      <c r="FE59" s="18">
        <v>3690</v>
      </c>
      <c r="FF59" s="18">
        <v>4320</v>
      </c>
      <c r="FG59" s="18">
        <v>4240</v>
      </c>
      <c r="FH59" s="18">
        <v>4250</v>
      </c>
      <c r="FI59" s="18">
        <v>4180</v>
      </c>
      <c r="FJ59" s="18">
        <v>4260</v>
      </c>
      <c r="FK59" s="18">
        <v>4620</v>
      </c>
      <c r="FL59" s="18">
        <v>4870</v>
      </c>
      <c r="FM59" s="18">
        <v>4910</v>
      </c>
      <c r="FN59" s="18">
        <v>4820</v>
      </c>
      <c r="FO59" s="18">
        <v>5550</v>
      </c>
      <c r="FP59" s="18">
        <v>6640</v>
      </c>
      <c r="FQ59" s="18">
        <v>6770</v>
      </c>
      <c r="FR59" s="18">
        <v>6790</v>
      </c>
      <c r="FS59" s="18">
        <v>6610</v>
      </c>
      <c r="FT59" s="18">
        <v>6590</v>
      </c>
      <c r="FU59" s="18">
        <v>7380</v>
      </c>
      <c r="FV59" s="18">
        <v>7290</v>
      </c>
      <c r="FW59" s="18">
        <v>6850</v>
      </c>
      <c r="FX59" s="18">
        <v>6710</v>
      </c>
      <c r="FY59" s="18">
        <v>6390</v>
      </c>
      <c r="FZ59" s="18">
        <v>5500</v>
      </c>
      <c r="GA59" s="18">
        <v>5150</v>
      </c>
      <c r="GB59" s="18">
        <v>5330</v>
      </c>
      <c r="GC59" s="18">
        <v>5460</v>
      </c>
      <c r="GD59" s="18">
        <v>5110</v>
      </c>
      <c r="GE59" s="18">
        <v>5250</v>
      </c>
      <c r="GF59" s="18">
        <v>6040</v>
      </c>
      <c r="GG59" s="18">
        <v>6310</v>
      </c>
      <c r="GH59" s="18">
        <v>6190</v>
      </c>
      <c r="GI59" s="18">
        <v>7170</v>
      </c>
      <c r="GJ59" s="18">
        <v>9180</v>
      </c>
      <c r="GK59" s="18">
        <v>8930</v>
      </c>
      <c r="GL59" s="18">
        <v>8710</v>
      </c>
      <c r="GM59" s="18">
        <v>8640</v>
      </c>
      <c r="GN59" s="18">
        <v>8800</v>
      </c>
      <c r="GO59" s="18">
        <v>8200</v>
      </c>
      <c r="GP59" s="18">
        <v>7400</v>
      </c>
      <c r="GQ59" s="18">
        <v>7330</v>
      </c>
      <c r="GR59" s="18">
        <v>7350</v>
      </c>
      <c r="GS59" s="18">
        <v>7380</v>
      </c>
      <c r="GT59" s="18">
        <v>6880</v>
      </c>
      <c r="GU59" s="18">
        <v>5770</v>
      </c>
      <c r="GV59" s="18">
        <v>5570</v>
      </c>
      <c r="GW59" s="18">
        <v>5280</v>
      </c>
      <c r="GX59" s="18">
        <v>4850</v>
      </c>
      <c r="GY59" s="18">
        <v>4730</v>
      </c>
      <c r="GZ59" s="18">
        <v>4820</v>
      </c>
      <c r="HA59" s="18">
        <v>5200</v>
      </c>
      <c r="HB59" s="18">
        <v>5620</v>
      </c>
      <c r="HC59" s="18">
        <v>5640</v>
      </c>
      <c r="HD59" s="18">
        <v>5360</v>
      </c>
      <c r="HE59" s="18">
        <v>5120</v>
      </c>
      <c r="HF59" s="18">
        <v>4910</v>
      </c>
      <c r="HG59" s="18">
        <v>4790</v>
      </c>
      <c r="HH59" s="18">
        <v>4640</v>
      </c>
      <c r="HI59" s="18">
        <v>4630</v>
      </c>
      <c r="HJ59" s="18">
        <v>4500</v>
      </c>
      <c r="HK59" s="18">
        <v>4410</v>
      </c>
      <c r="HL59" s="18">
        <v>4250</v>
      </c>
      <c r="HM59" s="18">
        <v>4260</v>
      </c>
      <c r="HN59" s="18">
        <v>4260</v>
      </c>
      <c r="HO59" s="18">
        <v>4200</v>
      </c>
      <c r="HP59" s="18">
        <v>4140</v>
      </c>
      <c r="HQ59" s="18">
        <v>4000</v>
      </c>
      <c r="HR59" s="18">
        <v>3910</v>
      </c>
      <c r="HS59" s="18">
        <v>3880</v>
      </c>
      <c r="HT59" s="18">
        <v>4010</v>
      </c>
      <c r="HU59" s="18">
        <v>3950</v>
      </c>
      <c r="HV59" s="18">
        <v>3820</v>
      </c>
      <c r="HW59" s="18">
        <v>3830</v>
      </c>
      <c r="HX59" s="18">
        <v>3660</v>
      </c>
      <c r="HY59" s="18">
        <v>3560</v>
      </c>
      <c r="HZ59" s="18">
        <v>3590</v>
      </c>
      <c r="IA59" s="18">
        <v>3470</v>
      </c>
      <c r="IB59" s="18">
        <v>3080</v>
      </c>
      <c r="IC59" s="18">
        <v>3070</v>
      </c>
      <c r="ID59" s="18">
        <v>3320</v>
      </c>
      <c r="IE59" s="18">
        <v>4020</v>
      </c>
      <c r="IF59" s="18">
        <v>5120</v>
      </c>
      <c r="IG59" s="18">
        <v>4920</v>
      </c>
      <c r="IH59" s="18">
        <v>4940</v>
      </c>
      <c r="II59" s="18">
        <v>4930</v>
      </c>
      <c r="IJ59" s="18">
        <v>4700</v>
      </c>
      <c r="IK59" s="18">
        <v>4400</v>
      </c>
      <c r="IL59" s="18">
        <v>4430</v>
      </c>
      <c r="IM59" s="18">
        <v>4350</v>
      </c>
      <c r="IN59" s="18">
        <v>4010</v>
      </c>
      <c r="IO59" s="18">
        <v>3900</v>
      </c>
      <c r="IP59" s="18">
        <v>3680</v>
      </c>
      <c r="IQ59" s="18">
        <v>3300</v>
      </c>
      <c r="IR59" s="18">
        <v>3260</v>
      </c>
      <c r="IS59" s="18">
        <v>3340</v>
      </c>
      <c r="IT59" s="18">
        <v>3820</v>
      </c>
      <c r="IU59" s="18">
        <v>3960</v>
      </c>
      <c r="IV59" s="18">
        <v>3620</v>
      </c>
      <c r="IW59" s="18">
        <v>3680</v>
      </c>
      <c r="IX59" s="18">
        <v>4150</v>
      </c>
      <c r="IY59" s="18">
        <v>4430</v>
      </c>
      <c r="IZ59" s="18">
        <v>4640</v>
      </c>
      <c r="JA59" s="18">
        <v>5010</v>
      </c>
      <c r="JB59" s="18">
        <v>5120</v>
      </c>
      <c r="JC59" s="18">
        <v>5530</v>
      </c>
      <c r="JD59" s="18">
        <v>5950</v>
      </c>
      <c r="JE59" s="18">
        <v>5890</v>
      </c>
      <c r="JF59" s="18">
        <v>5370</v>
      </c>
      <c r="JG59" s="18">
        <v>5120</v>
      </c>
      <c r="JH59" s="18">
        <v>4890</v>
      </c>
      <c r="JI59" s="18">
        <v>4630</v>
      </c>
      <c r="JJ59" s="18">
        <v>4410</v>
      </c>
      <c r="JK59" s="18">
        <v>4310</v>
      </c>
      <c r="JL59" s="18">
        <v>4190</v>
      </c>
      <c r="JM59" s="18">
        <v>4100</v>
      </c>
      <c r="JN59" s="18">
        <v>4020</v>
      </c>
      <c r="JO59" s="18">
        <v>4020</v>
      </c>
      <c r="JP59" s="18">
        <v>4290</v>
      </c>
      <c r="JQ59" s="18">
        <v>4330</v>
      </c>
      <c r="JR59" s="18">
        <v>4940</v>
      </c>
      <c r="JS59" s="18">
        <v>4790</v>
      </c>
      <c r="JT59" s="18">
        <v>6000</v>
      </c>
      <c r="JU59" s="18">
        <v>6740</v>
      </c>
      <c r="JV59" s="18">
        <v>6900</v>
      </c>
      <c r="JW59" s="18">
        <v>7840</v>
      </c>
      <c r="JX59" s="18">
        <v>6940</v>
      </c>
      <c r="JY59" s="18">
        <v>6390</v>
      </c>
      <c r="JZ59" s="18">
        <v>5990</v>
      </c>
      <c r="KA59" s="18">
        <v>5270</v>
      </c>
      <c r="KB59" s="18">
        <v>5180</v>
      </c>
      <c r="KC59" s="18">
        <v>4850</v>
      </c>
      <c r="KD59" s="18">
        <v>4810</v>
      </c>
      <c r="KE59" s="18">
        <v>4550</v>
      </c>
      <c r="KF59" s="18">
        <v>4280</v>
      </c>
      <c r="KG59" s="18">
        <v>4190</v>
      </c>
      <c r="KH59" s="18">
        <v>4010</v>
      </c>
      <c r="KI59" s="18">
        <v>3870</v>
      </c>
      <c r="KJ59" s="18">
        <v>3750</v>
      </c>
      <c r="KK59" s="18">
        <v>3650</v>
      </c>
      <c r="KL59" s="18">
        <v>3500</v>
      </c>
      <c r="KM59" s="18">
        <v>3370</v>
      </c>
      <c r="KN59" s="18">
        <v>3230</v>
      </c>
      <c r="KO59" s="18">
        <v>2860</v>
      </c>
      <c r="KP59" s="18">
        <v>2750</v>
      </c>
      <c r="KQ59" s="18">
        <v>2920</v>
      </c>
      <c r="KR59" s="18">
        <v>2820</v>
      </c>
      <c r="KS59" s="18">
        <v>2670</v>
      </c>
      <c r="KT59" s="18">
        <v>2620</v>
      </c>
      <c r="KU59" s="18">
        <v>2650</v>
      </c>
      <c r="KV59" s="18">
        <v>2670</v>
      </c>
      <c r="KW59" s="18">
        <v>2530</v>
      </c>
      <c r="KX59" s="18">
        <v>2570</v>
      </c>
      <c r="KY59" s="18">
        <v>2440</v>
      </c>
      <c r="KZ59" s="18">
        <v>2310</v>
      </c>
      <c r="LA59" s="18">
        <v>2290</v>
      </c>
      <c r="LB59" s="18">
        <v>2360</v>
      </c>
      <c r="LC59" s="18">
        <v>2400</v>
      </c>
      <c r="LD59" s="18">
        <v>2350</v>
      </c>
      <c r="LE59" s="18">
        <v>2280</v>
      </c>
      <c r="LF59" s="18">
        <v>2250</v>
      </c>
      <c r="LG59" s="18">
        <v>2220</v>
      </c>
      <c r="LH59" s="18">
        <v>2220</v>
      </c>
      <c r="LI59" s="18">
        <v>2260</v>
      </c>
      <c r="LJ59" s="18">
        <v>2180</v>
      </c>
      <c r="LK59" s="18">
        <v>2150</v>
      </c>
      <c r="LL59" s="18">
        <v>2150</v>
      </c>
      <c r="LM59" s="18">
        <v>2160</v>
      </c>
      <c r="LN59" s="18">
        <v>1950</v>
      </c>
      <c r="LO59" s="18">
        <v>1930</v>
      </c>
      <c r="LP59" s="18">
        <v>1870</v>
      </c>
      <c r="LQ59" s="18">
        <v>1860</v>
      </c>
      <c r="LR59" s="18">
        <v>2100</v>
      </c>
      <c r="LS59" s="18">
        <v>2040</v>
      </c>
      <c r="LT59" s="18">
        <v>1910</v>
      </c>
      <c r="LU59" s="18">
        <v>1810</v>
      </c>
      <c r="LV59" s="18">
        <v>1900</v>
      </c>
      <c r="LW59" s="18">
        <v>1870</v>
      </c>
      <c r="LX59" s="18">
        <v>1740</v>
      </c>
      <c r="LY59" s="18">
        <v>1720</v>
      </c>
      <c r="LZ59" s="18">
        <v>1860</v>
      </c>
      <c r="MA59" s="18">
        <v>1890</v>
      </c>
      <c r="MB59" s="18">
        <v>1740</v>
      </c>
      <c r="MC59" s="18">
        <v>1630</v>
      </c>
      <c r="MD59" s="18">
        <v>1600</v>
      </c>
      <c r="ME59" s="18">
        <v>1670</v>
      </c>
      <c r="MF59" s="18">
        <v>1600</v>
      </c>
      <c r="MG59" s="18">
        <v>1640</v>
      </c>
      <c r="MH59" s="18">
        <v>1560</v>
      </c>
      <c r="MI59" s="18">
        <v>1500</v>
      </c>
      <c r="MJ59" s="18">
        <v>1510</v>
      </c>
      <c r="MK59" s="18">
        <v>1590</v>
      </c>
      <c r="ML59" s="18">
        <v>1510</v>
      </c>
      <c r="MM59" s="18">
        <v>1630</v>
      </c>
      <c r="MN59" s="18">
        <v>1610</v>
      </c>
      <c r="MO59" s="18">
        <v>1630</v>
      </c>
      <c r="MP59" s="18">
        <v>1580</v>
      </c>
      <c r="MQ59" s="18">
        <v>1630</v>
      </c>
      <c r="MR59" s="18">
        <v>1690</v>
      </c>
      <c r="MS59" s="18">
        <v>1650</v>
      </c>
      <c r="MT59" s="18">
        <v>1570</v>
      </c>
      <c r="MU59" s="18">
        <v>1540</v>
      </c>
      <c r="MV59" s="18">
        <v>1420</v>
      </c>
      <c r="MW59" s="18">
        <v>1350</v>
      </c>
      <c r="MX59" s="18">
        <v>1330</v>
      </c>
      <c r="MY59" s="18">
        <v>1340</v>
      </c>
      <c r="MZ59" s="18">
        <v>1340</v>
      </c>
      <c r="NA59" s="18">
        <v>1370</v>
      </c>
      <c r="NB59" s="18">
        <v>1420</v>
      </c>
      <c r="NC59" s="18">
        <v>1490</v>
      </c>
      <c r="ND59" s="1">
        <v>1930</v>
      </c>
      <c r="NE59" s="1">
        <v>1740</v>
      </c>
      <c r="NF59" s="1">
        <v>1560</v>
      </c>
      <c r="NG59" s="1">
        <v>1540</v>
      </c>
      <c r="NH59" s="1">
        <v>2120</v>
      </c>
      <c r="NI59" s="1">
        <v>5060</v>
      </c>
      <c r="NJ59" s="1">
        <v>6400</v>
      </c>
      <c r="NK59" s="1">
        <v>4140</v>
      </c>
      <c r="NL59" s="1">
        <v>4370</v>
      </c>
      <c r="NM59" s="1">
        <v>4530</v>
      </c>
      <c r="NN59" s="1">
        <v>2180</v>
      </c>
      <c r="NO59" s="1">
        <v>1570</v>
      </c>
      <c r="NP59" s="1">
        <v>3102.9863013698632</v>
      </c>
      <c r="NQ59" s="1">
        <v>9180</v>
      </c>
      <c r="NR59" s="19">
        <v>42560</v>
      </c>
      <c r="NS59" s="1">
        <v>1330</v>
      </c>
      <c r="NT59" s="19">
        <v>42730</v>
      </c>
    </row>
    <row r="60" spans="1:384" x14ac:dyDescent="0.15">
      <c r="A60" s="1">
        <v>2007</v>
      </c>
      <c r="B60" s="18">
        <v>1490</v>
      </c>
      <c r="C60" s="18">
        <v>1640</v>
      </c>
      <c r="D60" s="18">
        <v>1870</v>
      </c>
      <c r="E60" s="18">
        <v>1940</v>
      </c>
      <c r="F60" s="18">
        <v>1890</v>
      </c>
      <c r="G60" s="18">
        <v>1720</v>
      </c>
      <c r="H60" s="18">
        <v>1690</v>
      </c>
      <c r="I60" s="18">
        <v>1780</v>
      </c>
      <c r="J60" s="18">
        <v>1830</v>
      </c>
      <c r="K60" s="18">
        <v>1820</v>
      </c>
      <c r="L60" s="18">
        <v>1630</v>
      </c>
      <c r="M60" s="18">
        <v>1500</v>
      </c>
      <c r="N60" s="18">
        <v>1580</v>
      </c>
      <c r="O60" s="18">
        <v>1570</v>
      </c>
      <c r="P60" s="18">
        <v>1420</v>
      </c>
      <c r="Q60" s="18">
        <v>1400</v>
      </c>
      <c r="R60" s="18">
        <v>1420</v>
      </c>
      <c r="S60" s="18">
        <v>1370</v>
      </c>
      <c r="T60" s="18">
        <v>1390</v>
      </c>
      <c r="U60" s="18">
        <v>1630</v>
      </c>
      <c r="V60" s="18">
        <v>1500</v>
      </c>
      <c r="W60" s="18">
        <v>1360</v>
      </c>
      <c r="X60" s="18">
        <v>1490</v>
      </c>
      <c r="Y60" s="18">
        <v>1660</v>
      </c>
      <c r="Z60" s="18">
        <v>1610</v>
      </c>
      <c r="AA60" s="18">
        <v>1600</v>
      </c>
      <c r="AB60" s="18">
        <v>1640</v>
      </c>
      <c r="AC60" s="18">
        <v>1550</v>
      </c>
      <c r="AD60" s="18">
        <v>1650</v>
      </c>
      <c r="AE60" s="18">
        <v>1660</v>
      </c>
      <c r="AF60" s="18">
        <v>1710</v>
      </c>
      <c r="AG60" s="18">
        <v>1630</v>
      </c>
      <c r="AH60" s="18">
        <v>1650</v>
      </c>
      <c r="AI60" s="18">
        <v>1620</v>
      </c>
      <c r="AJ60" s="18">
        <v>1500</v>
      </c>
      <c r="AK60" s="18">
        <v>1500</v>
      </c>
      <c r="AL60" s="18">
        <v>1440</v>
      </c>
      <c r="AM60" s="18">
        <v>1480</v>
      </c>
      <c r="AN60" s="18">
        <v>1620</v>
      </c>
      <c r="AO60" s="18">
        <v>1430</v>
      </c>
      <c r="AP60" s="18">
        <v>1390</v>
      </c>
      <c r="AQ60" s="18">
        <v>1430</v>
      </c>
      <c r="AR60" s="18">
        <v>1410</v>
      </c>
      <c r="AS60" s="18">
        <v>1400</v>
      </c>
      <c r="AT60" s="18">
        <v>1340</v>
      </c>
      <c r="AU60" s="18">
        <v>1370</v>
      </c>
      <c r="AV60" s="18">
        <v>1370</v>
      </c>
      <c r="AW60" s="18">
        <v>1350</v>
      </c>
      <c r="AX60" s="18">
        <v>1310</v>
      </c>
      <c r="AY60" s="18">
        <v>1280</v>
      </c>
      <c r="AZ60" s="18">
        <v>1200</v>
      </c>
      <c r="BA60" s="18">
        <v>1230</v>
      </c>
      <c r="BB60" s="18">
        <v>1220</v>
      </c>
      <c r="BC60" s="18">
        <v>1110</v>
      </c>
      <c r="BD60" s="18">
        <v>1050</v>
      </c>
      <c r="BE60" s="18">
        <v>1140</v>
      </c>
      <c r="BF60" s="18">
        <v>1160</v>
      </c>
      <c r="BG60" s="18">
        <v>1230</v>
      </c>
      <c r="BH60" s="18">
        <v>1250</v>
      </c>
      <c r="BI60" s="18"/>
      <c r="BJ60" s="18">
        <v>1280</v>
      </c>
      <c r="BK60" s="18">
        <v>1350</v>
      </c>
      <c r="BL60" s="18">
        <v>1300</v>
      </c>
      <c r="BM60" s="18">
        <v>1150</v>
      </c>
      <c r="BN60" s="18">
        <v>1180</v>
      </c>
      <c r="BO60" s="18">
        <v>1170</v>
      </c>
      <c r="BP60" s="18">
        <v>1350</v>
      </c>
      <c r="BQ60" s="18">
        <v>1300</v>
      </c>
      <c r="BR60" s="18">
        <v>1390</v>
      </c>
      <c r="BS60" s="18">
        <v>1360</v>
      </c>
      <c r="BT60" s="18">
        <v>1440</v>
      </c>
      <c r="BU60" s="18">
        <v>1330</v>
      </c>
      <c r="BV60" s="18">
        <v>1310</v>
      </c>
      <c r="BW60" s="18">
        <v>1280</v>
      </c>
      <c r="BX60" s="18">
        <v>1290</v>
      </c>
      <c r="BY60" s="18">
        <v>1350</v>
      </c>
      <c r="BZ60" s="18">
        <v>1440</v>
      </c>
      <c r="CA60" s="18">
        <v>1360</v>
      </c>
      <c r="CB60" s="18">
        <v>1340</v>
      </c>
      <c r="CC60" s="18">
        <v>1300</v>
      </c>
      <c r="CD60" s="18">
        <v>1360</v>
      </c>
      <c r="CE60" s="18">
        <v>1400</v>
      </c>
      <c r="CF60" s="18">
        <v>1290</v>
      </c>
      <c r="CG60" s="18">
        <v>1260</v>
      </c>
      <c r="CH60" s="18">
        <v>1280</v>
      </c>
      <c r="CI60" s="18">
        <v>1310</v>
      </c>
      <c r="CJ60" s="18">
        <v>1370</v>
      </c>
      <c r="CK60" s="18">
        <v>1230</v>
      </c>
      <c r="CL60" s="18">
        <v>1140</v>
      </c>
      <c r="CM60" s="18">
        <v>1130</v>
      </c>
      <c r="CN60" s="18">
        <v>1210</v>
      </c>
      <c r="CO60" s="18">
        <v>1220</v>
      </c>
      <c r="CP60" s="18">
        <v>1220</v>
      </c>
      <c r="CQ60" s="18">
        <v>1280</v>
      </c>
      <c r="CR60" s="18">
        <v>1480</v>
      </c>
      <c r="CS60" s="18">
        <v>1560</v>
      </c>
      <c r="CT60" s="18">
        <v>1730</v>
      </c>
      <c r="CU60" s="18">
        <v>1680</v>
      </c>
      <c r="CV60" s="18">
        <v>1410</v>
      </c>
      <c r="CW60" s="18">
        <v>1350</v>
      </c>
      <c r="CX60" s="18">
        <v>1360</v>
      </c>
      <c r="CY60" s="18">
        <v>1310</v>
      </c>
      <c r="CZ60" s="18">
        <v>1260</v>
      </c>
      <c r="DA60" s="18">
        <v>1250</v>
      </c>
      <c r="DB60" s="18">
        <v>1370</v>
      </c>
      <c r="DC60" s="18">
        <v>1420</v>
      </c>
      <c r="DD60" s="18">
        <v>1460</v>
      </c>
      <c r="DE60" s="18">
        <v>1380</v>
      </c>
      <c r="DF60" s="18">
        <v>1360</v>
      </c>
      <c r="DG60" s="18">
        <v>1390</v>
      </c>
      <c r="DH60" s="18">
        <v>1380</v>
      </c>
      <c r="DI60" s="18">
        <v>1320</v>
      </c>
      <c r="DJ60" s="18">
        <v>1280</v>
      </c>
      <c r="DK60" s="18">
        <v>1160</v>
      </c>
      <c r="DL60" s="18">
        <v>1160</v>
      </c>
      <c r="DM60" s="18">
        <v>1100</v>
      </c>
      <c r="DN60" s="18">
        <v>1080</v>
      </c>
      <c r="DO60" s="18">
        <v>1290</v>
      </c>
      <c r="DP60" s="18">
        <v>1410</v>
      </c>
      <c r="DQ60" s="18">
        <v>1420</v>
      </c>
      <c r="DR60" s="18">
        <v>1530</v>
      </c>
      <c r="DS60" s="18">
        <v>1420</v>
      </c>
      <c r="DT60" s="18">
        <v>1460</v>
      </c>
      <c r="DU60" s="18">
        <v>1550</v>
      </c>
      <c r="DV60" s="18">
        <v>1710</v>
      </c>
      <c r="DW60" s="18">
        <v>1400</v>
      </c>
      <c r="DX60" s="18">
        <v>1920</v>
      </c>
      <c r="DY60" s="18">
        <v>2090</v>
      </c>
      <c r="DZ60" s="18">
        <v>2020</v>
      </c>
      <c r="EA60" s="18">
        <v>2260</v>
      </c>
      <c r="EB60" s="18">
        <v>2030</v>
      </c>
      <c r="EC60" s="18">
        <v>1780</v>
      </c>
      <c r="ED60" s="18">
        <v>1550</v>
      </c>
      <c r="EE60" s="18">
        <v>1370</v>
      </c>
      <c r="EF60" s="18">
        <v>1590</v>
      </c>
      <c r="EG60" s="18">
        <v>2110</v>
      </c>
      <c r="EH60" s="18">
        <v>2150</v>
      </c>
      <c r="EI60" s="18">
        <v>2400</v>
      </c>
      <c r="EJ60" s="18">
        <v>3170</v>
      </c>
      <c r="EK60" s="18">
        <v>3600</v>
      </c>
      <c r="EL60" s="18">
        <v>4040</v>
      </c>
      <c r="EM60" s="18">
        <v>3500</v>
      </c>
      <c r="EN60" s="18">
        <v>3330</v>
      </c>
      <c r="EO60" s="18">
        <v>3170</v>
      </c>
      <c r="EP60" s="18">
        <v>2900</v>
      </c>
      <c r="EQ60" s="18">
        <v>2840</v>
      </c>
      <c r="ER60" s="18">
        <v>3020</v>
      </c>
      <c r="ES60" s="18">
        <v>2950</v>
      </c>
      <c r="ET60" s="18">
        <v>3160</v>
      </c>
      <c r="EU60" s="18">
        <v>3260</v>
      </c>
      <c r="EV60" s="18">
        <v>3210</v>
      </c>
      <c r="EW60" s="18">
        <v>3130</v>
      </c>
      <c r="EX60" s="18">
        <v>3030</v>
      </c>
      <c r="EY60" s="18">
        <v>2960</v>
      </c>
      <c r="EZ60" s="18">
        <v>2700</v>
      </c>
      <c r="FA60" s="18">
        <v>2550</v>
      </c>
      <c r="FB60" s="18">
        <v>2370</v>
      </c>
      <c r="FC60" s="18">
        <v>2510</v>
      </c>
      <c r="FD60" s="18">
        <v>2510</v>
      </c>
      <c r="FE60" s="18">
        <v>2500</v>
      </c>
      <c r="FF60" s="18">
        <v>2340</v>
      </c>
      <c r="FG60" s="18">
        <v>2280</v>
      </c>
      <c r="FH60" s="18">
        <v>2300</v>
      </c>
      <c r="FI60" s="18">
        <v>2340</v>
      </c>
      <c r="FJ60" s="18">
        <v>2730</v>
      </c>
      <c r="FK60" s="18">
        <v>2950</v>
      </c>
      <c r="FL60" s="18">
        <v>2950</v>
      </c>
      <c r="FM60" s="18">
        <v>2990</v>
      </c>
      <c r="FN60" s="18">
        <v>2770</v>
      </c>
      <c r="FO60" s="18">
        <v>2390</v>
      </c>
      <c r="FP60" s="18">
        <v>2340</v>
      </c>
      <c r="FQ60" s="18">
        <v>2230</v>
      </c>
      <c r="FR60" s="18">
        <v>2180</v>
      </c>
      <c r="FS60" s="18">
        <v>2440</v>
      </c>
      <c r="FT60" s="18">
        <v>2560</v>
      </c>
      <c r="FU60" s="18">
        <v>2650</v>
      </c>
      <c r="FV60" s="18">
        <v>2980</v>
      </c>
      <c r="FW60" s="18">
        <v>4050</v>
      </c>
      <c r="FX60" s="18">
        <v>4550</v>
      </c>
      <c r="FY60" s="18">
        <v>4690</v>
      </c>
      <c r="FZ60" s="18">
        <v>4530</v>
      </c>
      <c r="GA60" s="18">
        <v>4180</v>
      </c>
      <c r="GB60" s="18">
        <v>4190</v>
      </c>
      <c r="GC60" s="18">
        <v>4160</v>
      </c>
      <c r="GD60" s="18">
        <v>3770</v>
      </c>
      <c r="GE60" s="18">
        <v>3320</v>
      </c>
      <c r="GF60" s="18">
        <v>3410</v>
      </c>
      <c r="GG60" s="18">
        <v>3390</v>
      </c>
      <c r="GH60" s="18">
        <v>3510</v>
      </c>
      <c r="GI60" s="18">
        <v>3670</v>
      </c>
      <c r="GJ60" s="18">
        <v>3720</v>
      </c>
      <c r="GK60" s="18">
        <v>3860</v>
      </c>
      <c r="GL60" s="18">
        <v>4200</v>
      </c>
      <c r="GM60" s="18">
        <v>4640</v>
      </c>
      <c r="GN60" s="18">
        <v>4750</v>
      </c>
      <c r="GO60" s="18">
        <v>5000</v>
      </c>
      <c r="GP60" s="18">
        <v>5480</v>
      </c>
      <c r="GQ60" s="18">
        <v>5570</v>
      </c>
      <c r="GR60" s="18">
        <v>5340</v>
      </c>
      <c r="GS60" s="18">
        <v>5100</v>
      </c>
      <c r="GT60" s="18">
        <v>5270</v>
      </c>
      <c r="GU60" s="18">
        <v>5660</v>
      </c>
      <c r="GV60" s="18">
        <v>6680</v>
      </c>
      <c r="GW60" s="18">
        <v>6900</v>
      </c>
      <c r="GX60" s="18">
        <v>7920</v>
      </c>
      <c r="GY60" s="18">
        <v>12500</v>
      </c>
      <c r="GZ60" s="18">
        <v>15300</v>
      </c>
      <c r="HA60" s="18">
        <v>15700</v>
      </c>
      <c r="HB60" s="18">
        <v>13900</v>
      </c>
      <c r="HC60" s="18">
        <v>11500</v>
      </c>
      <c r="HD60" s="18">
        <v>9020</v>
      </c>
      <c r="HE60" s="18">
        <v>8190</v>
      </c>
      <c r="HF60" s="18">
        <v>7890</v>
      </c>
      <c r="HG60" s="18">
        <v>7780</v>
      </c>
      <c r="HH60" s="18">
        <v>8820</v>
      </c>
      <c r="HI60" s="18">
        <v>10800</v>
      </c>
      <c r="HJ60" s="18">
        <v>10300</v>
      </c>
      <c r="HK60" s="18">
        <v>9360</v>
      </c>
      <c r="HL60" s="18">
        <v>8370</v>
      </c>
      <c r="HM60" s="18">
        <v>7220</v>
      </c>
      <c r="HN60" s="18">
        <v>5760</v>
      </c>
      <c r="HO60" s="18">
        <v>5600</v>
      </c>
      <c r="HP60" s="18">
        <v>5710</v>
      </c>
      <c r="HQ60" s="18">
        <v>6370</v>
      </c>
      <c r="HR60" s="18">
        <v>6180</v>
      </c>
      <c r="HS60" s="18">
        <v>6360</v>
      </c>
      <c r="HT60" s="18">
        <v>6700</v>
      </c>
      <c r="HU60" s="18">
        <v>7340</v>
      </c>
      <c r="HV60" s="18">
        <v>7420</v>
      </c>
      <c r="HW60" s="18">
        <v>7110</v>
      </c>
      <c r="HX60" s="18">
        <v>7210</v>
      </c>
      <c r="HY60" s="18">
        <v>7190</v>
      </c>
      <c r="HZ60" s="18">
        <v>6800</v>
      </c>
      <c r="IA60" s="18">
        <v>6510</v>
      </c>
      <c r="IB60" s="18">
        <v>6360</v>
      </c>
      <c r="IC60" s="18">
        <v>6460</v>
      </c>
      <c r="ID60" s="18">
        <v>6350</v>
      </c>
      <c r="IE60" s="18">
        <v>6240</v>
      </c>
      <c r="IF60" s="18">
        <v>6350</v>
      </c>
      <c r="IG60" s="18">
        <v>6800</v>
      </c>
      <c r="IH60" s="18">
        <v>7070</v>
      </c>
      <c r="II60" s="18">
        <v>7250</v>
      </c>
      <c r="IJ60" s="18">
        <v>7160</v>
      </c>
      <c r="IK60" s="18">
        <v>6850</v>
      </c>
      <c r="IL60" s="18">
        <v>6420</v>
      </c>
      <c r="IM60" s="18">
        <v>7170</v>
      </c>
      <c r="IN60" s="18">
        <v>7680</v>
      </c>
      <c r="IO60" s="18">
        <v>8920</v>
      </c>
      <c r="IP60" s="18">
        <v>9580</v>
      </c>
      <c r="IQ60" s="18">
        <v>10500</v>
      </c>
      <c r="IR60" s="18">
        <v>10600</v>
      </c>
      <c r="IS60" s="18">
        <v>10200</v>
      </c>
      <c r="IT60" s="18">
        <v>9700</v>
      </c>
      <c r="IU60" s="18">
        <v>9040</v>
      </c>
      <c r="IV60" s="18">
        <v>8760</v>
      </c>
      <c r="IW60" s="18">
        <v>10200</v>
      </c>
      <c r="IX60" s="18">
        <v>11200</v>
      </c>
      <c r="IY60" s="18">
        <v>12900</v>
      </c>
      <c r="IZ60" s="18">
        <v>15200</v>
      </c>
      <c r="JA60" s="18">
        <v>14600</v>
      </c>
      <c r="JB60" s="18">
        <v>14100</v>
      </c>
      <c r="JC60" s="18">
        <v>13700</v>
      </c>
      <c r="JD60" s="18">
        <v>11500</v>
      </c>
      <c r="JE60" s="18">
        <v>10200</v>
      </c>
      <c r="JF60" s="18">
        <v>9610</v>
      </c>
      <c r="JG60" s="18">
        <v>9000</v>
      </c>
      <c r="JH60" s="18">
        <v>7910</v>
      </c>
      <c r="JI60" s="18">
        <v>7070</v>
      </c>
      <c r="JJ60" s="18">
        <v>7210</v>
      </c>
      <c r="JK60" s="18">
        <v>7090</v>
      </c>
      <c r="JL60" s="18">
        <v>6300</v>
      </c>
      <c r="JM60" s="18">
        <v>5750</v>
      </c>
      <c r="JN60" s="18">
        <v>5750</v>
      </c>
      <c r="JO60" s="18">
        <v>5680</v>
      </c>
      <c r="JP60" s="18">
        <v>5460</v>
      </c>
      <c r="JQ60" s="18">
        <v>5400</v>
      </c>
      <c r="JR60" s="18">
        <v>5290</v>
      </c>
      <c r="JS60" s="18">
        <v>5340</v>
      </c>
      <c r="JT60" s="18">
        <v>5370</v>
      </c>
      <c r="JU60" s="18">
        <v>5230</v>
      </c>
      <c r="JV60" s="18">
        <v>5150</v>
      </c>
      <c r="JW60" s="18">
        <v>5040</v>
      </c>
      <c r="JX60" s="18">
        <v>4930</v>
      </c>
      <c r="JY60" s="18">
        <v>4910</v>
      </c>
      <c r="JZ60" s="18">
        <v>5000</v>
      </c>
      <c r="KA60" s="18">
        <v>5030</v>
      </c>
      <c r="KB60" s="18">
        <v>5200</v>
      </c>
      <c r="KC60" s="18">
        <v>5180</v>
      </c>
      <c r="KD60" s="18">
        <v>5100</v>
      </c>
      <c r="KE60" s="18">
        <v>5040</v>
      </c>
      <c r="KF60" s="18">
        <v>5030</v>
      </c>
      <c r="KG60" s="18">
        <v>5070</v>
      </c>
      <c r="KH60" s="18">
        <v>5110</v>
      </c>
      <c r="KI60" s="18">
        <v>5130</v>
      </c>
      <c r="KJ60" s="18">
        <v>4850</v>
      </c>
      <c r="KK60" s="18">
        <v>4880</v>
      </c>
      <c r="KL60" s="18">
        <v>4940</v>
      </c>
      <c r="KM60" s="18">
        <v>4890</v>
      </c>
      <c r="KN60" s="18">
        <v>4720</v>
      </c>
      <c r="KO60" s="18">
        <v>4560</v>
      </c>
      <c r="KP60" s="18">
        <v>4260</v>
      </c>
      <c r="KQ60" s="18">
        <v>4180</v>
      </c>
      <c r="KR60" s="18">
        <v>3850</v>
      </c>
      <c r="KS60" s="18">
        <v>3550</v>
      </c>
      <c r="KT60" s="18">
        <v>3330</v>
      </c>
      <c r="KU60" s="18">
        <v>3280</v>
      </c>
      <c r="KV60" s="18">
        <v>3030</v>
      </c>
      <c r="KW60" s="18">
        <v>2980</v>
      </c>
      <c r="KX60" s="18">
        <v>3150</v>
      </c>
      <c r="KY60" s="18">
        <v>3100</v>
      </c>
      <c r="KZ60" s="18">
        <v>3150</v>
      </c>
      <c r="LA60" s="18">
        <v>3170</v>
      </c>
      <c r="LB60" s="18">
        <v>3060</v>
      </c>
      <c r="LC60" s="18">
        <v>2890</v>
      </c>
      <c r="LD60" s="18">
        <v>3010</v>
      </c>
      <c r="LE60" s="18">
        <v>3060</v>
      </c>
      <c r="LF60" s="18">
        <v>3060</v>
      </c>
      <c r="LG60" s="18">
        <v>2920</v>
      </c>
      <c r="LH60" s="18">
        <v>2980</v>
      </c>
      <c r="LI60" s="18">
        <v>3030</v>
      </c>
      <c r="LJ60" s="18">
        <v>2980</v>
      </c>
      <c r="LK60" s="18">
        <v>2670</v>
      </c>
      <c r="LL60" s="18">
        <v>2660</v>
      </c>
      <c r="LM60" s="18">
        <v>2680</v>
      </c>
      <c r="LN60" s="18">
        <v>2790</v>
      </c>
      <c r="LO60" s="18">
        <v>2710</v>
      </c>
      <c r="LP60" s="18">
        <v>2670</v>
      </c>
      <c r="LQ60" s="18">
        <v>2560</v>
      </c>
      <c r="LR60" s="18">
        <v>2510</v>
      </c>
      <c r="LS60" s="18">
        <v>2390</v>
      </c>
      <c r="LT60" s="18">
        <v>2310</v>
      </c>
      <c r="LU60" s="18">
        <v>2190</v>
      </c>
      <c r="LV60" s="18">
        <v>2120</v>
      </c>
      <c r="LW60" s="18">
        <v>2130</v>
      </c>
      <c r="LX60" s="18">
        <v>2350</v>
      </c>
      <c r="LY60" s="18">
        <v>2170</v>
      </c>
      <c r="LZ60" s="18">
        <v>2160</v>
      </c>
      <c r="MA60" s="18">
        <v>2020</v>
      </c>
      <c r="MB60" s="18">
        <v>2180</v>
      </c>
      <c r="MC60" s="18">
        <v>2200</v>
      </c>
      <c r="MD60" s="18">
        <v>2080</v>
      </c>
      <c r="ME60" s="18">
        <v>1870</v>
      </c>
      <c r="MF60" s="18">
        <v>1970</v>
      </c>
      <c r="MG60" s="18">
        <v>1950</v>
      </c>
      <c r="MH60" s="18">
        <v>1890</v>
      </c>
      <c r="MI60" s="18">
        <v>1880</v>
      </c>
      <c r="MJ60" s="18">
        <v>1980</v>
      </c>
      <c r="MK60" s="18">
        <v>1950</v>
      </c>
      <c r="ML60" s="18">
        <v>2060</v>
      </c>
      <c r="MM60" s="18">
        <v>2040</v>
      </c>
      <c r="MN60" s="18">
        <v>2070</v>
      </c>
      <c r="MO60" s="18">
        <v>1970</v>
      </c>
      <c r="MP60" s="18">
        <v>1720</v>
      </c>
      <c r="MQ60" s="18">
        <v>1700</v>
      </c>
      <c r="MR60" s="18">
        <v>1750</v>
      </c>
      <c r="MS60" s="18">
        <v>1690</v>
      </c>
      <c r="MT60" s="18">
        <v>1640</v>
      </c>
      <c r="MU60" s="18">
        <v>1720</v>
      </c>
      <c r="MV60" s="18">
        <v>1700</v>
      </c>
      <c r="MW60" s="18">
        <v>1810</v>
      </c>
      <c r="MX60" s="18">
        <v>1790</v>
      </c>
      <c r="MY60" s="18">
        <v>1650</v>
      </c>
      <c r="MZ60" s="18">
        <v>1530</v>
      </c>
      <c r="NA60" s="18">
        <v>1530</v>
      </c>
      <c r="NB60" s="18">
        <v>1480</v>
      </c>
      <c r="NC60" s="18">
        <v>1660</v>
      </c>
      <c r="ND60" s="1">
        <v>1610</v>
      </c>
      <c r="NE60" s="1">
        <v>1360</v>
      </c>
      <c r="NF60" s="1">
        <v>1300</v>
      </c>
      <c r="NG60" s="1">
        <v>1350</v>
      </c>
      <c r="NH60" s="1">
        <v>2450</v>
      </c>
      <c r="NI60" s="1">
        <v>2880</v>
      </c>
      <c r="NJ60" s="1">
        <v>6560</v>
      </c>
      <c r="NK60" s="1">
        <v>7150</v>
      </c>
      <c r="NL60" s="1">
        <v>9450</v>
      </c>
      <c r="NM60" s="1">
        <v>4870</v>
      </c>
      <c r="NN60" s="1">
        <v>2790</v>
      </c>
      <c r="NO60" s="1">
        <v>1860</v>
      </c>
      <c r="NP60" s="1">
        <v>3651.7808219178082</v>
      </c>
      <c r="NQ60" s="1">
        <v>15700</v>
      </c>
      <c r="NR60" s="19">
        <v>42577</v>
      </c>
      <c r="NS60" s="1">
        <v>1050</v>
      </c>
      <c r="NT60" s="19">
        <v>42424</v>
      </c>
    </row>
    <row r="61" spans="1:384" x14ac:dyDescent="0.15">
      <c r="A61" s="1">
        <v>2008</v>
      </c>
      <c r="B61" s="18">
        <v>1770</v>
      </c>
      <c r="C61" s="18">
        <v>1900</v>
      </c>
      <c r="D61" s="18">
        <v>1920</v>
      </c>
      <c r="E61" s="18">
        <v>2070</v>
      </c>
      <c r="F61" s="18">
        <v>1980</v>
      </c>
      <c r="G61" s="18">
        <v>1980</v>
      </c>
      <c r="H61" s="18">
        <v>1840</v>
      </c>
      <c r="I61" s="18">
        <v>1900</v>
      </c>
      <c r="J61" s="18">
        <v>1830</v>
      </c>
      <c r="K61" s="18">
        <v>1810</v>
      </c>
      <c r="L61" s="18">
        <v>1810</v>
      </c>
      <c r="M61" s="18">
        <v>1780</v>
      </c>
      <c r="N61" s="18">
        <v>1570</v>
      </c>
      <c r="O61" s="18">
        <v>1570</v>
      </c>
      <c r="P61" s="18">
        <v>1580</v>
      </c>
      <c r="Q61" s="18">
        <v>1470</v>
      </c>
      <c r="R61" s="18">
        <v>1530</v>
      </c>
      <c r="S61" s="18">
        <v>1710</v>
      </c>
      <c r="T61" s="18">
        <v>1730</v>
      </c>
      <c r="U61" s="18">
        <v>1760</v>
      </c>
      <c r="V61" s="18">
        <v>1820</v>
      </c>
      <c r="W61" s="18">
        <v>1690</v>
      </c>
      <c r="X61" s="18">
        <v>1650</v>
      </c>
      <c r="Y61" s="18">
        <v>1610</v>
      </c>
      <c r="Z61" s="18">
        <v>1600</v>
      </c>
      <c r="AA61" s="18">
        <v>1660</v>
      </c>
      <c r="AB61" s="18">
        <v>1630</v>
      </c>
      <c r="AC61" s="18">
        <v>1390</v>
      </c>
      <c r="AD61" s="18">
        <v>1160</v>
      </c>
      <c r="AE61" s="18">
        <v>1180</v>
      </c>
      <c r="AF61" s="18">
        <v>1160</v>
      </c>
      <c r="AG61" s="18">
        <v>1380</v>
      </c>
      <c r="AH61" s="18">
        <v>1450</v>
      </c>
      <c r="AI61" s="18">
        <v>1440</v>
      </c>
      <c r="AJ61" s="18">
        <v>1510</v>
      </c>
      <c r="AK61" s="18">
        <v>1480</v>
      </c>
      <c r="AL61" s="18">
        <v>1460</v>
      </c>
      <c r="AM61" s="18">
        <v>1470</v>
      </c>
      <c r="AN61" s="18">
        <v>1480</v>
      </c>
      <c r="AO61" s="18">
        <v>1480</v>
      </c>
      <c r="AP61" s="18">
        <v>1480</v>
      </c>
      <c r="AQ61" s="18">
        <v>1470</v>
      </c>
      <c r="AR61" s="18">
        <v>1460</v>
      </c>
      <c r="AS61" s="18">
        <v>1450</v>
      </c>
      <c r="AT61" s="18">
        <v>1490</v>
      </c>
      <c r="AU61" s="18">
        <v>1530</v>
      </c>
      <c r="AV61" s="18">
        <v>1520</v>
      </c>
      <c r="AW61" s="18">
        <v>1500</v>
      </c>
      <c r="AX61" s="18">
        <v>1490</v>
      </c>
      <c r="AY61" s="18">
        <v>1480</v>
      </c>
      <c r="AZ61" s="18">
        <v>1570</v>
      </c>
      <c r="BA61" s="18">
        <v>1610</v>
      </c>
      <c r="BB61" s="18">
        <v>1750</v>
      </c>
      <c r="BC61" s="18">
        <v>1690</v>
      </c>
      <c r="BD61" s="18">
        <v>1690</v>
      </c>
      <c r="BE61" s="18">
        <v>1710</v>
      </c>
      <c r="BF61" s="18">
        <v>1540</v>
      </c>
      <c r="BG61" s="18">
        <v>1420</v>
      </c>
      <c r="BH61" s="18">
        <v>1500</v>
      </c>
      <c r="BI61" s="18">
        <v>1440</v>
      </c>
      <c r="BJ61" s="18">
        <v>1640</v>
      </c>
      <c r="BK61" s="18">
        <v>1740</v>
      </c>
      <c r="BL61" s="18">
        <v>1540</v>
      </c>
      <c r="BM61" s="18">
        <v>1370</v>
      </c>
      <c r="BN61" s="18">
        <v>1400</v>
      </c>
      <c r="BO61" s="18">
        <v>1440</v>
      </c>
      <c r="BP61" s="18">
        <v>1690</v>
      </c>
      <c r="BQ61" s="18">
        <v>1700</v>
      </c>
      <c r="BR61" s="18">
        <v>1640</v>
      </c>
      <c r="BS61" s="18">
        <v>1600</v>
      </c>
      <c r="BT61" s="18">
        <v>1620</v>
      </c>
      <c r="BU61" s="18">
        <v>1630</v>
      </c>
      <c r="BV61" s="18">
        <v>1590</v>
      </c>
      <c r="BW61" s="18">
        <v>1520</v>
      </c>
      <c r="BX61" s="18">
        <v>1470</v>
      </c>
      <c r="BY61" s="18">
        <v>1500</v>
      </c>
      <c r="BZ61" s="18">
        <v>1410</v>
      </c>
      <c r="CA61" s="18">
        <v>1450</v>
      </c>
      <c r="CB61" s="18">
        <v>1500</v>
      </c>
      <c r="CC61" s="18">
        <v>1530</v>
      </c>
      <c r="CD61" s="18">
        <v>1540</v>
      </c>
      <c r="CE61" s="18">
        <v>1390</v>
      </c>
      <c r="CF61" s="18">
        <v>1300</v>
      </c>
      <c r="CG61" s="18">
        <v>1380</v>
      </c>
      <c r="CH61" s="18">
        <v>1530</v>
      </c>
      <c r="CI61" s="18">
        <v>1540</v>
      </c>
      <c r="CJ61" s="18">
        <v>1380</v>
      </c>
      <c r="CK61" s="18">
        <v>1400</v>
      </c>
      <c r="CL61" s="18">
        <v>1570</v>
      </c>
      <c r="CM61" s="18">
        <v>1480</v>
      </c>
      <c r="CN61" s="18">
        <v>1420</v>
      </c>
      <c r="CO61" s="18">
        <v>1390</v>
      </c>
      <c r="CP61" s="18">
        <v>1540</v>
      </c>
      <c r="CQ61" s="18">
        <v>1460</v>
      </c>
      <c r="CR61" s="18">
        <v>1480</v>
      </c>
      <c r="CS61" s="18">
        <v>1490</v>
      </c>
      <c r="CT61" s="18">
        <v>1360</v>
      </c>
      <c r="CU61" s="18">
        <v>1310</v>
      </c>
      <c r="CV61" s="18">
        <v>1220</v>
      </c>
      <c r="CW61" s="18">
        <v>1300</v>
      </c>
      <c r="CX61" s="18">
        <v>1340</v>
      </c>
      <c r="CY61" s="18">
        <v>1380</v>
      </c>
      <c r="CZ61" s="18">
        <v>1280</v>
      </c>
      <c r="DA61" s="18">
        <v>1380</v>
      </c>
      <c r="DB61" s="18">
        <v>1300</v>
      </c>
      <c r="DC61" s="18">
        <v>1340</v>
      </c>
      <c r="DD61" s="18">
        <v>1560</v>
      </c>
      <c r="DE61" s="18">
        <v>1470</v>
      </c>
      <c r="DF61" s="18">
        <v>1460</v>
      </c>
      <c r="DG61" s="18">
        <v>1450</v>
      </c>
      <c r="DH61" s="18">
        <v>1400</v>
      </c>
      <c r="DI61" s="18">
        <v>1360</v>
      </c>
      <c r="DJ61" s="18">
        <v>1290</v>
      </c>
      <c r="DK61" s="18">
        <v>1300</v>
      </c>
      <c r="DL61" s="18">
        <v>1310</v>
      </c>
      <c r="DM61" s="18">
        <v>1430</v>
      </c>
      <c r="DN61" s="18">
        <v>1640</v>
      </c>
      <c r="DO61" s="18">
        <v>1970</v>
      </c>
      <c r="DP61" s="18">
        <v>1960</v>
      </c>
      <c r="DQ61" s="18">
        <v>1760</v>
      </c>
      <c r="DR61" s="18">
        <v>2030</v>
      </c>
      <c r="DS61" s="18">
        <v>2400</v>
      </c>
      <c r="DT61" s="18">
        <v>2610</v>
      </c>
      <c r="DU61" s="18">
        <v>2910</v>
      </c>
      <c r="DV61" s="18">
        <v>2490</v>
      </c>
      <c r="DW61" s="18">
        <v>1710</v>
      </c>
      <c r="DX61" s="18">
        <v>1680</v>
      </c>
      <c r="DY61" s="18">
        <v>1800</v>
      </c>
      <c r="DZ61" s="18">
        <v>1930</v>
      </c>
      <c r="EA61" s="18">
        <v>1950</v>
      </c>
      <c r="EB61" s="18">
        <v>2030</v>
      </c>
      <c r="EC61" s="18">
        <v>2260</v>
      </c>
      <c r="ED61" s="18">
        <v>2510</v>
      </c>
      <c r="EE61" s="18">
        <v>2600</v>
      </c>
      <c r="EF61" s="18">
        <v>2280</v>
      </c>
      <c r="EG61" s="18">
        <v>2270</v>
      </c>
      <c r="EH61" s="18">
        <v>2240</v>
      </c>
      <c r="EI61" s="18">
        <v>2630</v>
      </c>
      <c r="EJ61" s="18">
        <v>2880</v>
      </c>
      <c r="EK61" s="18">
        <v>2820</v>
      </c>
      <c r="EL61" s="18">
        <v>2860</v>
      </c>
      <c r="EM61" s="18">
        <v>2890</v>
      </c>
      <c r="EN61" s="18">
        <v>3040</v>
      </c>
      <c r="EO61" s="18">
        <v>3280</v>
      </c>
      <c r="EP61" s="18">
        <v>3300</v>
      </c>
      <c r="EQ61" s="18">
        <v>3080</v>
      </c>
      <c r="ER61" s="18">
        <v>3100</v>
      </c>
      <c r="ES61" s="18">
        <v>3160</v>
      </c>
      <c r="ET61" s="18">
        <v>3210</v>
      </c>
      <c r="EU61" s="18">
        <v>3000</v>
      </c>
      <c r="EV61" s="18">
        <v>3060</v>
      </c>
      <c r="EW61" s="18">
        <v>3090</v>
      </c>
      <c r="EX61" s="18">
        <v>3140</v>
      </c>
      <c r="EY61" s="18">
        <v>3170</v>
      </c>
      <c r="EZ61" s="18">
        <v>3400</v>
      </c>
      <c r="FA61" s="18">
        <v>3560</v>
      </c>
      <c r="FB61" s="18">
        <v>3760</v>
      </c>
      <c r="FC61" s="18">
        <v>3820</v>
      </c>
      <c r="FD61" s="18">
        <v>4020</v>
      </c>
      <c r="FE61" s="18">
        <v>3540</v>
      </c>
      <c r="FF61" s="18">
        <v>3470</v>
      </c>
      <c r="FG61" s="18">
        <v>3640</v>
      </c>
      <c r="FH61" s="18">
        <v>4110</v>
      </c>
      <c r="FI61" s="18">
        <v>4190</v>
      </c>
      <c r="FJ61" s="18">
        <v>4600</v>
      </c>
      <c r="FK61" s="18">
        <v>4290</v>
      </c>
      <c r="FL61" s="18">
        <v>4240</v>
      </c>
      <c r="FM61" s="18">
        <v>4030</v>
      </c>
      <c r="FN61" s="18">
        <v>4800</v>
      </c>
      <c r="FO61" s="18">
        <v>5050</v>
      </c>
      <c r="FP61" s="18">
        <v>5010</v>
      </c>
      <c r="FQ61" s="18">
        <v>4760</v>
      </c>
      <c r="FR61" s="18">
        <v>4390</v>
      </c>
      <c r="FS61" s="18">
        <v>4260</v>
      </c>
      <c r="FT61" s="18">
        <v>4380</v>
      </c>
      <c r="FU61" s="18">
        <v>4610</v>
      </c>
      <c r="FV61" s="18">
        <v>4740</v>
      </c>
      <c r="FW61" s="18">
        <v>5260</v>
      </c>
      <c r="FX61" s="18">
        <v>5830</v>
      </c>
      <c r="FY61" s="18">
        <v>6040</v>
      </c>
      <c r="FZ61" s="18">
        <v>5940</v>
      </c>
      <c r="GA61" s="18">
        <v>5580</v>
      </c>
      <c r="GB61" s="18">
        <v>5480</v>
      </c>
      <c r="GC61" s="18">
        <v>5670</v>
      </c>
      <c r="GD61" s="18">
        <v>6370</v>
      </c>
      <c r="GE61" s="18">
        <v>6260</v>
      </c>
      <c r="GF61" s="18">
        <v>7360</v>
      </c>
      <c r="GG61" s="18">
        <v>8970</v>
      </c>
      <c r="GH61" s="18">
        <v>8350</v>
      </c>
      <c r="GI61" s="18">
        <v>8630</v>
      </c>
      <c r="GJ61" s="18">
        <v>8770</v>
      </c>
      <c r="GK61" s="18">
        <v>8080</v>
      </c>
      <c r="GL61" s="18">
        <v>6770</v>
      </c>
      <c r="GM61" s="18">
        <v>6280</v>
      </c>
      <c r="GN61" s="18">
        <v>6510</v>
      </c>
      <c r="GO61" s="18">
        <v>7710</v>
      </c>
      <c r="GP61" s="18">
        <v>7700</v>
      </c>
      <c r="GQ61" s="18">
        <v>7750</v>
      </c>
      <c r="GR61" s="18">
        <v>8370</v>
      </c>
      <c r="GS61" s="18">
        <v>8480</v>
      </c>
      <c r="GT61" s="18">
        <v>8800</v>
      </c>
      <c r="GU61" s="18">
        <v>9270</v>
      </c>
      <c r="GV61" s="18">
        <v>9060</v>
      </c>
      <c r="GW61" s="18">
        <v>8930</v>
      </c>
      <c r="GX61" s="18">
        <v>8530</v>
      </c>
      <c r="GY61" s="18">
        <v>7800</v>
      </c>
      <c r="GZ61" s="18">
        <v>7700</v>
      </c>
      <c r="HA61" s="18">
        <v>7540</v>
      </c>
      <c r="HB61" s="18">
        <v>6970</v>
      </c>
      <c r="HC61" s="18">
        <v>6850</v>
      </c>
      <c r="HD61" s="18">
        <v>6940</v>
      </c>
      <c r="HE61" s="18">
        <v>6990</v>
      </c>
      <c r="HF61" s="18">
        <v>6660</v>
      </c>
      <c r="HG61" s="18">
        <v>6450</v>
      </c>
      <c r="HH61" s="18">
        <v>6170</v>
      </c>
      <c r="HI61" s="18">
        <v>6310</v>
      </c>
      <c r="HJ61" s="18">
        <v>6400</v>
      </c>
      <c r="HK61" s="18">
        <v>7470</v>
      </c>
      <c r="HL61" s="18">
        <v>9040</v>
      </c>
      <c r="HM61" s="18">
        <v>10700</v>
      </c>
      <c r="HN61" s="18">
        <v>11200</v>
      </c>
      <c r="HO61" s="18">
        <v>11200</v>
      </c>
      <c r="HP61" s="18">
        <v>11100</v>
      </c>
      <c r="HQ61" s="18">
        <v>11000</v>
      </c>
      <c r="HR61" s="18">
        <v>11000</v>
      </c>
      <c r="HS61" s="18">
        <v>11600</v>
      </c>
      <c r="HT61" s="18">
        <v>11900</v>
      </c>
      <c r="HU61" s="18">
        <v>10900</v>
      </c>
      <c r="HV61" s="18">
        <v>10600</v>
      </c>
      <c r="HW61" s="18">
        <v>11200</v>
      </c>
      <c r="HX61" s="18">
        <v>11900</v>
      </c>
      <c r="HY61" s="18">
        <v>12700</v>
      </c>
      <c r="HZ61" s="18">
        <v>13000</v>
      </c>
      <c r="IA61" s="18">
        <v>12500</v>
      </c>
      <c r="IB61" s="18">
        <v>11500</v>
      </c>
      <c r="IC61" s="18">
        <v>10400</v>
      </c>
      <c r="ID61" s="18">
        <v>9170</v>
      </c>
      <c r="IE61" s="18">
        <v>8690</v>
      </c>
      <c r="IF61" s="18">
        <v>9440</v>
      </c>
      <c r="IG61" s="18">
        <v>11500</v>
      </c>
      <c r="IH61" s="18">
        <v>11900</v>
      </c>
      <c r="II61" s="18">
        <v>12900</v>
      </c>
      <c r="IJ61" s="18">
        <v>12800</v>
      </c>
      <c r="IK61" s="18">
        <v>13200</v>
      </c>
      <c r="IL61" s="18">
        <v>14600</v>
      </c>
      <c r="IM61" s="18">
        <v>14100</v>
      </c>
      <c r="IN61" s="18">
        <v>14200</v>
      </c>
      <c r="IO61" s="18">
        <v>14100</v>
      </c>
      <c r="IP61" s="18">
        <v>13200</v>
      </c>
      <c r="IQ61" s="18">
        <v>12100</v>
      </c>
      <c r="IR61" s="18">
        <v>12000</v>
      </c>
      <c r="IS61" s="18">
        <v>11700</v>
      </c>
      <c r="IT61" s="18">
        <v>11400</v>
      </c>
      <c r="IU61" s="18">
        <v>10200</v>
      </c>
      <c r="IV61" s="18">
        <v>9040</v>
      </c>
      <c r="IW61" s="18">
        <v>9000</v>
      </c>
      <c r="IX61" s="18">
        <v>9200</v>
      </c>
      <c r="IY61" s="18">
        <v>8660</v>
      </c>
      <c r="IZ61" s="18">
        <v>8840</v>
      </c>
      <c r="JA61" s="18">
        <v>9180</v>
      </c>
      <c r="JB61" s="18">
        <v>9210</v>
      </c>
      <c r="JC61" s="18">
        <v>9060</v>
      </c>
      <c r="JD61" s="18">
        <v>9000</v>
      </c>
      <c r="JE61" s="18">
        <v>8660</v>
      </c>
      <c r="JF61" s="18">
        <v>8370</v>
      </c>
      <c r="JG61" s="18">
        <v>8090</v>
      </c>
      <c r="JH61" s="18">
        <v>7940</v>
      </c>
      <c r="JI61" s="18">
        <v>7610</v>
      </c>
      <c r="JJ61" s="18">
        <v>6810</v>
      </c>
      <c r="JK61" s="18">
        <v>6480</v>
      </c>
      <c r="JL61" s="18">
        <v>6780</v>
      </c>
      <c r="JM61" s="18">
        <v>6730</v>
      </c>
      <c r="JN61" s="18">
        <v>6630</v>
      </c>
      <c r="JO61" s="18">
        <v>6430</v>
      </c>
      <c r="JP61" s="18">
        <v>6470</v>
      </c>
      <c r="JQ61" s="18">
        <v>7060</v>
      </c>
      <c r="JR61" s="18">
        <v>6750</v>
      </c>
      <c r="JS61" s="18">
        <v>6420</v>
      </c>
      <c r="JT61" s="18">
        <v>6840</v>
      </c>
      <c r="JU61" s="18">
        <v>6680</v>
      </c>
      <c r="JV61" s="18">
        <v>6100</v>
      </c>
      <c r="JW61" s="18">
        <v>6250</v>
      </c>
      <c r="JX61" s="18">
        <v>5950</v>
      </c>
      <c r="JY61" s="18">
        <v>5900</v>
      </c>
      <c r="JZ61" s="18">
        <v>5670</v>
      </c>
      <c r="KA61" s="18">
        <v>5560</v>
      </c>
      <c r="KB61" s="18">
        <v>5700</v>
      </c>
      <c r="KC61" s="18">
        <v>5570</v>
      </c>
      <c r="KD61" s="18">
        <v>5260</v>
      </c>
      <c r="KE61" s="18">
        <v>5110</v>
      </c>
      <c r="KF61" s="18">
        <v>4970</v>
      </c>
      <c r="KG61" s="18">
        <v>4880</v>
      </c>
      <c r="KH61" s="18">
        <v>4730</v>
      </c>
      <c r="KI61" s="18">
        <v>4420</v>
      </c>
      <c r="KJ61" s="18">
        <v>4240</v>
      </c>
      <c r="KK61" s="18">
        <v>4120</v>
      </c>
      <c r="KL61" s="18">
        <v>4030</v>
      </c>
      <c r="KM61" s="18">
        <v>3850</v>
      </c>
      <c r="KN61" s="18">
        <v>3820</v>
      </c>
      <c r="KO61" s="18">
        <v>3980</v>
      </c>
      <c r="KP61" s="18">
        <v>4010</v>
      </c>
      <c r="KQ61" s="18">
        <v>3960</v>
      </c>
      <c r="KR61" s="18">
        <v>4030</v>
      </c>
      <c r="KS61" s="18">
        <v>4770</v>
      </c>
      <c r="KT61" s="18">
        <v>5860</v>
      </c>
      <c r="KU61" s="18">
        <v>6490</v>
      </c>
      <c r="KV61" s="18">
        <v>6950</v>
      </c>
      <c r="KW61" s="18">
        <v>6950</v>
      </c>
      <c r="KX61" s="18">
        <v>5920</v>
      </c>
      <c r="KY61" s="18">
        <v>5110</v>
      </c>
      <c r="KZ61" s="18">
        <v>4870</v>
      </c>
      <c r="LA61" s="18">
        <v>4880</v>
      </c>
      <c r="LB61" s="18">
        <v>4620</v>
      </c>
      <c r="LC61" s="18">
        <v>4090</v>
      </c>
      <c r="LD61" s="18">
        <v>3910</v>
      </c>
      <c r="LE61" s="18">
        <v>3770</v>
      </c>
      <c r="LF61" s="18">
        <v>3740</v>
      </c>
      <c r="LG61" s="18">
        <v>3570</v>
      </c>
      <c r="LH61" s="18">
        <v>3480</v>
      </c>
      <c r="LI61" s="18">
        <v>3430</v>
      </c>
      <c r="LJ61" s="18">
        <v>3270</v>
      </c>
      <c r="LK61" s="18">
        <v>3140</v>
      </c>
      <c r="LL61" s="18">
        <v>3000</v>
      </c>
      <c r="LM61" s="18">
        <v>2960</v>
      </c>
      <c r="LN61" s="18">
        <v>2740</v>
      </c>
      <c r="LO61" s="18">
        <v>2780</v>
      </c>
      <c r="LP61" s="18">
        <v>2780</v>
      </c>
      <c r="LQ61" s="18">
        <v>2840</v>
      </c>
      <c r="LR61" s="18">
        <v>2900</v>
      </c>
      <c r="LS61" s="18">
        <v>2820</v>
      </c>
      <c r="LT61" s="18">
        <v>2690</v>
      </c>
      <c r="LU61" s="18">
        <v>2720</v>
      </c>
      <c r="LV61" s="18">
        <v>2460</v>
      </c>
      <c r="LW61" s="18">
        <v>2380</v>
      </c>
      <c r="LX61" s="18">
        <v>2400</v>
      </c>
      <c r="LY61" s="18">
        <v>2310</v>
      </c>
      <c r="LZ61" s="18">
        <v>2390</v>
      </c>
      <c r="MA61" s="18">
        <v>2380</v>
      </c>
      <c r="MB61" s="18">
        <v>2400</v>
      </c>
      <c r="MC61" s="18">
        <v>2430</v>
      </c>
      <c r="MD61" s="18">
        <v>2360</v>
      </c>
      <c r="ME61" s="18">
        <v>2330</v>
      </c>
      <c r="MF61" s="18">
        <v>2340</v>
      </c>
      <c r="MG61" s="18">
        <v>2380</v>
      </c>
      <c r="MH61" s="18">
        <v>2290</v>
      </c>
      <c r="MI61" s="18">
        <v>2070</v>
      </c>
      <c r="MJ61" s="18">
        <v>1970</v>
      </c>
      <c r="MK61" s="18">
        <v>1930</v>
      </c>
      <c r="ML61" s="18">
        <v>1860</v>
      </c>
      <c r="MM61" s="18">
        <v>1810</v>
      </c>
      <c r="MN61" s="18">
        <v>1920</v>
      </c>
      <c r="MO61" s="18">
        <v>2080</v>
      </c>
      <c r="MP61" s="18">
        <v>2060</v>
      </c>
      <c r="MQ61" s="18">
        <v>2130</v>
      </c>
      <c r="MR61" s="18">
        <v>2060</v>
      </c>
      <c r="MS61" s="18">
        <v>1970</v>
      </c>
      <c r="MT61" s="18">
        <v>1900</v>
      </c>
      <c r="MU61" s="18">
        <v>1950</v>
      </c>
      <c r="MV61" s="18">
        <v>1900</v>
      </c>
      <c r="MW61" s="18">
        <v>1860</v>
      </c>
      <c r="MX61" s="18">
        <v>1830</v>
      </c>
      <c r="MY61" s="18">
        <v>1820</v>
      </c>
      <c r="MZ61" s="18">
        <v>1870</v>
      </c>
      <c r="NA61" s="18">
        <v>1800</v>
      </c>
      <c r="NB61" s="18">
        <v>1880</v>
      </c>
      <c r="NC61" s="18">
        <v>1930</v>
      </c>
      <c r="ND61" s="1">
        <v>1680</v>
      </c>
      <c r="NE61" s="1">
        <v>1520</v>
      </c>
      <c r="NF61" s="1">
        <v>1510</v>
      </c>
      <c r="NG61" s="1">
        <v>1470</v>
      </c>
      <c r="NH61" s="1">
        <v>2620</v>
      </c>
      <c r="NI61" s="1">
        <v>4390</v>
      </c>
      <c r="NJ61" s="1">
        <v>7600</v>
      </c>
      <c r="NK61" s="1">
        <v>10500</v>
      </c>
      <c r="NL61" s="1">
        <v>9640</v>
      </c>
      <c r="NM61" s="1">
        <v>5260</v>
      </c>
      <c r="NN61" s="1">
        <v>3790</v>
      </c>
      <c r="NO61" s="1">
        <v>2070</v>
      </c>
      <c r="NP61" s="1">
        <v>4347.2950819672133</v>
      </c>
      <c r="NQ61" s="1">
        <v>14600</v>
      </c>
      <c r="NR61" s="19">
        <v>42614</v>
      </c>
      <c r="NS61" s="1">
        <v>1160</v>
      </c>
      <c r="NT61" s="19">
        <v>42398</v>
      </c>
    </row>
    <row r="62" spans="1:384" x14ac:dyDescent="0.15">
      <c r="A62" s="1">
        <v>2009</v>
      </c>
      <c r="B62" s="18">
        <v>1820</v>
      </c>
      <c r="C62" s="18">
        <v>1980</v>
      </c>
      <c r="D62" s="18">
        <v>2050</v>
      </c>
      <c r="E62" s="18">
        <v>2150</v>
      </c>
      <c r="F62" s="18">
        <v>2140</v>
      </c>
      <c r="G62" s="18">
        <v>2060</v>
      </c>
      <c r="H62" s="18">
        <v>1930</v>
      </c>
      <c r="I62" s="18">
        <v>2060</v>
      </c>
      <c r="J62" s="18">
        <v>2100</v>
      </c>
      <c r="K62" s="18">
        <v>2020</v>
      </c>
      <c r="L62" s="18">
        <v>1970</v>
      </c>
      <c r="M62" s="18">
        <v>1950</v>
      </c>
      <c r="N62" s="18">
        <v>2060</v>
      </c>
      <c r="O62" s="18">
        <v>1970</v>
      </c>
      <c r="P62" s="18">
        <v>1880</v>
      </c>
      <c r="Q62" s="18">
        <v>1910</v>
      </c>
      <c r="R62" s="18">
        <v>1920</v>
      </c>
      <c r="S62" s="18">
        <v>1970</v>
      </c>
      <c r="T62" s="18">
        <v>1870</v>
      </c>
      <c r="U62" s="18">
        <v>1890</v>
      </c>
      <c r="V62" s="18">
        <v>1840</v>
      </c>
      <c r="W62" s="18">
        <v>1800</v>
      </c>
      <c r="X62" s="18">
        <v>1820</v>
      </c>
      <c r="Y62" s="18">
        <v>1730</v>
      </c>
      <c r="Z62" s="18">
        <v>1740</v>
      </c>
      <c r="AA62" s="18">
        <v>1750</v>
      </c>
      <c r="AB62" s="18">
        <v>1810</v>
      </c>
      <c r="AC62" s="18">
        <v>1680</v>
      </c>
      <c r="AD62" s="18">
        <v>1660</v>
      </c>
      <c r="AE62" s="18">
        <v>1660</v>
      </c>
      <c r="AF62" s="18">
        <v>1610</v>
      </c>
      <c r="AG62" s="18">
        <v>1660</v>
      </c>
      <c r="AH62" s="18">
        <v>1720</v>
      </c>
      <c r="AI62" s="18">
        <v>1640</v>
      </c>
      <c r="AJ62" s="18">
        <v>1720</v>
      </c>
      <c r="AK62" s="18">
        <v>1820</v>
      </c>
      <c r="AL62" s="18">
        <v>1950</v>
      </c>
      <c r="AM62" s="18">
        <v>2020</v>
      </c>
      <c r="AN62" s="18">
        <v>1970</v>
      </c>
      <c r="AO62" s="18">
        <v>1850</v>
      </c>
      <c r="AP62" s="18">
        <v>1700</v>
      </c>
      <c r="AQ62" s="18">
        <v>1720</v>
      </c>
      <c r="AR62" s="18">
        <v>1780</v>
      </c>
      <c r="AS62" s="18">
        <v>1790</v>
      </c>
      <c r="AT62" s="18">
        <v>1800</v>
      </c>
      <c r="AU62" s="18">
        <v>1800</v>
      </c>
      <c r="AV62" s="18">
        <v>1820</v>
      </c>
      <c r="AW62" s="18">
        <v>1840</v>
      </c>
      <c r="AX62" s="18">
        <v>1820</v>
      </c>
      <c r="AY62" s="18">
        <v>1800</v>
      </c>
      <c r="AZ62" s="18">
        <v>1740</v>
      </c>
      <c r="BA62" s="18">
        <v>1700</v>
      </c>
      <c r="BB62" s="18">
        <v>1710</v>
      </c>
      <c r="BC62" s="18">
        <v>1650</v>
      </c>
      <c r="BD62" s="18">
        <v>1560</v>
      </c>
      <c r="BE62" s="18">
        <v>1670</v>
      </c>
      <c r="BF62" s="18">
        <v>1670</v>
      </c>
      <c r="BG62" s="18">
        <v>1640</v>
      </c>
      <c r="BH62" s="18">
        <v>1620</v>
      </c>
      <c r="BI62" s="18"/>
      <c r="BJ62" s="18">
        <v>1620</v>
      </c>
      <c r="BK62" s="18">
        <v>1700</v>
      </c>
      <c r="BL62" s="18">
        <v>1690</v>
      </c>
      <c r="BM62" s="18">
        <v>1660</v>
      </c>
      <c r="BN62" s="18">
        <v>1710</v>
      </c>
      <c r="BO62" s="18">
        <v>1770</v>
      </c>
      <c r="BP62" s="18">
        <v>1740</v>
      </c>
      <c r="BQ62" s="18">
        <v>1710</v>
      </c>
      <c r="BR62" s="18">
        <v>1730</v>
      </c>
      <c r="BS62" s="18">
        <v>1580</v>
      </c>
      <c r="BT62" s="18">
        <v>1660</v>
      </c>
      <c r="BU62" s="18">
        <v>1630</v>
      </c>
      <c r="BV62" s="18">
        <v>1630</v>
      </c>
      <c r="BW62" s="18">
        <v>1610</v>
      </c>
      <c r="BX62" s="18">
        <v>1450</v>
      </c>
      <c r="BY62" s="18">
        <v>1550</v>
      </c>
      <c r="BZ62" s="18">
        <v>1550</v>
      </c>
      <c r="CA62" s="18">
        <v>1350</v>
      </c>
      <c r="CB62" s="18">
        <v>1240</v>
      </c>
      <c r="CC62" s="18">
        <v>1250</v>
      </c>
      <c r="CD62" s="18">
        <v>1250</v>
      </c>
      <c r="CE62" s="18">
        <v>1390</v>
      </c>
      <c r="CF62" s="18">
        <v>1480</v>
      </c>
      <c r="CG62" s="18">
        <v>1380</v>
      </c>
      <c r="CH62" s="18">
        <v>1290</v>
      </c>
      <c r="CI62" s="18">
        <v>1360</v>
      </c>
      <c r="CJ62" s="18">
        <v>1290</v>
      </c>
      <c r="CK62" s="18">
        <v>1230</v>
      </c>
      <c r="CL62" s="18">
        <v>1210</v>
      </c>
      <c r="CM62" s="18">
        <v>1360</v>
      </c>
      <c r="CN62" s="18">
        <v>1360</v>
      </c>
      <c r="CO62" s="18">
        <v>1380</v>
      </c>
      <c r="CP62" s="18">
        <v>1380</v>
      </c>
      <c r="CQ62" s="18">
        <v>1450</v>
      </c>
      <c r="CR62" s="18">
        <v>1400</v>
      </c>
      <c r="CS62" s="18">
        <v>1360</v>
      </c>
      <c r="CT62" s="18">
        <v>1470</v>
      </c>
      <c r="CU62" s="18">
        <v>1540</v>
      </c>
      <c r="CV62" s="18">
        <v>1580</v>
      </c>
      <c r="CW62" s="18">
        <v>1680</v>
      </c>
      <c r="CX62" s="18">
        <v>1650</v>
      </c>
      <c r="CY62" s="18">
        <v>1510</v>
      </c>
      <c r="CZ62" s="18">
        <v>1390</v>
      </c>
      <c r="DA62" s="18">
        <v>1360</v>
      </c>
      <c r="DB62" s="18">
        <v>1340</v>
      </c>
      <c r="DC62" s="18">
        <v>1400</v>
      </c>
      <c r="DD62" s="18">
        <v>1520</v>
      </c>
      <c r="DE62" s="18">
        <v>1640</v>
      </c>
      <c r="DF62" s="18">
        <v>1790</v>
      </c>
      <c r="DG62" s="18">
        <v>1590</v>
      </c>
      <c r="DH62" s="18">
        <v>1410</v>
      </c>
      <c r="DI62" s="18">
        <v>1470</v>
      </c>
      <c r="DJ62" s="18">
        <v>1540</v>
      </c>
      <c r="DK62" s="18">
        <v>1690</v>
      </c>
      <c r="DL62" s="18">
        <v>1920</v>
      </c>
      <c r="DM62" s="18">
        <v>1810</v>
      </c>
      <c r="DN62" s="18">
        <v>1680</v>
      </c>
      <c r="DO62" s="18">
        <v>1830</v>
      </c>
      <c r="DP62" s="18">
        <v>1990</v>
      </c>
      <c r="DQ62" s="18">
        <v>2120</v>
      </c>
      <c r="DR62" s="18">
        <v>2050</v>
      </c>
      <c r="DS62" s="18">
        <v>2170</v>
      </c>
      <c r="DT62" s="18">
        <v>1980</v>
      </c>
      <c r="DU62" s="18">
        <v>1840</v>
      </c>
      <c r="DV62" s="18">
        <v>1870</v>
      </c>
      <c r="DW62" s="18">
        <v>1900</v>
      </c>
      <c r="DX62" s="18">
        <v>1920</v>
      </c>
      <c r="DY62" s="18">
        <v>1880</v>
      </c>
      <c r="DZ62" s="18">
        <v>1940</v>
      </c>
      <c r="EA62" s="18">
        <v>2050</v>
      </c>
      <c r="EB62" s="18">
        <v>2370</v>
      </c>
      <c r="EC62" s="18">
        <v>2190</v>
      </c>
      <c r="ED62" s="18">
        <v>1670</v>
      </c>
      <c r="EE62" s="18">
        <v>1430</v>
      </c>
      <c r="EF62" s="18">
        <v>1330</v>
      </c>
      <c r="EG62" s="18">
        <v>1380</v>
      </c>
      <c r="EH62" s="18">
        <v>1450</v>
      </c>
      <c r="EI62" s="18">
        <v>1440</v>
      </c>
      <c r="EJ62" s="18">
        <v>1330</v>
      </c>
      <c r="EK62" s="18">
        <v>1280</v>
      </c>
      <c r="EL62" s="18">
        <v>1280</v>
      </c>
      <c r="EM62" s="18">
        <v>1340</v>
      </c>
      <c r="EN62" s="18">
        <v>1660</v>
      </c>
      <c r="EO62" s="18">
        <v>1700</v>
      </c>
      <c r="EP62" s="18">
        <v>1490</v>
      </c>
      <c r="EQ62" s="18">
        <v>1440</v>
      </c>
      <c r="ER62" s="18">
        <v>1410</v>
      </c>
      <c r="ES62" s="18">
        <v>1450</v>
      </c>
      <c r="ET62" s="18">
        <v>1610</v>
      </c>
      <c r="EU62" s="18">
        <v>1440</v>
      </c>
      <c r="EV62" s="18">
        <v>1410</v>
      </c>
      <c r="EW62" s="18">
        <v>1580</v>
      </c>
      <c r="EX62" s="18">
        <v>1850</v>
      </c>
      <c r="EY62" s="18">
        <v>1890</v>
      </c>
      <c r="EZ62" s="18">
        <v>2060</v>
      </c>
      <c r="FA62" s="18">
        <v>2190</v>
      </c>
      <c r="FB62" s="18">
        <v>2040</v>
      </c>
      <c r="FC62" s="18">
        <v>1970</v>
      </c>
      <c r="FD62" s="18">
        <v>2240</v>
      </c>
      <c r="FE62" s="18">
        <v>2000</v>
      </c>
      <c r="FF62" s="18">
        <v>1790</v>
      </c>
      <c r="FG62" s="18">
        <v>1740</v>
      </c>
      <c r="FH62" s="18">
        <v>1960</v>
      </c>
      <c r="FI62" s="18">
        <v>2210</v>
      </c>
      <c r="FJ62" s="18">
        <v>2750</v>
      </c>
      <c r="FK62" s="18">
        <v>2750</v>
      </c>
      <c r="FL62" s="18">
        <v>2860</v>
      </c>
      <c r="FM62" s="18">
        <v>3300</v>
      </c>
      <c r="FN62" s="18">
        <v>4240</v>
      </c>
      <c r="FO62" s="18">
        <v>4620</v>
      </c>
      <c r="FP62" s="18">
        <v>4720</v>
      </c>
      <c r="FQ62" s="18">
        <v>4410</v>
      </c>
      <c r="FR62" s="18">
        <v>3750</v>
      </c>
      <c r="FS62" s="18">
        <v>4320</v>
      </c>
      <c r="FT62" s="18">
        <v>4550</v>
      </c>
      <c r="FU62" s="18">
        <v>4510</v>
      </c>
      <c r="FV62" s="18">
        <v>4270</v>
      </c>
      <c r="FW62" s="18">
        <v>4270</v>
      </c>
      <c r="FX62" s="18">
        <v>4400</v>
      </c>
      <c r="FY62" s="18">
        <v>4540</v>
      </c>
      <c r="FZ62" s="18">
        <v>4400</v>
      </c>
      <c r="GA62" s="18">
        <v>5030</v>
      </c>
      <c r="GB62" s="18">
        <v>6120</v>
      </c>
      <c r="GC62" s="18">
        <v>5900</v>
      </c>
      <c r="GD62" s="18">
        <v>6060</v>
      </c>
      <c r="GE62" s="18">
        <v>6140</v>
      </c>
      <c r="GF62" s="18">
        <v>6310</v>
      </c>
      <c r="GG62" s="18">
        <v>6820</v>
      </c>
      <c r="GH62" s="18">
        <v>6620</v>
      </c>
      <c r="GI62" s="18">
        <v>6480</v>
      </c>
      <c r="GJ62" s="18">
        <v>6460</v>
      </c>
      <c r="GK62" s="18">
        <v>6680</v>
      </c>
      <c r="GL62" s="18">
        <v>7790</v>
      </c>
      <c r="GM62" s="18">
        <v>10000</v>
      </c>
      <c r="GN62" s="18">
        <v>11500</v>
      </c>
      <c r="GO62" s="18">
        <v>12300</v>
      </c>
      <c r="GP62" s="18">
        <v>12200</v>
      </c>
      <c r="GQ62" s="18">
        <v>11600</v>
      </c>
      <c r="GR62" s="18">
        <v>9860</v>
      </c>
      <c r="GS62" s="18">
        <v>8510</v>
      </c>
      <c r="GT62" s="18">
        <v>8110</v>
      </c>
      <c r="GU62" s="18">
        <v>7960</v>
      </c>
      <c r="GV62" s="18">
        <v>7890</v>
      </c>
      <c r="GW62" s="18">
        <v>7720</v>
      </c>
      <c r="GX62" s="18">
        <v>7300</v>
      </c>
      <c r="GY62" s="18">
        <v>6520</v>
      </c>
      <c r="GZ62" s="18">
        <v>7090</v>
      </c>
      <c r="HA62" s="18">
        <v>7910</v>
      </c>
      <c r="HB62" s="18">
        <v>8990</v>
      </c>
      <c r="HC62" s="18">
        <v>10300</v>
      </c>
      <c r="HD62" s="18">
        <v>11500</v>
      </c>
      <c r="HE62" s="18">
        <v>12400</v>
      </c>
      <c r="HF62" s="18">
        <v>13000</v>
      </c>
      <c r="HG62" s="18">
        <v>13000</v>
      </c>
      <c r="HH62" s="18">
        <v>13000</v>
      </c>
      <c r="HI62" s="18">
        <v>12500</v>
      </c>
      <c r="HJ62" s="18">
        <v>12300</v>
      </c>
      <c r="HK62" s="18">
        <v>12700</v>
      </c>
      <c r="HL62" s="18">
        <v>13000</v>
      </c>
      <c r="HM62" s="18">
        <v>13100</v>
      </c>
      <c r="HN62" s="18">
        <v>12900</v>
      </c>
      <c r="HO62" s="18">
        <v>11700</v>
      </c>
      <c r="HP62" s="18">
        <v>11000</v>
      </c>
      <c r="HQ62" s="18">
        <v>10100</v>
      </c>
      <c r="HR62" s="18">
        <v>10400</v>
      </c>
      <c r="HS62" s="18">
        <v>13500</v>
      </c>
      <c r="HT62" s="18">
        <v>15600</v>
      </c>
      <c r="HU62" s="18">
        <v>16700</v>
      </c>
      <c r="HV62" s="18">
        <v>16200</v>
      </c>
      <c r="HW62" s="18">
        <v>14900</v>
      </c>
      <c r="HX62" s="18">
        <v>13500</v>
      </c>
      <c r="HY62" s="18">
        <v>12500</v>
      </c>
      <c r="HZ62" s="18">
        <v>12100</v>
      </c>
      <c r="IA62" s="18">
        <v>12100</v>
      </c>
      <c r="IB62" s="18">
        <v>11700</v>
      </c>
      <c r="IC62" s="18">
        <v>11700</v>
      </c>
      <c r="ID62" s="18">
        <v>11600</v>
      </c>
      <c r="IE62" s="18">
        <v>10700</v>
      </c>
      <c r="IF62" s="18">
        <v>9130</v>
      </c>
      <c r="IG62" s="18">
        <v>9240</v>
      </c>
      <c r="IH62" s="18">
        <v>9000</v>
      </c>
      <c r="II62" s="18">
        <v>9110</v>
      </c>
      <c r="IJ62" s="18">
        <v>9780</v>
      </c>
      <c r="IK62" s="18">
        <v>10300</v>
      </c>
      <c r="IL62" s="18">
        <v>9760</v>
      </c>
      <c r="IM62" s="18">
        <v>8910</v>
      </c>
      <c r="IN62" s="18">
        <v>8080</v>
      </c>
      <c r="IO62" s="18">
        <v>7780</v>
      </c>
      <c r="IP62" s="18">
        <v>7080</v>
      </c>
      <c r="IQ62" s="18">
        <v>6760</v>
      </c>
      <c r="IR62" s="18">
        <v>6650</v>
      </c>
      <c r="IS62" s="18">
        <v>6720</v>
      </c>
      <c r="IT62" s="18">
        <v>6150</v>
      </c>
      <c r="IU62" s="18">
        <v>6010</v>
      </c>
      <c r="IV62" s="18">
        <v>5930</v>
      </c>
      <c r="IW62" s="18">
        <v>5890</v>
      </c>
      <c r="IX62" s="18">
        <v>5740</v>
      </c>
      <c r="IY62" s="18">
        <v>5760</v>
      </c>
      <c r="IZ62" s="18">
        <v>5690</v>
      </c>
      <c r="JA62" s="18">
        <v>5770</v>
      </c>
      <c r="JB62" s="18">
        <v>5800</v>
      </c>
      <c r="JC62" s="18">
        <v>6030</v>
      </c>
      <c r="JD62" s="18">
        <v>6060</v>
      </c>
      <c r="JE62" s="18">
        <v>6020</v>
      </c>
      <c r="JF62" s="18">
        <v>6470</v>
      </c>
      <c r="JG62" s="18">
        <v>7980</v>
      </c>
      <c r="JH62" s="18">
        <v>7700</v>
      </c>
      <c r="JI62" s="18">
        <v>7820</v>
      </c>
      <c r="JJ62" s="18">
        <v>7330</v>
      </c>
      <c r="JK62" s="18">
        <v>7380</v>
      </c>
      <c r="JL62" s="18">
        <v>7640</v>
      </c>
      <c r="JM62" s="18">
        <v>8930</v>
      </c>
      <c r="JN62" s="18">
        <v>8990</v>
      </c>
      <c r="JO62" s="18">
        <v>8070</v>
      </c>
      <c r="JP62" s="18">
        <v>7210</v>
      </c>
      <c r="JQ62" s="18">
        <v>6680</v>
      </c>
      <c r="JR62" s="18">
        <v>6240</v>
      </c>
      <c r="JS62" s="18">
        <v>5950</v>
      </c>
      <c r="JT62" s="18">
        <v>6320</v>
      </c>
      <c r="JU62" s="18">
        <v>6030</v>
      </c>
      <c r="JV62" s="18">
        <v>5720</v>
      </c>
      <c r="JW62" s="18">
        <v>5520</v>
      </c>
      <c r="JX62" s="18">
        <v>5390</v>
      </c>
      <c r="JY62" s="18">
        <v>5200</v>
      </c>
      <c r="JZ62" s="18">
        <v>5060</v>
      </c>
      <c r="KA62" s="18">
        <v>5060</v>
      </c>
      <c r="KB62" s="18">
        <v>4730</v>
      </c>
      <c r="KC62" s="18">
        <v>4960</v>
      </c>
      <c r="KD62" s="18">
        <v>4830</v>
      </c>
      <c r="KE62" s="18">
        <v>5030</v>
      </c>
      <c r="KF62" s="18">
        <v>5200</v>
      </c>
      <c r="KG62" s="18">
        <v>5190</v>
      </c>
      <c r="KH62" s="18">
        <v>5060</v>
      </c>
      <c r="KI62" s="18">
        <v>4960</v>
      </c>
      <c r="KJ62" s="18">
        <v>4840</v>
      </c>
      <c r="KK62" s="18">
        <v>4640</v>
      </c>
      <c r="KL62" s="18">
        <v>4500</v>
      </c>
      <c r="KM62" s="18">
        <v>4430</v>
      </c>
      <c r="KN62" s="18">
        <v>4390</v>
      </c>
      <c r="KO62" s="18">
        <v>4360</v>
      </c>
      <c r="KP62" s="18">
        <v>4110</v>
      </c>
      <c r="KQ62" s="18">
        <v>3730</v>
      </c>
      <c r="KR62" s="18">
        <v>3620</v>
      </c>
      <c r="KS62" s="18">
        <v>3160</v>
      </c>
      <c r="KT62" s="18">
        <v>3310</v>
      </c>
      <c r="KU62" s="18">
        <v>3230</v>
      </c>
      <c r="KV62" s="18">
        <v>2900</v>
      </c>
      <c r="KW62" s="18">
        <v>3240</v>
      </c>
      <c r="KX62" s="18">
        <v>3260</v>
      </c>
      <c r="KY62" s="18">
        <v>2990</v>
      </c>
      <c r="KZ62" s="18">
        <v>2980</v>
      </c>
      <c r="LA62" s="18">
        <v>2940</v>
      </c>
      <c r="LB62" s="18">
        <v>2800</v>
      </c>
      <c r="LC62" s="18">
        <v>2920</v>
      </c>
      <c r="LD62" s="18">
        <v>2700</v>
      </c>
      <c r="LE62" s="18">
        <v>2610</v>
      </c>
      <c r="LF62" s="18">
        <v>2620</v>
      </c>
      <c r="LG62" s="18">
        <v>2570</v>
      </c>
      <c r="LH62" s="18">
        <v>2700</v>
      </c>
      <c r="LI62" s="18">
        <v>2780</v>
      </c>
      <c r="LJ62" s="18">
        <v>2790</v>
      </c>
      <c r="LK62" s="18">
        <v>2530</v>
      </c>
      <c r="LL62" s="18">
        <v>2270</v>
      </c>
      <c r="LM62" s="18">
        <v>2400</v>
      </c>
      <c r="LN62" s="18">
        <v>2580</v>
      </c>
      <c r="LO62" s="18">
        <v>2490</v>
      </c>
      <c r="LP62" s="18">
        <v>2230</v>
      </c>
      <c r="LQ62" s="18">
        <v>2330</v>
      </c>
      <c r="LR62" s="18">
        <v>2420</v>
      </c>
      <c r="LS62" s="18">
        <v>2360</v>
      </c>
      <c r="LT62" s="18">
        <v>2280</v>
      </c>
      <c r="LU62" s="18">
        <v>2270</v>
      </c>
      <c r="LV62" s="18">
        <v>2180</v>
      </c>
      <c r="LW62" s="18">
        <v>2110</v>
      </c>
      <c r="LX62" s="18">
        <v>2010</v>
      </c>
      <c r="LY62" s="18">
        <v>1980</v>
      </c>
      <c r="LZ62" s="18">
        <v>1990</v>
      </c>
      <c r="MA62" s="18">
        <v>1830</v>
      </c>
      <c r="MB62" s="18">
        <v>1780</v>
      </c>
      <c r="MC62" s="18">
        <v>1790</v>
      </c>
      <c r="MD62" s="18">
        <v>1790</v>
      </c>
      <c r="ME62" s="18">
        <v>1890</v>
      </c>
      <c r="MF62" s="18">
        <v>1910</v>
      </c>
      <c r="MG62" s="18">
        <v>1810</v>
      </c>
      <c r="MH62" s="18">
        <v>1690</v>
      </c>
      <c r="MI62" s="18">
        <v>1800</v>
      </c>
      <c r="MJ62" s="18">
        <v>1720</v>
      </c>
      <c r="MK62" s="18">
        <v>1650</v>
      </c>
      <c r="ML62" s="18">
        <v>1580</v>
      </c>
      <c r="MM62" s="18">
        <v>1630</v>
      </c>
      <c r="MN62" s="18">
        <v>1670</v>
      </c>
      <c r="MO62" s="18">
        <v>1750</v>
      </c>
      <c r="MP62" s="18">
        <v>1720</v>
      </c>
      <c r="MQ62" s="18">
        <v>1670</v>
      </c>
      <c r="MR62" s="18">
        <v>1680</v>
      </c>
      <c r="MS62" s="18">
        <v>1680</v>
      </c>
      <c r="MT62" s="18">
        <v>1700</v>
      </c>
      <c r="MU62" s="18">
        <v>1790</v>
      </c>
      <c r="MV62" s="18">
        <v>1720</v>
      </c>
      <c r="MW62" s="18">
        <v>1590</v>
      </c>
      <c r="MX62" s="18">
        <v>1590</v>
      </c>
      <c r="MY62" s="18">
        <v>1570</v>
      </c>
      <c r="MZ62" s="18">
        <v>1570</v>
      </c>
      <c r="NA62" s="18">
        <v>1550</v>
      </c>
      <c r="NB62" s="18">
        <v>1500</v>
      </c>
      <c r="NC62" s="18">
        <v>1590</v>
      </c>
      <c r="ND62" s="1">
        <v>1900</v>
      </c>
      <c r="NE62" s="1">
        <v>1760</v>
      </c>
      <c r="NF62" s="1">
        <v>1500</v>
      </c>
      <c r="NG62" s="1">
        <v>1600</v>
      </c>
      <c r="NH62" s="1">
        <v>1650</v>
      </c>
      <c r="NI62" s="1">
        <v>3250</v>
      </c>
      <c r="NJ62" s="1">
        <v>8520</v>
      </c>
      <c r="NK62" s="1">
        <v>12100</v>
      </c>
      <c r="NL62" s="1">
        <v>7030</v>
      </c>
      <c r="NM62" s="1">
        <v>5010</v>
      </c>
      <c r="NN62" s="1">
        <v>2620</v>
      </c>
      <c r="NO62" s="1">
        <v>1720</v>
      </c>
      <c r="NP62" s="1">
        <v>4077.5616438356165</v>
      </c>
      <c r="NQ62" s="1">
        <v>16700</v>
      </c>
      <c r="NR62" s="19">
        <v>42597</v>
      </c>
      <c r="NS62" s="1">
        <v>1210</v>
      </c>
      <c r="NT62" s="19">
        <v>42458</v>
      </c>
    </row>
    <row r="63" spans="1:384" x14ac:dyDescent="0.15">
      <c r="A63" s="1">
        <v>2010</v>
      </c>
      <c r="B63" s="18">
        <v>1570</v>
      </c>
      <c r="C63" s="18">
        <v>1600</v>
      </c>
      <c r="D63" s="18">
        <v>1500</v>
      </c>
      <c r="E63" s="18">
        <v>1520</v>
      </c>
      <c r="F63" s="18">
        <v>1540</v>
      </c>
      <c r="G63" s="18">
        <v>1600</v>
      </c>
      <c r="H63" s="18">
        <v>1700</v>
      </c>
      <c r="I63" s="18">
        <v>1770</v>
      </c>
      <c r="J63" s="18">
        <v>1770</v>
      </c>
      <c r="K63" s="18">
        <v>1760</v>
      </c>
      <c r="L63" s="18">
        <v>1940</v>
      </c>
      <c r="M63" s="18">
        <v>2000</v>
      </c>
      <c r="N63" s="18">
        <v>1960</v>
      </c>
      <c r="O63" s="18">
        <v>1820</v>
      </c>
      <c r="P63" s="18">
        <v>1900</v>
      </c>
      <c r="Q63" s="18">
        <v>1940</v>
      </c>
      <c r="R63" s="18">
        <v>1640</v>
      </c>
      <c r="S63" s="18">
        <v>1570</v>
      </c>
      <c r="T63" s="18">
        <v>1660</v>
      </c>
      <c r="U63" s="18">
        <v>1890</v>
      </c>
      <c r="V63" s="18">
        <v>1700</v>
      </c>
      <c r="W63" s="18">
        <v>1630</v>
      </c>
      <c r="X63" s="18">
        <v>1640</v>
      </c>
      <c r="Y63" s="18">
        <v>1660</v>
      </c>
      <c r="Z63" s="18">
        <v>1610</v>
      </c>
      <c r="AA63" s="18">
        <v>1570</v>
      </c>
      <c r="AB63" s="18">
        <v>1610</v>
      </c>
      <c r="AC63" s="18">
        <v>1570</v>
      </c>
      <c r="AD63" s="18">
        <v>1480</v>
      </c>
      <c r="AE63" s="18">
        <v>1560</v>
      </c>
      <c r="AF63" s="18">
        <v>1570</v>
      </c>
      <c r="AG63" s="18">
        <v>1600</v>
      </c>
      <c r="AH63" s="18">
        <v>1490</v>
      </c>
      <c r="AI63" s="18">
        <v>1530</v>
      </c>
      <c r="AJ63" s="18">
        <v>1520</v>
      </c>
      <c r="AK63" s="18">
        <v>1450</v>
      </c>
      <c r="AL63" s="18">
        <v>1370</v>
      </c>
      <c r="AM63" s="18">
        <v>1280</v>
      </c>
      <c r="AN63" s="18">
        <v>1190</v>
      </c>
      <c r="AO63" s="18">
        <v>1170</v>
      </c>
      <c r="AP63" s="18">
        <v>1230</v>
      </c>
      <c r="AQ63" s="18">
        <v>1330</v>
      </c>
      <c r="AR63" s="18">
        <v>1240</v>
      </c>
      <c r="AS63" s="18">
        <v>1170</v>
      </c>
      <c r="AT63" s="18">
        <v>1230</v>
      </c>
      <c r="AU63" s="18">
        <v>1270</v>
      </c>
      <c r="AV63" s="18">
        <v>1240</v>
      </c>
      <c r="AW63" s="18">
        <v>1270</v>
      </c>
      <c r="AX63" s="18">
        <v>1280</v>
      </c>
      <c r="AY63" s="18">
        <v>1320</v>
      </c>
      <c r="AZ63" s="18">
        <v>1270</v>
      </c>
      <c r="BA63" s="18">
        <v>1230</v>
      </c>
      <c r="BB63" s="18">
        <v>1250</v>
      </c>
      <c r="BC63" s="18">
        <v>1240</v>
      </c>
      <c r="BD63" s="18">
        <v>1210</v>
      </c>
      <c r="BE63" s="18">
        <v>1340</v>
      </c>
      <c r="BF63" s="18">
        <v>1310</v>
      </c>
      <c r="BG63" s="18">
        <v>1250</v>
      </c>
      <c r="BH63" s="18">
        <v>1380</v>
      </c>
      <c r="BI63" s="18"/>
      <c r="BJ63" s="18">
        <v>1380</v>
      </c>
      <c r="BK63" s="18">
        <v>1280</v>
      </c>
      <c r="BL63" s="18">
        <v>1430</v>
      </c>
      <c r="BM63" s="18">
        <v>1540</v>
      </c>
      <c r="BN63" s="18">
        <v>1620</v>
      </c>
      <c r="BO63" s="18">
        <v>1420</v>
      </c>
      <c r="BP63" s="18">
        <v>1410</v>
      </c>
      <c r="BQ63" s="18">
        <v>1690</v>
      </c>
      <c r="BR63" s="18">
        <v>1540</v>
      </c>
      <c r="BS63" s="18">
        <v>1620</v>
      </c>
      <c r="BT63" s="18">
        <v>1760</v>
      </c>
      <c r="BU63" s="18">
        <v>1680</v>
      </c>
      <c r="BV63" s="18">
        <v>1760</v>
      </c>
      <c r="BW63" s="18">
        <v>1850</v>
      </c>
      <c r="BX63" s="18">
        <v>1890</v>
      </c>
      <c r="BY63" s="18">
        <v>1660</v>
      </c>
      <c r="BZ63" s="18">
        <v>1430</v>
      </c>
      <c r="CA63" s="18">
        <v>1240</v>
      </c>
      <c r="CB63" s="18">
        <v>1210</v>
      </c>
      <c r="CC63" s="18">
        <v>1380</v>
      </c>
      <c r="CD63" s="18">
        <v>1490</v>
      </c>
      <c r="CE63" s="18">
        <v>1400</v>
      </c>
      <c r="CF63" s="18">
        <v>1410</v>
      </c>
      <c r="CG63" s="18">
        <v>1380</v>
      </c>
      <c r="CH63" s="18">
        <v>1370</v>
      </c>
      <c r="CI63" s="18">
        <v>1470</v>
      </c>
      <c r="CJ63" s="18">
        <v>1380</v>
      </c>
      <c r="CK63" s="18">
        <v>1480</v>
      </c>
      <c r="CL63" s="18">
        <v>1310</v>
      </c>
      <c r="CM63" s="18">
        <v>1310</v>
      </c>
      <c r="CN63" s="18">
        <v>1290</v>
      </c>
      <c r="CO63" s="18">
        <v>1290</v>
      </c>
      <c r="CP63" s="18">
        <v>1180</v>
      </c>
      <c r="CQ63" s="18">
        <v>1120</v>
      </c>
      <c r="CR63" s="18">
        <v>1170</v>
      </c>
      <c r="CS63" s="18">
        <v>1090</v>
      </c>
      <c r="CT63" s="18">
        <v>1090</v>
      </c>
      <c r="CU63" s="18">
        <v>1190</v>
      </c>
      <c r="CV63" s="18">
        <v>1220</v>
      </c>
      <c r="CW63" s="18">
        <v>1180</v>
      </c>
      <c r="CX63" s="18">
        <v>1270</v>
      </c>
      <c r="CY63" s="18">
        <v>1270</v>
      </c>
      <c r="CZ63" s="18">
        <v>1220</v>
      </c>
      <c r="DA63" s="18">
        <v>1180</v>
      </c>
      <c r="DB63" s="18">
        <v>1260</v>
      </c>
      <c r="DC63" s="18">
        <v>1310</v>
      </c>
      <c r="DD63" s="18">
        <v>1180</v>
      </c>
      <c r="DE63" s="18">
        <v>1220</v>
      </c>
      <c r="DF63" s="18">
        <v>1280</v>
      </c>
      <c r="DG63" s="18">
        <v>1340</v>
      </c>
      <c r="DH63" s="18">
        <v>1360</v>
      </c>
      <c r="DI63" s="18">
        <v>1460</v>
      </c>
      <c r="DJ63" s="18">
        <v>1440</v>
      </c>
      <c r="DK63" s="18">
        <v>1420</v>
      </c>
      <c r="DL63" s="18">
        <v>1390</v>
      </c>
      <c r="DM63" s="18">
        <v>1560</v>
      </c>
      <c r="DN63" s="18">
        <v>1700</v>
      </c>
      <c r="DO63" s="18">
        <v>1760</v>
      </c>
      <c r="DP63" s="18">
        <v>1930</v>
      </c>
      <c r="DQ63" s="18">
        <v>2100</v>
      </c>
      <c r="DR63" s="18">
        <v>2270</v>
      </c>
      <c r="DS63" s="18">
        <v>2280</v>
      </c>
      <c r="DT63" s="18">
        <v>2110</v>
      </c>
      <c r="DU63" s="18">
        <v>1950</v>
      </c>
      <c r="DV63" s="18">
        <v>1960</v>
      </c>
      <c r="DW63" s="18">
        <v>1990</v>
      </c>
      <c r="DX63" s="18">
        <v>2090</v>
      </c>
      <c r="DY63" s="18">
        <v>1840</v>
      </c>
      <c r="DZ63" s="18">
        <v>1880</v>
      </c>
      <c r="EA63" s="18">
        <v>2180</v>
      </c>
      <c r="EB63" s="18">
        <v>2160</v>
      </c>
      <c r="EC63" s="18">
        <v>1950</v>
      </c>
      <c r="ED63" s="18">
        <v>2070</v>
      </c>
      <c r="EE63" s="18">
        <v>2400</v>
      </c>
      <c r="EF63" s="18">
        <v>3090</v>
      </c>
      <c r="EG63" s="18">
        <v>3210</v>
      </c>
      <c r="EH63" s="18">
        <v>3130</v>
      </c>
      <c r="EI63" s="18">
        <v>3080</v>
      </c>
      <c r="EJ63" s="18">
        <v>2850</v>
      </c>
      <c r="EK63" s="18">
        <v>2440</v>
      </c>
      <c r="EL63" s="18">
        <v>2360</v>
      </c>
      <c r="EM63" s="18">
        <v>1820</v>
      </c>
      <c r="EN63" s="18">
        <v>1800</v>
      </c>
      <c r="EO63" s="18">
        <v>1780</v>
      </c>
      <c r="EP63" s="18">
        <v>1950</v>
      </c>
      <c r="EQ63" s="18">
        <v>2160</v>
      </c>
      <c r="ER63" s="18">
        <v>2190</v>
      </c>
      <c r="ES63" s="18">
        <v>2110</v>
      </c>
      <c r="ET63" s="18">
        <v>1950</v>
      </c>
      <c r="EU63" s="18">
        <v>1910</v>
      </c>
      <c r="EV63" s="18">
        <v>2000</v>
      </c>
      <c r="EW63" s="18">
        <v>1990</v>
      </c>
      <c r="EX63" s="18">
        <v>2000</v>
      </c>
      <c r="EY63" s="18">
        <v>2420</v>
      </c>
      <c r="EZ63" s="18">
        <v>2270</v>
      </c>
      <c r="FA63" s="18">
        <v>2060</v>
      </c>
      <c r="FB63" s="18">
        <v>2400</v>
      </c>
      <c r="FC63" s="18">
        <v>2580</v>
      </c>
      <c r="FD63" s="18">
        <v>2450</v>
      </c>
      <c r="FE63" s="18">
        <v>2380</v>
      </c>
      <c r="FF63" s="18">
        <v>2270</v>
      </c>
      <c r="FG63" s="18">
        <v>2160</v>
      </c>
      <c r="FH63" s="18">
        <v>2010</v>
      </c>
      <c r="FI63" s="18">
        <v>1990</v>
      </c>
      <c r="FJ63" s="18">
        <v>2100</v>
      </c>
      <c r="FK63" s="18">
        <v>2080</v>
      </c>
      <c r="FL63" s="18">
        <v>2290</v>
      </c>
      <c r="FM63" s="18">
        <v>2370</v>
      </c>
      <c r="FN63" s="18">
        <v>2300</v>
      </c>
      <c r="FO63" s="18">
        <v>2670</v>
      </c>
      <c r="FP63" s="18">
        <v>3370</v>
      </c>
      <c r="FQ63" s="18">
        <v>3170</v>
      </c>
      <c r="FR63" s="18">
        <v>3040</v>
      </c>
      <c r="FS63" s="18">
        <v>3220</v>
      </c>
      <c r="FT63" s="18">
        <v>3530</v>
      </c>
      <c r="FU63" s="18">
        <v>3430</v>
      </c>
      <c r="FV63" s="18">
        <v>3920</v>
      </c>
      <c r="FW63" s="18">
        <v>4760</v>
      </c>
      <c r="FX63" s="18">
        <v>4150</v>
      </c>
      <c r="FY63" s="18">
        <v>4120</v>
      </c>
      <c r="FZ63" s="18">
        <v>4390</v>
      </c>
      <c r="GA63" s="18">
        <v>5150</v>
      </c>
      <c r="GB63" s="18">
        <v>5650</v>
      </c>
      <c r="GC63" s="18">
        <v>5150</v>
      </c>
      <c r="GD63" s="18">
        <v>5380</v>
      </c>
      <c r="GE63" s="18">
        <v>5430</v>
      </c>
      <c r="GF63" s="18">
        <v>5140</v>
      </c>
      <c r="GG63" s="18">
        <v>5440</v>
      </c>
      <c r="GH63" s="18">
        <v>6080</v>
      </c>
      <c r="GI63" s="18">
        <v>5800</v>
      </c>
      <c r="GJ63" s="18">
        <v>5090</v>
      </c>
      <c r="GK63" s="18">
        <v>5180</v>
      </c>
      <c r="GL63" s="18">
        <v>6060</v>
      </c>
      <c r="GM63" s="18">
        <v>7580</v>
      </c>
      <c r="GN63" s="18">
        <v>7830</v>
      </c>
      <c r="GO63" s="18">
        <v>8400</v>
      </c>
      <c r="GP63" s="18">
        <v>8890</v>
      </c>
      <c r="GQ63" s="18">
        <v>8780</v>
      </c>
      <c r="GR63" s="18">
        <v>8450</v>
      </c>
      <c r="GS63" s="18">
        <v>8890</v>
      </c>
      <c r="GT63" s="18">
        <v>10500</v>
      </c>
      <c r="GU63" s="18">
        <v>11400</v>
      </c>
      <c r="GV63" s="18">
        <v>11800</v>
      </c>
      <c r="GW63" s="18">
        <v>11900</v>
      </c>
      <c r="GX63" s="18">
        <v>11100</v>
      </c>
      <c r="GY63" s="18">
        <v>9840</v>
      </c>
      <c r="GZ63" s="18">
        <v>9300</v>
      </c>
      <c r="HA63" s="18">
        <v>9030</v>
      </c>
      <c r="HB63" s="18">
        <v>8660</v>
      </c>
      <c r="HC63" s="18">
        <v>8550</v>
      </c>
      <c r="HD63" s="18">
        <v>9090</v>
      </c>
      <c r="HE63" s="18">
        <v>7850</v>
      </c>
      <c r="HF63" s="18">
        <v>6860</v>
      </c>
      <c r="HG63" s="18">
        <v>6450</v>
      </c>
      <c r="HH63" s="18">
        <v>5930</v>
      </c>
      <c r="HI63" s="18">
        <v>5790</v>
      </c>
      <c r="HJ63" s="18">
        <v>5640</v>
      </c>
      <c r="HK63" s="18">
        <v>5760</v>
      </c>
      <c r="HL63" s="18">
        <v>5790</v>
      </c>
      <c r="HM63" s="18">
        <v>5980</v>
      </c>
      <c r="HN63" s="18">
        <v>5900</v>
      </c>
      <c r="HO63" s="18">
        <v>5730</v>
      </c>
      <c r="HP63" s="18">
        <v>5550</v>
      </c>
      <c r="HQ63" s="18">
        <v>5420</v>
      </c>
      <c r="HR63" s="18">
        <v>5300</v>
      </c>
      <c r="HS63" s="18">
        <v>5140</v>
      </c>
      <c r="HT63" s="18">
        <v>5150</v>
      </c>
      <c r="HU63" s="18">
        <v>4830</v>
      </c>
      <c r="HV63" s="18">
        <v>4630</v>
      </c>
      <c r="HW63" s="18">
        <v>4740</v>
      </c>
      <c r="HX63" s="18">
        <v>5100</v>
      </c>
      <c r="HY63" s="18">
        <v>5370</v>
      </c>
      <c r="HZ63" s="18">
        <v>5500</v>
      </c>
      <c r="IA63" s="18">
        <v>5580</v>
      </c>
      <c r="IB63" s="18">
        <v>6850</v>
      </c>
      <c r="IC63" s="18">
        <v>9440</v>
      </c>
      <c r="ID63" s="18">
        <v>9090</v>
      </c>
      <c r="IE63" s="18">
        <v>8970</v>
      </c>
      <c r="IF63" s="18">
        <v>9680</v>
      </c>
      <c r="IG63" s="18">
        <v>12100</v>
      </c>
      <c r="IH63" s="18">
        <v>13700</v>
      </c>
      <c r="II63" s="18">
        <v>13500</v>
      </c>
      <c r="IJ63" s="18">
        <v>11900</v>
      </c>
      <c r="IK63" s="18">
        <v>9930</v>
      </c>
      <c r="IL63" s="18">
        <v>8510</v>
      </c>
      <c r="IM63" s="18">
        <v>8830</v>
      </c>
      <c r="IN63" s="18">
        <v>10000</v>
      </c>
      <c r="IO63" s="18">
        <v>11500</v>
      </c>
      <c r="IP63" s="18">
        <v>11900</v>
      </c>
      <c r="IQ63" s="18">
        <v>10700</v>
      </c>
      <c r="IR63" s="18">
        <v>9310</v>
      </c>
      <c r="IS63" s="18">
        <v>9560</v>
      </c>
      <c r="IT63" s="18">
        <v>10100</v>
      </c>
      <c r="IU63" s="18">
        <v>10000</v>
      </c>
      <c r="IV63" s="18">
        <v>9820</v>
      </c>
      <c r="IW63" s="18">
        <v>9200</v>
      </c>
      <c r="IX63" s="18">
        <v>8580</v>
      </c>
      <c r="IY63" s="18">
        <v>8600</v>
      </c>
      <c r="IZ63" s="18">
        <v>9940</v>
      </c>
      <c r="JA63" s="18">
        <v>10400</v>
      </c>
      <c r="JB63" s="18">
        <v>10200</v>
      </c>
      <c r="JC63" s="18">
        <v>9640</v>
      </c>
      <c r="JD63" s="18">
        <v>9030</v>
      </c>
      <c r="JE63" s="18">
        <v>8410</v>
      </c>
      <c r="JF63" s="18">
        <v>8060</v>
      </c>
      <c r="JG63" s="18">
        <v>7380</v>
      </c>
      <c r="JH63" s="18">
        <v>6490</v>
      </c>
      <c r="JI63" s="18">
        <v>6380</v>
      </c>
      <c r="JJ63" s="18">
        <v>6150</v>
      </c>
      <c r="JK63" s="18">
        <v>6180</v>
      </c>
      <c r="JL63" s="18">
        <v>6330</v>
      </c>
      <c r="JM63" s="18">
        <v>6060</v>
      </c>
      <c r="JN63" s="18">
        <v>5770</v>
      </c>
      <c r="JO63" s="18">
        <v>5910</v>
      </c>
      <c r="JP63" s="18">
        <v>6270</v>
      </c>
      <c r="JQ63" s="18">
        <v>6070</v>
      </c>
      <c r="JR63" s="18">
        <v>6030</v>
      </c>
      <c r="JS63" s="18">
        <v>5910</v>
      </c>
      <c r="JT63" s="18">
        <v>6030</v>
      </c>
      <c r="JU63" s="18">
        <v>5810</v>
      </c>
      <c r="JV63" s="18">
        <v>6020</v>
      </c>
      <c r="JW63" s="18">
        <v>5920</v>
      </c>
      <c r="JX63" s="18">
        <v>6190</v>
      </c>
      <c r="JY63" s="18">
        <v>6320</v>
      </c>
      <c r="JZ63" s="18">
        <v>6060</v>
      </c>
      <c r="KA63" s="18">
        <v>6020</v>
      </c>
      <c r="KB63" s="18">
        <v>5930</v>
      </c>
      <c r="KC63" s="18">
        <v>5720</v>
      </c>
      <c r="KD63" s="18">
        <v>5610</v>
      </c>
      <c r="KE63" s="18">
        <v>5900</v>
      </c>
      <c r="KF63" s="18">
        <v>5840</v>
      </c>
      <c r="KG63" s="18">
        <v>5770</v>
      </c>
      <c r="KH63" s="18">
        <v>6150</v>
      </c>
      <c r="KI63" s="18">
        <v>6760</v>
      </c>
      <c r="KJ63" s="18">
        <v>6820</v>
      </c>
      <c r="KK63" s="18">
        <v>6370</v>
      </c>
      <c r="KL63" s="18">
        <v>5860</v>
      </c>
      <c r="KM63" s="18">
        <v>5570</v>
      </c>
      <c r="KN63" s="18">
        <v>5330</v>
      </c>
      <c r="KO63" s="18">
        <v>5190</v>
      </c>
      <c r="KP63" s="18">
        <v>4850</v>
      </c>
      <c r="KQ63" s="18">
        <v>4770</v>
      </c>
      <c r="KR63" s="18">
        <v>4870</v>
      </c>
      <c r="KS63" s="18">
        <v>4800</v>
      </c>
      <c r="KT63" s="18">
        <v>4630</v>
      </c>
      <c r="KU63" s="18">
        <v>4420</v>
      </c>
      <c r="KV63" s="18">
        <v>3850</v>
      </c>
      <c r="KW63" s="18">
        <v>3740</v>
      </c>
      <c r="KX63" s="18">
        <v>3600</v>
      </c>
      <c r="KY63" s="18">
        <v>3560</v>
      </c>
      <c r="KZ63" s="18">
        <v>3430</v>
      </c>
      <c r="LA63" s="18">
        <v>3400</v>
      </c>
      <c r="LB63" s="18">
        <v>3370</v>
      </c>
      <c r="LC63" s="18">
        <v>3350</v>
      </c>
      <c r="LD63" s="18">
        <v>3450</v>
      </c>
      <c r="LE63" s="18">
        <v>3370</v>
      </c>
      <c r="LF63" s="18">
        <v>3310</v>
      </c>
      <c r="LG63" s="18">
        <v>3210</v>
      </c>
      <c r="LH63" s="18">
        <v>3240</v>
      </c>
      <c r="LI63" s="18">
        <v>3040</v>
      </c>
      <c r="LJ63" s="18">
        <v>2930</v>
      </c>
      <c r="LK63" s="18">
        <v>2840</v>
      </c>
      <c r="LL63" s="18">
        <v>2830</v>
      </c>
      <c r="LM63" s="18">
        <v>2820</v>
      </c>
      <c r="LN63" s="18">
        <v>3090</v>
      </c>
      <c r="LO63" s="18">
        <v>2800</v>
      </c>
      <c r="LP63" s="18">
        <v>2850</v>
      </c>
      <c r="LQ63" s="18">
        <v>2760</v>
      </c>
      <c r="LR63" s="18">
        <v>2720</v>
      </c>
      <c r="LS63" s="18">
        <v>2730</v>
      </c>
      <c r="LT63" s="18">
        <v>2720</v>
      </c>
      <c r="LU63" s="18">
        <v>2510</v>
      </c>
      <c r="LV63" s="18">
        <v>2060</v>
      </c>
      <c r="LW63" s="18">
        <v>2120</v>
      </c>
      <c r="LX63" s="18">
        <v>2200</v>
      </c>
      <c r="LY63" s="18">
        <v>2240</v>
      </c>
      <c r="LZ63" s="18">
        <v>2220</v>
      </c>
      <c r="MA63" s="18">
        <v>2040</v>
      </c>
      <c r="MB63" s="18">
        <v>2070</v>
      </c>
      <c r="MC63" s="18">
        <v>2140</v>
      </c>
      <c r="MD63" s="18">
        <v>1970</v>
      </c>
      <c r="ME63" s="18">
        <v>1740</v>
      </c>
      <c r="MF63" s="18">
        <v>1760</v>
      </c>
      <c r="MG63" s="18">
        <v>2340</v>
      </c>
      <c r="MH63" s="18">
        <v>2290</v>
      </c>
      <c r="MI63" s="18">
        <v>2190</v>
      </c>
      <c r="MJ63" s="18">
        <v>2180</v>
      </c>
      <c r="MK63" s="18">
        <v>2100</v>
      </c>
      <c r="ML63" s="18">
        <v>2180</v>
      </c>
      <c r="MM63" s="18">
        <v>2250</v>
      </c>
      <c r="MN63" s="18">
        <v>2280</v>
      </c>
      <c r="MO63" s="18">
        <v>2280</v>
      </c>
      <c r="MP63" s="18">
        <v>2350</v>
      </c>
      <c r="MQ63" s="18">
        <v>2200</v>
      </c>
      <c r="MR63" s="18">
        <v>2120</v>
      </c>
      <c r="MS63" s="18">
        <v>2100</v>
      </c>
      <c r="MT63" s="18">
        <v>2160</v>
      </c>
      <c r="MU63" s="18">
        <v>2150</v>
      </c>
      <c r="MV63" s="18">
        <v>1960</v>
      </c>
      <c r="MW63" s="18">
        <v>1880</v>
      </c>
      <c r="MX63" s="18">
        <v>1670</v>
      </c>
      <c r="MY63" s="18">
        <v>1670</v>
      </c>
      <c r="MZ63" s="18">
        <v>1710</v>
      </c>
      <c r="NA63" s="18">
        <v>1740</v>
      </c>
      <c r="NB63" s="18">
        <v>1720</v>
      </c>
      <c r="NC63" s="18">
        <v>1770</v>
      </c>
      <c r="ND63" s="1">
        <v>1690</v>
      </c>
      <c r="NE63" s="1">
        <v>1310</v>
      </c>
      <c r="NF63" s="1">
        <v>1490</v>
      </c>
      <c r="NG63" s="1">
        <v>1380</v>
      </c>
      <c r="NH63" s="1">
        <v>2220</v>
      </c>
      <c r="NI63" s="1">
        <v>2900</v>
      </c>
      <c r="NJ63" s="1">
        <v>7910</v>
      </c>
      <c r="NK63" s="1">
        <v>7110</v>
      </c>
      <c r="NL63" s="1">
        <v>8630</v>
      </c>
      <c r="NM63" s="1">
        <v>5790</v>
      </c>
      <c r="NN63" s="1">
        <v>3080</v>
      </c>
      <c r="NO63" s="1">
        <v>2050</v>
      </c>
      <c r="NP63" s="1">
        <v>3813.2328767123286</v>
      </c>
      <c r="NQ63" s="1">
        <v>13700</v>
      </c>
      <c r="NR63" s="19">
        <v>42610</v>
      </c>
      <c r="NS63" s="1">
        <v>1090</v>
      </c>
      <c r="NT63" s="19">
        <v>42465</v>
      </c>
    </row>
    <row r="64" spans="1:384" x14ac:dyDescent="0.15">
      <c r="A64" s="1">
        <v>2011</v>
      </c>
      <c r="B64" s="18">
        <v>1840</v>
      </c>
      <c r="C64" s="18">
        <v>1780</v>
      </c>
      <c r="D64" s="18">
        <v>1660</v>
      </c>
      <c r="E64" s="18">
        <v>1790</v>
      </c>
      <c r="F64" s="18">
        <v>1930</v>
      </c>
      <c r="G64" s="18">
        <v>2000</v>
      </c>
      <c r="H64" s="18">
        <v>2180</v>
      </c>
      <c r="I64" s="18">
        <v>2180</v>
      </c>
      <c r="J64" s="18">
        <v>2020</v>
      </c>
      <c r="K64" s="18">
        <v>2130</v>
      </c>
      <c r="L64" s="18">
        <v>2070</v>
      </c>
      <c r="M64" s="18">
        <v>1970</v>
      </c>
      <c r="N64" s="18">
        <v>2040</v>
      </c>
      <c r="O64" s="18">
        <v>2020</v>
      </c>
      <c r="P64" s="18">
        <v>1910</v>
      </c>
      <c r="Q64" s="18">
        <v>1730</v>
      </c>
      <c r="R64" s="18">
        <v>1730</v>
      </c>
      <c r="S64" s="18">
        <v>2000</v>
      </c>
      <c r="T64" s="18">
        <v>1970</v>
      </c>
      <c r="U64" s="18">
        <v>2110</v>
      </c>
      <c r="V64" s="18">
        <v>2020</v>
      </c>
      <c r="W64" s="18">
        <v>1950</v>
      </c>
      <c r="X64" s="18">
        <v>1940</v>
      </c>
      <c r="Y64" s="18">
        <v>1880</v>
      </c>
      <c r="Z64" s="18">
        <v>1980</v>
      </c>
      <c r="AA64" s="18">
        <v>2020</v>
      </c>
      <c r="AB64" s="18">
        <v>2020</v>
      </c>
      <c r="AC64" s="18">
        <v>1910</v>
      </c>
      <c r="AD64" s="18">
        <v>1750</v>
      </c>
      <c r="AE64" s="18">
        <v>1560</v>
      </c>
      <c r="AF64" s="18">
        <v>1520</v>
      </c>
      <c r="AG64" s="18">
        <v>1410</v>
      </c>
      <c r="AH64" s="18">
        <v>1420</v>
      </c>
      <c r="AI64" s="18">
        <v>1490</v>
      </c>
      <c r="AJ64" s="18">
        <v>1460</v>
      </c>
      <c r="AK64" s="18">
        <v>1440</v>
      </c>
      <c r="AL64" s="18">
        <v>1390</v>
      </c>
      <c r="AM64" s="18">
        <v>1340</v>
      </c>
      <c r="AN64" s="18">
        <v>1410</v>
      </c>
      <c r="AO64" s="18">
        <v>1370</v>
      </c>
      <c r="AP64" s="18">
        <v>1270</v>
      </c>
      <c r="AQ64" s="18">
        <v>1200</v>
      </c>
      <c r="AR64" s="18">
        <v>1230</v>
      </c>
      <c r="AS64" s="18">
        <v>1210</v>
      </c>
      <c r="AT64" s="18">
        <v>1090</v>
      </c>
      <c r="AU64" s="18">
        <v>1130</v>
      </c>
      <c r="AV64" s="18">
        <v>1190</v>
      </c>
      <c r="AW64" s="18">
        <v>1250</v>
      </c>
      <c r="AX64" s="18">
        <v>1200</v>
      </c>
      <c r="AY64" s="18">
        <v>1180</v>
      </c>
      <c r="AZ64" s="18">
        <v>1420</v>
      </c>
      <c r="BA64" s="18">
        <v>1450</v>
      </c>
      <c r="BB64" s="18">
        <v>1530</v>
      </c>
      <c r="BC64" s="18">
        <v>1480</v>
      </c>
      <c r="BD64" s="18">
        <v>1450</v>
      </c>
      <c r="BE64" s="18">
        <v>1430</v>
      </c>
      <c r="BF64" s="18">
        <v>1470</v>
      </c>
      <c r="BG64" s="18">
        <v>1720</v>
      </c>
      <c r="BH64" s="18">
        <v>1810</v>
      </c>
      <c r="BI64" s="18"/>
      <c r="BJ64" s="18">
        <v>1760</v>
      </c>
      <c r="BK64" s="18">
        <v>1460</v>
      </c>
      <c r="BL64" s="18">
        <v>1300</v>
      </c>
      <c r="BM64" s="18">
        <v>1330</v>
      </c>
      <c r="BN64" s="18">
        <v>1300</v>
      </c>
      <c r="BO64" s="18">
        <v>1290</v>
      </c>
      <c r="BP64" s="18">
        <v>1250</v>
      </c>
      <c r="BQ64" s="18">
        <v>1190</v>
      </c>
      <c r="BR64" s="18">
        <v>1250</v>
      </c>
      <c r="BS64" s="18">
        <v>1420</v>
      </c>
      <c r="BT64" s="18">
        <v>1550</v>
      </c>
      <c r="BU64" s="18">
        <v>1470</v>
      </c>
      <c r="BV64" s="18">
        <v>1430</v>
      </c>
      <c r="BW64" s="18">
        <v>1310</v>
      </c>
      <c r="BX64" s="18">
        <v>1390</v>
      </c>
      <c r="BY64" s="18">
        <v>1780</v>
      </c>
      <c r="BZ64" s="18">
        <v>1590</v>
      </c>
      <c r="CA64" s="18">
        <v>1530</v>
      </c>
      <c r="CB64" s="18">
        <v>1480</v>
      </c>
      <c r="CC64" s="18">
        <v>1440</v>
      </c>
      <c r="CD64" s="18">
        <v>1500</v>
      </c>
      <c r="CE64" s="18">
        <v>1470</v>
      </c>
      <c r="CF64" s="18">
        <v>1670</v>
      </c>
      <c r="CG64" s="18">
        <v>1670</v>
      </c>
      <c r="CH64" s="18">
        <v>1660</v>
      </c>
      <c r="CI64" s="18">
        <v>1700</v>
      </c>
      <c r="CJ64" s="18">
        <v>1680</v>
      </c>
      <c r="CK64" s="18">
        <v>1550</v>
      </c>
      <c r="CL64" s="18">
        <v>1370</v>
      </c>
      <c r="CM64" s="18">
        <v>1550</v>
      </c>
      <c r="CN64" s="18">
        <v>1640</v>
      </c>
      <c r="CO64" s="18">
        <v>1630</v>
      </c>
      <c r="CP64" s="18">
        <v>1570</v>
      </c>
      <c r="CQ64" s="18">
        <v>1470</v>
      </c>
      <c r="CR64" s="18">
        <v>1370</v>
      </c>
      <c r="CS64" s="18">
        <v>1400</v>
      </c>
      <c r="CT64" s="18">
        <v>1450</v>
      </c>
      <c r="CU64" s="18">
        <v>1370</v>
      </c>
      <c r="CV64" s="18">
        <v>1470</v>
      </c>
      <c r="CW64" s="18">
        <v>1540</v>
      </c>
      <c r="CX64" s="18">
        <v>1600</v>
      </c>
      <c r="CY64" s="18">
        <v>1710</v>
      </c>
      <c r="CZ64" s="18">
        <v>1720</v>
      </c>
      <c r="DA64" s="18">
        <v>1680</v>
      </c>
      <c r="DB64" s="18">
        <v>1550</v>
      </c>
      <c r="DC64" s="18">
        <v>1380</v>
      </c>
      <c r="DD64" s="18">
        <v>1370</v>
      </c>
      <c r="DE64" s="18">
        <v>1300</v>
      </c>
      <c r="DF64" s="18">
        <v>1290</v>
      </c>
      <c r="DG64" s="18">
        <v>1310</v>
      </c>
      <c r="DH64" s="18">
        <v>1520</v>
      </c>
      <c r="DI64" s="18">
        <v>1540</v>
      </c>
      <c r="DJ64" s="18">
        <v>1530</v>
      </c>
      <c r="DK64" s="18">
        <v>1510</v>
      </c>
      <c r="DL64" s="18">
        <v>1540</v>
      </c>
      <c r="DM64" s="18">
        <v>1550</v>
      </c>
      <c r="DN64" s="18">
        <v>1590</v>
      </c>
      <c r="DO64" s="18">
        <v>1850</v>
      </c>
      <c r="DP64" s="18">
        <v>2260</v>
      </c>
      <c r="DQ64" s="18">
        <v>2150</v>
      </c>
      <c r="DR64" s="18">
        <v>2260</v>
      </c>
      <c r="DS64" s="18">
        <v>1850</v>
      </c>
      <c r="DT64" s="18">
        <v>1650</v>
      </c>
      <c r="DU64" s="18">
        <v>1580</v>
      </c>
      <c r="DV64" s="18">
        <v>1750</v>
      </c>
      <c r="DW64" s="18">
        <v>1750</v>
      </c>
      <c r="DX64" s="18">
        <v>2150</v>
      </c>
      <c r="DY64" s="18">
        <v>2420</v>
      </c>
      <c r="DZ64" s="18">
        <v>2500</v>
      </c>
      <c r="EA64" s="18">
        <v>2460</v>
      </c>
      <c r="EB64" s="18">
        <v>2130</v>
      </c>
      <c r="EC64" s="18">
        <v>1700</v>
      </c>
      <c r="ED64" s="18">
        <v>1640</v>
      </c>
      <c r="EE64" s="18">
        <v>1660</v>
      </c>
      <c r="EF64" s="18">
        <v>1700</v>
      </c>
      <c r="EG64" s="18">
        <v>1830</v>
      </c>
      <c r="EH64" s="18">
        <v>1950</v>
      </c>
      <c r="EI64" s="18">
        <v>1890</v>
      </c>
      <c r="EJ64" s="18">
        <v>1920</v>
      </c>
      <c r="EK64" s="18">
        <v>1930</v>
      </c>
      <c r="EL64" s="18">
        <v>2110</v>
      </c>
      <c r="EM64" s="18">
        <v>2310</v>
      </c>
      <c r="EN64" s="18">
        <v>2010</v>
      </c>
      <c r="EO64" s="18">
        <v>1830</v>
      </c>
      <c r="EP64" s="18">
        <v>1790</v>
      </c>
      <c r="EQ64" s="18">
        <v>1990</v>
      </c>
      <c r="ER64" s="18">
        <v>2070</v>
      </c>
      <c r="ES64" s="18">
        <v>2340</v>
      </c>
      <c r="ET64" s="18">
        <v>2830</v>
      </c>
      <c r="EU64" s="18">
        <v>2800</v>
      </c>
      <c r="EV64" s="18">
        <v>2690</v>
      </c>
      <c r="EW64" s="18">
        <v>2510</v>
      </c>
      <c r="EX64" s="18">
        <v>1950</v>
      </c>
      <c r="EY64" s="18">
        <v>1970</v>
      </c>
      <c r="EZ64" s="18">
        <v>2420</v>
      </c>
      <c r="FA64" s="18">
        <v>2630</v>
      </c>
      <c r="FB64" s="18">
        <v>2760</v>
      </c>
      <c r="FC64" s="18">
        <v>3100</v>
      </c>
      <c r="FD64" s="18">
        <v>2810</v>
      </c>
      <c r="FE64" s="18">
        <v>2700</v>
      </c>
      <c r="FF64" s="18">
        <v>3120</v>
      </c>
      <c r="FG64" s="18">
        <v>3340</v>
      </c>
      <c r="FH64" s="18">
        <v>3350</v>
      </c>
      <c r="FI64" s="18">
        <v>3090</v>
      </c>
      <c r="FJ64" s="18">
        <v>3530</v>
      </c>
      <c r="FK64" s="18">
        <v>4070</v>
      </c>
      <c r="FL64" s="18">
        <v>4220</v>
      </c>
      <c r="FM64" s="18">
        <v>4360</v>
      </c>
      <c r="FN64" s="18">
        <v>4390</v>
      </c>
      <c r="FO64" s="18">
        <v>3790</v>
      </c>
      <c r="FP64" s="18">
        <v>4130</v>
      </c>
      <c r="FQ64" s="18">
        <v>4220</v>
      </c>
      <c r="FR64" s="18">
        <v>4100</v>
      </c>
      <c r="FS64" s="18">
        <v>3800</v>
      </c>
      <c r="FT64" s="18">
        <v>4730</v>
      </c>
      <c r="FU64" s="18">
        <v>5350</v>
      </c>
      <c r="FV64" s="18">
        <v>4790</v>
      </c>
      <c r="FW64" s="18">
        <v>4850</v>
      </c>
      <c r="FX64" s="18">
        <v>4400</v>
      </c>
      <c r="FY64" s="18">
        <v>4260</v>
      </c>
      <c r="FZ64" s="18">
        <v>5270</v>
      </c>
      <c r="GA64" s="18">
        <v>5440</v>
      </c>
      <c r="GB64" s="18">
        <v>5580</v>
      </c>
      <c r="GC64" s="18">
        <v>5340</v>
      </c>
      <c r="GD64" s="18">
        <v>5080</v>
      </c>
      <c r="GE64" s="18">
        <v>4980</v>
      </c>
      <c r="GF64" s="18">
        <v>4800</v>
      </c>
      <c r="GG64" s="18">
        <v>4870</v>
      </c>
      <c r="GH64" s="18">
        <v>4890</v>
      </c>
      <c r="GI64" s="18">
        <v>4820</v>
      </c>
      <c r="GJ64" s="18">
        <v>5010</v>
      </c>
      <c r="GK64" s="18">
        <v>5380</v>
      </c>
      <c r="GL64" s="18">
        <v>5570</v>
      </c>
      <c r="GM64" s="18">
        <v>5710</v>
      </c>
      <c r="GN64" s="18">
        <v>5860</v>
      </c>
      <c r="GO64" s="18">
        <v>6050</v>
      </c>
      <c r="GP64" s="18">
        <v>6270</v>
      </c>
      <c r="GQ64" s="18">
        <v>8640</v>
      </c>
      <c r="GR64" s="18">
        <v>10100</v>
      </c>
      <c r="GS64" s="18">
        <v>11400</v>
      </c>
      <c r="GT64" s="18">
        <v>11700</v>
      </c>
      <c r="GU64" s="18">
        <v>11000</v>
      </c>
      <c r="GV64" s="18">
        <v>9210</v>
      </c>
      <c r="GW64" s="18">
        <v>8310</v>
      </c>
      <c r="GX64" s="18">
        <v>7260</v>
      </c>
      <c r="GY64" s="18">
        <v>6630</v>
      </c>
      <c r="GZ64" s="18">
        <v>5510</v>
      </c>
      <c r="HA64" s="18">
        <v>5120</v>
      </c>
      <c r="HB64" s="18">
        <v>4980</v>
      </c>
      <c r="HC64" s="18">
        <v>4950</v>
      </c>
      <c r="HD64" s="18">
        <v>5060</v>
      </c>
      <c r="HE64" s="18">
        <v>4820</v>
      </c>
      <c r="HF64" s="18">
        <v>4680</v>
      </c>
      <c r="HG64" s="18">
        <v>4820</v>
      </c>
      <c r="HH64" s="18">
        <v>5260</v>
      </c>
      <c r="HI64" s="18">
        <v>5690</v>
      </c>
      <c r="HJ64" s="18">
        <v>6060</v>
      </c>
      <c r="HK64" s="18">
        <v>7240</v>
      </c>
      <c r="HL64" s="18">
        <v>7350</v>
      </c>
      <c r="HM64" s="18">
        <v>7630</v>
      </c>
      <c r="HN64" s="18">
        <v>8300</v>
      </c>
      <c r="HO64" s="18">
        <v>8750</v>
      </c>
      <c r="HP64" s="18">
        <v>8740</v>
      </c>
      <c r="HQ64" s="18">
        <v>7970</v>
      </c>
      <c r="HR64" s="18">
        <v>6700</v>
      </c>
      <c r="HS64" s="18">
        <v>6410</v>
      </c>
      <c r="HT64" s="18">
        <v>6020</v>
      </c>
      <c r="HU64" s="18">
        <v>5780</v>
      </c>
      <c r="HV64" s="18">
        <v>5530</v>
      </c>
      <c r="HW64" s="18">
        <v>5200</v>
      </c>
      <c r="HX64" s="18">
        <v>5140</v>
      </c>
      <c r="HY64" s="18">
        <v>4850</v>
      </c>
      <c r="HZ64" s="18">
        <v>4630</v>
      </c>
      <c r="IA64" s="18">
        <v>4700</v>
      </c>
      <c r="IB64" s="18">
        <v>4400</v>
      </c>
      <c r="IC64" s="18">
        <v>4550</v>
      </c>
      <c r="ID64" s="18">
        <v>4570</v>
      </c>
      <c r="IE64" s="18">
        <v>4840</v>
      </c>
      <c r="IF64" s="18">
        <v>5020</v>
      </c>
      <c r="IG64" s="18">
        <v>5210</v>
      </c>
      <c r="IH64" s="18">
        <v>5370</v>
      </c>
      <c r="II64" s="18">
        <v>5300</v>
      </c>
      <c r="IJ64" s="18">
        <v>5220</v>
      </c>
      <c r="IK64" s="18">
        <v>5060</v>
      </c>
      <c r="IL64" s="18">
        <v>4920</v>
      </c>
      <c r="IM64" s="18">
        <v>4780</v>
      </c>
      <c r="IN64" s="18">
        <v>4660</v>
      </c>
      <c r="IO64" s="18">
        <v>4470</v>
      </c>
      <c r="IP64" s="18">
        <v>4310</v>
      </c>
      <c r="IQ64" s="18">
        <v>4230</v>
      </c>
      <c r="IR64" s="18">
        <v>4080</v>
      </c>
      <c r="IS64" s="18">
        <v>4080</v>
      </c>
      <c r="IT64" s="18">
        <v>4150</v>
      </c>
      <c r="IU64" s="18">
        <v>4680</v>
      </c>
      <c r="IV64" s="18">
        <v>4960</v>
      </c>
      <c r="IW64" s="18">
        <v>4860</v>
      </c>
      <c r="IX64" s="18">
        <v>4830</v>
      </c>
      <c r="IY64" s="18">
        <v>4800</v>
      </c>
      <c r="IZ64" s="18">
        <v>5040</v>
      </c>
      <c r="JA64" s="18">
        <v>5080</v>
      </c>
      <c r="JB64" s="18">
        <v>4980</v>
      </c>
      <c r="JC64" s="18">
        <v>4830</v>
      </c>
      <c r="JD64" s="18">
        <v>4730</v>
      </c>
      <c r="JE64" s="18">
        <v>4530</v>
      </c>
      <c r="JF64" s="18">
        <v>3880</v>
      </c>
      <c r="JG64" s="18">
        <v>3700</v>
      </c>
      <c r="JH64" s="18">
        <v>4060</v>
      </c>
      <c r="JI64" s="18">
        <v>4140</v>
      </c>
      <c r="JJ64" s="18">
        <v>4040</v>
      </c>
      <c r="JK64" s="18">
        <v>4190</v>
      </c>
      <c r="JL64" s="18">
        <v>4450</v>
      </c>
      <c r="JM64" s="18">
        <v>4410</v>
      </c>
      <c r="JN64" s="18">
        <v>4450</v>
      </c>
      <c r="JO64" s="18">
        <v>4390</v>
      </c>
      <c r="JP64" s="18">
        <v>4030</v>
      </c>
      <c r="JQ64" s="18">
        <v>3720</v>
      </c>
      <c r="JR64" s="18">
        <v>3800</v>
      </c>
      <c r="JS64" s="18">
        <v>3650</v>
      </c>
      <c r="JT64" s="18">
        <v>3720</v>
      </c>
      <c r="JU64" s="18">
        <v>3660</v>
      </c>
      <c r="JV64" s="18">
        <v>3540</v>
      </c>
      <c r="JW64" s="18">
        <v>3520</v>
      </c>
      <c r="JX64" s="18">
        <v>3660</v>
      </c>
      <c r="JY64" s="18">
        <v>3500</v>
      </c>
      <c r="JZ64" s="18">
        <v>3760</v>
      </c>
      <c r="KA64" s="18">
        <v>3770</v>
      </c>
      <c r="KB64" s="18">
        <v>3950</v>
      </c>
      <c r="KC64" s="18">
        <v>4020</v>
      </c>
      <c r="KD64" s="18">
        <v>3760</v>
      </c>
      <c r="KE64" s="18">
        <v>3420</v>
      </c>
      <c r="KF64" s="18">
        <v>3300</v>
      </c>
      <c r="KG64" s="18">
        <v>3530</v>
      </c>
      <c r="KH64" s="18">
        <v>3200</v>
      </c>
      <c r="KI64" s="18">
        <v>3620</v>
      </c>
      <c r="KJ64" s="18">
        <v>3540</v>
      </c>
      <c r="KK64" s="18">
        <v>3270</v>
      </c>
      <c r="KL64" s="18">
        <v>3260</v>
      </c>
      <c r="KM64" s="18">
        <v>3150</v>
      </c>
      <c r="KN64" s="18">
        <v>3210</v>
      </c>
      <c r="KO64" s="18">
        <v>3160</v>
      </c>
      <c r="KP64" s="18">
        <v>2650</v>
      </c>
      <c r="KQ64" s="18">
        <v>2380</v>
      </c>
      <c r="KR64" s="18">
        <v>2350</v>
      </c>
      <c r="KS64" s="18">
        <v>2470</v>
      </c>
      <c r="KT64" s="18">
        <v>2700</v>
      </c>
      <c r="KU64" s="18">
        <v>2660</v>
      </c>
      <c r="KV64" s="18">
        <v>2530</v>
      </c>
      <c r="KW64" s="18">
        <v>2410</v>
      </c>
      <c r="KX64" s="18">
        <v>2140</v>
      </c>
      <c r="KY64" s="18">
        <v>2100</v>
      </c>
      <c r="KZ64" s="18">
        <v>2110</v>
      </c>
      <c r="LA64" s="18">
        <v>1780</v>
      </c>
      <c r="LB64" s="18">
        <v>1840</v>
      </c>
      <c r="LC64" s="18">
        <v>2150</v>
      </c>
      <c r="LD64" s="18">
        <v>2180</v>
      </c>
      <c r="LE64" s="18">
        <v>2300</v>
      </c>
      <c r="LF64" s="18">
        <v>2270</v>
      </c>
      <c r="LG64" s="18">
        <v>2340</v>
      </c>
      <c r="LH64" s="18">
        <v>2220</v>
      </c>
      <c r="LI64" s="18">
        <v>1990</v>
      </c>
      <c r="LJ64" s="18">
        <v>1920</v>
      </c>
      <c r="LK64" s="18">
        <v>1930</v>
      </c>
      <c r="LL64" s="18">
        <v>1990</v>
      </c>
      <c r="LM64" s="18">
        <v>1890</v>
      </c>
      <c r="LN64" s="18">
        <v>1760</v>
      </c>
      <c r="LO64" s="18">
        <v>1790</v>
      </c>
      <c r="LP64" s="18">
        <v>1840</v>
      </c>
      <c r="LQ64" s="18">
        <v>1830</v>
      </c>
      <c r="LR64" s="18">
        <v>1810</v>
      </c>
      <c r="LS64" s="18">
        <v>1780</v>
      </c>
      <c r="LT64" s="18">
        <v>1570</v>
      </c>
      <c r="LU64" s="18">
        <v>1650</v>
      </c>
      <c r="LV64" s="18">
        <v>1630</v>
      </c>
      <c r="LW64" s="18">
        <v>1480</v>
      </c>
      <c r="LX64" s="18">
        <v>1390</v>
      </c>
      <c r="LY64" s="18">
        <v>1330</v>
      </c>
      <c r="LZ64" s="18">
        <v>1470</v>
      </c>
      <c r="MA64" s="18">
        <v>1530</v>
      </c>
      <c r="MB64" s="18">
        <v>1580</v>
      </c>
      <c r="MC64" s="18">
        <v>1520</v>
      </c>
      <c r="MD64" s="18">
        <v>1490</v>
      </c>
      <c r="ME64" s="18">
        <v>1560</v>
      </c>
      <c r="MF64" s="18">
        <v>1500</v>
      </c>
      <c r="MG64" s="18">
        <v>1390</v>
      </c>
      <c r="MH64" s="18">
        <v>1450</v>
      </c>
      <c r="MI64" s="18">
        <v>1490</v>
      </c>
      <c r="MJ64" s="18">
        <v>1540</v>
      </c>
      <c r="MK64" s="18">
        <v>1530</v>
      </c>
      <c r="ML64" s="18">
        <v>1420</v>
      </c>
      <c r="MM64" s="18">
        <v>1390</v>
      </c>
      <c r="MN64" s="18">
        <v>1330</v>
      </c>
      <c r="MO64" s="18">
        <v>1600</v>
      </c>
      <c r="MP64" s="18">
        <v>1520</v>
      </c>
      <c r="MQ64" s="18">
        <v>1400</v>
      </c>
      <c r="MR64" s="18">
        <v>1410</v>
      </c>
      <c r="MS64" s="18">
        <v>1520</v>
      </c>
      <c r="MT64" s="18">
        <v>1480</v>
      </c>
      <c r="MU64" s="18">
        <v>1550</v>
      </c>
      <c r="MV64" s="18">
        <v>1530</v>
      </c>
      <c r="MW64" s="18">
        <v>1350</v>
      </c>
      <c r="MX64" s="18">
        <v>1260</v>
      </c>
      <c r="MY64" s="18">
        <v>1270</v>
      </c>
      <c r="MZ64" s="18">
        <v>1470</v>
      </c>
      <c r="NA64" s="18">
        <v>1460</v>
      </c>
      <c r="NB64" s="18">
        <v>1420</v>
      </c>
      <c r="NC64" s="18">
        <v>1470</v>
      </c>
      <c r="ND64" s="1">
        <v>1920</v>
      </c>
      <c r="NE64" s="1">
        <v>1370</v>
      </c>
      <c r="NF64" s="1">
        <v>1480</v>
      </c>
      <c r="NG64" s="1">
        <v>1580</v>
      </c>
      <c r="NH64" s="1">
        <v>2060</v>
      </c>
      <c r="NI64" s="1">
        <v>3760</v>
      </c>
      <c r="NJ64" s="1">
        <v>6440</v>
      </c>
      <c r="NK64" s="1">
        <v>5880</v>
      </c>
      <c r="NL64" s="1">
        <v>4490</v>
      </c>
      <c r="NM64" s="1">
        <v>3400</v>
      </c>
      <c r="NN64" s="1">
        <v>1980</v>
      </c>
      <c r="NO64" s="1">
        <v>1460</v>
      </c>
      <c r="NP64" s="1">
        <v>2998.821917808219</v>
      </c>
      <c r="NQ64" s="1">
        <v>11700</v>
      </c>
      <c r="NR64" s="19">
        <v>42570</v>
      </c>
      <c r="NS64" s="1">
        <v>1090</v>
      </c>
      <c r="NT64" s="19">
        <v>42414</v>
      </c>
    </row>
    <row r="65" spans="1:395" x14ac:dyDescent="0.15">
      <c r="A65" s="1">
        <v>2012</v>
      </c>
      <c r="B65" s="18">
        <v>1420</v>
      </c>
      <c r="C65" s="18">
        <v>1300</v>
      </c>
      <c r="D65" s="18">
        <v>1270</v>
      </c>
      <c r="E65" s="18">
        <v>1300</v>
      </c>
      <c r="F65" s="18">
        <v>1250</v>
      </c>
      <c r="G65" s="18">
        <v>1510</v>
      </c>
      <c r="H65" s="18">
        <v>1510</v>
      </c>
      <c r="I65" s="18">
        <v>1430</v>
      </c>
      <c r="J65" s="18">
        <v>1370</v>
      </c>
      <c r="K65" s="18">
        <v>1340</v>
      </c>
      <c r="L65" s="18">
        <v>1330</v>
      </c>
      <c r="M65" s="18">
        <v>1310</v>
      </c>
      <c r="N65" s="18">
        <v>1370</v>
      </c>
      <c r="O65" s="18">
        <v>1200</v>
      </c>
      <c r="P65" s="18">
        <v>1110</v>
      </c>
      <c r="Q65" s="18">
        <v>1150</v>
      </c>
      <c r="R65" s="18">
        <v>1230</v>
      </c>
      <c r="S65" s="18">
        <v>1160</v>
      </c>
      <c r="T65" s="18">
        <v>1140</v>
      </c>
      <c r="U65" s="18">
        <v>1220</v>
      </c>
      <c r="V65" s="18">
        <v>1230</v>
      </c>
      <c r="W65" s="18">
        <v>1200</v>
      </c>
      <c r="X65" s="18">
        <v>1330</v>
      </c>
      <c r="Y65" s="18">
        <v>1490</v>
      </c>
      <c r="Z65" s="18">
        <v>1600</v>
      </c>
      <c r="AA65" s="18">
        <v>1450</v>
      </c>
      <c r="AB65" s="18">
        <v>1500</v>
      </c>
      <c r="AC65" s="18">
        <v>1430</v>
      </c>
      <c r="AD65" s="18">
        <v>1300</v>
      </c>
      <c r="AE65" s="18">
        <v>1290</v>
      </c>
      <c r="AF65" s="18">
        <v>1310</v>
      </c>
      <c r="AG65" s="18">
        <v>1270</v>
      </c>
      <c r="AH65" s="18">
        <v>1080</v>
      </c>
      <c r="AI65" s="18">
        <v>949</v>
      </c>
      <c r="AJ65" s="18">
        <v>974</v>
      </c>
      <c r="AK65" s="18">
        <v>850</v>
      </c>
      <c r="AL65" s="18">
        <v>795</v>
      </c>
      <c r="AM65" s="18">
        <v>820</v>
      </c>
      <c r="AN65" s="18">
        <v>785</v>
      </c>
      <c r="AO65" s="18">
        <v>802</v>
      </c>
      <c r="AP65" s="18">
        <v>862</v>
      </c>
      <c r="AQ65" s="18">
        <v>911</v>
      </c>
      <c r="AR65" s="18">
        <v>827</v>
      </c>
      <c r="AS65" s="18">
        <v>833</v>
      </c>
      <c r="AT65" s="18">
        <v>791</v>
      </c>
      <c r="AU65" s="18">
        <v>869</v>
      </c>
      <c r="AV65" s="18">
        <v>981</v>
      </c>
      <c r="AW65" s="18">
        <v>903</v>
      </c>
      <c r="AX65" s="18">
        <v>881</v>
      </c>
      <c r="AY65" s="18">
        <v>1010</v>
      </c>
      <c r="AZ65" s="18">
        <v>917</v>
      </c>
      <c r="BA65" s="18">
        <v>953</v>
      </c>
      <c r="BB65" s="18">
        <v>942</v>
      </c>
      <c r="BC65" s="18">
        <v>854</v>
      </c>
      <c r="BD65" s="18">
        <v>944</v>
      </c>
      <c r="BE65" s="18">
        <v>1010</v>
      </c>
      <c r="BF65" s="18">
        <v>901</v>
      </c>
      <c r="BG65" s="18">
        <v>875</v>
      </c>
      <c r="BH65" s="18">
        <v>971</v>
      </c>
      <c r="BI65" s="18">
        <v>1180</v>
      </c>
      <c r="BJ65" s="18">
        <v>1090</v>
      </c>
      <c r="BK65" s="18">
        <v>1040</v>
      </c>
      <c r="BL65" s="18">
        <v>1000</v>
      </c>
      <c r="BM65" s="18">
        <v>1000</v>
      </c>
      <c r="BN65" s="18">
        <v>1010</v>
      </c>
      <c r="BO65" s="18">
        <v>1120</v>
      </c>
      <c r="BP65" s="18">
        <v>1240</v>
      </c>
      <c r="BQ65" s="18">
        <v>998</v>
      </c>
      <c r="BR65" s="18">
        <v>1030</v>
      </c>
      <c r="BS65" s="18">
        <v>1100</v>
      </c>
      <c r="BT65" s="18">
        <v>1000</v>
      </c>
      <c r="BU65" s="18">
        <v>871</v>
      </c>
      <c r="BV65" s="18">
        <v>912</v>
      </c>
      <c r="BW65" s="18">
        <v>862</v>
      </c>
      <c r="BX65" s="18">
        <v>817</v>
      </c>
      <c r="BY65" s="18">
        <v>954</v>
      </c>
      <c r="BZ65" s="18">
        <v>925</v>
      </c>
      <c r="CA65" s="18">
        <v>944</v>
      </c>
      <c r="CB65" s="18">
        <v>894</v>
      </c>
      <c r="CC65" s="18">
        <v>913</v>
      </c>
      <c r="CD65" s="18">
        <v>793</v>
      </c>
      <c r="CE65" s="18">
        <v>695</v>
      </c>
      <c r="CF65" s="18">
        <v>719</v>
      </c>
      <c r="CG65" s="18">
        <v>779</v>
      </c>
      <c r="CH65" s="18">
        <v>722</v>
      </c>
      <c r="CI65" s="18">
        <v>772</v>
      </c>
      <c r="CJ65" s="18">
        <v>752</v>
      </c>
      <c r="CK65" s="18">
        <v>832</v>
      </c>
      <c r="CL65" s="18">
        <v>870</v>
      </c>
      <c r="CM65" s="18">
        <v>789</v>
      </c>
      <c r="CN65" s="18">
        <v>784</v>
      </c>
      <c r="CO65" s="18">
        <v>778</v>
      </c>
      <c r="CP65" s="18">
        <v>728</v>
      </c>
      <c r="CQ65" s="18">
        <v>923</v>
      </c>
      <c r="CR65" s="18">
        <v>976</v>
      </c>
      <c r="CS65" s="18">
        <v>889</v>
      </c>
      <c r="CT65" s="18">
        <v>944</v>
      </c>
      <c r="CU65" s="18">
        <v>1050</v>
      </c>
      <c r="CV65" s="18">
        <v>1120</v>
      </c>
      <c r="CW65" s="18">
        <v>1340</v>
      </c>
      <c r="CX65" s="18">
        <v>1390</v>
      </c>
      <c r="CY65" s="18">
        <v>1530</v>
      </c>
      <c r="CZ65" s="18">
        <v>1430</v>
      </c>
      <c r="DA65" s="18">
        <v>1130</v>
      </c>
      <c r="DB65" s="18">
        <v>1150</v>
      </c>
      <c r="DC65" s="18">
        <v>1350</v>
      </c>
      <c r="DD65" s="18">
        <v>1210</v>
      </c>
      <c r="DE65" s="18">
        <v>1510</v>
      </c>
      <c r="DF65" s="18">
        <v>1750</v>
      </c>
      <c r="DG65" s="18">
        <v>1730</v>
      </c>
      <c r="DH65" s="18">
        <v>1440</v>
      </c>
      <c r="DI65" s="18">
        <v>1520</v>
      </c>
      <c r="DJ65" s="18">
        <v>1360</v>
      </c>
      <c r="DK65" s="18">
        <v>1270</v>
      </c>
      <c r="DL65" s="18">
        <v>1110</v>
      </c>
      <c r="DM65" s="18">
        <v>1130</v>
      </c>
      <c r="DN65" s="18">
        <v>970</v>
      </c>
      <c r="DO65" s="18">
        <v>1010</v>
      </c>
      <c r="DP65" s="18">
        <v>1360</v>
      </c>
      <c r="DQ65" s="18">
        <v>1500</v>
      </c>
      <c r="DR65" s="18">
        <v>1230</v>
      </c>
      <c r="DS65" s="18">
        <v>1140</v>
      </c>
      <c r="DT65" s="18">
        <v>1150</v>
      </c>
      <c r="DU65" s="18">
        <v>1120</v>
      </c>
      <c r="DV65" s="18">
        <v>1170</v>
      </c>
      <c r="DW65" s="18">
        <v>1340</v>
      </c>
      <c r="DX65" s="18">
        <v>1230</v>
      </c>
      <c r="DY65" s="18">
        <v>1340</v>
      </c>
      <c r="DZ65" s="18">
        <v>1420</v>
      </c>
      <c r="EA65" s="18">
        <v>1530</v>
      </c>
      <c r="EB65" s="18">
        <v>1440</v>
      </c>
      <c r="EC65" s="18">
        <v>1410</v>
      </c>
      <c r="ED65" s="18">
        <v>1570</v>
      </c>
      <c r="EE65" s="18">
        <v>1470</v>
      </c>
      <c r="EF65" s="18">
        <v>1410</v>
      </c>
      <c r="EG65" s="18">
        <v>1400</v>
      </c>
      <c r="EH65" s="18">
        <v>1680</v>
      </c>
      <c r="EI65" s="18">
        <v>2070</v>
      </c>
      <c r="EJ65" s="18">
        <v>2840</v>
      </c>
      <c r="EK65" s="18">
        <v>3060</v>
      </c>
      <c r="EL65" s="18">
        <v>3050</v>
      </c>
      <c r="EM65" s="18">
        <v>3070</v>
      </c>
      <c r="EN65" s="18">
        <v>2930</v>
      </c>
      <c r="EO65" s="18">
        <v>2820</v>
      </c>
      <c r="EP65" s="18">
        <v>3020</v>
      </c>
      <c r="EQ65" s="18">
        <v>2320</v>
      </c>
      <c r="ER65" s="18">
        <v>1920</v>
      </c>
      <c r="ES65" s="18">
        <v>2190</v>
      </c>
      <c r="ET65" s="18">
        <v>2660</v>
      </c>
      <c r="EU65" s="18">
        <v>2880</v>
      </c>
      <c r="EV65" s="18">
        <v>2690</v>
      </c>
      <c r="EW65" s="18">
        <v>2410</v>
      </c>
      <c r="EX65" s="18">
        <v>2390</v>
      </c>
      <c r="EY65" s="18">
        <v>2800</v>
      </c>
      <c r="EZ65" s="18">
        <v>2610</v>
      </c>
      <c r="FA65" s="18">
        <v>2370</v>
      </c>
      <c r="FB65" s="18">
        <v>2400</v>
      </c>
      <c r="FC65" s="18">
        <v>2400</v>
      </c>
      <c r="FD65" s="18">
        <v>3010</v>
      </c>
      <c r="FE65" s="18">
        <v>2800</v>
      </c>
      <c r="FF65" s="18">
        <v>2480</v>
      </c>
      <c r="FG65" s="18">
        <v>2480</v>
      </c>
      <c r="FH65" s="18">
        <v>2650</v>
      </c>
      <c r="FI65" s="18">
        <v>2550</v>
      </c>
      <c r="FJ65" s="18">
        <v>2470</v>
      </c>
      <c r="FK65" s="18">
        <v>2560</v>
      </c>
      <c r="FL65" s="18">
        <v>2770</v>
      </c>
      <c r="FM65" s="18">
        <v>2970</v>
      </c>
      <c r="FN65" s="18">
        <v>3220</v>
      </c>
      <c r="FO65" s="18">
        <v>2920</v>
      </c>
      <c r="FP65" s="18">
        <v>3110</v>
      </c>
      <c r="FQ65" s="18">
        <v>3590</v>
      </c>
      <c r="FR65" s="18">
        <v>3960</v>
      </c>
      <c r="FS65" s="18">
        <v>4310</v>
      </c>
      <c r="FT65" s="18">
        <v>4370</v>
      </c>
      <c r="FU65" s="18">
        <v>4610</v>
      </c>
      <c r="FV65" s="18">
        <v>5070</v>
      </c>
      <c r="FW65" s="18">
        <v>4690</v>
      </c>
      <c r="FX65" s="18">
        <v>5570</v>
      </c>
      <c r="FY65" s="18">
        <v>7750</v>
      </c>
      <c r="FZ65" s="18">
        <v>8920</v>
      </c>
      <c r="GA65" s="18">
        <v>9840</v>
      </c>
      <c r="GB65" s="18">
        <v>9540</v>
      </c>
      <c r="GC65" s="18">
        <v>8960</v>
      </c>
      <c r="GD65" s="18">
        <v>8570</v>
      </c>
      <c r="GE65" s="18">
        <v>8190</v>
      </c>
      <c r="GF65" s="18">
        <v>8310</v>
      </c>
      <c r="GG65" s="18">
        <v>10100</v>
      </c>
      <c r="GH65" s="18">
        <v>9560</v>
      </c>
      <c r="GI65" s="18">
        <v>10200</v>
      </c>
      <c r="GJ65" s="18">
        <v>10300</v>
      </c>
      <c r="GK65" s="18">
        <v>9990</v>
      </c>
      <c r="GL65" s="18">
        <v>9900</v>
      </c>
      <c r="GM65" s="18">
        <v>9300</v>
      </c>
      <c r="GN65" s="18">
        <v>8970</v>
      </c>
      <c r="GO65" s="18">
        <v>10200</v>
      </c>
      <c r="GP65" s="18">
        <v>10800</v>
      </c>
      <c r="GQ65" s="18">
        <v>11700</v>
      </c>
      <c r="GR65" s="18">
        <v>13000</v>
      </c>
      <c r="GS65" s="18">
        <v>14200</v>
      </c>
      <c r="GT65" s="18">
        <v>13600</v>
      </c>
      <c r="GU65" s="18">
        <v>14500</v>
      </c>
      <c r="GV65" s="18">
        <v>14700</v>
      </c>
      <c r="GW65" s="18">
        <v>15000</v>
      </c>
      <c r="GX65" s="18">
        <v>15600</v>
      </c>
      <c r="GY65" s="18">
        <v>14600</v>
      </c>
      <c r="GZ65" s="18">
        <v>13900</v>
      </c>
      <c r="HA65" s="18">
        <v>15200</v>
      </c>
      <c r="HB65" s="18">
        <v>15400</v>
      </c>
      <c r="HC65" s="18">
        <v>15900</v>
      </c>
      <c r="HD65" s="18">
        <v>15800</v>
      </c>
      <c r="HE65" s="18">
        <v>13500</v>
      </c>
      <c r="HF65" s="18">
        <v>11400</v>
      </c>
      <c r="HG65" s="18">
        <v>10800</v>
      </c>
      <c r="HH65" s="18">
        <v>9790</v>
      </c>
      <c r="HI65" s="18">
        <v>8890</v>
      </c>
      <c r="HJ65" s="18">
        <v>8750</v>
      </c>
      <c r="HK65" s="18">
        <v>9030</v>
      </c>
      <c r="HL65" s="18">
        <v>9710</v>
      </c>
      <c r="HM65" s="18">
        <v>10000</v>
      </c>
      <c r="HN65" s="18">
        <v>9790</v>
      </c>
      <c r="HO65" s="18">
        <v>9380</v>
      </c>
      <c r="HP65" s="18">
        <v>8100</v>
      </c>
      <c r="HQ65" s="18">
        <v>6720</v>
      </c>
      <c r="HR65" s="18">
        <v>6540</v>
      </c>
      <c r="HS65" s="18">
        <v>7010</v>
      </c>
      <c r="HT65" s="18">
        <v>7340</v>
      </c>
      <c r="HU65" s="18">
        <v>7230</v>
      </c>
      <c r="HV65" s="18">
        <v>7570</v>
      </c>
      <c r="HW65" s="18">
        <v>8040</v>
      </c>
      <c r="HX65" s="18">
        <v>7620</v>
      </c>
      <c r="HY65" s="18">
        <v>7300</v>
      </c>
      <c r="HZ65" s="18">
        <v>6880</v>
      </c>
      <c r="IA65" s="18">
        <v>6960</v>
      </c>
      <c r="IB65" s="18">
        <v>6640</v>
      </c>
      <c r="IC65" s="18">
        <v>6210</v>
      </c>
      <c r="ID65" s="18">
        <v>7180</v>
      </c>
      <c r="IE65" s="18">
        <v>8340</v>
      </c>
      <c r="IF65" s="18">
        <v>9470</v>
      </c>
      <c r="IG65" s="18">
        <v>9530</v>
      </c>
      <c r="IH65" s="18">
        <v>9180</v>
      </c>
      <c r="II65" s="18">
        <v>8930</v>
      </c>
      <c r="IJ65" s="18">
        <v>8380</v>
      </c>
      <c r="IK65" s="18">
        <v>7960</v>
      </c>
      <c r="IL65" s="18">
        <v>8560</v>
      </c>
      <c r="IM65" s="18">
        <v>10500</v>
      </c>
      <c r="IN65" s="18">
        <v>11800</v>
      </c>
      <c r="IO65" s="18">
        <v>11900</v>
      </c>
      <c r="IP65" s="18">
        <v>10500</v>
      </c>
      <c r="IQ65" s="18">
        <v>8990</v>
      </c>
      <c r="IR65" s="18">
        <v>8910</v>
      </c>
      <c r="IS65" s="18">
        <v>8700</v>
      </c>
      <c r="IT65" s="18">
        <v>8190</v>
      </c>
      <c r="IU65" s="18">
        <v>6440</v>
      </c>
      <c r="IV65" s="18">
        <v>6580</v>
      </c>
      <c r="IW65" s="18">
        <v>7830</v>
      </c>
      <c r="IX65" s="18">
        <v>8310</v>
      </c>
      <c r="IY65" s="18">
        <v>8660</v>
      </c>
      <c r="IZ65" s="18">
        <v>9140</v>
      </c>
      <c r="JA65" s="18">
        <v>9080</v>
      </c>
      <c r="JB65" s="18">
        <v>8440</v>
      </c>
      <c r="JC65" s="18">
        <v>8010</v>
      </c>
      <c r="JD65" s="18">
        <v>8640</v>
      </c>
      <c r="JE65" s="18">
        <v>9170</v>
      </c>
      <c r="JF65" s="18">
        <v>9010</v>
      </c>
      <c r="JG65" s="18">
        <v>8830</v>
      </c>
      <c r="JH65" s="18">
        <v>8720</v>
      </c>
      <c r="JI65" s="18">
        <v>8060</v>
      </c>
      <c r="JJ65" s="18">
        <v>8070</v>
      </c>
      <c r="JK65" s="18">
        <v>8050</v>
      </c>
      <c r="JL65" s="18">
        <v>8280</v>
      </c>
      <c r="JM65" s="18">
        <v>7640</v>
      </c>
      <c r="JN65" s="18">
        <v>8270</v>
      </c>
      <c r="JO65" s="18">
        <v>8700</v>
      </c>
      <c r="JP65" s="18">
        <v>8560</v>
      </c>
      <c r="JQ65" s="18">
        <v>7070</v>
      </c>
      <c r="JR65" s="18">
        <v>7400</v>
      </c>
      <c r="JS65" s="18">
        <v>7500</v>
      </c>
      <c r="JT65" s="18">
        <v>7520</v>
      </c>
      <c r="JU65" s="18">
        <v>7630</v>
      </c>
      <c r="JV65" s="18">
        <v>7680</v>
      </c>
      <c r="JW65" s="18">
        <v>7690</v>
      </c>
      <c r="JX65" s="18">
        <v>7840</v>
      </c>
      <c r="JY65" s="18">
        <v>7570</v>
      </c>
      <c r="JZ65" s="18">
        <v>7390</v>
      </c>
      <c r="KA65" s="18">
        <v>6730</v>
      </c>
      <c r="KB65" s="18">
        <v>6500</v>
      </c>
      <c r="KC65" s="18">
        <v>6110</v>
      </c>
      <c r="KD65" s="18">
        <v>6080</v>
      </c>
      <c r="KE65" s="18">
        <v>6150</v>
      </c>
      <c r="KF65" s="18">
        <v>6090</v>
      </c>
      <c r="KG65" s="18">
        <v>5700</v>
      </c>
      <c r="KH65" s="18">
        <v>5610</v>
      </c>
      <c r="KI65" s="18">
        <v>5560</v>
      </c>
      <c r="KJ65" s="18">
        <v>5530</v>
      </c>
      <c r="KK65" s="18">
        <v>5220</v>
      </c>
      <c r="KL65" s="18">
        <v>5010</v>
      </c>
      <c r="KM65" s="18">
        <v>4800</v>
      </c>
      <c r="KN65" s="18">
        <v>4660</v>
      </c>
      <c r="KO65" s="18">
        <v>4390</v>
      </c>
      <c r="KP65" s="18">
        <v>4090</v>
      </c>
      <c r="KQ65" s="18">
        <v>4010</v>
      </c>
      <c r="KR65" s="18">
        <v>4040</v>
      </c>
      <c r="KS65" s="18">
        <v>4010</v>
      </c>
      <c r="KT65" s="18">
        <v>3980</v>
      </c>
      <c r="KU65" s="18">
        <v>3850</v>
      </c>
      <c r="KV65" s="18">
        <v>3510</v>
      </c>
      <c r="KW65" s="18">
        <v>3680</v>
      </c>
      <c r="KX65" s="18">
        <v>3740</v>
      </c>
      <c r="KY65" s="18">
        <v>3810</v>
      </c>
      <c r="KZ65" s="18">
        <v>3810</v>
      </c>
      <c r="LA65" s="18">
        <v>3780</v>
      </c>
      <c r="LB65" s="18">
        <v>3680</v>
      </c>
      <c r="LC65" s="18">
        <v>3540</v>
      </c>
      <c r="LD65" s="18">
        <v>3410</v>
      </c>
      <c r="LE65" s="18">
        <v>3390</v>
      </c>
      <c r="LF65" s="18">
        <v>3330</v>
      </c>
      <c r="LG65" s="18">
        <v>3340</v>
      </c>
      <c r="LH65" s="18">
        <v>3220</v>
      </c>
      <c r="LI65" s="18">
        <v>2680</v>
      </c>
      <c r="LJ65" s="18">
        <v>2490</v>
      </c>
      <c r="LK65" s="18">
        <v>2310</v>
      </c>
      <c r="LL65" s="18">
        <v>2240</v>
      </c>
      <c r="LM65" s="18">
        <v>2200</v>
      </c>
      <c r="LN65" s="18">
        <v>2180</v>
      </c>
      <c r="LO65" s="18">
        <v>2280</v>
      </c>
      <c r="LP65" s="18">
        <v>2270</v>
      </c>
      <c r="LQ65" s="18">
        <v>2210</v>
      </c>
      <c r="LR65" s="18">
        <v>1970</v>
      </c>
      <c r="LS65" s="18">
        <v>1790</v>
      </c>
      <c r="LT65" s="18">
        <v>1760</v>
      </c>
      <c r="LU65" s="18">
        <v>2010</v>
      </c>
      <c r="LV65" s="18">
        <v>2130</v>
      </c>
      <c r="LW65" s="18">
        <v>2030</v>
      </c>
      <c r="LX65" s="18">
        <v>1760</v>
      </c>
      <c r="LY65" s="18">
        <v>2110</v>
      </c>
      <c r="LZ65" s="18">
        <v>1900</v>
      </c>
      <c r="MA65" s="18">
        <v>1660</v>
      </c>
      <c r="MB65" s="18">
        <v>1600</v>
      </c>
      <c r="MC65" s="18">
        <v>1720</v>
      </c>
      <c r="MD65" s="18">
        <v>1530</v>
      </c>
      <c r="ME65" s="18">
        <v>1550</v>
      </c>
      <c r="MF65" s="18">
        <v>1540</v>
      </c>
      <c r="MG65" s="18">
        <v>1480</v>
      </c>
      <c r="MH65" s="18">
        <v>1350</v>
      </c>
      <c r="MI65" s="18">
        <v>1310</v>
      </c>
      <c r="MJ65" s="18">
        <v>2010</v>
      </c>
      <c r="MK65" s="18">
        <v>2460</v>
      </c>
      <c r="ML65" s="18">
        <v>2570</v>
      </c>
      <c r="MM65" s="18">
        <v>1840</v>
      </c>
      <c r="MN65" s="18">
        <v>2140</v>
      </c>
      <c r="MO65" s="18">
        <v>2020</v>
      </c>
      <c r="MP65" s="18">
        <v>1720</v>
      </c>
      <c r="MQ65" s="18">
        <v>1580</v>
      </c>
      <c r="MR65" s="18">
        <v>1340</v>
      </c>
      <c r="MS65" s="18">
        <v>1400</v>
      </c>
      <c r="MT65" s="18">
        <v>1640</v>
      </c>
      <c r="MU65" s="18">
        <v>1800</v>
      </c>
      <c r="MV65" s="18">
        <v>1670</v>
      </c>
      <c r="MW65" s="18">
        <v>1430</v>
      </c>
      <c r="MX65" s="18">
        <v>1520</v>
      </c>
      <c r="MY65" s="18">
        <v>1750</v>
      </c>
      <c r="MZ65" s="18">
        <v>1700</v>
      </c>
      <c r="NA65" s="18">
        <v>1860</v>
      </c>
      <c r="NB65" s="18">
        <v>1840</v>
      </c>
      <c r="NC65" s="18">
        <v>1550</v>
      </c>
      <c r="ND65" s="1">
        <v>1320</v>
      </c>
      <c r="NE65" s="1">
        <v>922</v>
      </c>
      <c r="NF65" s="1">
        <v>911</v>
      </c>
      <c r="NG65" s="1">
        <v>1230</v>
      </c>
      <c r="NH65" s="1">
        <v>1990</v>
      </c>
      <c r="NI65" s="1">
        <v>3790</v>
      </c>
      <c r="NJ65" s="1">
        <v>12000</v>
      </c>
      <c r="NK65" s="1">
        <v>8230</v>
      </c>
      <c r="NL65" s="1">
        <v>8730</v>
      </c>
      <c r="NM65" s="1">
        <v>6070</v>
      </c>
      <c r="NN65" s="1">
        <v>2810</v>
      </c>
      <c r="NO65" s="1">
        <v>1730</v>
      </c>
      <c r="NP65" s="1">
        <v>4159.7950819672133</v>
      </c>
      <c r="NQ65" s="1">
        <v>15900</v>
      </c>
      <c r="NR65" s="19">
        <v>42579</v>
      </c>
      <c r="NS65" s="1">
        <v>695</v>
      </c>
      <c r="NT65" s="19">
        <v>42451</v>
      </c>
    </row>
    <row r="66" spans="1:395" x14ac:dyDescent="0.15">
      <c r="A66" s="1">
        <v>2013</v>
      </c>
      <c r="B66" s="18">
        <v>1560</v>
      </c>
      <c r="C66" s="18">
        <v>1580</v>
      </c>
      <c r="D66" s="18">
        <v>1590</v>
      </c>
      <c r="E66" s="18">
        <v>1720</v>
      </c>
      <c r="F66" s="18">
        <v>1820</v>
      </c>
      <c r="G66" s="18">
        <v>1990</v>
      </c>
      <c r="H66" s="18">
        <v>2050</v>
      </c>
      <c r="I66" s="18">
        <v>2050</v>
      </c>
      <c r="J66" s="18">
        <v>1910</v>
      </c>
      <c r="K66" s="18">
        <v>1890</v>
      </c>
      <c r="L66" s="18">
        <v>1820</v>
      </c>
      <c r="M66" s="18">
        <v>1930</v>
      </c>
      <c r="N66" s="18">
        <v>1990</v>
      </c>
      <c r="O66" s="18">
        <v>1790</v>
      </c>
      <c r="P66" s="18">
        <v>1790</v>
      </c>
      <c r="Q66" s="18">
        <v>1760</v>
      </c>
      <c r="R66" s="18">
        <v>1530</v>
      </c>
      <c r="S66" s="18">
        <v>1450</v>
      </c>
      <c r="T66" s="18">
        <v>1320</v>
      </c>
      <c r="U66" s="18">
        <v>1420</v>
      </c>
      <c r="V66" s="18">
        <v>1300</v>
      </c>
      <c r="W66" s="18">
        <v>1160</v>
      </c>
      <c r="X66" s="18">
        <v>1240</v>
      </c>
      <c r="Y66" s="18">
        <v>1230</v>
      </c>
      <c r="Z66" s="18">
        <v>1130</v>
      </c>
      <c r="AA66" s="18">
        <v>1210</v>
      </c>
      <c r="AB66" s="18">
        <v>1300</v>
      </c>
      <c r="AC66" s="18">
        <v>1080</v>
      </c>
      <c r="AD66" s="18">
        <v>1090</v>
      </c>
      <c r="AE66" s="18">
        <v>1260</v>
      </c>
      <c r="AF66" s="18">
        <v>1240</v>
      </c>
      <c r="AG66" s="18">
        <v>1270</v>
      </c>
      <c r="AH66" s="18">
        <v>1360</v>
      </c>
      <c r="AI66" s="18">
        <v>1290</v>
      </c>
      <c r="AJ66" s="18">
        <v>1310</v>
      </c>
      <c r="AK66" s="18">
        <v>1220</v>
      </c>
      <c r="AL66" s="18">
        <v>1270</v>
      </c>
      <c r="AM66" s="18">
        <v>1410</v>
      </c>
      <c r="AN66" s="18">
        <v>1260</v>
      </c>
      <c r="AO66" s="18">
        <v>1280</v>
      </c>
      <c r="AP66" s="18">
        <v>1290</v>
      </c>
      <c r="AQ66" s="18">
        <v>1270</v>
      </c>
      <c r="AR66" s="18">
        <v>1310</v>
      </c>
      <c r="AS66" s="18">
        <v>1220</v>
      </c>
      <c r="AT66" s="18">
        <v>1300</v>
      </c>
      <c r="AU66" s="18">
        <v>1320</v>
      </c>
      <c r="AV66" s="18">
        <v>1390</v>
      </c>
      <c r="AW66" s="18">
        <v>1240</v>
      </c>
      <c r="AX66" s="18">
        <v>1250</v>
      </c>
      <c r="AY66" s="18">
        <v>1340</v>
      </c>
      <c r="AZ66" s="18">
        <v>1410</v>
      </c>
      <c r="BA66" s="18">
        <v>1330</v>
      </c>
      <c r="BB66" s="18">
        <v>1350</v>
      </c>
      <c r="BC66" s="18">
        <v>1360</v>
      </c>
      <c r="BD66" s="18">
        <v>1610</v>
      </c>
      <c r="BE66" s="18">
        <v>1500</v>
      </c>
      <c r="BF66" s="18">
        <v>1410</v>
      </c>
      <c r="BG66" s="18">
        <v>1510</v>
      </c>
      <c r="BH66" s="18">
        <v>1420</v>
      </c>
      <c r="BI66" s="18"/>
      <c r="BJ66" s="18">
        <v>1480</v>
      </c>
      <c r="BK66" s="18">
        <v>1480</v>
      </c>
      <c r="BL66" s="18">
        <v>1490</v>
      </c>
      <c r="BM66" s="18">
        <v>1560</v>
      </c>
      <c r="BN66" s="18">
        <v>1650</v>
      </c>
      <c r="BO66" s="18">
        <v>1790</v>
      </c>
      <c r="BP66" s="18">
        <v>1610</v>
      </c>
      <c r="BQ66" s="18">
        <v>1400</v>
      </c>
      <c r="BR66" s="18">
        <v>1280</v>
      </c>
      <c r="BS66" s="18">
        <v>1420</v>
      </c>
      <c r="BT66" s="18">
        <v>1380</v>
      </c>
      <c r="BU66" s="18">
        <v>1400</v>
      </c>
      <c r="BV66" s="18">
        <v>1380</v>
      </c>
      <c r="BW66" s="18">
        <v>1480</v>
      </c>
      <c r="BX66" s="18">
        <v>1460</v>
      </c>
      <c r="BY66" s="18">
        <v>1470</v>
      </c>
      <c r="BZ66" s="18">
        <v>1730</v>
      </c>
      <c r="CA66" s="18">
        <v>1840</v>
      </c>
      <c r="CB66" s="18">
        <v>1750</v>
      </c>
      <c r="CC66" s="18">
        <v>1710</v>
      </c>
      <c r="CD66" s="18">
        <v>1470</v>
      </c>
      <c r="CE66" s="18">
        <v>1560</v>
      </c>
      <c r="CF66" s="18">
        <v>1720</v>
      </c>
      <c r="CG66" s="18">
        <v>1430</v>
      </c>
      <c r="CH66" s="18">
        <v>1220</v>
      </c>
      <c r="CI66" s="18">
        <v>1140</v>
      </c>
      <c r="CJ66" s="18">
        <v>1260</v>
      </c>
      <c r="CK66" s="18">
        <v>1190</v>
      </c>
      <c r="CL66" s="18">
        <v>1250</v>
      </c>
      <c r="CM66" s="18">
        <v>1240</v>
      </c>
      <c r="CN66" s="18">
        <v>1240</v>
      </c>
      <c r="CO66" s="18">
        <v>1180</v>
      </c>
      <c r="CP66" s="18">
        <v>1610</v>
      </c>
      <c r="CQ66" s="18">
        <v>1310</v>
      </c>
      <c r="CR66" s="18">
        <v>1410</v>
      </c>
      <c r="CS66" s="18">
        <v>1750</v>
      </c>
      <c r="CT66" s="18">
        <v>1430</v>
      </c>
      <c r="CU66" s="18">
        <v>1300</v>
      </c>
      <c r="CV66" s="18">
        <v>1400</v>
      </c>
      <c r="CW66" s="18">
        <v>2130</v>
      </c>
      <c r="CX66" s="18">
        <v>2450</v>
      </c>
      <c r="CY66" s="18">
        <v>1930</v>
      </c>
      <c r="CZ66" s="18">
        <v>1600</v>
      </c>
      <c r="DA66" s="18">
        <v>1400</v>
      </c>
      <c r="DB66" s="18">
        <v>1560</v>
      </c>
      <c r="DC66" s="18">
        <v>1660</v>
      </c>
      <c r="DD66" s="18">
        <v>1670</v>
      </c>
      <c r="DE66" s="18">
        <v>1850</v>
      </c>
      <c r="DF66" s="18">
        <v>1510</v>
      </c>
      <c r="DG66" s="18">
        <v>1400</v>
      </c>
      <c r="DH66" s="18">
        <v>1440</v>
      </c>
      <c r="DI66" s="18">
        <v>1520</v>
      </c>
      <c r="DJ66" s="18">
        <v>1610</v>
      </c>
      <c r="DK66" s="18">
        <v>1390</v>
      </c>
      <c r="DL66" s="18">
        <v>1410</v>
      </c>
      <c r="DM66" s="18">
        <v>1400</v>
      </c>
      <c r="DN66" s="18">
        <v>1500</v>
      </c>
      <c r="DO66" s="18">
        <v>1510</v>
      </c>
      <c r="DP66" s="18">
        <v>1990</v>
      </c>
      <c r="DQ66" s="18">
        <v>1890</v>
      </c>
      <c r="DR66" s="18">
        <v>1410</v>
      </c>
      <c r="DS66" s="18">
        <v>1430</v>
      </c>
      <c r="DT66" s="18">
        <v>1430</v>
      </c>
      <c r="DU66" s="18">
        <v>1200</v>
      </c>
      <c r="DV66" s="18">
        <v>1500</v>
      </c>
      <c r="DW66" s="18">
        <v>1690</v>
      </c>
      <c r="DX66" s="18">
        <v>1870</v>
      </c>
      <c r="DY66" s="18">
        <v>1790</v>
      </c>
      <c r="DZ66" s="18">
        <v>1620</v>
      </c>
      <c r="EA66" s="18">
        <v>1540</v>
      </c>
      <c r="EB66" s="18">
        <v>1540</v>
      </c>
      <c r="EC66" s="18">
        <v>1460</v>
      </c>
      <c r="ED66" s="18">
        <v>1550</v>
      </c>
      <c r="EE66" s="18">
        <v>1780</v>
      </c>
      <c r="EF66" s="18">
        <v>1780</v>
      </c>
      <c r="EG66" s="18">
        <v>1680</v>
      </c>
      <c r="EH66" s="18">
        <v>1700</v>
      </c>
      <c r="EI66" s="18">
        <v>1630</v>
      </c>
      <c r="EJ66" s="18">
        <v>1690</v>
      </c>
      <c r="EK66" s="18">
        <v>1980</v>
      </c>
      <c r="EL66" s="18">
        <v>2060</v>
      </c>
      <c r="EM66" s="18">
        <v>1970</v>
      </c>
      <c r="EN66" s="18">
        <v>2090</v>
      </c>
      <c r="EO66" s="18">
        <v>2410</v>
      </c>
      <c r="EP66" s="18">
        <v>2550</v>
      </c>
      <c r="EQ66" s="18">
        <v>2500</v>
      </c>
      <c r="ER66" s="18">
        <v>2090</v>
      </c>
      <c r="ES66" s="18">
        <v>2150</v>
      </c>
      <c r="ET66" s="18">
        <v>2030</v>
      </c>
      <c r="EU66" s="18">
        <v>2010</v>
      </c>
      <c r="EV66" s="18">
        <v>2090</v>
      </c>
      <c r="EW66" s="18">
        <v>2010</v>
      </c>
      <c r="EX66" s="18">
        <v>2250</v>
      </c>
      <c r="EY66" s="18">
        <v>2650</v>
      </c>
      <c r="EZ66" s="18">
        <v>3190</v>
      </c>
      <c r="FA66" s="18">
        <v>3180</v>
      </c>
      <c r="FB66" s="18">
        <v>3410</v>
      </c>
      <c r="FC66" s="18">
        <v>3680</v>
      </c>
      <c r="FD66" s="18">
        <v>4030</v>
      </c>
      <c r="FE66" s="18">
        <v>4310</v>
      </c>
      <c r="FF66" s="18">
        <v>4010</v>
      </c>
      <c r="FG66" s="18">
        <v>3860</v>
      </c>
      <c r="FH66" s="18">
        <v>4140</v>
      </c>
      <c r="FI66" s="18">
        <v>3760</v>
      </c>
      <c r="FJ66" s="18">
        <v>3650</v>
      </c>
      <c r="FK66" s="18">
        <v>3770</v>
      </c>
      <c r="FL66" s="18">
        <v>4110</v>
      </c>
      <c r="FM66" s="18">
        <v>4130</v>
      </c>
      <c r="FN66" s="18">
        <v>4320</v>
      </c>
      <c r="FO66" s="18">
        <v>4400</v>
      </c>
      <c r="FP66" s="18">
        <v>4520</v>
      </c>
      <c r="FQ66" s="18">
        <v>4490</v>
      </c>
      <c r="FR66" s="18">
        <v>4140</v>
      </c>
      <c r="FS66" s="18">
        <v>3540</v>
      </c>
      <c r="FT66" s="18">
        <v>3530</v>
      </c>
      <c r="FU66" s="18">
        <v>3580</v>
      </c>
      <c r="FV66" s="18">
        <v>3330</v>
      </c>
      <c r="FW66" s="18">
        <v>3060</v>
      </c>
      <c r="FX66" s="18">
        <v>3410</v>
      </c>
      <c r="FY66" s="18">
        <v>3160</v>
      </c>
      <c r="FZ66" s="18">
        <v>2880</v>
      </c>
      <c r="GA66" s="18">
        <v>3480</v>
      </c>
      <c r="GB66" s="18">
        <v>4050</v>
      </c>
      <c r="GC66" s="18">
        <v>4280</v>
      </c>
      <c r="GD66" s="18">
        <v>4890</v>
      </c>
      <c r="GE66" s="18">
        <v>4630</v>
      </c>
      <c r="GF66" s="18">
        <v>4110</v>
      </c>
      <c r="GG66" s="18">
        <v>4310</v>
      </c>
      <c r="GH66" s="18">
        <v>4020</v>
      </c>
      <c r="GI66" s="18">
        <v>4190</v>
      </c>
      <c r="GJ66" s="18">
        <v>4750</v>
      </c>
      <c r="GK66" s="18">
        <v>4780</v>
      </c>
      <c r="GL66" s="18">
        <v>4730</v>
      </c>
      <c r="GM66" s="18">
        <v>4530</v>
      </c>
      <c r="GN66" s="18">
        <v>4950</v>
      </c>
      <c r="GO66" s="18">
        <v>5600</v>
      </c>
      <c r="GP66" s="18">
        <v>6110</v>
      </c>
      <c r="GQ66" s="18">
        <v>6190</v>
      </c>
      <c r="GR66" s="18">
        <v>6360</v>
      </c>
      <c r="GS66" s="18">
        <v>6250</v>
      </c>
      <c r="GT66" s="18">
        <v>6890</v>
      </c>
      <c r="GU66" s="18">
        <v>7190</v>
      </c>
      <c r="GV66" s="18">
        <v>7960</v>
      </c>
      <c r="GW66" s="18">
        <v>9970</v>
      </c>
      <c r="GX66" s="18">
        <v>11700</v>
      </c>
      <c r="GY66" s="18">
        <v>13600</v>
      </c>
      <c r="GZ66" s="18">
        <v>11700</v>
      </c>
      <c r="HA66" s="18">
        <v>8570</v>
      </c>
      <c r="HB66" s="18">
        <v>9620</v>
      </c>
      <c r="HC66" s="18">
        <v>10200</v>
      </c>
      <c r="HD66" s="18">
        <v>10000</v>
      </c>
      <c r="HE66" s="18">
        <v>7430</v>
      </c>
      <c r="HF66" s="18">
        <v>7660</v>
      </c>
      <c r="HG66" s="18">
        <v>8410</v>
      </c>
      <c r="HH66" s="18">
        <v>8960</v>
      </c>
      <c r="HI66" s="18">
        <v>9430</v>
      </c>
      <c r="HJ66" s="18">
        <v>9020</v>
      </c>
      <c r="HK66" s="18">
        <v>8020</v>
      </c>
      <c r="HL66" s="18">
        <v>6240</v>
      </c>
      <c r="HM66" s="18">
        <v>5440</v>
      </c>
      <c r="HN66" s="18">
        <v>5660</v>
      </c>
      <c r="HO66" s="18">
        <v>5630</v>
      </c>
      <c r="HP66" s="18">
        <v>5140</v>
      </c>
      <c r="HQ66" s="18">
        <v>5520</v>
      </c>
      <c r="HR66" s="18">
        <v>6590</v>
      </c>
      <c r="HS66" s="18">
        <v>7440</v>
      </c>
      <c r="HT66" s="18">
        <v>7620</v>
      </c>
      <c r="HU66" s="18">
        <v>6770</v>
      </c>
      <c r="HV66" s="18">
        <v>5840</v>
      </c>
      <c r="HW66" s="18">
        <v>5850</v>
      </c>
      <c r="HX66" s="18">
        <v>5290</v>
      </c>
      <c r="HY66" s="18">
        <v>4910</v>
      </c>
      <c r="HZ66" s="18">
        <v>5240</v>
      </c>
      <c r="IA66" s="18">
        <v>5030</v>
      </c>
      <c r="IB66" s="18">
        <v>4630</v>
      </c>
      <c r="IC66" s="18">
        <v>4530</v>
      </c>
      <c r="ID66" s="18">
        <v>4510</v>
      </c>
      <c r="IE66" s="18">
        <v>4840</v>
      </c>
      <c r="IF66" s="18">
        <v>5050</v>
      </c>
      <c r="IG66" s="18">
        <v>5010</v>
      </c>
      <c r="IH66" s="18">
        <v>4770</v>
      </c>
      <c r="II66" s="18">
        <v>4660</v>
      </c>
      <c r="IJ66" s="18">
        <v>4880</v>
      </c>
      <c r="IK66" s="18">
        <v>5040</v>
      </c>
      <c r="IL66" s="18">
        <v>4840</v>
      </c>
      <c r="IM66" s="18">
        <v>4680</v>
      </c>
      <c r="IN66" s="18">
        <v>4770</v>
      </c>
      <c r="IO66" s="18">
        <v>4840</v>
      </c>
      <c r="IP66" s="18">
        <v>4640</v>
      </c>
      <c r="IQ66" s="18">
        <v>5070</v>
      </c>
      <c r="IR66" s="18">
        <v>5930</v>
      </c>
      <c r="IS66" s="18">
        <v>6520</v>
      </c>
      <c r="IT66" s="18">
        <v>8340</v>
      </c>
      <c r="IU66" s="18">
        <v>11400</v>
      </c>
      <c r="IV66" s="18">
        <v>10900</v>
      </c>
      <c r="IW66" s="18">
        <v>10100</v>
      </c>
      <c r="IX66" s="18">
        <v>12200</v>
      </c>
      <c r="IY66" s="18">
        <v>12000</v>
      </c>
      <c r="IZ66" s="18">
        <v>9850</v>
      </c>
      <c r="JA66" s="18">
        <v>7810</v>
      </c>
      <c r="JB66" s="18">
        <v>7400</v>
      </c>
      <c r="JC66" s="18">
        <v>6700</v>
      </c>
      <c r="JD66" s="18">
        <v>5890</v>
      </c>
      <c r="JE66" s="18">
        <v>5400</v>
      </c>
      <c r="JF66" s="18">
        <v>6100</v>
      </c>
      <c r="JG66" s="18">
        <v>5550</v>
      </c>
      <c r="JH66" s="18">
        <v>5720</v>
      </c>
      <c r="JI66" s="18">
        <v>4980</v>
      </c>
      <c r="JJ66" s="18">
        <v>4520</v>
      </c>
      <c r="JK66" s="18">
        <v>4830</v>
      </c>
      <c r="JL66" s="18">
        <v>5400</v>
      </c>
      <c r="JM66" s="18">
        <v>5350</v>
      </c>
      <c r="JN66" s="18">
        <v>5250</v>
      </c>
      <c r="JO66" s="18">
        <v>6210</v>
      </c>
      <c r="JP66" s="18">
        <v>5450</v>
      </c>
      <c r="JQ66" s="18">
        <v>4950</v>
      </c>
      <c r="JR66" s="18">
        <v>4950</v>
      </c>
      <c r="JS66" s="18">
        <v>4320</v>
      </c>
      <c r="JT66" s="18">
        <v>4770</v>
      </c>
      <c r="JU66" s="18">
        <v>4090</v>
      </c>
      <c r="JV66" s="18">
        <v>4080</v>
      </c>
      <c r="JW66" s="18">
        <v>4520</v>
      </c>
      <c r="JX66" s="18">
        <v>6440</v>
      </c>
      <c r="JY66" s="18">
        <v>5080</v>
      </c>
      <c r="JZ66" s="18">
        <v>4790</v>
      </c>
      <c r="KA66" s="18">
        <v>4620</v>
      </c>
      <c r="KB66" s="18">
        <v>4590</v>
      </c>
      <c r="KC66" s="18">
        <v>4520</v>
      </c>
      <c r="KD66" s="18">
        <v>4450</v>
      </c>
      <c r="KE66" s="18">
        <v>4400</v>
      </c>
      <c r="KF66" s="18">
        <v>4380</v>
      </c>
      <c r="KG66" s="18">
        <v>4350</v>
      </c>
      <c r="KH66" s="18">
        <v>4530</v>
      </c>
      <c r="KI66" s="18">
        <v>4360</v>
      </c>
      <c r="KJ66" s="18">
        <v>4070</v>
      </c>
      <c r="KK66" s="18">
        <v>4060</v>
      </c>
      <c r="KL66" s="18">
        <v>4140</v>
      </c>
      <c r="KM66" s="18">
        <v>4500</v>
      </c>
      <c r="KN66" s="18">
        <v>4510</v>
      </c>
      <c r="KO66" s="18">
        <v>4210</v>
      </c>
      <c r="KP66" s="18">
        <v>3920</v>
      </c>
      <c r="KQ66" s="18">
        <v>3860</v>
      </c>
      <c r="KR66" s="18">
        <v>3850</v>
      </c>
      <c r="KS66" s="18">
        <v>3160</v>
      </c>
      <c r="KT66" s="18">
        <v>2910</v>
      </c>
      <c r="KU66" s="18">
        <v>2950</v>
      </c>
      <c r="KV66" s="18">
        <v>2550</v>
      </c>
      <c r="KW66" s="18">
        <v>2970</v>
      </c>
      <c r="KX66" s="18">
        <v>2620</v>
      </c>
      <c r="KY66" s="18">
        <v>2570</v>
      </c>
      <c r="KZ66" s="18">
        <v>2680</v>
      </c>
      <c r="LA66" s="18">
        <v>2640</v>
      </c>
      <c r="LB66" s="18">
        <v>2540</v>
      </c>
      <c r="LC66" s="18">
        <v>2440</v>
      </c>
      <c r="LD66" s="18">
        <v>2500</v>
      </c>
      <c r="LE66" s="18">
        <v>2810</v>
      </c>
      <c r="LF66" s="18">
        <v>2510</v>
      </c>
      <c r="LG66" s="18">
        <v>2580</v>
      </c>
      <c r="LH66" s="18">
        <v>2320</v>
      </c>
      <c r="LI66" s="18">
        <v>2570</v>
      </c>
      <c r="LJ66" s="18">
        <v>2670</v>
      </c>
      <c r="LK66" s="18">
        <v>2610</v>
      </c>
      <c r="LL66" s="18">
        <v>2720</v>
      </c>
      <c r="LM66" s="18">
        <v>2990</v>
      </c>
      <c r="LN66" s="18">
        <v>3220</v>
      </c>
      <c r="LO66" s="18">
        <v>2930</v>
      </c>
      <c r="LP66" s="18">
        <v>2530</v>
      </c>
      <c r="LQ66" s="18">
        <v>2580</v>
      </c>
      <c r="LR66" s="18">
        <v>2360</v>
      </c>
      <c r="LS66" s="18">
        <v>2290</v>
      </c>
      <c r="LT66" s="18">
        <v>2140</v>
      </c>
      <c r="LU66" s="18">
        <v>2470</v>
      </c>
      <c r="LV66" s="18">
        <v>2800</v>
      </c>
      <c r="LW66" s="18">
        <v>2340</v>
      </c>
      <c r="LX66" s="18">
        <v>2010</v>
      </c>
      <c r="LY66" s="18">
        <v>1760</v>
      </c>
      <c r="LZ66" s="18">
        <v>1660</v>
      </c>
      <c r="MA66" s="18">
        <v>1850</v>
      </c>
      <c r="MB66" s="18">
        <v>2200</v>
      </c>
      <c r="MC66" s="18">
        <v>2210</v>
      </c>
      <c r="MD66" s="18">
        <v>1830</v>
      </c>
      <c r="ME66" s="18">
        <v>1910</v>
      </c>
      <c r="MF66" s="18">
        <v>2400</v>
      </c>
      <c r="MG66" s="18">
        <v>2020</v>
      </c>
      <c r="MH66" s="18">
        <v>1690</v>
      </c>
      <c r="MI66" s="18">
        <v>1670</v>
      </c>
      <c r="MJ66" s="18">
        <v>1580</v>
      </c>
      <c r="MK66" s="18">
        <v>1600</v>
      </c>
      <c r="ML66" s="18">
        <v>1570</v>
      </c>
      <c r="MM66" s="18">
        <v>1550</v>
      </c>
      <c r="MN66" s="18">
        <v>1540</v>
      </c>
      <c r="MO66" s="18">
        <v>1570</v>
      </c>
      <c r="MP66" s="18">
        <v>1700</v>
      </c>
      <c r="MQ66" s="18">
        <v>1720</v>
      </c>
      <c r="MR66" s="18">
        <v>1700</v>
      </c>
      <c r="MS66" s="18">
        <v>1620</v>
      </c>
      <c r="MT66" s="18">
        <v>1440</v>
      </c>
      <c r="MU66" s="18">
        <v>1390</v>
      </c>
      <c r="MV66" s="18">
        <v>1470</v>
      </c>
      <c r="MW66" s="18">
        <v>1440</v>
      </c>
      <c r="MX66" s="18">
        <v>1530</v>
      </c>
      <c r="MY66" s="18">
        <v>1550</v>
      </c>
      <c r="MZ66" s="18">
        <v>1520</v>
      </c>
      <c r="NA66" s="18">
        <v>1450</v>
      </c>
      <c r="NB66" s="18">
        <v>1320</v>
      </c>
      <c r="NC66" s="18">
        <v>1440</v>
      </c>
      <c r="ND66" s="1">
        <v>1550</v>
      </c>
      <c r="NE66" s="1">
        <v>1340</v>
      </c>
      <c r="NF66" s="1">
        <v>1470</v>
      </c>
      <c r="NG66" s="1">
        <v>1590</v>
      </c>
      <c r="NH66" s="1">
        <v>1830</v>
      </c>
      <c r="NI66" s="1">
        <v>3670</v>
      </c>
      <c r="NJ66" s="1">
        <v>6810</v>
      </c>
      <c r="NK66" s="1">
        <v>6000</v>
      </c>
      <c r="NL66" s="1">
        <v>6770</v>
      </c>
      <c r="NM66" s="1">
        <v>4410</v>
      </c>
      <c r="NN66" s="1">
        <v>2600</v>
      </c>
      <c r="NO66" s="1">
        <v>1670</v>
      </c>
      <c r="NP66" s="1">
        <v>3322.2191780821918</v>
      </c>
      <c r="NQ66" s="1">
        <v>13600</v>
      </c>
      <c r="NR66" s="19">
        <v>42575</v>
      </c>
      <c r="NS66" s="1">
        <v>1080</v>
      </c>
      <c r="NT66" s="19">
        <v>42397</v>
      </c>
    </row>
    <row r="67" spans="1:395" x14ac:dyDescent="0.15">
      <c r="A67" s="1">
        <v>2014</v>
      </c>
      <c r="B67" s="18">
        <v>1430</v>
      </c>
      <c r="C67" s="18">
        <v>1460</v>
      </c>
      <c r="D67" s="18">
        <v>1460</v>
      </c>
      <c r="E67" s="18">
        <v>1610</v>
      </c>
      <c r="F67" s="18">
        <v>1950</v>
      </c>
      <c r="G67" s="18">
        <v>1930</v>
      </c>
      <c r="H67" s="18">
        <v>1780</v>
      </c>
      <c r="I67" s="18">
        <v>2020</v>
      </c>
      <c r="J67" s="18">
        <v>2110</v>
      </c>
      <c r="K67" s="18">
        <v>1960</v>
      </c>
      <c r="L67" s="18">
        <v>1800</v>
      </c>
      <c r="M67" s="18">
        <v>1930</v>
      </c>
      <c r="N67" s="18">
        <v>1810</v>
      </c>
      <c r="O67" s="18">
        <v>1780</v>
      </c>
      <c r="P67" s="18">
        <v>1800</v>
      </c>
      <c r="Q67" s="18">
        <v>1820</v>
      </c>
      <c r="R67" s="18">
        <v>1750</v>
      </c>
      <c r="S67" s="18">
        <v>1660</v>
      </c>
      <c r="T67" s="18">
        <v>1570</v>
      </c>
      <c r="U67" s="18">
        <v>1480</v>
      </c>
      <c r="V67" s="18">
        <v>1290</v>
      </c>
      <c r="W67" s="18">
        <v>1450</v>
      </c>
      <c r="X67" s="18">
        <v>1310</v>
      </c>
      <c r="Y67" s="18">
        <v>1530</v>
      </c>
      <c r="Z67" s="18">
        <v>1480</v>
      </c>
      <c r="AA67" s="18">
        <v>1350</v>
      </c>
      <c r="AB67" s="18">
        <v>1470</v>
      </c>
      <c r="AC67" s="18">
        <v>1300</v>
      </c>
      <c r="AD67" s="18">
        <v>1280</v>
      </c>
      <c r="AE67" s="18">
        <v>1160</v>
      </c>
      <c r="AF67" s="18">
        <v>1170</v>
      </c>
      <c r="AG67" s="18">
        <v>1340</v>
      </c>
      <c r="AH67" s="18">
        <v>1310</v>
      </c>
      <c r="AI67" s="18">
        <v>1380</v>
      </c>
      <c r="AJ67" s="18">
        <v>1290</v>
      </c>
      <c r="AK67" s="18">
        <v>1100</v>
      </c>
      <c r="AL67" s="18">
        <v>1290</v>
      </c>
      <c r="AM67" s="18">
        <v>1620</v>
      </c>
      <c r="AN67" s="18">
        <v>1650</v>
      </c>
      <c r="AO67" s="18">
        <v>1560</v>
      </c>
      <c r="AP67" s="18">
        <v>1420</v>
      </c>
      <c r="AQ67" s="18">
        <v>1810</v>
      </c>
      <c r="AR67" s="18">
        <v>1640</v>
      </c>
      <c r="AS67" s="18">
        <v>1680</v>
      </c>
      <c r="AT67" s="18">
        <v>1680</v>
      </c>
      <c r="AU67" s="18">
        <v>1750</v>
      </c>
      <c r="AV67" s="18">
        <v>1830</v>
      </c>
      <c r="AW67" s="18">
        <v>1990</v>
      </c>
      <c r="AX67" s="18">
        <v>1910</v>
      </c>
      <c r="AY67" s="18">
        <v>1840</v>
      </c>
      <c r="AZ67" s="18">
        <v>1870</v>
      </c>
      <c r="BA67" s="18">
        <v>1930</v>
      </c>
      <c r="BB67" s="18">
        <v>1690</v>
      </c>
      <c r="BC67" s="18">
        <v>1450</v>
      </c>
      <c r="BD67" s="18">
        <v>1400</v>
      </c>
      <c r="BE67" s="18">
        <v>1390</v>
      </c>
      <c r="BF67" s="18">
        <v>1520</v>
      </c>
      <c r="BG67" s="18">
        <v>1620</v>
      </c>
      <c r="BH67" s="18">
        <v>1510</v>
      </c>
      <c r="BI67" s="18"/>
      <c r="BJ67" s="18">
        <v>1510</v>
      </c>
      <c r="BK67" s="18">
        <v>1410</v>
      </c>
      <c r="BL67" s="18">
        <v>1520</v>
      </c>
      <c r="BM67" s="18">
        <v>1550</v>
      </c>
      <c r="BN67" s="18">
        <v>1530</v>
      </c>
      <c r="BO67" s="18">
        <v>1760</v>
      </c>
      <c r="BP67" s="18">
        <v>1680</v>
      </c>
      <c r="BQ67" s="18">
        <v>1640</v>
      </c>
      <c r="BR67" s="18">
        <v>1470</v>
      </c>
      <c r="BS67" s="18">
        <v>1280</v>
      </c>
      <c r="BT67" s="18">
        <v>1410</v>
      </c>
      <c r="BU67" s="18">
        <v>1390</v>
      </c>
      <c r="BV67" s="18">
        <v>1210</v>
      </c>
      <c r="BW67" s="18">
        <v>1390</v>
      </c>
      <c r="BX67" s="18">
        <v>1420</v>
      </c>
      <c r="BY67" s="18">
        <v>1380</v>
      </c>
      <c r="BZ67" s="18">
        <v>1380</v>
      </c>
      <c r="CA67" s="18">
        <v>1400</v>
      </c>
      <c r="CB67" s="18">
        <v>1350</v>
      </c>
      <c r="CC67" s="18">
        <v>1320</v>
      </c>
      <c r="CD67" s="18">
        <v>1360</v>
      </c>
      <c r="CE67" s="18">
        <v>1360</v>
      </c>
      <c r="CF67" s="18">
        <v>1450</v>
      </c>
      <c r="CG67" s="18">
        <v>1450</v>
      </c>
      <c r="CH67" s="18">
        <v>1460</v>
      </c>
      <c r="CI67" s="18">
        <v>1600</v>
      </c>
      <c r="CJ67" s="18">
        <v>1500</v>
      </c>
      <c r="CK67" s="18">
        <v>1560</v>
      </c>
      <c r="CL67" s="18">
        <v>1520</v>
      </c>
      <c r="CM67" s="18">
        <v>1420</v>
      </c>
      <c r="CN67" s="18">
        <v>1490</v>
      </c>
      <c r="CO67" s="18">
        <v>1410</v>
      </c>
      <c r="CP67" s="18">
        <v>1170</v>
      </c>
      <c r="CQ67" s="18">
        <v>1210</v>
      </c>
      <c r="CR67" s="18">
        <v>1290</v>
      </c>
      <c r="CS67" s="18">
        <v>1130</v>
      </c>
      <c r="CT67" s="18">
        <v>950</v>
      </c>
      <c r="CU67" s="18">
        <v>952</v>
      </c>
      <c r="CV67" s="18">
        <v>1020</v>
      </c>
      <c r="CW67" s="18">
        <v>972</v>
      </c>
      <c r="CX67" s="18">
        <v>971</v>
      </c>
      <c r="CY67" s="18">
        <v>1080</v>
      </c>
      <c r="CZ67" s="18">
        <v>1010</v>
      </c>
      <c r="DA67" s="18">
        <v>1050</v>
      </c>
      <c r="DB67" s="18">
        <v>1150</v>
      </c>
      <c r="DC67" s="18">
        <v>1240</v>
      </c>
      <c r="DD67" s="18">
        <v>1180</v>
      </c>
      <c r="DE67" s="18">
        <v>1190</v>
      </c>
      <c r="DF67" s="18">
        <v>1140</v>
      </c>
      <c r="DG67" s="18">
        <v>1150</v>
      </c>
      <c r="DH67" s="18">
        <v>1040</v>
      </c>
      <c r="DI67" s="18">
        <v>1030</v>
      </c>
      <c r="DJ67" s="18">
        <v>999</v>
      </c>
      <c r="DK67" s="18">
        <v>977</v>
      </c>
      <c r="DL67" s="18">
        <v>1160</v>
      </c>
      <c r="DM67" s="18">
        <v>1490</v>
      </c>
      <c r="DN67" s="18">
        <v>1890</v>
      </c>
      <c r="DO67" s="18">
        <v>1750</v>
      </c>
      <c r="DP67" s="18">
        <v>1640</v>
      </c>
      <c r="DQ67" s="18">
        <v>1680</v>
      </c>
      <c r="DR67" s="18">
        <v>1710</v>
      </c>
      <c r="DS67" s="18">
        <v>1660</v>
      </c>
      <c r="DT67" s="18">
        <v>1470</v>
      </c>
      <c r="DU67" s="18">
        <v>1520</v>
      </c>
      <c r="DV67" s="18">
        <v>1450</v>
      </c>
      <c r="DW67" s="18">
        <v>1460</v>
      </c>
      <c r="DX67" s="18">
        <v>1490</v>
      </c>
      <c r="DY67" s="18">
        <v>1720</v>
      </c>
      <c r="DZ67" s="18">
        <v>1870</v>
      </c>
      <c r="EA67" s="18">
        <v>1830</v>
      </c>
      <c r="EB67" s="18">
        <v>1870</v>
      </c>
      <c r="EC67" s="18">
        <v>1570</v>
      </c>
      <c r="ED67" s="18">
        <v>1120</v>
      </c>
      <c r="EE67" s="18">
        <v>1160</v>
      </c>
      <c r="EF67" s="18">
        <v>1170</v>
      </c>
      <c r="EG67" s="18">
        <v>1020</v>
      </c>
      <c r="EH67" s="18">
        <v>1040</v>
      </c>
      <c r="EI67" s="18">
        <v>928</v>
      </c>
      <c r="EJ67" s="18">
        <v>993</v>
      </c>
      <c r="EK67" s="18">
        <v>1070</v>
      </c>
      <c r="EL67" s="18">
        <v>1040</v>
      </c>
      <c r="EM67" s="18">
        <v>1570</v>
      </c>
      <c r="EN67" s="18">
        <v>1470</v>
      </c>
      <c r="EO67" s="18">
        <v>1530</v>
      </c>
      <c r="EP67" s="18">
        <v>1460</v>
      </c>
      <c r="EQ67" s="18">
        <v>1550</v>
      </c>
      <c r="ER67" s="18">
        <v>1520</v>
      </c>
      <c r="ES67" s="18">
        <v>1430</v>
      </c>
      <c r="ET67" s="18">
        <v>1940</v>
      </c>
      <c r="EU67" s="18">
        <v>2360</v>
      </c>
      <c r="EV67" s="18">
        <v>2390</v>
      </c>
      <c r="EW67" s="18">
        <v>2320</v>
      </c>
      <c r="EX67" s="18">
        <v>2440</v>
      </c>
      <c r="EY67" s="18">
        <v>1600</v>
      </c>
      <c r="EZ67" s="18">
        <v>1470</v>
      </c>
      <c r="FA67" s="18">
        <v>1700</v>
      </c>
      <c r="FB67" s="18">
        <v>2290</v>
      </c>
      <c r="FC67" s="18">
        <v>2520</v>
      </c>
      <c r="FD67" s="18">
        <v>2540</v>
      </c>
      <c r="FE67" s="18">
        <v>2610</v>
      </c>
      <c r="FF67" s="18">
        <v>2890</v>
      </c>
      <c r="FG67" s="18">
        <v>2580</v>
      </c>
      <c r="FH67" s="18">
        <v>2150</v>
      </c>
      <c r="FI67" s="18">
        <v>1730</v>
      </c>
      <c r="FJ67" s="18">
        <v>1640</v>
      </c>
      <c r="FK67" s="18">
        <v>1610</v>
      </c>
      <c r="FL67" s="18">
        <v>1960</v>
      </c>
      <c r="FM67" s="18">
        <v>2090</v>
      </c>
      <c r="FN67" s="18">
        <v>2370</v>
      </c>
      <c r="FO67" s="18">
        <v>2310</v>
      </c>
      <c r="FP67" s="18">
        <v>2090</v>
      </c>
      <c r="FQ67" s="18">
        <v>2560</v>
      </c>
      <c r="FR67" s="18">
        <v>2170</v>
      </c>
      <c r="FS67" s="18">
        <v>2370</v>
      </c>
      <c r="FT67" s="18">
        <v>2230</v>
      </c>
      <c r="FU67" s="18">
        <v>2190</v>
      </c>
      <c r="FV67" s="18">
        <v>2430</v>
      </c>
      <c r="FW67" s="18">
        <v>2390</v>
      </c>
      <c r="FX67" s="18">
        <v>2360</v>
      </c>
      <c r="FY67" s="18">
        <v>2780</v>
      </c>
      <c r="FZ67" s="18">
        <v>2990</v>
      </c>
      <c r="GA67" s="18">
        <v>4020</v>
      </c>
      <c r="GB67" s="18">
        <v>5250</v>
      </c>
      <c r="GC67" s="18">
        <v>6030</v>
      </c>
      <c r="GD67" s="18">
        <v>6190</v>
      </c>
      <c r="GE67" s="18">
        <v>7950</v>
      </c>
      <c r="GF67" s="18">
        <v>10700</v>
      </c>
      <c r="GG67" s="18">
        <v>10200</v>
      </c>
      <c r="GH67" s="18">
        <v>8580</v>
      </c>
      <c r="GI67" s="18">
        <v>8790</v>
      </c>
      <c r="GJ67" s="18">
        <v>8730</v>
      </c>
      <c r="GK67" s="18">
        <v>7430</v>
      </c>
      <c r="GL67" s="18">
        <v>5650</v>
      </c>
      <c r="GM67" s="18">
        <v>5660</v>
      </c>
      <c r="GN67" s="18">
        <v>5940</v>
      </c>
      <c r="GO67" s="18">
        <v>6750</v>
      </c>
      <c r="GP67" s="18">
        <v>7860</v>
      </c>
      <c r="GQ67" s="18">
        <v>10700</v>
      </c>
      <c r="GR67" s="18">
        <v>11300</v>
      </c>
      <c r="GS67" s="18">
        <v>12900</v>
      </c>
      <c r="GT67" s="18">
        <v>12100</v>
      </c>
      <c r="GU67" s="18">
        <v>9980</v>
      </c>
      <c r="GV67" s="18">
        <v>8950</v>
      </c>
      <c r="GW67" s="18">
        <v>7110</v>
      </c>
      <c r="GX67" s="18">
        <v>7740</v>
      </c>
      <c r="GY67" s="18">
        <v>7100</v>
      </c>
      <c r="GZ67" s="18">
        <v>6290</v>
      </c>
      <c r="HA67" s="18">
        <v>6570</v>
      </c>
      <c r="HB67" s="18">
        <v>6600</v>
      </c>
      <c r="HC67" s="18">
        <v>6050</v>
      </c>
      <c r="HD67" s="18">
        <v>5760</v>
      </c>
      <c r="HE67" s="18">
        <v>6900</v>
      </c>
      <c r="HF67" s="18">
        <v>6930</v>
      </c>
      <c r="HG67" s="18">
        <v>7110</v>
      </c>
      <c r="HH67" s="18">
        <v>7100</v>
      </c>
      <c r="HI67" s="18">
        <v>6100</v>
      </c>
      <c r="HJ67" s="18">
        <v>5600</v>
      </c>
      <c r="HK67" s="18">
        <v>5280</v>
      </c>
      <c r="HL67" s="18">
        <v>5930</v>
      </c>
      <c r="HM67" s="18">
        <v>6880</v>
      </c>
      <c r="HN67" s="18">
        <v>6290</v>
      </c>
      <c r="HO67" s="18">
        <v>5600</v>
      </c>
      <c r="HP67" s="18">
        <v>5180</v>
      </c>
      <c r="HQ67" s="18">
        <v>6250</v>
      </c>
      <c r="HR67" s="18">
        <v>8350</v>
      </c>
      <c r="HS67" s="18">
        <v>10500</v>
      </c>
      <c r="HT67" s="18">
        <v>9440</v>
      </c>
      <c r="HU67" s="18">
        <v>9640</v>
      </c>
      <c r="HV67" s="18">
        <v>9530</v>
      </c>
      <c r="HW67" s="18">
        <v>9510</v>
      </c>
      <c r="HX67" s="18">
        <v>10400</v>
      </c>
      <c r="HY67" s="18">
        <v>13600</v>
      </c>
      <c r="HZ67" s="18">
        <v>13300</v>
      </c>
      <c r="IA67" s="18">
        <v>11700</v>
      </c>
      <c r="IB67" s="18">
        <v>10200</v>
      </c>
      <c r="IC67" s="18">
        <v>10200</v>
      </c>
      <c r="ID67" s="18">
        <v>10800</v>
      </c>
      <c r="IE67" s="18">
        <v>10700</v>
      </c>
      <c r="IF67" s="18">
        <v>11200</v>
      </c>
      <c r="IG67" s="18">
        <v>10700</v>
      </c>
      <c r="IH67" s="18">
        <v>11800</v>
      </c>
      <c r="II67" s="18">
        <v>14800</v>
      </c>
      <c r="IJ67" s="18">
        <v>14800</v>
      </c>
      <c r="IK67" s="18">
        <v>14200</v>
      </c>
      <c r="IL67" s="18">
        <v>13600</v>
      </c>
      <c r="IM67" s="18">
        <v>11500</v>
      </c>
      <c r="IN67" s="18">
        <v>10400</v>
      </c>
      <c r="IO67" s="18">
        <v>11600</v>
      </c>
      <c r="IP67" s="18">
        <v>12300</v>
      </c>
      <c r="IQ67" s="18">
        <v>12200</v>
      </c>
      <c r="IR67" s="18">
        <v>12800</v>
      </c>
      <c r="IS67" s="18">
        <v>12000</v>
      </c>
      <c r="IT67" s="18">
        <v>10800</v>
      </c>
      <c r="IU67" s="18">
        <v>9450</v>
      </c>
      <c r="IV67" s="18">
        <v>9070</v>
      </c>
      <c r="IW67" s="18">
        <v>8450</v>
      </c>
      <c r="IX67" s="18">
        <v>8550</v>
      </c>
      <c r="IY67" s="18">
        <v>9220</v>
      </c>
      <c r="IZ67" s="18">
        <v>9180</v>
      </c>
      <c r="JA67" s="18">
        <v>9290</v>
      </c>
      <c r="JB67" s="18">
        <v>9210</v>
      </c>
      <c r="JC67" s="18">
        <v>8730</v>
      </c>
      <c r="JD67" s="18">
        <v>8520</v>
      </c>
      <c r="JE67" s="18">
        <v>8880</v>
      </c>
      <c r="JF67" s="18">
        <v>8450</v>
      </c>
      <c r="JG67" s="18">
        <v>8720</v>
      </c>
      <c r="JH67" s="18">
        <v>8970</v>
      </c>
      <c r="JI67" s="18">
        <v>8900</v>
      </c>
      <c r="JJ67" s="18">
        <v>9680</v>
      </c>
      <c r="JK67" s="18">
        <v>10400</v>
      </c>
      <c r="JL67" s="18">
        <v>10200</v>
      </c>
      <c r="JM67" s="18">
        <v>8860</v>
      </c>
      <c r="JN67" s="18">
        <v>9500</v>
      </c>
      <c r="JO67" s="18">
        <v>9110</v>
      </c>
      <c r="JP67" s="18">
        <v>8550</v>
      </c>
      <c r="JQ67" s="18">
        <v>8290</v>
      </c>
      <c r="JR67" s="18">
        <v>7750</v>
      </c>
      <c r="JS67" s="18">
        <v>7220</v>
      </c>
      <c r="JT67" s="18">
        <v>7100</v>
      </c>
      <c r="JU67" s="18">
        <v>6640</v>
      </c>
      <c r="JV67" s="18">
        <v>6160</v>
      </c>
      <c r="JW67" s="18">
        <v>6030</v>
      </c>
      <c r="JX67" s="18">
        <v>6150</v>
      </c>
      <c r="JY67" s="18">
        <v>5720</v>
      </c>
      <c r="JZ67" s="18">
        <v>5750</v>
      </c>
      <c r="KA67" s="18">
        <v>5350</v>
      </c>
      <c r="KB67" s="18">
        <v>5340</v>
      </c>
      <c r="KC67" s="18">
        <v>5390</v>
      </c>
      <c r="KD67" s="18">
        <v>5550</v>
      </c>
      <c r="KE67" s="18">
        <v>5320</v>
      </c>
      <c r="KF67" s="18">
        <v>5030</v>
      </c>
      <c r="KG67" s="18">
        <v>4750</v>
      </c>
      <c r="KH67" s="18">
        <v>4920</v>
      </c>
      <c r="KI67" s="18">
        <v>5040</v>
      </c>
      <c r="KJ67" s="18">
        <v>4980</v>
      </c>
      <c r="KK67" s="18">
        <v>4220</v>
      </c>
      <c r="KL67" s="18">
        <v>4040</v>
      </c>
      <c r="KM67" s="18">
        <v>3750</v>
      </c>
      <c r="KN67" s="18">
        <v>3270</v>
      </c>
      <c r="KO67" s="18">
        <v>3480</v>
      </c>
      <c r="KP67" s="18">
        <v>3120</v>
      </c>
      <c r="KQ67" s="18">
        <v>3350</v>
      </c>
      <c r="KR67" s="18">
        <v>3420</v>
      </c>
      <c r="KS67" s="18">
        <v>3360</v>
      </c>
      <c r="KT67" s="18">
        <v>3330</v>
      </c>
      <c r="KU67" s="18">
        <v>3530</v>
      </c>
      <c r="KV67" s="18">
        <v>3330</v>
      </c>
      <c r="KW67" s="18">
        <v>3000</v>
      </c>
      <c r="KX67" s="18">
        <v>2960</v>
      </c>
      <c r="KY67" s="18">
        <v>2920</v>
      </c>
      <c r="KZ67" s="18">
        <v>2350</v>
      </c>
      <c r="LA67" s="18">
        <v>2420</v>
      </c>
      <c r="LB67" s="18">
        <v>2300</v>
      </c>
      <c r="LC67" s="18">
        <v>1920</v>
      </c>
      <c r="LD67" s="18">
        <v>1920</v>
      </c>
      <c r="LE67" s="18">
        <v>1600</v>
      </c>
      <c r="LF67" s="18">
        <v>1050</v>
      </c>
      <c r="LG67" s="18">
        <v>1530</v>
      </c>
      <c r="LH67" s="18">
        <v>1660</v>
      </c>
      <c r="LI67" s="18">
        <v>1770</v>
      </c>
      <c r="LJ67" s="18">
        <v>1920</v>
      </c>
      <c r="LK67" s="18">
        <v>1910</v>
      </c>
      <c r="LL67" s="18">
        <v>1740</v>
      </c>
      <c r="LM67" s="18">
        <v>1840</v>
      </c>
      <c r="LN67" s="18">
        <v>1840</v>
      </c>
      <c r="LO67" s="18">
        <v>1740</v>
      </c>
      <c r="LP67" s="18">
        <v>1560</v>
      </c>
      <c r="LQ67" s="18">
        <v>1730</v>
      </c>
      <c r="LR67" s="18">
        <v>1750</v>
      </c>
      <c r="LS67" s="18">
        <v>1670</v>
      </c>
      <c r="LT67" s="18">
        <v>1820</v>
      </c>
      <c r="LU67" s="18">
        <v>2080</v>
      </c>
      <c r="LV67" s="18">
        <v>1660</v>
      </c>
      <c r="LW67" s="18">
        <v>1540</v>
      </c>
      <c r="LX67" s="18">
        <v>1380</v>
      </c>
      <c r="LY67" s="18">
        <v>1160</v>
      </c>
      <c r="LZ67" s="18">
        <v>1210</v>
      </c>
      <c r="MA67" s="18">
        <v>1020</v>
      </c>
      <c r="MB67" s="18">
        <v>961</v>
      </c>
      <c r="MC67" s="18">
        <v>873</v>
      </c>
      <c r="MD67" s="18">
        <v>924</v>
      </c>
      <c r="ME67" s="18">
        <v>913</v>
      </c>
      <c r="MF67" s="18">
        <v>911</v>
      </c>
      <c r="MG67" s="18">
        <v>922</v>
      </c>
      <c r="MH67" s="18">
        <v>978</v>
      </c>
      <c r="MI67" s="18">
        <v>1040</v>
      </c>
      <c r="MJ67" s="18">
        <v>894</v>
      </c>
      <c r="MK67" s="18">
        <v>981</v>
      </c>
      <c r="ML67" s="18">
        <v>884</v>
      </c>
      <c r="MM67" s="18">
        <v>836</v>
      </c>
      <c r="MN67" s="18">
        <v>886</v>
      </c>
      <c r="MO67" s="18">
        <v>958</v>
      </c>
      <c r="MP67" s="18">
        <v>1090</v>
      </c>
      <c r="MQ67" s="18">
        <v>1380</v>
      </c>
      <c r="MR67" s="18">
        <v>1320</v>
      </c>
      <c r="MS67" s="18">
        <v>1290</v>
      </c>
      <c r="MT67" s="18">
        <v>1230</v>
      </c>
      <c r="MU67" s="18">
        <v>1360</v>
      </c>
      <c r="MV67" s="18">
        <v>1320</v>
      </c>
      <c r="MW67" s="18">
        <v>1230</v>
      </c>
      <c r="MX67" s="18">
        <v>1250</v>
      </c>
      <c r="MY67" s="18">
        <v>1210</v>
      </c>
      <c r="MZ67" s="18">
        <v>1420</v>
      </c>
      <c r="NA67" s="18">
        <v>1360</v>
      </c>
      <c r="NB67" s="18">
        <v>1400</v>
      </c>
      <c r="NC67" s="18">
        <v>1520</v>
      </c>
      <c r="ND67" s="1">
        <v>1610</v>
      </c>
      <c r="NE67" s="1">
        <v>1590</v>
      </c>
      <c r="NF67" s="1">
        <v>1460</v>
      </c>
      <c r="NG67" s="1">
        <v>1220</v>
      </c>
      <c r="NH67" s="1">
        <v>1520</v>
      </c>
      <c r="NI67" s="1">
        <v>2300</v>
      </c>
      <c r="NJ67" s="1">
        <v>7890</v>
      </c>
      <c r="NK67" s="1">
        <v>9440</v>
      </c>
      <c r="NL67" s="1">
        <v>9950</v>
      </c>
      <c r="NM67" s="1">
        <v>5240</v>
      </c>
      <c r="NN67" s="1">
        <v>2010</v>
      </c>
      <c r="NO67" s="1">
        <v>1120</v>
      </c>
      <c r="NP67" s="1">
        <v>3796.4465753424656</v>
      </c>
      <c r="NQ67" s="1">
        <v>14800</v>
      </c>
      <c r="NR67" s="19">
        <v>42611</v>
      </c>
      <c r="NS67" s="1">
        <v>836</v>
      </c>
      <c r="NT67" s="19">
        <v>42719</v>
      </c>
    </row>
    <row r="68" spans="1:395" x14ac:dyDescent="0.15">
      <c r="A68" s="1">
        <v>2015</v>
      </c>
      <c r="B68" s="18">
        <v>1560</v>
      </c>
      <c r="C68" s="18">
        <v>1680</v>
      </c>
      <c r="D68" s="18">
        <v>2000</v>
      </c>
      <c r="E68" s="18">
        <v>1560</v>
      </c>
      <c r="F68" s="18">
        <v>1620</v>
      </c>
      <c r="G68" s="18">
        <v>1750</v>
      </c>
      <c r="H68" s="18">
        <v>1810</v>
      </c>
      <c r="I68" s="18">
        <v>1830</v>
      </c>
      <c r="J68" s="18">
        <v>1840</v>
      </c>
      <c r="K68" s="18">
        <v>1840</v>
      </c>
      <c r="L68" s="18">
        <v>1800</v>
      </c>
      <c r="M68" s="18">
        <v>1780</v>
      </c>
      <c r="N68" s="18">
        <v>1740</v>
      </c>
      <c r="O68" s="18">
        <v>1740</v>
      </c>
      <c r="P68" s="18">
        <v>1750</v>
      </c>
      <c r="Q68" s="18">
        <v>1760</v>
      </c>
      <c r="R68" s="18">
        <v>1760</v>
      </c>
      <c r="S68" s="18">
        <v>1750</v>
      </c>
      <c r="T68" s="18">
        <v>1780</v>
      </c>
      <c r="U68" s="18">
        <v>1850</v>
      </c>
      <c r="V68" s="18">
        <v>1900</v>
      </c>
      <c r="W68" s="18">
        <v>1920</v>
      </c>
      <c r="X68" s="18">
        <v>1910</v>
      </c>
      <c r="Y68" s="18">
        <v>1950</v>
      </c>
      <c r="Z68" s="18">
        <v>1960</v>
      </c>
      <c r="AA68" s="18">
        <v>2020</v>
      </c>
      <c r="AB68" s="18">
        <v>2140</v>
      </c>
      <c r="AC68" s="18">
        <v>2200</v>
      </c>
      <c r="AD68" s="18">
        <v>2250</v>
      </c>
      <c r="AE68" s="18">
        <v>2310</v>
      </c>
      <c r="AF68" s="18">
        <v>2370</v>
      </c>
      <c r="AG68" s="18">
        <v>2340</v>
      </c>
      <c r="AH68" s="18">
        <v>2300</v>
      </c>
      <c r="AI68" s="18">
        <v>2260</v>
      </c>
      <c r="AJ68" s="18">
        <v>2270</v>
      </c>
      <c r="AK68" s="18">
        <v>2350</v>
      </c>
      <c r="AL68" s="18">
        <v>2290</v>
      </c>
      <c r="AM68" s="18">
        <v>2240</v>
      </c>
      <c r="AN68" s="18">
        <v>2200</v>
      </c>
      <c r="AO68" s="18">
        <v>2230</v>
      </c>
      <c r="AP68" s="18">
        <v>2270</v>
      </c>
      <c r="AQ68" s="18">
        <v>2280</v>
      </c>
      <c r="AR68" s="18">
        <v>2320</v>
      </c>
      <c r="AS68" s="18">
        <v>2450</v>
      </c>
      <c r="AT68" s="18">
        <v>2360</v>
      </c>
      <c r="AU68" s="18">
        <v>2330</v>
      </c>
      <c r="AV68" s="18">
        <v>2400</v>
      </c>
      <c r="AW68" s="18">
        <v>2490</v>
      </c>
      <c r="AX68" s="18">
        <v>2130</v>
      </c>
      <c r="AY68" s="18">
        <v>1700</v>
      </c>
      <c r="AZ68" s="18">
        <v>1360</v>
      </c>
      <c r="BA68" s="18">
        <v>1210</v>
      </c>
      <c r="BB68" s="18">
        <v>1160</v>
      </c>
      <c r="BC68" s="18">
        <v>1140</v>
      </c>
      <c r="BD68" s="18">
        <v>1130</v>
      </c>
      <c r="BE68" s="18">
        <v>1090</v>
      </c>
      <c r="BF68" s="18">
        <v>1080</v>
      </c>
      <c r="BG68" s="18">
        <v>1140</v>
      </c>
      <c r="BH68" s="18">
        <v>1370</v>
      </c>
      <c r="BI68" s="18"/>
      <c r="BJ68" s="18">
        <v>1620</v>
      </c>
      <c r="BK68" s="18">
        <v>1720</v>
      </c>
      <c r="BL68" s="18">
        <v>1740</v>
      </c>
      <c r="BM68" s="18">
        <v>1910</v>
      </c>
      <c r="BN68" s="18">
        <v>2010</v>
      </c>
      <c r="BO68" s="18">
        <v>1820</v>
      </c>
      <c r="BP68" s="18">
        <v>1360</v>
      </c>
      <c r="BQ68" s="18">
        <v>1500</v>
      </c>
      <c r="BR68" s="18">
        <v>1870</v>
      </c>
      <c r="BS68" s="18">
        <v>1970</v>
      </c>
      <c r="BT68" s="18">
        <v>2030</v>
      </c>
      <c r="BU68" s="18">
        <v>2030</v>
      </c>
      <c r="BV68" s="18">
        <v>1970</v>
      </c>
      <c r="BW68" s="18">
        <v>1950</v>
      </c>
      <c r="BX68" s="18">
        <v>1930</v>
      </c>
      <c r="BY68" s="18">
        <v>1940</v>
      </c>
      <c r="BZ68" s="18">
        <v>1980</v>
      </c>
      <c r="CA68" s="18">
        <v>2070</v>
      </c>
      <c r="CB68" s="18">
        <v>2160</v>
      </c>
      <c r="CC68" s="18">
        <v>2260</v>
      </c>
      <c r="CD68" s="18">
        <v>2300</v>
      </c>
      <c r="CE68" s="18">
        <v>2300</v>
      </c>
      <c r="CF68" s="18">
        <v>2270</v>
      </c>
      <c r="CG68" s="18">
        <v>2250</v>
      </c>
      <c r="CH68" s="18">
        <v>2240</v>
      </c>
      <c r="CI68" s="18">
        <v>2200</v>
      </c>
      <c r="CJ68" s="18">
        <v>2120</v>
      </c>
      <c r="CK68" s="18">
        <v>2290</v>
      </c>
      <c r="CL68" s="18">
        <v>2460</v>
      </c>
      <c r="CM68" s="18">
        <v>2540</v>
      </c>
      <c r="CN68" s="18">
        <v>2500</v>
      </c>
      <c r="CO68" s="18">
        <v>2520</v>
      </c>
      <c r="CP68" s="18">
        <v>2440</v>
      </c>
      <c r="CQ68" s="18">
        <v>2210</v>
      </c>
      <c r="CR68" s="18">
        <v>2130</v>
      </c>
      <c r="CS68" s="18">
        <v>2080</v>
      </c>
      <c r="CT68" s="18">
        <v>1960</v>
      </c>
      <c r="CU68" s="18">
        <v>1680</v>
      </c>
      <c r="CV68" s="18">
        <v>1440</v>
      </c>
      <c r="CW68" s="18">
        <v>1610</v>
      </c>
      <c r="CX68" s="18">
        <v>1530</v>
      </c>
      <c r="CY68" s="18">
        <v>1580</v>
      </c>
      <c r="CZ68" s="18">
        <v>1550</v>
      </c>
      <c r="DA68" s="18">
        <v>1560</v>
      </c>
      <c r="DB68" s="18">
        <v>1420</v>
      </c>
      <c r="DC68" s="18">
        <v>1380</v>
      </c>
      <c r="DD68" s="18">
        <v>1570</v>
      </c>
      <c r="DE68" s="18">
        <v>1640</v>
      </c>
      <c r="DF68" s="18">
        <v>1470</v>
      </c>
      <c r="DG68" s="18">
        <v>1560</v>
      </c>
      <c r="DH68" s="18">
        <v>1720</v>
      </c>
      <c r="DI68" s="18">
        <v>1640</v>
      </c>
      <c r="DJ68" s="18">
        <v>1970</v>
      </c>
      <c r="DK68" s="18">
        <v>2080</v>
      </c>
      <c r="DL68" s="18">
        <v>1870</v>
      </c>
      <c r="DM68" s="18">
        <v>1870</v>
      </c>
      <c r="DN68" s="18">
        <v>2030</v>
      </c>
      <c r="DO68" s="18">
        <v>2420</v>
      </c>
      <c r="DP68" s="18">
        <v>2590</v>
      </c>
      <c r="DQ68" s="18">
        <v>2910</v>
      </c>
      <c r="DR68" s="18">
        <v>3020</v>
      </c>
      <c r="DS68" s="18">
        <v>3120</v>
      </c>
      <c r="DT68" s="18">
        <v>2420</v>
      </c>
      <c r="DU68" s="18">
        <v>1740</v>
      </c>
      <c r="DV68" s="18">
        <v>1800</v>
      </c>
      <c r="DW68" s="18">
        <v>1870</v>
      </c>
      <c r="DX68" s="18">
        <v>1610</v>
      </c>
      <c r="DY68" s="18">
        <v>1470</v>
      </c>
      <c r="DZ68" s="18">
        <v>1560</v>
      </c>
      <c r="EA68" s="18">
        <v>1240</v>
      </c>
      <c r="EB68" s="18">
        <v>1180</v>
      </c>
      <c r="EC68" s="18">
        <v>1180</v>
      </c>
      <c r="ED68" s="18">
        <v>1240</v>
      </c>
      <c r="EE68" s="18">
        <v>1270</v>
      </c>
      <c r="EF68" s="18">
        <v>1190</v>
      </c>
      <c r="EG68" s="18">
        <v>1230</v>
      </c>
      <c r="EH68" s="18">
        <v>1190</v>
      </c>
      <c r="EI68" s="18">
        <v>1210</v>
      </c>
      <c r="EJ68" s="18">
        <v>1210</v>
      </c>
      <c r="EK68" s="18">
        <v>1200</v>
      </c>
      <c r="EL68" s="18">
        <v>1220</v>
      </c>
      <c r="EM68" s="18">
        <v>1230</v>
      </c>
      <c r="EN68" s="18">
        <v>1600</v>
      </c>
      <c r="EO68" s="18">
        <v>1950</v>
      </c>
      <c r="EP68" s="18">
        <v>2400</v>
      </c>
      <c r="EQ68" s="18">
        <v>2570</v>
      </c>
      <c r="ER68" s="18">
        <v>2120</v>
      </c>
      <c r="ES68" s="18">
        <v>1890</v>
      </c>
      <c r="ET68" s="18">
        <v>1920</v>
      </c>
      <c r="EU68" s="18">
        <v>2150</v>
      </c>
      <c r="EV68" s="18">
        <v>2480</v>
      </c>
      <c r="EW68" s="18">
        <v>2440</v>
      </c>
      <c r="EX68" s="18">
        <v>2580</v>
      </c>
      <c r="EY68" s="18">
        <v>3070</v>
      </c>
      <c r="EZ68" s="18">
        <v>3470</v>
      </c>
      <c r="FA68" s="18">
        <v>2960</v>
      </c>
      <c r="FB68" s="18">
        <v>2550</v>
      </c>
      <c r="FC68" s="18">
        <v>2260</v>
      </c>
      <c r="FD68" s="18">
        <v>2300</v>
      </c>
      <c r="FE68" s="18">
        <v>1830</v>
      </c>
      <c r="FF68" s="18">
        <v>2060</v>
      </c>
      <c r="FG68" s="18">
        <v>2250</v>
      </c>
      <c r="FH68" s="18">
        <v>2430</v>
      </c>
      <c r="FI68" s="18">
        <v>3030</v>
      </c>
      <c r="FJ68" s="18">
        <v>2460</v>
      </c>
      <c r="FK68" s="18">
        <v>2570</v>
      </c>
      <c r="FL68" s="18">
        <v>3120</v>
      </c>
      <c r="FM68" s="18">
        <v>3190</v>
      </c>
      <c r="FN68" s="18">
        <v>3010</v>
      </c>
      <c r="FO68" s="18">
        <v>4560</v>
      </c>
      <c r="FP68" s="18">
        <v>3930</v>
      </c>
      <c r="FQ68" s="18">
        <v>3930</v>
      </c>
      <c r="FR68" s="18">
        <v>3720</v>
      </c>
      <c r="FS68" s="18">
        <v>3570</v>
      </c>
      <c r="FT68" s="18">
        <v>3850</v>
      </c>
      <c r="FU68" s="18">
        <v>3920</v>
      </c>
      <c r="FV68" s="18">
        <v>5430</v>
      </c>
      <c r="FW68" s="18">
        <v>5280</v>
      </c>
      <c r="FX68" s="18">
        <v>4670</v>
      </c>
      <c r="FY68" s="18">
        <v>4320</v>
      </c>
      <c r="FZ68" s="18">
        <v>6360</v>
      </c>
      <c r="GA68" s="18">
        <v>7200</v>
      </c>
      <c r="GB68" s="18">
        <v>6690</v>
      </c>
      <c r="GC68" s="18">
        <v>6060</v>
      </c>
      <c r="GD68" s="18">
        <v>5040</v>
      </c>
      <c r="GE68" s="18">
        <v>3340</v>
      </c>
      <c r="GF68" s="18">
        <v>3240</v>
      </c>
      <c r="GG68" s="18">
        <v>4330</v>
      </c>
      <c r="GH68" s="18">
        <v>3580</v>
      </c>
      <c r="GI68" s="18">
        <v>5670</v>
      </c>
      <c r="GJ68" s="18">
        <v>6560</v>
      </c>
      <c r="GK68" s="18">
        <v>6240</v>
      </c>
      <c r="GL68" s="18">
        <v>6030</v>
      </c>
      <c r="GM68" s="18">
        <v>5330</v>
      </c>
      <c r="GN68" s="18">
        <v>4560</v>
      </c>
      <c r="GO68" s="18">
        <v>4440</v>
      </c>
      <c r="GP68" s="18">
        <v>3830</v>
      </c>
      <c r="GQ68" s="18">
        <v>5140</v>
      </c>
      <c r="GR68" s="18">
        <v>5210</v>
      </c>
      <c r="GS68" s="18">
        <v>5730</v>
      </c>
      <c r="GT68" s="18">
        <v>4710</v>
      </c>
      <c r="GU68" s="18">
        <v>5060</v>
      </c>
      <c r="GV68" s="18">
        <v>4620</v>
      </c>
      <c r="GW68" s="18">
        <v>3780</v>
      </c>
      <c r="GX68" s="18">
        <v>4140</v>
      </c>
      <c r="GY68" s="18">
        <v>4240</v>
      </c>
      <c r="GZ68" s="18">
        <v>4150</v>
      </c>
      <c r="HA68" s="18">
        <v>4020</v>
      </c>
      <c r="HB68" s="18">
        <v>3660</v>
      </c>
      <c r="HC68" s="18">
        <v>4070</v>
      </c>
      <c r="HD68" s="18">
        <v>4500</v>
      </c>
      <c r="HE68" s="18">
        <v>4800</v>
      </c>
      <c r="HF68" s="18">
        <v>4160</v>
      </c>
      <c r="HG68" s="18">
        <v>4490</v>
      </c>
      <c r="HH68" s="18">
        <v>4660</v>
      </c>
      <c r="HI68" s="18">
        <v>4260</v>
      </c>
      <c r="HJ68" s="18">
        <v>4150</v>
      </c>
      <c r="HK68" s="18">
        <v>3770</v>
      </c>
      <c r="HL68" s="18">
        <v>3460</v>
      </c>
      <c r="HM68" s="18">
        <v>3660</v>
      </c>
      <c r="HN68" s="18">
        <v>3490</v>
      </c>
      <c r="HO68" s="18">
        <v>3710</v>
      </c>
      <c r="HP68" s="18">
        <v>4250</v>
      </c>
      <c r="HQ68" s="18">
        <v>4020</v>
      </c>
      <c r="HR68" s="18">
        <v>4000</v>
      </c>
      <c r="HS68" s="18">
        <v>3860</v>
      </c>
      <c r="HT68" s="18">
        <v>4560</v>
      </c>
      <c r="HU68" s="18">
        <v>4750</v>
      </c>
      <c r="HV68" s="18">
        <v>4750</v>
      </c>
      <c r="HW68" s="18">
        <v>4900</v>
      </c>
      <c r="HX68" s="18">
        <v>5210</v>
      </c>
      <c r="HY68" s="18">
        <v>5020</v>
      </c>
      <c r="HZ68" s="18">
        <v>5270</v>
      </c>
      <c r="IA68" s="18">
        <v>4920</v>
      </c>
      <c r="IB68" s="18">
        <v>5190</v>
      </c>
      <c r="IC68" s="18">
        <v>5800</v>
      </c>
      <c r="ID68" s="18">
        <v>5850</v>
      </c>
      <c r="IE68" s="18">
        <v>5570</v>
      </c>
      <c r="IF68" s="18">
        <v>5260</v>
      </c>
      <c r="IG68" s="18">
        <v>5660</v>
      </c>
      <c r="IH68" s="18">
        <v>6680</v>
      </c>
      <c r="II68" s="18">
        <v>8390</v>
      </c>
      <c r="IJ68" s="18">
        <v>8250</v>
      </c>
      <c r="IK68" s="18">
        <v>9280</v>
      </c>
      <c r="IL68" s="18">
        <v>10300</v>
      </c>
      <c r="IM68" s="18">
        <v>10900</v>
      </c>
      <c r="IN68" s="18">
        <v>11100</v>
      </c>
      <c r="IO68" s="18">
        <v>11200</v>
      </c>
      <c r="IP68" s="18">
        <v>10800</v>
      </c>
      <c r="IQ68" s="18">
        <v>11800</v>
      </c>
      <c r="IR68" s="18">
        <v>12800</v>
      </c>
      <c r="IS68" s="18">
        <v>11900</v>
      </c>
      <c r="IT68" s="18">
        <v>10600</v>
      </c>
      <c r="IU68" s="18">
        <v>8010</v>
      </c>
      <c r="IV68" s="18">
        <v>8350</v>
      </c>
      <c r="IW68" s="18">
        <v>9130</v>
      </c>
      <c r="IX68" s="18">
        <v>10100</v>
      </c>
      <c r="IY68" s="18">
        <v>11000</v>
      </c>
      <c r="IZ68" s="18">
        <v>11400</v>
      </c>
      <c r="JA68" s="18">
        <v>12100</v>
      </c>
      <c r="JB68" s="18">
        <v>12400</v>
      </c>
      <c r="JC68" s="18">
        <v>12100</v>
      </c>
      <c r="JD68" s="18">
        <v>12300</v>
      </c>
      <c r="JE68" s="18">
        <v>11700</v>
      </c>
      <c r="JF68" s="18">
        <v>10800</v>
      </c>
      <c r="JG68" s="18">
        <v>8440</v>
      </c>
      <c r="JH68" s="18">
        <v>8470</v>
      </c>
      <c r="JI68" s="18">
        <v>8670</v>
      </c>
      <c r="JJ68" s="18">
        <v>8430</v>
      </c>
      <c r="JK68" s="18">
        <v>7620</v>
      </c>
      <c r="JL68" s="18">
        <v>7140</v>
      </c>
      <c r="JM68" s="18">
        <v>6050</v>
      </c>
      <c r="JN68" s="18">
        <v>6560</v>
      </c>
      <c r="JO68" s="18">
        <v>7540</v>
      </c>
      <c r="JP68" s="18">
        <v>5380</v>
      </c>
      <c r="JQ68" s="18">
        <v>5430</v>
      </c>
      <c r="JR68" s="18">
        <v>5940</v>
      </c>
      <c r="JS68" s="18">
        <v>6300</v>
      </c>
      <c r="JT68" s="18">
        <v>5380</v>
      </c>
      <c r="JU68" s="18">
        <v>5380</v>
      </c>
      <c r="JV68" s="18">
        <v>5340</v>
      </c>
      <c r="JW68" s="18">
        <v>5590</v>
      </c>
      <c r="JX68" s="18">
        <v>5960</v>
      </c>
      <c r="JY68" s="18">
        <v>6180</v>
      </c>
      <c r="JZ68" s="18">
        <v>7260</v>
      </c>
      <c r="KA68" s="18">
        <v>7560</v>
      </c>
      <c r="KB68" s="18">
        <v>6290</v>
      </c>
      <c r="KC68" s="18">
        <v>5110</v>
      </c>
      <c r="KD68" s="18">
        <v>4860</v>
      </c>
      <c r="KE68" s="18">
        <v>4810</v>
      </c>
      <c r="KF68" s="18">
        <v>5260</v>
      </c>
      <c r="KG68" s="18">
        <v>4910</v>
      </c>
      <c r="KH68" s="18">
        <v>4770</v>
      </c>
      <c r="KI68" s="18">
        <v>4730</v>
      </c>
      <c r="KJ68" s="18">
        <v>4740</v>
      </c>
      <c r="KK68" s="18">
        <v>4760</v>
      </c>
      <c r="KL68" s="18">
        <v>4340</v>
      </c>
      <c r="KM68" s="18">
        <v>3670</v>
      </c>
      <c r="KN68" s="18">
        <v>3800</v>
      </c>
      <c r="KO68" s="18">
        <v>3630</v>
      </c>
      <c r="KP68" s="18">
        <v>3670</v>
      </c>
      <c r="KQ68" s="18">
        <v>3270</v>
      </c>
      <c r="KR68" s="18">
        <v>3160</v>
      </c>
      <c r="KS68" s="18">
        <v>3340</v>
      </c>
      <c r="KT68" s="18">
        <v>3340</v>
      </c>
      <c r="KU68" s="18">
        <v>3380</v>
      </c>
      <c r="KV68" s="18">
        <v>2790</v>
      </c>
      <c r="KW68" s="18">
        <v>2380</v>
      </c>
      <c r="KX68" s="18">
        <v>2340</v>
      </c>
      <c r="KY68" s="18">
        <v>2360</v>
      </c>
      <c r="KZ68" s="18">
        <v>3040</v>
      </c>
      <c r="LA68" s="18">
        <v>3190</v>
      </c>
      <c r="LB68" s="18">
        <v>3250</v>
      </c>
      <c r="LC68" s="18">
        <v>3280</v>
      </c>
      <c r="LD68" s="18">
        <v>3260</v>
      </c>
      <c r="LE68" s="18">
        <v>3080</v>
      </c>
      <c r="LF68" s="18">
        <v>2850</v>
      </c>
      <c r="LG68" s="18">
        <v>2770</v>
      </c>
      <c r="LH68" s="18">
        <v>2740</v>
      </c>
      <c r="LI68" s="18">
        <v>2610</v>
      </c>
      <c r="LJ68" s="18">
        <v>2460</v>
      </c>
      <c r="LK68" s="18">
        <v>2270</v>
      </c>
      <c r="LL68" s="18">
        <v>2250</v>
      </c>
      <c r="LM68" s="18">
        <v>2020</v>
      </c>
      <c r="LN68" s="18">
        <v>2040</v>
      </c>
      <c r="LO68" s="18">
        <v>2100</v>
      </c>
      <c r="LP68" s="18">
        <v>2300</v>
      </c>
      <c r="LQ68" s="18">
        <v>2650</v>
      </c>
      <c r="LR68" s="18">
        <v>2630</v>
      </c>
      <c r="LS68" s="18">
        <v>2480</v>
      </c>
      <c r="LT68" s="18">
        <v>2300</v>
      </c>
      <c r="LU68" s="18">
        <v>2180</v>
      </c>
      <c r="LV68" s="18">
        <v>2130</v>
      </c>
      <c r="LW68" s="18">
        <v>2100</v>
      </c>
      <c r="LX68" s="18">
        <v>2080</v>
      </c>
      <c r="LY68" s="18">
        <v>1980</v>
      </c>
      <c r="LZ68" s="18">
        <v>1950</v>
      </c>
      <c r="MA68" s="18">
        <v>1910</v>
      </c>
      <c r="MB68" s="18">
        <v>1790</v>
      </c>
      <c r="MC68" s="18">
        <v>1680</v>
      </c>
      <c r="MD68" s="18">
        <v>1540</v>
      </c>
      <c r="ME68" s="18">
        <v>1330</v>
      </c>
      <c r="MF68" s="18">
        <v>1260</v>
      </c>
      <c r="MG68" s="18">
        <v>1410</v>
      </c>
      <c r="MH68" s="18">
        <v>1480</v>
      </c>
      <c r="MI68" s="18">
        <v>1500</v>
      </c>
      <c r="MJ68" s="18">
        <v>1500</v>
      </c>
      <c r="MK68" s="18">
        <v>1490</v>
      </c>
      <c r="ML68" s="18">
        <v>1490</v>
      </c>
      <c r="MM68" s="18">
        <v>1490</v>
      </c>
      <c r="MN68" s="18">
        <v>1480</v>
      </c>
      <c r="MO68" s="18">
        <v>1460</v>
      </c>
      <c r="MP68" s="18">
        <v>1460</v>
      </c>
      <c r="MQ68" s="18">
        <v>1460</v>
      </c>
      <c r="MR68" s="18">
        <v>1450</v>
      </c>
      <c r="MS68" s="18">
        <v>1450</v>
      </c>
      <c r="MT68" s="18">
        <v>1450</v>
      </c>
      <c r="MU68" s="18">
        <v>1460</v>
      </c>
      <c r="MV68" s="18">
        <v>1450</v>
      </c>
      <c r="MW68" s="18">
        <v>1490</v>
      </c>
      <c r="MX68" s="18">
        <v>1490</v>
      </c>
      <c r="MY68" s="18">
        <v>1490</v>
      </c>
      <c r="MZ68" s="18">
        <v>1510</v>
      </c>
      <c r="NA68" s="18">
        <v>1510</v>
      </c>
      <c r="NB68" s="18">
        <v>1520</v>
      </c>
      <c r="NC68" s="18">
        <v>1520</v>
      </c>
      <c r="ND68" s="1">
        <v>1880</v>
      </c>
      <c r="NE68" s="1">
        <v>1920</v>
      </c>
      <c r="NF68" s="1">
        <v>2040</v>
      </c>
      <c r="NG68" s="1">
        <v>1920</v>
      </c>
      <c r="NH68" s="1">
        <v>1710</v>
      </c>
      <c r="NI68" s="1">
        <v>3530</v>
      </c>
      <c r="NJ68" s="1">
        <v>4740</v>
      </c>
      <c r="NK68" s="1">
        <v>5070</v>
      </c>
      <c r="NL68" s="1">
        <v>9990</v>
      </c>
      <c r="NM68" s="1">
        <v>4970</v>
      </c>
      <c r="NN68" s="1">
        <v>2580</v>
      </c>
      <c r="NO68" s="1">
        <v>1530</v>
      </c>
      <c r="NP68" s="1">
        <v>3490.9863013698632</v>
      </c>
      <c r="NQ68" s="1">
        <v>12800</v>
      </c>
      <c r="NR68" s="19">
        <v>42620</v>
      </c>
      <c r="NS68" s="1">
        <v>1080</v>
      </c>
      <c r="NT68" s="19">
        <v>42426</v>
      </c>
    </row>
    <row r="69" spans="1:395" x14ac:dyDescent="0.15">
      <c r="A69" s="1">
        <v>2016</v>
      </c>
      <c r="B69" s="18">
        <v>1860</v>
      </c>
      <c r="C69" s="18">
        <v>1800</v>
      </c>
      <c r="D69" s="18">
        <v>2240</v>
      </c>
      <c r="E69" s="18">
        <v>2090</v>
      </c>
      <c r="F69" s="18">
        <v>1860</v>
      </c>
      <c r="G69" s="18">
        <v>2230</v>
      </c>
      <c r="H69" s="18">
        <v>2270</v>
      </c>
      <c r="I69" s="18">
        <v>2020</v>
      </c>
      <c r="J69" s="18">
        <v>2070</v>
      </c>
      <c r="K69" s="18">
        <v>1970</v>
      </c>
      <c r="L69" s="18">
        <v>1940</v>
      </c>
      <c r="M69" s="18">
        <v>2000</v>
      </c>
      <c r="N69" s="18">
        <v>2400</v>
      </c>
      <c r="O69" s="18">
        <v>2330</v>
      </c>
      <c r="P69" s="18">
        <v>2270</v>
      </c>
      <c r="Q69" s="18">
        <v>2100</v>
      </c>
      <c r="R69" s="18">
        <v>1650</v>
      </c>
      <c r="S69" s="18">
        <v>1810</v>
      </c>
      <c r="T69" s="18">
        <v>2140</v>
      </c>
      <c r="U69" s="18">
        <v>1610</v>
      </c>
      <c r="V69" s="18">
        <v>1970</v>
      </c>
      <c r="W69" s="18">
        <v>2240</v>
      </c>
      <c r="X69" s="18">
        <v>2290</v>
      </c>
      <c r="Y69" s="18">
        <v>2520</v>
      </c>
      <c r="Z69" s="18">
        <v>2640</v>
      </c>
      <c r="AA69" s="18">
        <v>2740</v>
      </c>
      <c r="AB69" s="18">
        <v>2770</v>
      </c>
      <c r="AC69" s="18">
        <v>2760</v>
      </c>
      <c r="AD69" s="18">
        <v>2790</v>
      </c>
      <c r="AE69" s="18">
        <v>2750</v>
      </c>
      <c r="AF69" s="18">
        <v>2770</v>
      </c>
      <c r="AG69" s="18">
        <v>2810</v>
      </c>
      <c r="AH69" s="18">
        <v>2830</v>
      </c>
      <c r="AI69" s="18">
        <v>2770</v>
      </c>
      <c r="AJ69" s="18">
        <v>2650</v>
      </c>
      <c r="AK69" s="18">
        <v>2600</v>
      </c>
      <c r="AL69" s="18">
        <v>2600</v>
      </c>
      <c r="AM69" s="18">
        <v>2380</v>
      </c>
      <c r="AN69" s="18">
        <v>2190</v>
      </c>
      <c r="AO69" s="18">
        <v>1930</v>
      </c>
      <c r="AP69" s="18">
        <v>1810</v>
      </c>
      <c r="AQ69" s="18">
        <v>1670</v>
      </c>
      <c r="AR69" s="18">
        <v>1680</v>
      </c>
      <c r="AS69" s="18">
        <v>1770</v>
      </c>
      <c r="AT69" s="18">
        <v>1860</v>
      </c>
      <c r="AU69" s="18">
        <v>1860</v>
      </c>
      <c r="AV69" s="18">
        <v>1800</v>
      </c>
      <c r="AW69" s="18">
        <v>1680</v>
      </c>
      <c r="AX69" s="18">
        <v>1580</v>
      </c>
      <c r="AY69" s="18">
        <v>1590</v>
      </c>
      <c r="AZ69" s="18">
        <v>1660</v>
      </c>
      <c r="BA69" s="18">
        <v>1680</v>
      </c>
      <c r="BB69" s="18">
        <v>1680</v>
      </c>
      <c r="BC69" s="18">
        <v>1650</v>
      </c>
      <c r="BD69" s="18">
        <v>1680</v>
      </c>
      <c r="BE69" s="18">
        <v>1750</v>
      </c>
      <c r="BF69" s="18">
        <v>1840</v>
      </c>
      <c r="BG69" s="18">
        <v>1960</v>
      </c>
      <c r="BH69" s="18">
        <v>2130</v>
      </c>
      <c r="BI69" s="18">
        <v>2030</v>
      </c>
      <c r="BJ69" s="18">
        <v>1980</v>
      </c>
      <c r="BK69" s="18">
        <v>1970</v>
      </c>
      <c r="BL69" s="18">
        <v>1990</v>
      </c>
      <c r="BM69" s="18">
        <v>1840</v>
      </c>
      <c r="BN69" s="18">
        <v>1860</v>
      </c>
      <c r="BO69" s="18">
        <v>1810</v>
      </c>
      <c r="BP69" s="18">
        <v>1830</v>
      </c>
      <c r="BQ69" s="18">
        <v>1910</v>
      </c>
      <c r="BR69" s="18">
        <v>1770</v>
      </c>
      <c r="BS69" s="18">
        <v>1870</v>
      </c>
      <c r="BT69" s="18">
        <v>1770</v>
      </c>
      <c r="BU69" s="18">
        <v>1920</v>
      </c>
      <c r="BV69" s="18">
        <v>2040</v>
      </c>
      <c r="BW69" s="18">
        <v>1820</v>
      </c>
      <c r="BX69" s="18">
        <v>2020</v>
      </c>
      <c r="BY69" s="18">
        <v>1910</v>
      </c>
      <c r="BZ69" s="18">
        <v>2060</v>
      </c>
      <c r="CA69" s="18">
        <v>2100</v>
      </c>
      <c r="CB69" s="18">
        <v>2140</v>
      </c>
      <c r="CC69" s="18">
        <v>2320</v>
      </c>
      <c r="CD69" s="18">
        <v>2480</v>
      </c>
      <c r="CE69" s="18">
        <v>2370</v>
      </c>
      <c r="CF69" s="18">
        <v>2480</v>
      </c>
      <c r="CG69" s="18">
        <v>2610</v>
      </c>
      <c r="CH69" s="18">
        <v>2530</v>
      </c>
      <c r="CI69" s="18">
        <v>2670</v>
      </c>
      <c r="CJ69" s="18">
        <v>2630</v>
      </c>
      <c r="CK69" s="18">
        <v>2490</v>
      </c>
      <c r="CL69" s="18">
        <v>2500</v>
      </c>
      <c r="CM69" s="18">
        <v>1940</v>
      </c>
      <c r="CN69" s="18">
        <v>1760</v>
      </c>
      <c r="CO69" s="18">
        <v>1830</v>
      </c>
      <c r="CP69" s="18">
        <v>2090</v>
      </c>
      <c r="CQ69" s="18">
        <v>1860</v>
      </c>
      <c r="CR69" s="18">
        <v>1780</v>
      </c>
      <c r="CS69" s="18">
        <v>1740</v>
      </c>
      <c r="CT69" s="18">
        <v>1740</v>
      </c>
      <c r="CU69" s="18">
        <v>1770</v>
      </c>
      <c r="CV69" s="18">
        <v>1810</v>
      </c>
      <c r="CW69" s="18">
        <v>1840</v>
      </c>
      <c r="CX69" s="18">
        <v>1880</v>
      </c>
      <c r="CY69" s="18">
        <v>1820</v>
      </c>
      <c r="CZ69" s="18">
        <v>1840</v>
      </c>
      <c r="DA69" s="18">
        <v>1830</v>
      </c>
      <c r="DB69" s="18">
        <v>1780</v>
      </c>
      <c r="DC69" s="18">
        <v>1780</v>
      </c>
      <c r="DD69" s="18">
        <v>1620</v>
      </c>
      <c r="DE69" s="18">
        <v>1310</v>
      </c>
      <c r="DF69" s="18">
        <v>1420</v>
      </c>
      <c r="DG69" s="18">
        <v>1350</v>
      </c>
      <c r="DH69" s="18">
        <v>1410</v>
      </c>
      <c r="DI69" s="18">
        <v>1310</v>
      </c>
      <c r="DJ69" s="18">
        <v>1440</v>
      </c>
      <c r="DK69" s="18">
        <v>1450</v>
      </c>
      <c r="DL69" s="18">
        <v>1440</v>
      </c>
      <c r="DM69" s="18">
        <v>1430</v>
      </c>
      <c r="DN69" s="18">
        <v>1420</v>
      </c>
      <c r="DO69" s="18">
        <v>1410</v>
      </c>
      <c r="DP69" s="18">
        <v>1380</v>
      </c>
      <c r="DQ69" s="18">
        <v>1310</v>
      </c>
      <c r="DR69" s="18">
        <v>1160</v>
      </c>
      <c r="DS69" s="18">
        <v>1130</v>
      </c>
      <c r="DT69" s="18">
        <v>1230</v>
      </c>
      <c r="DU69" s="18">
        <v>1130</v>
      </c>
      <c r="DV69" s="18">
        <v>988</v>
      </c>
      <c r="DW69" s="18">
        <v>1080</v>
      </c>
      <c r="DX69" s="18">
        <v>1110</v>
      </c>
      <c r="DY69" s="18">
        <v>1140</v>
      </c>
      <c r="DZ69" s="18">
        <v>1210</v>
      </c>
      <c r="EA69" s="18">
        <v>1390</v>
      </c>
      <c r="EB69" s="18">
        <v>1340</v>
      </c>
      <c r="EC69" s="18">
        <v>1490</v>
      </c>
      <c r="ED69" s="18">
        <v>1620</v>
      </c>
      <c r="EE69" s="18">
        <v>1810</v>
      </c>
      <c r="EF69" s="18">
        <v>2220</v>
      </c>
      <c r="EG69" s="18">
        <v>2330</v>
      </c>
      <c r="EH69" s="18">
        <v>2360</v>
      </c>
      <c r="EI69" s="18">
        <v>2340</v>
      </c>
      <c r="EJ69" s="18">
        <v>2360</v>
      </c>
      <c r="EK69" s="18">
        <v>2370</v>
      </c>
      <c r="EL69" s="18">
        <v>2430</v>
      </c>
      <c r="EM69" s="18">
        <v>2420</v>
      </c>
      <c r="EN69" s="18">
        <v>2320</v>
      </c>
      <c r="EO69" s="18">
        <v>2620</v>
      </c>
      <c r="EP69" s="18">
        <v>3030</v>
      </c>
      <c r="EQ69" s="18">
        <v>3500</v>
      </c>
      <c r="ER69" s="18">
        <v>3960</v>
      </c>
      <c r="ES69" s="18">
        <v>3960</v>
      </c>
      <c r="ET69" s="18">
        <v>4130</v>
      </c>
      <c r="EU69" s="18">
        <v>3620</v>
      </c>
      <c r="EV69" s="18">
        <v>3540</v>
      </c>
      <c r="EW69" s="18">
        <v>3850</v>
      </c>
      <c r="EX69" s="18">
        <v>4610</v>
      </c>
      <c r="EY69" s="18">
        <v>4540</v>
      </c>
      <c r="EZ69" s="18">
        <v>4500</v>
      </c>
      <c r="FA69" s="18">
        <v>4240</v>
      </c>
      <c r="FB69" s="18">
        <v>3560</v>
      </c>
      <c r="FC69" s="18">
        <v>3550</v>
      </c>
      <c r="FD69" s="18">
        <v>3350</v>
      </c>
      <c r="FE69" s="18">
        <v>2820</v>
      </c>
      <c r="FF69" s="18">
        <v>2950</v>
      </c>
      <c r="FG69" s="18">
        <v>3100</v>
      </c>
      <c r="FH69" s="18">
        <v>3220</v>
      </c>
      <c r="FI69" s="18">
        <v>3480</v>
      </c>
      <c r="FJ69" s="18">
        <v>3420</v>
      </c>
      <c r="FK69" s="18">
        <v>3120</v>
      </c>
      <c r="FL69" s="18">
        <v>3910</v>
      </c>
      <c r="FM69" s="18">
        <v>4450</v>
      </c>
      <c r="FN69" s="18">
        <v>4370</v>
      </c>
      <c r="FO69" s="18">
        <v>4230</v>
      </c>
      <c r="FP69" s="18">
        <v>4020</v>
      </c>
      <c r="FQ69" s="18">
        <v>3740</v>
      </c>
      <c r="FR69" s="18">
        <v>4000</v>
      </c>
      <c r="FS69" s="18">
        <v>3800</v>
      </c>
      <c r="FT69" s="18">
        <v>4090</v>
      </c>
      <c r="FU69" s="18">
        <v>4640</v>
      </c>
      <c r="FV69" s="18">
        <v>6410</v>
      </c>
      <c r="FW69" s="18">
        <v>7890</v>
      </c>
      <c r="FX69" s="18">
        <v>7520</v>
      </c>
      <c r="FY69" s="18">
        <v>7870</v>
      </c>
      <c r="FZ69" s="18">
        <v>9410</v>
      </c>
      <c r="GA69" s="18">
        <v>7490</v>
      </c>
      <c r="GB69" s="18">
        <v>7660</v>
      </c>
      <c r="GC69" s="18">
        <v>7100</v>
      </c>
      <c r="GD69" s="18">
        <v>6290</v>
      </c>
      <c r="GE69" s="18">
        <v>5430</v>
      </c>
      <c r="GF69" s="18">
        <v>5330</v>
      </c>
      <c r="GG69" s="18">
        <v>5930</v>
      </c>
      <c r="GH69" s="18">
        <v>6330</v>
      </c>
      <c r="GI69" s="18">
        <v>6860</v>
      </c>
      <c r="GJ69" s="18">
        <v>7620</v>
      </c>
      <c r="GK69" s="18">
        <v>8480</v>
      </c>
      <c r="GL69" s="18">
        <v>8030</v>
      </c>
      <c r="GM69" s="18">
        <v>8080</v>
      </c>
      <c r="GN69" s="18">
        <v>8520</v>
      </c>
      <c r="GO69" s="18">
        <v>8710</v>
      </c>
      <c r="GP69" s="18">
        <v>9060</v>
      </c>
      <c r="GQ69" s="18">
        <v>8530</v>
      </c>
      <c r="GR69" s="18">
        <v>9410</v>
      </c>
      <c r="GS69" s="18">
        <v>9060</v>
      </c>
      <c r="GT69" s="18">
        <v>8850</v>
      </c>
      <c r="GU69" s="18">
        <v>8640</v>
      </c>
      <c r="GV69" s="18">
        <v>8590</v>
      </c>
      <c r="GW69" s="18">
        <v>7860</v>
      </c>
      <c r="GX69" s="18">
        <v>8040</v>
      </c>
      <c r="GY69" s="18">
        <v>8830</v>
      </c>
      <c r="GZ69" s="18">
        <v>9890</v>
      </c>
      <c r="HA69" s="18">
        <v>9340</v>
      </c>
      <c r="HB69" s="18">
        <v>9160</v>
      </c>
      <c r="HC69" s="18">
        <v>10100</v>
      </c>
      <c r="HD69" s="18">
        <v>10600</v>
      </c>
      <c r="HE69" s="18">
        <v>10700</v>
      </c>
      <c r="HF69" s="18">
        <v>10600</v>
      </c>
      <c r="HG69" s="18">
        <v>9770</v>
      </c>
      <c r="HH69" s="18">
        <v>8500</v>
      </c>
      <c r="HI69" s="18">
        <v>9210</v>
      </c>
      <c r="HJ69" s="18">
        <v>8610</v>
      </c>
      <c r="HK69" s="18">
        <v>8210</v>
      </c>
      <c r="HL69" s="18">
        <v>7600</v>
      </c>
      <c r="HM69" s="18">
        <v>7690</v>
      </c>
      <c r="HN69" s="18">
        <v>8670</v>
      </c>
      <c r="HO69" s="18">
        <v>9070</v>
      </c>
      <c r="HP69" s="18">
        <v>8760</v>
      </c>
      <c r="HQ69" s="18">
        <v>7930</v>
      </c>
      <c r="HR69" s="18">
        <v>6650</v>
      </c>
      <c r="HS69" s="18">
        <v>6070</v>
      </c>
      <c r="HT69" s="18">
        <v>5750</v>
      </c>
      <c r="HU69" s="18">
        <v>5790</v>
      </c>
      <c r="HV69" s="18">
        <v>6120</v>
      </c>
      <c r="HW69" s="18">
        <v>5950</v>
      </c>
      <c r="HX69" s="18">
        <v>4610</v>
      </c>
      <c r="HY69" s="18">
        <v>4480</v>
      </c>
      <c r="HZ69" s="18">
        <v>4180</v>
      </c>
      <c r="IA69" s="18">
        <v>4010</v>
      </c>
      <c r="IB69" s="18">
        <v>5110</v>
      </c>
      <c r="IC69" s="18">
        <v>5710</v>
      </c>
      <c r="ID69" s="18">
        <v>5610</v>
      </c>
      <c r="IE69" s="18">
        <v>5290</v>
      </c>
      <c r="IF69" s="18">
        <v>5560</v>
      </c>
      <c r="IG69" s="18">
        <v>5870</v>
      </c>
      <c r="IH69" s="18">
        <v>6090</v>
      </c>
      <c r="II69" s="18">
        <v>5900</v>
      </c>
      <c r="IJ69" s="18">
        <v>5470</v>
      </c>
      <c r="IK69" s="18">
        <v>5420</v>
      </c>
      <c r="IL69" s="18">
        <v>6060</v>
      </c>
      <c r="IM69" s="18">
        <v>5220</v>
      </c>
      <c r="IN69" s="18">
        <v>4130</v>
      </c>
      <c r="IO69" s="18">
        <v>4190</v>
      </c>
      <c r="IP69" s="18">
        <v>4420</v>
      </c>
      <c r="IQ69" s="18">
        <v>5320</v>
      </c>
      <c r="IR69" s="18">
        <v>5970</v>
      </c>
      <c r="IS69" s="18">
        <v>8860</v>
      </c>
      <c r="IT69" s="18">
        <v>9780</v>
      </c>
      <c r="IU69" s="18">
        <v>9390</v>
      </c>
      <c r="IV69" s="18">
        <v>9970</v>
      </c>
      <c r="IW69" s="18">
        <v>8750</v>
      </c>
      <c r="IX69" s="18">
        <v>7130</v>
      </c>
      <c r="IY69" s="18">
        <v>6230</v>
      </c>
      <c r="IZ69" s="18">
        <v>6270</v>
      </c>
      <c r="JA69" s="18">
        <v>6350</v>
      </c>
      <c r="JB69" s="18">
        <v>8380</v>
      </c>
      <c r="JC69" s="18">
        <v>8390</v>
      </c>
      <c r="JD69" s="18">
        <v>8320</v>
      </c>
      <c r="JE69" s="18">
        <v>10900</v>
      </c>
      <c r="JF69" s="18">
        <v>11600</v>
      </c>
      <c r="JG69" s="18">
        <v>13400</v>
      </c>
      <c r="JH69" s="18">
        <v>12000</v>
      </c>
      <c r="JI69" s="18">
        <v>10500</v>
      </c>
      <c r="JJ69" s="18">
        <v>10500</v>
      </c>
      <c r="JK69" s="18">
        <v>9390</v>
      </c>
      <c r="JL69" s="18">
        <v>6940</v>
      </c>
      <c r="JM69" s="18">
        <v>6980</v>
      </c>
      <c r="JN69" s="18">
        <v>8360</v>
      </c>
      <c r="JO69" s="18">
        <v>8390</v>
      </c>
      <c r="JP69" s="18">
        <v>8480</v>
      </c>
      <c r="JQ69" s="18">
        <v>7910</v>
      </c>
      <c r="JR69" s="18">
        <v>7810</v>
      </c>
      <c r="JS69" s="18">
        <v>7800</v>
      </c>
      <c r="JT69" s="18">
        <v>7070</v>
      </c>
      <c r="JU69" s="18">
        <v>5360</v>
      </c>
      <c r="JV69" s="18">
        <v>6040</v>
      </c>
      <c r="JW69" s="18">
        <v>6610</v>
      </c>
      <c r="JX69" s="18">
        <v>5590</v>
      </c>
      <c r="JY69" s="18">
        <v>6420</v>
      </c>
      <c r="JZ69" s="18">
        <v>6020</v>
      </c>
      <c r="KA69" s="18">
        <v>6400</v>
      </c>
      <c r="KB69" s="18">
        <v>6210</v>
      </c>
      <c r="KC69" s="18">
        <v>5990</v>
      </c>
      <c r="KD69" s="18">
        <v>5110</v>
      </c>
      <c r="KE69" s="18">
        <v>5380</v>
      </c>
      <c r="KF69" s="18">
        <v>5190</v>
      </c>
      <c r="KG69" s="18">
        <v>5590</v>
      </c>
      <c r="KH69" s="18">
        <v>5220</v>
      </c>
      <c r="KI69" s="18">
        <v>5140</v>
      </c>
      <c r="KJ69" s="18">
        <v>5390</v>
      </c>
      <c r="KK69" s="18">
        <v>5250</v>
      </c>
      <c r="KL69" s="18">
        <v>5110</v>
      </c>
      <c r="KM69" s="18">
        <v>5130</v>
      </c>
      <c r="KN69" s="18">
        <v>5080</v>
      </c>
      <c r="KO69" s="18">
        <v>5090</v>
      </c>
      <c r="KP69" s="18">
        <v>4870</v>
      </c>
      <c r="KQ69" s="18">
        <v>4380</v>
      </c>
      <c r="KR69" s="18">
        <v>4140</v>
      </c>
      <c r="KS69" s="18">
        <v>3810</v>
      </c>
      <c r="KT69" s="18">
        <v>3490</v>
      </c>
      <c r="KU69" s="18">
        <v>3340</v>
      </c>
      <c r="KV69" s="18">
        <v>3370</v>
      </c>
      <c r="KW69" s="18">
        <v>3400</v>
      </c>
      <c r="KX69" s="18">
        <v>3410</v>
      </c>
      <c r="KY69" s="18">
        <v>3390</v>
      </c>
      <c r="KZ69" s="18">
        <v>3300</v>
      </c>
      <c r="LA69" s="18">
        <v>3190</v>
      </c>
      <c r="LB69" s="18">
        <v>3090</v>
      </c>
      <c r="LC69" s="18">
        <v>3130</v>
      </c>
      <c r="LD69" s="18">
        <v>3170</v>
      </c>
      <c r="LE69" s="18">
        <v>3320</v>
      </c>
      <c r="LF69" s="18">
        <v>3410</v>
      </c>
      <c r="LG69" s="18">
        <v>3450</v>
      </c>
      <c r="LH69" s="18">
        <v>3430</v>
      </c>
      <c r="LI69" s="18">
        <v>3460</v>
      </c>
      <c r="LJ69" s="18">
        <v>3610</v>
      </c>
      <c r="LK69" s="18">
        <v>3790</v>
      </c>
      <c r="LL69" s="18">
        <v>3960</v>
      </c>
      <c r="LM69" s="18">
        <v>4110</v>
      </c>
      <c r="LN69" s="18">
        <v>4250</v>
      </c>
      <c r="LO69" s="18">
        <v>4300</v>
      </c>
      <c r="LP69" s="18">
        <v>4290</v>
      </c>
      <c r="LQ69" s="18">
        <v>4240</v>
      </c>
      <c r="LR69" s="18">
        <v>3860</v>
      </c>
      <c r="LS69" s="18">
        <v>3380</v>
      </c>
      <c r="LT69" s="18">
        <v>3080</v>
      </c>
      <c r="LU69" s="18">
        <v>3020</v>
      </c>
      <c r="LV69" s="18">
        <v>3310</v>
      </c>
      <c r="LW69" s="18">
        <v>3530</v>
      </c>
      <c r="LX69" s="18">
        <v>3260</v>
      </c>
      <c r="LY69" s="18">
        <v>3140</v>
      </c>
      <c r="LZ69" s="18">
        <v>3220</v>
      </c>
      <c r="MA69" s="18">
        <v>3200</v>
      </c>
      <c r="MB69" s="18">
        <v>3040</v>
      </c>
      <c r="MC69" s="18">
        <v>2850</v>
      </c>
      <c r="MD69" s="18">
        <v>2690</v>
      </c>
      <c r="ME69" s="18">
        <v>2550</v>
      </c>
      <c r="MF69" s="18">
        <v>2450</v>
      </c>
      <c r="MG69" s="18">
        <v>2330</v>
      </c>
      <c r="MH69" s="18">
        <v>2000</v>
      </c>
      <c r="MI69" s="18">
        <v>1990</v>
      </c>
      <c r="MJ69" s="18">
        <v>1990</v>
      </c>
      <c r="MK69" s="18">
        <v>2010</v>
      </c>
      <c r="ML69" s="18">
        <v>2020</v>
      </c>
      <c r="MM69" s="18">
        <v>1910</v>
      </c>
      <c r="MN69" s="18">
        <v>1820</v>
      </c>
      <c r="MO69" s="18">
        <v>1770</v>
      </c>
      <c r="MP69" s="18">
        <v>1730</v>
      </c>
      <c r="MQ69" s="18">
        <v>1620</v>
      </c>
      <c r="MR69" s="18">
        <v>1540</v>
      </c>
      <c r="MS69" s="18">
        <v>1500</v>
      </c>
      <c r="MT69" s="18">
        <v>1570</v>
      </c>
      <c r="MU69" s="18">
        <v>1710</v>
      </c>
      <c r="MV69" s="18">
        <v>1770</v>
      </c>
      <c r="MW69" s="18">
        <v>1840</v>
      </c>
      <c r="MX69" s="18">
        <v>1890</v>
      </c>
      <c r="MY69" s="18">
        <v>1910</v>
      </c>
      <c r="MZ69" s="18">
        <v>2080</v>
      </c>
      <c r="NA69" s="18">
        <v>2310</v>
      </c>
      <c r="NB69" s="18">
        <v>2250</v>
      </c>
      <c r="NC69" s="18">
        <v>2180</v>
      </c>
      <c r="ND69" s="1">
        <v>2220</v>
      </c>
      <c r="NE69" s="1">
        <v>2000</v>
      </c>
      <c r="NF69" s="1">
        <v>2110</v>
      </c>
      <c r="NG69" s="1">
        <v>1610</v>
      </c>
      <c r="NH69" s="1">
        <v>2260</v>
      </c>
      <c r="NI69" s="1">
        <v>4610</v>
      </c>
      <c r="NJ69" s="1">
        <v>8310</v>
      </c>
      <c r="NK69" s="1">
        <v>6570</v>
      </c>
      <c r="NL69" s="1">
        <v>8070</v>
      </c>
      <c r="NM69" s="1">
        <v>5710</v>
      </c>
      <c r="NN69" s="1">
        <v>3530</v>
      </c>
      <c r="NO69" s="1">
        <v>2160</v>
      </c>
      <c r="NP69" s="1">
        <v>4104.311475409836</v>
      </c>
      <c r="NQ69" s="1">
        <v>13400</v>
      </c>
      <c r="NR69" s="19">
        <v>42635</v>
      </c>
      <c r="NS69" s="1">
        <v>988</v>
      </c>
      <c r="NT69" s="19">
        <v>42494</v>
      </c>
    </row>
    <row r="71" spans="1:395" customFormat="1" x14ac:dyDescent="0.15">
      <c r="A71" s="9" t="s">
        <v>36</v>
      </c>
      <c r="B71" s="5">
        <f>MAX(B3:B69)</f>
        <v>2110</v>
      </c>
      <c r="C71" s="5">
        <f t="shared" ref="C71:BN71" si="0">MAX(C3:C69)</f>
        <v>2380</v>
      </c>
      <c r="D71" s="5">
        <f t="shared" si="0"/>
        <v>2440</v>
      </c>
      <c r="E71" s="5">
        <f t="shared" si="0"/>
        <v>2360</v>
      </c>
      <c r="F71" s="5">
        <f t="shared" si="0"/>
        <v>2320</v>
      </c>
      <c r="G71" s="5">
        <f t="shared" si="0"/>
        <v>2230</v>
      </c>
      <c r="H71" s="5">
        <f t="shared" si="0"/>
        <v>2270</v>
      </c>
      <c r="I71" s="5">
        <f t="shared" si="0"/>
        <v>2180</v>
      </c>
      <c r="J71" s="5">
        <f t="shared" si="0"/>
        <v>2120</v>
      </c>
      <c r="K71" s="5">
        <f t="shared" si="0"/>
        <v>2130</v>
      </c>
      <c r="L71" s="5">
        <f t="shared" si="0"/>
        <v>2070</v>
      </c>
      <c r="M71" s="5">
        <f t="shared" si="0"/>
        <v>2030</v>
      </c>
      <c r="N71" s="5">
        <f t="shared" si="0"/>
        <v>2400</v>
      </c>
      <c r="O71" s="5">
        <f t="shared" si="0"/>
        <v>2330</v>
      </c>
      <c r="P71" s="5">
        <f t="shared" si="0"/>
        <v>2270</v>
      </c>
      <c r="Q71" s="5">
        <f t="shared" si="0"/>
        <v>2630</v>
      </c>
      <c r="R71" s="5">
        <f t="shared" si="0"/>
        <v>2730</v>
      </c>
      <c r="S71" s="5">
        <f t="shared" si="0"/>
        <v>2690</v>
      </c>
      <c r="T71" s="5">
        <f t="shared" si="0"/>
        <v>2820</v>
      </c>
      <c r="U71" s="5">
        <f t="shared" si="0"/>
        <v>2700</v>
      </c>
      <c r="V71" s="5">
        <f t="shared" si="0"/>
        <v>2510</v>
      </c>
      <c r="W71" s="5">
        <f t="shared" si="0"/>
        <v>2380</v>
      </c>
      <c r="X71" s="5">
        <f t="shared" si="0"/>
        <v>2300</v>
      </c>
      <c r="Y71" s="5">
        <f t="shared" si="0"/>
        <v>2520</v>
      </c>
      <c r="Z71" s="5">
        <f t="shared" si="0"/>
        <v>2640</v>
      </c>
      <c r="AA71" s="5">
        <f t="shared" si="0"/>
        <v>2740</v>
      </c>
      <c r="AB71" s="5">
        <f t="shared" si="0"/>
        <v>2770</v>
      </c>
      <c r="AC71" s="5">
        <f t="shared" si="0"/>
        <v>2760</v>
      </c>
      <c r="AD71" s="5">
        <f t="shared" si="0"/>
        <v>2790</v>
      </c>
      <c r="AE71" s="5">
        <f t="shared" si="0"/>
        <v>2750</v>
      </c>
      <c r="AF71" s="5">
        <f t="shared" si="0"/>
        <v>2770</v>
      </c>
      <c r="AG71" s="5">
        <f t="shared" si="0"/>
        <v>2810</v>
      </c>
      <c r="AH71" s="5">
        <f t="shared" si="0"/>
        <v>2830</v>
      </c>
      <c r="AI71" s="5">
        <f t="shared" si="0"/>
        <v>2770</v>
      </c>
      <c r="AJ71" s="5">
        <f t="shared" si="0"/>
        <v>2650</v>
      </c>
      <c r="AK71" s="5">
        <f t="shared" si="0"/>
        <v>2600</v>
      </c>
      <c r="AL71" s="5">
        <f t="shared" si="0"/>
        <v>2600</v>
      </c>
      <c r="AM71" s="5">
        <f t="shared" si="0"/>
        <v>2380</v>
      </c>
      <c r="AN71" s="5">
        <f t="shared" si="0"/>
        <v>2200</v>
      </c>
      <c r="AO71" s="5">
        <f t="shared" si="0"/>
        <v>2230</v>
      </c>
      <c r="AP71" s="5">
        <f t="shared" si="0"/>
        <v>2270</v>
      </c>
      <c r="AQ71" s="5">
        <f t="shared" si="0"/>
        <v>2280</v>
      </c>
      <c r="AR71" s="5">
        <f t="shared" si="0"/>
        <v>2320</v>
      </c>
      <c r="AS71" s="5">
        <f t="shared" si="0"/>
        <v>2450</v>
      </c>
      <c r="AT71" s="5">
        <f t="shared" si="0"/>
        <v>2360</v>
      </c>
      <c r="AU71" s="5">
        <f t="shared" si="0"/>
        <v>2330</v>
      </c>
      <c r="AV71" s="5">
        <f t="shared" si="0"/>
        <v>2400</v>
      </c>
      <c r="AW71" s="5">
        <f t="shared" si="0"/>
        <v>2490</v>
      </c>
      <c r="AX71" s="5">
        <f t="shared" si="0"/>
        <v>2130</v>
      </c>
      <c r="AY71" s="5">
        <f t="shared" si="0"/>
        <v>2040</v>
      </c>
      <c r="AZ71" s="5">
        <f t="shared" si="0"/>
        <v>2030</v>
      </c>
      <c r="BA71" s="5">
        <f t="shared" si="0"/>
        <v>2020</v>
      </c>
      <c r="BB71" s="5">
        <f t="shared" si="0"/>
        <v>2030</v>
      </c>
      <c r="BC71" s="5">
        <f t="shared" si="0"/>
        <v>2040</v>
      </c>
      <c r="BD71" s="5">
        <f t="shared" si="0"/>
        <v>2020</v>
      </c>
      <c r="BE71" s="5">
        <f t="shared" si="0"/>
        <v>1950</v>
      </c>
      <c r="BF71" s="5">
        <f t="shared" si="0"/>
        <v>1920</v>
      </c>
      <c r="BG71" s="5">
        <f t="shared" si="0"/>
        <v>1960</v>
      </c>
      <c r="BH71" s="5">
        <f t="shared" si="0"/>
        <v>2130</v>
      </c>
      <c r="BI71" s="5">
        <f t="shared" si="0"/>
        <v>2030</v>
      </c>
      <c r="BJ71" s="5">
        <f t="shared" si="0"/>
        <v>1980</v>
      </c>
      <c r="BK71" s="5">
        <f t="shared" si="0"/>
        <v>2040</v>
      </c>
      <c r="BL71" s="5">
        <f t="shared" si="0"/>
        <v>2040</v>
      </c>
      <c r="BM71" s="5">
        <f t="shared" si="0"/>
        <v>1990</v>
      </c>
      <c r="BN71" s="5">
        <f t="shared" si="0"/>
        <v>2010</v>
      </c>
      <c r="BO71" s="5">
        <f t="shared" ref="BO71:DZ71" si="1">MAX(BO3:BO69)</f>
        <v>1940</v>
      </c>
      <c r="BP71" s="5">
        <f t="shared" si="1"/>
        <v>1950</v>
      </c>
      <c r="BQ71" s="5">
        <f t="shared" si="1"/>
        <v>1910</v>
      </c>
      <c r="BR71" s="5">
        <f t="shared" si="1"/>
        <v>1870</v>
      </c>
      <c r="BS71" s="5">
        <f t="shared" si="1"/>
        <v>1980</v>
      </c>
      <c r="BT71" s="5">
        <f t="shared" si="1"/>
        <v>2070</v>
      </c>
      <c r="BU71" s="5">
        <f t="shared" si="1"/>
        <v>2060</v>
      </c>
      <c r="BV71" s="5">
        <f t="shared" si="1"/>
        <v>2090</v>
      </c>
      <c r="BW71" s="5">
        <f t="shared" si="1"/>
        <v>2050</v>
      </c>
      <c r="BX71" s="5">
        <f t="shared" si="1"/>
        <v>2020</v>
      </c>
      <c r="BY71" s="5">
        <f t="shared" si="1"/>
        <v>1960</v>
      </c>
      <c r="BZ71" s="5">
        <f t="shared" si="1"/>
        <v>2060</v>
      </c>
      <c r="CA71" s="5">
        <f t="shared" si="1"/>
        <v>2100</v>
      </c>
      <c r="CB71" s="5">
        <f t="shared" si="1"/>
        <v>2160</v>
      </c>
      <c r="CC71" s="5">
        <f t="shared" si="1"/>
        <v>2320</v>
      </c>
      <c r="CD71" s="5">
        <f t="shared" si="1"/>
        <v>2480</v>
      </c>
      <c r="CE71" s="5">
        <f t="shared" si="1"/>
        <v>2370</v>
      </c>
      <c r="CF71" s="5">
        <f t="shared" si="1"/>
        <v>2480</v>
      </c>
      <c r="CG71" s="5">
        <f t="shared" si="1"/>
        <v>2610</v>
      </c>
      <c r="CH71" s="5">
        <f t="shared" si="1"/>
        <v>2530</v>
      </c>
      <c r="CI71" s="5">
        <f t="shared" si="1"/>
        <v>2670</v>
      </c>
      <c r="CJ71" s="5">
        <f t="shared" si="1"/>
        <v>2630</v>
      </c>
      <c r="CK71" s="5">
        <f t="shared" si="1"/>
        <v>2490</v>
      </c>
      <c r="CL71" s="5">
        <f t="shared" si="1"/>
        <v>2500</v>
      </c>
      <c r="CM71" s="5">
        <f t="shared" si="1"/>
        <v>2540</v>
      </c>
      <c r="CN71" s="5">
        <f t="shared" si="1"/>
        <v>2500</v>
      </c>
      <c r="CO71" s="5">
        <f t="shared" si="1"/>
        <v>2520</v>
      </c>
      <c r="CP71" s="5">
        <f t="shared" si="1"/>
        <v>2440</v>
      </c>
      <c r="CQ71" s="5">
        <f t="shared" si="1"/>
        <v>2210</v>
      </c>
      <c r="CR71" s="5">
        <f t="shared" si="1"/>
        <v>2130</v>
      </c>
      <c r="CS71" s="5">
        <f t="shared" si="1"/>
        <v>2080</v>
      </c>
      <c r="CT71" s="5">
        <f t="shared" si="1"/>
        <v>1960</v>
      </c>
      <c r="CU71" s="5">
        <f t="shared" si="1"/>
        <v>1920</v>
      </c>
      <c r="CV71" s="5">
        <f t="shared" si="1"/>
        <v>1900</v>
      </c>
      <c r="CW71" s="5">
        <f t="shared" si="1"/>
        <v>2130</v>
      </c>
      <c r="CX71" s="5">
        <f t="shared" si="1"/>
        <v>2450</v>
      </c>
      <c r="CY71" s="5">
        <f t="shared" si="1"/>
        <v>2100</v>
      </c>
      <c r="CZ71" s="5">
        <f t="shared" si="1"/>
        <v>2070</v>
      </c>
      <c r="DA71" s="5">
        <f t="shared" si="1"/>
        <v>2140</v>
      </c>
      <c r="DB71" s="5">
        <f t="shared" si="1"/>
        <v>2150</v>
      </c>
      <c r="DC71" s="5">
        <f t="shared" si="1"/>
        <v>2180</v>
      </c>
      <c r="DD71" s="5">
        <f t="shared" si="1"/>
        <v>2110</v>
      </c>
      <c r="DE71" s="5">
        <f t="shared" si="1"/>
        <v>2270</v>
      </c>
      <c r="DF71" s="5">
        <f t="shared" si="1"/>
        <v>2330</v>
      </c>
      <c r="DG71" s="5">
        <f t="shared" si="1"/>
        <v>2290</v>
      </c>
      <c r="DH71" s="5">
        <f t="shared" si="1"/>
        <v>2440</v>
      </c>
      <c r="DI71" s="5">
        <f t="shared" si="1"/>
        <v>2400</v>
      </c>
      <c r="DJ71" s="5">
        <f t="shared" si="1"/>
        <v>2370</v>
      </c>
      <c r="DK71" s="5">
        <f t="shared" si="1"/>
        <v>2500</v>
      </c>
      <c r="DL71" s="5">
        <f t="shared" si="1"/>
        <v>2300</v>
      </c>
      <c r="DM71" s="5">
        <f t="shared" si="1"/>
        <v>2370</v>
      </c>
      <c r="DN71" s="5">
        <f t="shared" si="1"/>
        <v>2300</v>
      </c>
      <c r="DO71" s="5">
        <f t="shared" si="1"/>
        <v>2460</v>
      </c>
      <c r="DP71" s="5">
        <f t="shared" si="1"/>
        <v>2670</v>
      </c>
      <c r="DQ71" s="5">
        <f t="shared" si="1"/>
        <v>2910</v>
      </c>
      <c r="DR71" s="5">
        <f t="shared" si="1"/>
        <v>3020</v>
      </c>
      <c r="DS71" s="5">
        <f t="shared" si="1"/>
        <v>3120</v>
      </c>
      <c r="DT71" s="5">
        <f t="shared" si="1"/>
        <v>2610</v>
      </c>
      <c r="DU71" s="5">
        <f t="shared" si="1"/>
        <v>2910</v>
      </c>
      <c r="DV71" s="5">
        <f t="shared" si="1"/>
        <v>2490</v>
      </c>
      <c r="DW71" s="5">
        <f t="shared" si="1"/>
        <v>2630</v>
      </c>
      <c r="DX71" s="5">
        <f t="shared" si="1"/>
        <v>2740</v>
      </c>
      <c r="DY71" s="5">
        <f t="shared" si="1"/>
        <v>2880</v>
      </c>
      <c r="DZ71" s="5">
        <f t="shared" si="1"/>
        <v>3260</v>
      </c>
      <c r="EA71" s="5">
        <f t="shared" ref="EA71:GL71" si="2">MAX(EA3:EA69)</f>
        <v>3390</v>
      </c>
      <c r="EB71" s="5">
        <f t="shared" si="2"/>
        <v>3340</v>
      </c>
      <c r="EC71" s="5">
        <f t="shared" si="2"/>
        <v>3270</v>
      </c>
      <c r="ED71" s="5">
        <f t="shared" si="2"/>
        <v>3150</v>
      </c>
      <c r="EE71" s="5">
        <f t="shared" si="2"/>
        <v>3290</v>
      </c>
      <c r="EF71" s="5">
        <f t="shared" si="2"/>
        <v>3450</v>
      </c>
      <c r="EG71" s="5">
        <f t="shared" si="2"/>
        <v>3260</v>
      </c>
      <c r="EH71" s="5">
        <f t="shared" si="2"/>
        <v>3130</v>
      </c>
      <c r="EI71" s="5">
        <f t="shared" si="2"/>
        <v>3370</v>
      </c>
      <c r="EJ71" s="5">
        <f t="shared" si="2"/>
        <v>3230</v>
      </c>
      <c r="EK71" s="5">
        <f t="shared" si="2"/>
        <v>3600</v>
      </c>
      <c r="EL71" s="5">
        <f t="shared" si="2"/>
        <v>4040</v>
      </c>
      <c r="EM71" s="5">
        <f t="shared" si="2"/>
        <v>3500</v>
      </c>
      <c r="EN71" s="5">
        <f t="shared" si="2"/>
        <v>4330</v>
      </c>
      <c r="EO71" s="5">
        <f t="shared" si="2"/>
        <v>4480</v>
      </c>
      <c r="EP71" s="5">
        <f t="shared" si="2"/>
        <v>4660</v>
      </c>
      <c r="EQ71" s="5">
        <f t="shared" si="2"/>
        <v>4450</v>
      </c>
      <c r="ER71" s="5">
        <f t="shared" si="2"/>
        <v>4620</v>
      </c>
      <c r="ES71" s="5">
        <f t="shared" si="2"/>
        <v>4970</v>
      </c>
      <c r="ET71" s="5">
        <f t="shared" si="2"/>
        <v>5290</v>
      </c>
      <c r="EU71" s="5">
        <f t="shared" si="2"/>
        <v>5440</v>
      </c>
      <c r="EV71" s="5">
        <f t="shared" si="2"/>
        <v>5300</v>
      </c>
      <c r="EW71" s="5">
        <f t="shared" si="2"/>
        <v>5110</v>
      </c>
      <c r="EX71" s="5">
        <f t="shared" si="2"/>
        <v>5190</v>
      </c>
      <c r="EY71" s="5">
        <f t="shared" si="2"/>
        <v>6100</v>
      </c>
      <c r="EZ71" s="5">
        <f t="shared" si="2"/>
        <v>5980</v>
      </c>
      <c r="FA71" s="5">
        <f t="shared" si="2"/>
        <v>5290</v>
      </c>
      <c r="FB71" s="5">
        <f t="shared" si="2"/>
        <v>5600</v>
      </c>
      <c r="FC71" s="5">
        <f t="shared" si="2"/>
        <v>5640</v>
      </c>
      <c r="FD71" s="5">
        <f t="shared" si="2"/>
        <v>5820</v>
      </c>
      <c r="FE71" s="5">
        <f t="shared" si="2"/>
        <v>6580</v>
      </c>
      <c r="FF71" s="5">
        <f t="shared" si="2"/>
        <v>6290</v>
      </c>
      <c r="FG71" s="5">
        <f t="shared" si="2"/>
        <v>6230</v>
      </c>
      <c r="FH71" s="5">
        <f t="shared" si="2"/>
        <v>6320</v>
      </c>
      <c r="FI71" s="5">
        <f t="shared" si="2"/>
        <v>6540</v>
      </c>
      <c r="FJ71" s="5">
        <f t="shared" si="2"/>
        <v>6740</v>
      </c>
      <c r="FK71" s="5">
        <f t="shared" si="2"/>
        <v>7050</v>
      </c>
      <c r="FL71" s="5">
        <f t="shared" si="2"/>
        <v>7550</v>
      </c>
      <c r="FM71" s="5">
        <f t="shared" si="2"/>
        <v>9260</v>
      </c>
      <c r="FN71" s="5">
        <f t="shared" si="2"/>
        <v>9760</v>
      </c>
      <c r="FO71" s="5">
        <f t="shared" si="2"/>
        <v>9330</v>
      </c>
      <c r="FP71" s="5">
        <f t="shared" si="2"/>
        <v>8340</v>
      </c>
      <c r="FQ71" s="5">
        <f t="shared" si="2"/>
        <v>9340</v>
      </c>
      <c r="FR71" s="5">
        <f t="shared" si="2"/>
        <v>10700</v>
      </c>
      <c r="FS71" s="5">
        <f t="shared" si="2"/>
        <v>11400</v>
      </c>
      <c r="FT71" s="5">
        <f t="shared" si="2"/>
        <v>11300</v>
      </c>
      <c r="FU71" s="5">
        <f t="shared" si="2"/>
        <v>10700</v>
      </c>
      <c r="FV71" s="5">
        <f t="shared" si="2"/>
        <v>10500</v>
      </c>
      <c r="FW71" s="5">
        <f t="shared" si="2"/>
        <v>11200</v>
      </c>
      <c r="FX71" s="5">
        <f t="shared" si="2"/>
        <v>13200</v>
      </c>
      <c r="FY71" s="5">
        <f t="shared" si="2"/>
        <v>16600</v>
      </c>
      <c r="FZ71" s="5">
        <f t="shared" si="2"/>
        <v>14500</v>
      </c>
      <c r="GA71" s="5">
        <f t="shared" si="2"/>
        <v>13000</v>
      </c>
      <c r="GB71" s="5">
        <f t="shared" si="2"/>
        <v>13800</v>
      </c>
      <c r="GC71" s="5">
        <f t="shared" si="2"/>
        <v>13500</v>
      </c>
      <c r="GD71" s="5">
        <f t="shared" si="2"/>
        <v>14100</v>
      </c>
      <c r="GE71" s="5">
        <f t="shared" si="2"/>
        <v>13600</v>
      </c>
      <c r="GF71" s="5">
        <f t="shared" si="2"/>
        <v>12300</v>
      </c>
      <c r="GG71" s="5">
        <f t="shared" si="2"/>
        <v>13300</v>
      </c>
      <c r="GH71" s="5">
        <f t="shared" si="2"/>
        <v>14500</v>
      </c>
      <c r="GI71" s="5">
        <f t="shared" si="2"/>
        <v>14000</v>
      </c>
      <c r="GJ71" s="5">
        <f t="shared" si="2"/>
        <v>15200</v>
      </c>
      <c r="GK71" s="5">
        <f t="shared" si="2"/>
        <v>16300</v>
      </c>
      <c r="GL71" s="5">
        <f t="shared" si="2"/>
        <v>16500</v>
      </c>
      <c r="GM71" s="5">
        <f t="shared" ref="GM71:IX71" si="3">MAX(GM3:GM69)</f>
        <v>16600</v>
      </c>
      <c r="GN71" s="5">
        <f t="shared" si="3"/>
        <v>16400</v>
      </c>
      <c r="GO71" s="5">
        <f t="shared" si="3"/>
        <v>16700</v>
      </c>
      <c r="GP71" s="5">
        <f t="shared" si="3"/>
        <v>17500</v>
      </c>
      <c r="GQ71" s="5">
        <f t="shared" si="3"/>
        <v>17900</v>
      </c>
      <c r="GR71" s="5">
        <f t="shared" si="3"/>
        <v>16700</v>
      </c>
      <c r="GS71" s="5">
        <f t="shared" si="3"/>
        <v>16900</v>
      </c>
      <c r="GT71" s="5">
        <f t="shared" si="3"/>
        <v>16900</v>
      </c>
      <c r="GU71" s="5">
        <f t="shared" si="3"/>
        <v>18500</v>
      </c>
      <c r="GV71" s="5">
        <f t="shared" si="3"/>
        <v>18300</v>
      </c>
      <c r="GW71" s="5">
        <f t="shared" si="3"/>
        <v>16400</v>
      </c>
      <c r="GX71" s="5">
        <f t="shared" si="3"/>
        <v>15600</v>
      </c>
      <c r="GY71" s="5">
        <f t="shared" si="3"/>
        <v>17600</v>
      </c>
      <c r="GZ71" s="5">
        <f t="shared" si="3"/>
        <v>17100</v>
      </c>
      <c r="HA71" s="5">
        <f t="shared" si="3"/>
        <v>17400</v>
      </c>
      <c r="HB71" s="5">
        <f t="shared" si="3"/>
        <v>17500</v>
      </c>
      <c r="HC71" s="5">
        <f t="shared" si="3"/>
        <v>19000</v>
      </c>
      <c r="HD71" s="5">
        <f t="shared" si="3"/>
        <v>19100</v>
      </c>
      <c r="HE71" s="5">
        <f t="shared" si="3"/>
        <v>19200</v>
      </c>
      <c r="HF71" s="5">
        <f t="shared" si="3"/>
        <v>19900</v>
      </c>
      <c r="HG71" s="5">
        <f t="shared" si="3"/>
        <v>18800</v>
      </c>
      <c r="HH71" s="5">
        <f t="shared" si="3"/>
        <v>18500</v>
      </c>
      <c r="HI71" s="5">
        <f t="shared" si="3"/>
        <v>18500</v>
      </c>
      <c r="HJ71" s="5">
        <f t="shared" si="3"/>
        <v>19600</v>
      </c>
      <c r="HK71" s="5">
        <f t="shared" si="3"/>
        <v>18700</v>
      </c>
      <c r="HL71" s="5">
        <f t="shared" si="3"/>
        <v>17700</v>
      </c>
      <c r="HM71" s="5">
        <f t="shared" si="3"/>
        <v>19800</v>
      </c>
      <c r="HN71" s="5">
        <f t="shared" si="3"/>
        <v>19000</v>
      </c>
      <c r="HO71" s="5">
        <f t="shared" si="3"/>
        <v>17300</v>
      </c>
      <c r="HP71" s="5">
        <f t="shared" si="3"/>
        <v>19400</v>
      </c>
      <c r="HQ71" s="5">
        <f t="shared" si="3"/>
        <v>21000</v>
      </c>
      <c r="HR71" s="5">
        <f t="shared" si="3"/>
        <v>20200</v>
      </c>
      <c r="HS71" s="5">
        <f t="shared" si="3"/>
        <v>19700</v>
      </c>
      <c r="HT71" s="5">
        <f t="shared" si="3"/>
        <v>19400</v>
      </c>
      <c r="HU71" s="5">
        <f t="shared" si="3"/>
        <v>17700</v>
      </c>
      <c r="HV71" s="5">
        <f t="shared" si="3"/>
        <v>20600</v>
      </c>
      <c r="HW71" s="5">
        <f t="shared" si="3"/>
        <v>21000</v>
      </c>
      <c r="HX71" s="5">
        <f t="shared" si="3"/>
        <v>20200</v>
      </c>
      <c r="HY71" s="5">
        <f t="shared" si="3"/>
        <v>19900</v>
      </c>
      <c r="HZ71" s="5">
        <f t="shared" si="3"/>
        <v>18400</v>
      </c>
      <c r="IA71" s="5">
        <f t="shared" si="3"/>
        <v>17800</v>
      </c>
      <c r="IB71" s="5">
        <f t="shared" si="3"/>
        <v>16000</v>
      </c>
      <c r="IC71" s="5">
        <f t="shared" si="3"/>
        <v>15400</v>
      </c>
      <c r="ID71" s="5">
        <f t="shared" si="3"/>
        <v>15800</v>
      </c>
      <c r="IE71" s="5">
        <f t="shared" si="3"/>
        <v>18600</v>
      </c>
      <c r="IF71" s="5">
        <f t="shared" si="3"/>
        <v>23300</v>
      </c>
      <c r="IG71" s="5">
        <f t="shared" si="3"/>
        <v>22000</v>
      </c>
      <c r="IH71" s="5">
        <f t="shared" si="3"/>
        <v>23200</v>
      </c>
      <c r="II71" s="5">
        <f t="shared" si="3"/>
        <v>23000</v>
      </c>
      <c r="IJ71" s="5">
        <f t="shared" si="3"/>
        <v>23300</v>
      </c>
      <c r="IK71" s="5">
        <f t="shared" si="3"/>
        <v>24400</v>
      </c>
      <c r="IL71" s="5">
        <f t="shared" si="3"/>
        <v>25600</v>
      </c>
      <c r="IM71" s="5">
        <f t="shared" si="3"/>
        <v>24600</v>
      </c>
      <c r="IN71" s="5">
        <f t="shared" si="3"/>
        <v>22600</v>
      </c>
      <c r="IO71" s="5">
        <f t="shared" si="3"/>
        <v>20300</v>
      </c>
      <c r="IP71" s="5">
        <f t="shared" si="3"/>
        <v>19600</v>
      </c>
      <c r="IQ71" s="5">
        <f t="shared" si="3"/>
        <v>19300</v>
      </c>
      <c r="IR71" s="5">
        <f t="shared" si="3"/>
        <v>20600</v>
      </c>
      <c r="IS71" s="5">
        <f t="shared" si="3"/>
        <v>19700</v>
      </c>
      <c r="IT71" s="5">
        <f t="shared" si="3"/>
        <v>17400</v>
      </c>
      <c r="IU71" s="5">
        <f t="shared" si="3"/>
        <v>15300</v>
      </c>
      <c r="IV71" s="5">
        <f t="shared" si="3"/>
        <v>14600</v>
      </c>
      <c r="IW71" s="5">
        <f t="shared" si="3"/>
        <v>15000</v>
      </c>
      <c r="IX71" s="5">
        <f t="shared" si="3"/>
        <v>14500</v>
      </c>
      <c r="IY71" s="5">
        <f t="shared" ref="IY71:LJ71" si="4">MAX(IY3:IY69)</f>
        <v>15700</v>
      </c>
      <c r="IZ71" s="5">
        <f t="shared" si="4"/>
        <v>15200</v>
      </c>
      <c r="JA71" s="5">
        <f t="shared" si="4"/>
        <v>14600</v>
      </c>
      <c r="JB71" s="5">
        <f t="shared" si="4"/>
        <v>14100</v>
      </c>
      <c r="JC71" s="5">
        <f t="shared" si="4"/>
        <v>14100</v>
      </c>
      <c r="JD71" s="5">
        <f t="shared" si="4"/>
        <v>15800</v>
      </c>
      <c r="JE71" s="5">
        <f t="shared" si="4"/>
        <v>17000</v>
      </c>
      <c r="JF71" s="5">
        <f t="shared" si="4"/>
        <v>17500</v>
      </c>
      <c r="JG71" s="5">
        <f t="shared" si="4"/>
        <v>17300</v>
      </c>
      <c r="JH71" s="5">
        <f t="shared" si="4"/>
        <v>16500</v>
      </c>
      <c r="JI71" s="5">
        <f t="shared" si="4"/>
        <v>15800</v>
      </c>
      <c r="JJ71" s="5">
        <f t="shared" si="4"/>
        <v>14800</v>
      </c>
      <c r="JK71" s="5">
        <f t="shared" si="4"/>
        <v>13500</v>
      </c>
      <c r="JL71" s="5">
        <f t="shared" si="4"/>
        <v>12600</v>
      </c>
      <c r="JM71" s="5">
        <f t="shared" si="4"/>
        <v>12400</v>
      </c>
      <c r="JN71" s="5">
        <f t="shared" si="4"/>
        <v>12800</v>
      </c>
      <c r="JO71" s="5">
        <f t="shared" si="4"/>
        <v>12700</v>
      </c>
      <c r="JP71" s="5">
        <f t="shared" si="4"/>
        <v>12600</v>
      </c>
      <c r="JQ71" s="5">
        <f t="shared" si="4"/>
        <v>12900</v>
      </c>
      <c r="JR71" s="5">
        <f t="shared" si="4"/>
        <v>13600</v>
      </c>
      <c r="JS71" s="5">
        <f t="shared" si="4"/>
        <v>12600</v>
      </c>
      <c r="JT71" s="5">
        <f t="shared" si="4"/>
        <v>12800</v>
      </c>
      <c r="JU71" s="5">
        <f t="shared" si="4"/>
        <v>13900</v>
      </c>
      <c r="JV71" s="5">
        <f t="shared" si="4"/>
        <v>14100</v>
      </c>
      <c r="JW71" s="5">
        <f t="shared" si="4"/>
        <v>15200</v>
      </c>
      <c r="JX71" s="5">
        <f t="shared" si="4"/>
        <v>13500</v>
      </c>
      <c r="JY71" s="5">
        <f t="shared" si="4"/>
        <v>12400</v>
      </c>
      <c r="JZ71" s="5">
        <f t="shared" si="4"/>
        <v>13200</v>
      </c>
      <c r="KA71" s="5">
        <f t="shared" si="4"/>
        <v>12600</v>
      </c>
      <c r="KB71" s="5">
        <f t="shared" si="4"/>
        <v>12000</v>
      </c>
      <c r="KC71" s="5">
        <f t="shared" si="4"/>
        <v>10800</v>
      </c>
      <c r="KD71" s="5">
        <f t="shared" si="4"/>
        <v>9720</v>
      </c>
      <c r="KE71" s="5">
        <f t="shared" si="4"/>
        <v>9280</v>
      </c>
      <c r="KF71" s="5">
        <f t="shared" si="4"/>
        <v>10800</v>
      </c>
      <c r="KG71" s="5">
        <f t="shared" si="4"/>
        <v>12300</v>
      </c>
      <c r="KH71" s="5">
        <f t="shared" si="4"/>
        <v>11900</v>
      </c>
      <c r="KI71" s="5">
        <f t="shared" si="4"/>
        <v>11800</v>
      </c>
      <c r="KJ71" s="5">
        <f t="shared" si="4"/>
        <v>11300</v>
      </c>
      <c r="KK71" s="5">
        <f t="shared" si="4"/>
        <v>10700</v>
      </c>
      <c r="KL71" s="5">
        <f t="shared" si="4"/>
        <v>9830</v>
      </c>
      <c r="KM71" s="5">
        <f t="shared" si="4"/>
        <v>8970</v>
      </c>
      <c r="KN71" s="5">
        <f t="shared" si="4"/>
        <v>8620</v>
      </c>
      <c r="KO71" s="5">
        <f t="shared" si="4"/>
        <v>8350</v>
      </c>
      <c r="KP71" s="5">
        <f t="shared" si="4"/>
        <v>8010</v>
      </c>
      <c r="KQ71" s="5">
        <f t="shared" si="4"/>
        <v>7510</v>
      </c>
      <c r="KR71" s="5">
        <f t="shared" si="4"/>
        <v>7180</v>
      </c>
      <c r="KS71" s="5">
        <f t="shared" si="4"/>
        <v>7010</v>
      </c>
      <c r="KT71" s="5">
        <f t="shared" si="4"/>
        <v>6690</v>
      </c>
      <c r="KU71" s="5">
        <f t="shared" si="4"/>
        <v>6490</v>
      </c>
      <c r="KV71" s="5">
        <f t="shared" si="4"/>
        <v>6950</v>
      </c>
      <c r="KW71" s="5">
        <f t="shared" si="4"/>
        <v>6950</v>
      </c>
      <c r="KX71" s="5">
        <f t="shared" si="4"/>
        <v>5920</v>
      </c>
      <c r="KY71" s="5">
        <f t="shared" si="4"/>
        <v>6150</v>
      </c>
      <c r="KZ71" s="5">
        <f t="shared" si="4"/>
        <v>6030</v>
      </c>
      <c r="LA71" s="5">
        <f t="shared" si="4"/>
        <v>5700</v>
      </c>
      <c r="LB71" s="5">
        <f t="shared" si="4"/>
        <v>5470</v>
      </c>
      <c r="LC71" s="5">
        <f t="shared" si="4"/>
        <v>5620</v>
      </c>
      <c r="LD71" s="5">
        <f t="shared" si="4"/>
        <v>6620</v>
      </c>
      <c r="LE71" s="5">
        <f t="shared" si="4"/>
        <v>6840</v>
      </c>
      <c r="LF71" s="5">
        <f t="shared" si="4"/>
        <v>6430</v>
      </c>
      <c r="LG71" s="5">
        <f t="shared" si="4"/>
        <v>5800</v>
      </c>
      <c r="LH71" s="5">
        <f t="shared" si="4"/>
        <v>5240</v>
      </c>
      <c r="LI71" s="5">
        <f t="shared" si="4"/>
        <v>4910</v>
      </c>
      <c r="LJ71" s="5">
        <f t="shared" si="4"/>
        <v>4600</v>
      </c>
      <c r="LK71" s="5">
        <f t="shared" ref="LK71:NT71" si="5">MAX(LK3:LK69)</f>
        <v>4400</v>
      </c>
      <c r="LL71" s="5">
        <f t="shared" si="5"/>
        <v>4270</v>
      </c>
      <c r="LM71" s="5">
        <f t="shared" si="5"/>
        <v>4370</v>
      </c>
      <c r="LN71" s="5">
        <f t="shared" si="5"/>
        <v>4910</v>
      </c>
      <c r="LO71" s="5">
        <f t="shared" si="5"/>
        <v>5080</v>
      </c>
      <c r="LP71" s="5">
        <f t="shared" si="5"/>
        <v>5070</v>
      </c>
      <c r="LQ71" s="5">
        <f t="shared" si="5"/>
        <v>5110</v>
      </c>
      <c r="LR71" s="5">
        <f t="shared" si="5"/>
        <v>5340</v>
      </c>
      <c r="LS71" s="5">
        <f t="shared" si="5"/>
        <v>5130</v>
      </c>
      <c r="LT71" s="5">
        <f t="shared" si="5"/>
        <v>5320</v>
      </c>
      <c r="LU71" s="5">
        <f t="shared" si="5"/>
        <v>4800</v>
      </c>
      <c r="LV71" s="5">
        <f t="shared" si="5"/>
        <v>4030</v>
      </c>
      <c r="LW71" s="5">
        <f t="shared" si="5"/>
        <v>3530</v>
      </c>
      <c r="LX71" s="5">
        <f t="shared" si="5"/>
        <v>3260</v>
      </c>
      <c r="LY71" s="5">
        <f t="shared" si="5"/>
        <v>3140</v>
      </c>
      <c r="LZ71" s="5">
        <f t="shared" si="5"/>
        <v>3220</v>
      </c>
      <c r="MA71" s="5">
        <f t="shared" si="5"/>
        <v>3200</v>
      </c>
      <c r="MB71" s="5">
        <f t="shared" si="5"/>
        <v>3040</v>
      </c>
      <c r="MC71" s="5">
        <f t="shared" si="5"/>
        <v>2850</v>
      </c>
      <c r="MD71" s="5">
        <f t="shared" si="5"/>
        <v>2770</v>
      </c>
      <c r="ME71" s="5">
        <f t="shared" si="5"/>
        <v>2780</v>
      </c>
      <c r="MF71" s="5">
        <f t="shared" si="5"/>
        <v>2780</v>
      </c>
      <c r="MG71" s="5">
        <f t="shared" si="5"/>
        <v>2760</v>
      </c>
      <c r="MH71" s="5">
        <f t="shared" si="5"/>
        <v>2750</v>
      </c>
      <c r="MI71" s="5">
        <f t="shared" si="5"/>
        <v>2710</v>
      </c>
      <c r="MJ71" s="5">
        <f t="shared" si="5"/>
        <v>2680</v>
      </c>
      <c r="MK71" s="5">
        <f t="shared" si="5"/>
        <v>2770</v>
      </c>
      <c r="ML71" s="5">
        <f t="shared" si="5"/>
        <v>2800</v>
      </c>
      <c r="MM71" s="5">
        <f t="shared" si="5"/>
        <v>2760</v>
      </c>
      <c r="MN71" s="5">
        <f t="shared" si="5"/>
        <v>2740</v>
      </c>
      <c r="MO71" s="5">
        <f t="shared" si="5"/>
        <v>2620</v>
      </c>
      <c r="MP71" s="5">
        <f t="shared" si="5"/>
        <v>2530</v>
      </c>
      <c r="MQ71" s="5">
        <f t="shared" si="5"/>
        <v>2530</v>
      </c>
      <c r="MR71" s="5">
        <f t="shared" si="5"/>
        <v>2520</v>
      </c>
      <c r="MS71" s="5">
        <f t="shared" si="5"/>
        <v>2450</v>
      </c>
      <c r="MT71" s="5">
        <f t="shared" si="5"/>
        <v>2430</v>
      </c>
      <c r="MU71" s="5">
        <f t="shared" si="5"/>
        <v>2400</v>
      </c>
      <c r="MV71" s="5">
        <f t="shared" si="5"/>
        <v>2360</v>
      </c>
      <c r="MW71" s="5">
        <f t="shared" si="5"/>
        <v>2330</v>
      </c>
      <c r="MX71" s="5">
        <f t="shared" si="5"/>
        <v>2780</v>
      </c>
      <c r="MY71" s="5">
        <f t="shared" si="5"/>
        <v>2890</v>
      </c>
      <c r="MZ71" s="5">
        <f t="shared" si="5"/>
        <v>2850</v>
      </c>
      <c r="NA71" s="5">
        <f t="shared" si="5"/>
        <v>2460</v>
      </c>
      <c r="NB71" s="5">
        <f t="shared" si="5"/>
        <v>2250</v>
      </c>
      <c r="NC71" s="5">
        <f t="shared" si="5"/>
        <v>2180</v>
      </c>
      <c r="ND71" s="5">
        <f t="shared" si="5"/>
        <v>2220</v>
      </c>
      <c r="NE71" s="5">
        <f t="shared" si="5"/>
        <v>2000</v>
      </c>
      <c r="NF71" s="5">
        <f t="shared" si="5"/>
        <v>2110</v>
      </c>
      <c r="NG71" s="5">
        <f t="shared" si="5"/>
        <v>2050</v>
      </c>
      <c r="NH71" s="5">
        <f t="shared" si="5"/>
        <v>2990</v>
      </c>
      <c r="NI71" s="5">
        <f t="shared" si="5"/>
        <v>7110</v>
      </c>
      <c r="NJ71" s="5">
        <f t="shared" si="5"/>
        <v>14200</v>
      </c>
      <c r="NK71" s="5">
        <f t="shared" si="5"/>
        <v>16400</v>
      </c>
      <c r="NL71" s="5">
        <f t="shared" si="5"/>
        <v>14400</v>
      </c>
      <c r="NM71" s="5">
        <f t="shared" si="5"/>
        <v>9320</v>
      </c>
      <c r="NN71" s="5">
        <f t="shared" si="5"/>
        <v>4810</v>
      </c>
      <c r="NO71" s="5">
        <f t="shared" si="5"/>
        <v>2580</v>
      </c>
      <c r="NP71" s="5">
        <f t="shared" si="5"/>
        <v>5364.8767123287671</v>
      </c>
      <c r="NQ71" s="5">
        <f t="shared" si="5"/>
        <v>25600</v>
      </c>
      <c r="NR71" s="5">
        <f t="shared" si="5"/>
        <v>42655</v>
      </c>
      <c r="NS71" s="5">
        <f t="shared" si="5"/>
        <v>1440</v>
      </c>
      <c r="NT71" s="5">
        <f t="shared" si="5"/>
        <v>42735</v>
      </c>
      <c r="NU71" s="5"/>
      <c r="NV71" s="5"/>
      <c r="NW71" s="5"/>
      <c r="NX71" s="5"/>
      <c r="NY71" s="5"/>
      <c r="NZ71" s="5"/>
      <c r="OA71" s="5"/>
      <c r="OB71" s="5"/>
      <c r="OC71" s="5"/>
      <c r="OD71" s="5"/>
      <c r="OE71" s="5"/>
    </row>
    <row r="72" spans="1:395" customFormat="1" x14ac:dyDescent="0.15">
      <c r="A72" s="9" t="s">
        <v>39</v>
      </c>
      <c r="B72">
        <f ca="1">INDIRECT((CONCATENATE("$A",MATCH(B71,B3:B69,0)+2)))</f>
        <v>2001</v>
      </c>
      <c r="C72">
        <f t="shared" ref="C72:BN72" ca="1" si="6">INDIRECT((CONCATENATE("$A",MATCH(C71,C3:C69,0)+2)))</f>
        <v>1999</v>
      </c>
      <c r="D72">
        <f t="shared" ca="1" si="6"/>
        <v>1999</v>
      </c>
      <c r="E72">
        <f t="shared" ca="1" si="6"/>
        <v>1999</v>
      </c>
      <c r="F72">
        <f t="shared" ca="1" si="6"/>
        <v>2001</v>
      </c>
      <c r="G72">
        <f t="shared" ca="1" si="6"/>
        <v>2016</v>
      </c>
      <c r="H72">
        <f t="shared" ca="1" si="6"/>
        <v>2016</v>
      </c>
      <c r="I72">
        <f t="shared" ca="1" si="6"/>
        <v>2011</v>
      </c>
      <c r="J72">
        <f t="shared" ca="1" si="6"/>
        <v>2002</v>
      </c>
      <c r="K72">
        <f t="shared" ca="1" si="6"/>
        <v>2011</v>
      </c>
      <c r="L72">
        <f t="shared" ca="1" si="6"/>
        <v>2011</v>
      </c>
      <c r="M72">
        <f t="shared" ca="1" si="6"/>
        <v>2002</v>
      </c>
      <c r="N72">
        <f t="shared" ca="1" si="6"/>
        <v>2016</v>
      </c>
      <c r="O72">
        <f t="shared" ca="1" si="6"/>
        <v>2016</v>
      </c>
      <c r="P72">
        <f t="shared" ca="1" si="6"/>
        <v>2016</v>
      </c>
      <c r="Q72">
        <f t="shared" ca="1" si="6"/>
        <v>1999</v>
      </c>
      <c r="R72">
        <f t="shared" ca="1" si="6"/>
        <v>1999</v>
      </c>
      <c r="S72">
        <f t="shared" ca="1" si="6"/>
        <v>1999</v>
      </c>
      <c r="T72">
        <f t="shared" ca="1" si="6"/>
        <v>1999</v>
      </c>
      <c r="U72">
        <f t="shared" ca="1" si="6"/>
        <v>1999</v>
      </c>
      <c r="V72">
        <f t="shared" ca="1" si="6"/>
        <v>1999</v>
      </c>
      <c r="W72">
        <f t="shared" ca="1" si="6"/>
        <v>1999</v>
      </c>
      <c r="X72">
        <f t="shared" ca="1" si="6"/>
        <v>1999</v>
      </c>
      <c r="Y72">
        <f t="shared" ca="1" si="6"/>
        <v>2016</v>
      </c>
      <c r="Z72">
        <f t="shared" ca="1" si="6"/>
        <v>2016</v>
      </c>
      <c r="AA72">
        <f t="shared" ca="1" si="6"/>
        <v>2016</v>
      </c>
      <c r="AB72">
        <f t="shared" ca="1" si="6"/>
        <v>2016</v>
      </c>
      <c r="AC72">
        <f t="shared" ca="1" si="6"/>
        <v>2016</v>
      </c>
      <c r="AD72">
        <f t="shared" ca="1" si="6"/>
        <v>2016</v>
      </c>
      <c r="AE72">
        <f t="shared" ca="1" si="6"/>
        <v>2016</v>
      </c>
      <c r="AF72">
        <f t="shared" ca="1" si="6"/>
        <v>2016</v>
      </c>
      <c r="AG72">
        <f t="shared" ca="1" si="6"/>
        <v>2016</v>
      </c>
      <c r="AH72">
        <f t="shared" ca="1" si="6"/>
        <v>2016</v>
      </c>
      <c r="AI72">
        <f t="shared" ca="1" si="6"/>
        <v>2016</v>
      </c>
      <c r="AJ72">
        <f t="shared" ca="1" si="6"/>
        <v>2016</v>
      </c>
      <c r="AK72">
        <f t="shared" ca="1" si="6"/>
        <v>2016</v>
      </c>
      <c r="AL72">
        <f t="shared" ca="1" si="6"/>
        <v>2016</v>
      </c>
      <c r="AM72">
        <f t="shared" ca="1" si="6"/>
        <v>2016</v>
      </c>
      <c r="AN72">
        <f t="shared" ca="1" si="6"/>
        <v>2015</v>
      </c>
      <c r="AO72">
        <f t="shared" ca="1" si="6"/>
        <v>2015</v>
      </c>
      <c r="AP72">
        <f t="shared" ca="1" si="6"/>
        <v>2015</v>
      </c>
      <c r="AQ72">
        <f t="shared" ca="1" si="6"/>
        <v>2015</v>
      </c>
      <c r="AR72">
        <f t="shared" ca="1" si="6"/>
        <v>2015</v>
      </c>
      <c r="AS72">
        <f t="shared" ca="1" si="6"/>
        <v>2015</v>
      </c>
      <c r="AT72">
        <f t="shared" ca="1" si="6"/>
        <v>2015</v>
      </c>
      <c r="AU72">
        <f t="shared" ca="1" si="6"/>
        <v>2015</v>
      </c>
      <c r="AV72">
        <f t="shared" ca="1" si="6"/>
        <v>2015</v>
      </c>
      <c r="AW72">
        <f t="shared" ca="1" si="6"/>
        <v>2015</v>
      </c>
      <c r="AX72">
        <f t="shared" ca="1" si="6"/>
        <v>2015</v>
      </c>
      <c r="AY72">
        <f t="shared" ca="1" si="6"/>
        <v>1999</v>
      </c>
      <c r="AZ72">
        <f t="shared" ca="1" si="6"/>
        <v>1999</v>
      </c>
      <c r="BA72">
        <f t="shared" ca="1" si="6"/>
        <v>1999</v>
      </c>
      <c r="BB72">
        <f t="shared" ca="1" si="6"/>
        <v>1999</v>
      </c>
      <c r="BC72">
        <f t="shared" ca="1" si="6"/>
        <v>1999</v>
      </c>
      <c r="BD72">
        <f t="shared" ca="1" si="6"/>
        <v>2001</v>
      </c>
      <c r="BE72">
        <f t="shared" ca="1" si="6"/>
        <v>1999</v>
      </c>
      <c r="BF72">
        <f t="shared" ca="1" si="6"/>
        <v>1999</v>
      </c>
      <c r="BG72">
        <f t="shared" ca="1" si="6"/>
        <v>2016</v>
      </c>
      <c r="BH72">
        <f t="shared" ca="1" si="6"/>
        <v>2016</v>
      </c>
      <c r="BI72">
        <f t="shared" ca="1" si="6"/>
        <v>2016</v>
      </c>
      <c r="BJ72">
        <f t="shared" ca="1" si="6"/>
        <v>2001</v>
      </c>
      <c r="BK72">
        <f t="shared" ca="1" si="6"/>
        <v>2001</v>
      </c>
      <c r="BL72">
        <f t="shared" ca="1" si="6"/>
        <v>2001</v>
      </c>
      <c r="BM72">
        <f t="shared" ca="1" si="6"/>
        <v>2001</v>
      </c>
      <c r="BN72">
        <f t="shared" ca="1" si="6"/>
        <v>2015</v>
      </c>
      <c r="BO72">
        <f t="shared" ref="BO72:DZ72" ca="1" si="7">INDIRECT((CONCATENATE("$A",MATCH(BO71,BO3:BO69,0)+2)))</f>
        <v>2001</v>
      </c>
      <c r="BP72">
        <f t="shared" ca="1" si="7"/>
        <v>2001</v>
      </c>
      <c r="BQ72">
        <f t="shared" ca="1" si="7"/>
        <v>2016</v>
      </c>
      <c r="BR72">
        <f t="shared" ca="1" si="7"/>
        <v>2015</v>
      </c>
      <c r="BS72">
        <f t="shared" ca="1" si="7"/>
        <v>2001</v>
      </c>
      <c r="BT72">
        <f t="shared" ca="1" si="7"/>
        <v>2001</v>
      </c>
      <c r="BU72">
        <f t="shared" ca="1" si="7"/>
        <v>2001</v>
      </c>
      <c r="BV72">
        <f t="shared" ca="1" si="7"/>
        <v>2001</v>
      </c>
      <c r="BW72">
        <f t="shared" ca="1" si="7"/>
        <v>2001</v>
      </c>
      <c r="BX72">
        <f t="shared" ca="1" si="7"/>
        <v>2016</v>
      </c>
      <c r="BY72">
        <f t="shared" ca="1" si="7"/>
        <v>2001</v>
      </c>
      <c r="BZ72">
        <f t="shared" ca="1" si="7"/>
        <v>2016</v>
      </c>
      <c r="CA72">
        <f t="shared" ca="1" si="7"/>
        <v>2016</v>
      </c>
      <c r="CB72">
        <f t="shared" ca="1" si="7"/>
        <v>2015</v>
      </c>
      <c r="CC72">
        <f t="shared" ca="1" si="7"/>
        <v>2016</v>
      </c>
      <c r="CD72">
        <f t="shared" ca="1" si="7"/>
        <v>2016</v>
      </c>
      <c r="CE72">
        <f t="shared" ca="1" si="7"/>
        <v>2016</v>
      </c>
      <c r="CF72">
        <f t="shared" ca="1" si="7"/>
        <v>2016</v>
      </c>
      <c r="CG72">
        <f t="shared" ca="1" si="7"/>
        <v>2016</v>
      </c>
      <c r="CH72">
        <f t="shared" ca="1" si="7"/>
        <v>2016</v>
      </c>
      <c r="CI72">
        <f t="shared" ca="1" si="7"/>
        <v>2016</v>
      </c>
      <c r="CJ72">
        <f t="shared" ca="1" si="7"/>
        <v>2016</v>
      </c>
      <c r="CK72">
        <f t="shared" ca="1" si="7"/>
        <v>2016</v>
      </c>
      <c r="CL72">
        <f t="shared" ca="1" si="7"/>
        <v>2016</v>
      </c>
      <c r="CM72">
        <f t="shared" ca="1" si="7"/>
        <v>2015</v>
      </c>
      <c r="CN72">
        <f t="shared" ca="1" si="7"/>
        <v>2015</v>
      </c>
      <c r="CO72">
        <f t="shared" ca="1" si="7"/>
        <v>2015</v>
      </c>
      <c r="CP72">
        <f t="shared" ca="1" si="7"/>
        <v>2015</v>
      </c>
      <c r="CQ72">
        <f t="shared" ca="1" si="7"/>
        <v>2015</v>
      </c>
      <c r="CR72">
        <f t="shared" ca="1" si="7"/>
        <v>2015</v>
      </c>
      <c r="CS72">
        <f t="shared" ca="1" si="7"/>
        <v>2015</v>
      </c>
      <c r="CT72">
        <f t="shared" ca="1" si="7"/>
        <v>2015</v>
      </c>
      <c r="CU72">
        <f t="shared" ca="1" si="7"/>
        <v>2004</v>
      </c>
      <c r="CV72">
        <f t="shared" ca="1" si="7"/>
        <v>2004</v>
      </c>
      <c r="CW72">
        <f t="shared" ca="1" si="7"/>
        <v>2013</v>
      </c>
      <c r="CX72">
        <f t="shared" ca="1" si="7"/>
        <v>2013</v>
      </c>
      <c r="CY72">
        <f t="shared" ca="1" si="7"/>
        <v>2001</v>
      </c>
      <c r="CZ72">
        <f t="shared" ca="1" si="7"/>
        <v>2001</v>
      </c>
      <c r="DA72">
        <f t="shared" ca="1" si="7"/>
        <v>2001</v>
      </c>
      <c r="DB72">
        <f t="shared" ca="1" si="7"/>
        <v>1994</v>
      </c>
      <c r="DC72">
        <f t="shared" ca="1" si="7"/>
        <v>1994</v>
      </c>
      <c r="DD72">
        <f t="shared" ca="1" si="7"/>
        <v>1992</v>
      </c>
      <c r="DE72">
        <f t="shared" ca="1" si="7"/>
        <v>1992</v>
      </c>
      <c r="DF72">
        <f t="shared" ca="1" si="7"/>
        <v>1992</v>
      </c>
      <c r="DG72">
        <f t="shared" ca="1" si="7"/>
        <v>1992</v>
      </c>
      <c r="DH72">
        <f t="shared" ca="1" si="7"/>
        <v>2004</v>
      </c>
      <c r="DI72">
        <f t="shared" ca="1" si="7"/>
        <v>2004</v>
      </c>
      <c r="DJ72">
        <f t="shared" ca="1" si="7"/>
        <v>2004</v>
      </c>
      <c r="DK72">
        <f t="shared" ca="1" si="7"/>
        <v>2004</v>
      </c>
      <c r="DL72">
        <f t="shared" ca="1" si="7"/>
        <v>1996</v>
      </c>
      <c r="DM72">
        <f t="shared" ca="1" si="7"/>
        <v>1996</v>
      </c>
      <c r="DN72">
        <f t="shared" ca="1" si="7"/>
        <v>1996</v>
      </c>
      <c r="DO72">
        <f t="shared" ca="1" si="7"/>
        <v>2004</v>
      </c>
      <c r="DP72">
        <f t="shared" ca="1" si="7"/>
        <v>2004</v>
      </c>
      <c r="DQ72">
        <f t="shared" ca="1" si="7"/>
        <v>2015</v>
      </c>
      <c r="DR72">
        <f t="shared" ca="1" si="7"/>
        <v>2015</v>
      </c>
      <c r="DS72">
        <f t="shared" ca="1" si="7"/>
        <v>2015</v>
      </c>
      <c r="DT72">
        <f t="shared" ca="1" si="7"/>
        <v>2008</v>
      </c>
      <c r="DU72">
        <f t="shared" ca="1" si="7"/>
        <v>2008</v>
      </c>
      <c r="DV72">
        <f t="shared" ca="1" si="7"/>
        <v>2008</v>
      </c>
      <c r="DW72">
        <f t="shared" ca="1" si="7"/>
        <v>2005</v>
      </c>
      <c r="DX72">
        <f t="shared" ca="1" si="7"/>
        <v>2005</v>
      </c>
      <c r="DY72">
        <f t="shared" ca="1" si="7"/>
        <v>1968</v>
      </c>
      <c r="DZ72">
        <f t="shared" ca="1" si="7"/>
        <v>1968</v>
      </c>
      <c r="EA72">
        <f t="shared" ref="EA72:GL72" ca="1" si="8">INDIRECT((CONCATENATE("$A",MATCH(EA71,EA3:EA69,0)+2)))</f>
        <v>1968</v>
      </c>
      <c r="EB72">
        <f t="shared" ca="1" si="8"/>
        <v>1968</v>
      </c>
      <c r="EC72">
        <f t="shared" ca="1" si="8"/>
        <v>1968</v>
      </c>
      <c r="ED72">
        <f t="shared" ca="1" si="8"/>
        <v>1968</v>
      </c>
      <c r="EE72">
        <f t="shared" ca="1" si="8"/>
        <v>2005</v>
      </c>
      <c r="EF72">
        <f t="shared" ca="1" si="8"/>
        <v>2005</v>
      </c>
      <c r="EG72">
        <f t="shared" ca="1" si="8"/>
        <v>2005</v>
      </c>
      <c r="EH72">
        <f t="shared" ca="1" si="8"/>
        <v>2005</v>
      </c>
      <c r="EI72">
        <f t="shared" ca="1" si="8"/>
        <v>1990</v>
      </c>
      <c r="EJ72">
        <f t="shared" ca="1" si="8"/>
        <v>1990</v>
      </c>
      <c r="EK72">
        <f t="shared" ca="1" si="8"/>
        <v>2007</v>
      </c>
      <c r="EL72">
        <f t="shared" ca="1" si="8"/>
        <v>2007</v>
      </c>
      <c r="EM72">
        <f t="shared" ca="1" si="8"/>
        <v>2007</v>
      </c>
      <c r="EN72">
        <f t="shared" ca="1" si="8"/>
        <v>2000</v>
      </c>
      <c r="EO72">
        <f t="shared" ca="1" si="8"/>
        <v>2000</v>
      </c>
      <c r="EP72">
        <f t="shared" ca="1" si="8"/>
        <v>2000</v>
      </c>
      <c r="EQ72">
        <f t="shared" ca="1" si="8"/>
        <v>2000</v>
      </c>
      <c r="ER72">
        <f t="shared" ca="1" si="8"/>
        <v>2000</v>
      </c>
      <c r="ES72">
        <f t="shared" ca="1" si="8"/>
        <v>2000</v>
      </c>
      <c r="ET72">
        <f t="shared" ca="1" si="8"/>
        <v>2000</v>
      </c>
      <c r="EU72">
        <f t="shared" ca="1" si="8"/>
        <v>2000</v>
      </c>
      <c r="EV72">
        <f t="shared" ca="1" si="8"/>
        <v>2000</v>
      </c>
      <c r="EW72">
        <f t="shared" ca="1" si="8"/>
        <v>2000</v>
      </c>
      <c r="EX72">
        <f t="shared" ca="1" si="8"/>
        <v>2000</v>
      </c>
      <c r="EY72">
        <f t="shared" ca="1" si="8"/>
        <v>2001</v>
      </c>
      <c r="EZ72">
        <f t="shared" ca="1" si="8"/>
        <v>2001</v>
      </c>
      <c r="FA72">
        <f t="shared" ca="1" si="8"/>
        <v>2000</v>
      </c>
      <c r="FB72">
        <f t="shared" ca="1" si="8"/>
        <v>2000</v>
      </c>
      <c r="FC72">
        <f t="shared" ca="1" si="8"/>
        <v>1999</v>
      </c>
      <c r="FD72">
        <f t="shared" ca="1" si="8"/>
        <v>1974</v>
      </c>
      <c r="FE72">
        <f t="shared" ca="1" si="8"/>
        <v>1974</v>
      </c>
      <c r="FF72">
        <f t="shared" ca="1" si="8"/>
        <v>1974</v>
      </c>
      <c r="FG72">
        <f t="shared" ca="1" si="8"/>
        <v>2000</v>
      </c>
      <c r="FH72">
        <f t="shared" ca="1" si="8"/>
        <v>2000</v>
      </c>
      <c r="FI72">
        <f t="shared" ca="1" si="8"/>
        <v>2000</v>
      </c>
      <c r="FJ72">
        <f t="shared" ca="1" si="8"/>
        <v>2000</v>
      </c>
      <c r="FK72">
        <f t="shared" ca="1" si="8"/>
        <v>2000</v>
      </c>
      <c r="FL72">
        <f t="shared" ca="1" si="8"/>
        <v>2000</v>
      </c>
      <c r="FM72">
        <f t="shared" ca="1" si="8"/>
        <v>2000</v>
      </c>
      <c r="FN72">
        <f t="shared" ca="1" si="8"/>
        <v>2000</v>
      </c>
      <c r="FO72">
        <f t="shared" ca="1" si="8"/>
        <v>2000</v>
      </c>
      <c r="FP72">
        <f t="shared" ca="1" si="8"/>
        <v>2000</v>
      </c>
      <c r="FQ72">
        <f t="shared" ca="1" si="8"/>
        <v>1990</v>
      </c>
      <c r="FR72">
        <f t="shared" ca="1" si="8"/>
        <v>1990</v>
      </c>
      <c r="FS72">
        <f t="shared" ca="1" si="8"/>
        <v>1990</v>
      </c>
      <c r="FT72">
        <f t="shared" ca="1" si="8"/>
        <v>1990</v>
      </c>
      <c r="FU72">
        <f t="shared" ca="1" si="8"/>
        <v>1990</v>
      </c>
      <c r="FV72">
        <f t="shared" ca="1" si="8"/>
        <v>1990</v>
      </c>
      <c r="FW72">
        <f t="shared" ca="1" si="8"/>
        <v>1990</v>
      </c>
      <c r="FX72">
        <f t="shared" ca="1" si="8"/>
        <v>1981</v>
      </c>
      <c r="FY72">
        <f t="shared" ca="1" si="8"/>
        <v>1981</v>
      </c>
      <c r="FZ72">
        <f t="shared" ca="1" si="8"/>
        <v>1981</v>
      </c>
      <c r="GA72">
        <f t="shared" ca="1" si="8"/>
        <v>2001</v>
      </c>
      <c r="GB72">
        <f t="shared" ca="1" si="8"/>
        <v>2001</v>
      </c>
      <c r="GC72">
        <f t="shared" ca="1" si="8"/>
        <v>2001</v>
      </c>
      <c r="GD72">
        <f t="shared" ca="1" si="8"/>
        <v>1998</v>
      </c>
      <c r="GE72">
        <f t="shared" ca="1" si="8"/>
        <v>1999</v>
      </c>
      <c r="GF72">
        <f t="shared" ca="1" si="8"/>
        <v>1985</v>
      </c>
      <c r="GG72">
        <f t="shared" ca="1" si="8"/>
        <v>1985</v>
      </c>
      <c r="GH72">
        <f t="shared" ca="1" si="8"/>
        <v>1985</v>
      </c>
      <c r="GI72">
        <f t="shared" ca="1" si="8"/>
        <v>1985</v>
      </c>
      <c r="GJ72">
        <f t="shared" ca="1" si="8"/>
        <v>1957</v>
      </c>
      <c r="GK72">
        <f t="shared" ca="1" si="8"/>
        <v>1985</v>
      </c>
      <c r="GL72">
        <f t="shared" ca="1" si="8"/>
        <v>1998</v>
      </c>
      <c r="GM72">
        <f t="shared" ref="GM72:IX72" ca="1" si="9">INDIRECT((CONCATENATE("$A",MATCH(GM71,GM3:GM69,0)+2)))</f>
        <v>1998</v>
      </c>
      <c r="GN72">
        <f t="shared" ca="1" si="9"/>
        <v>1998</v>
      </c>
      <c r="GO72">
        <f t="shared" ca="1" si="9"/>
        <v>1998</v>
      </c>
      <c r="GP72">
        <f t="shared" ca="1" si="9"/>
        <v>1998</v>
      </c>
      <c r="GQ72">
        <f t="shared" ca="1" si="9"/>
        <v>1998</v>
      </c>
      <c r="GR72">
        <f t="shared" ca="1" si="9"/>
        <v>1998</v>
      </c>
      <c r="GS72">
        <f t="shared" ca="1" si="9"/>
        <v>1965</v>
      </c>
      <c r="GT72">
        <f t="shared" ca="1" si="9"/>
        <v>1981</v>
      </c>
      <c r="GU72">
        <f t="shared" ca="1" si="9"/>
        <v>1970</v>
      </c>
      <c r="GV72">
        <f t="shared" ca="1" si="9"/>
        <v>1970</v>
      </c>
      <c r="GW72">
        <f t="shared" ca="1" si="9"/>
        <v>1957</v>
      </c>
      <c r="GX72">
        <f t="shared" ca="1" si="9"/>
        <v>1996</v>
      </c>
      <c r="GY72">
        <f t="shared" ca="1" si="9"/>
        <v>1996</v>
      </c>
      <c r="GZ72">
        <f t="shared" ca="1" si="9"/>
        <v>1996</v>
      </c>
      <c r="HA72">
        <f t="shared" ca="1" si="9"/>
        <v>1954</v>
      </c>
      <c r="HB72">
        <f t="shared" ca="1" si="9"/>
        <v>1954</v>
      </c>
      <c r="HC72">
        <f t="shared" ca="1" si="9"/>
        <v>1954</v>
      </c>
      <c r="HD72">
        <f t="shared" ca="1" si="9"/>
        <v>1954</v>
      </c>
      <c r="HE72">
        <f t="shared" ca="1" si="9"/>
        <v>1954</v>
      </c>
      <c r="HF72">
        <f t="shared" ca="1" si="9"/>
        <v>1954</v>
      </c>
      <c r="HG72">
        <f t="shared" ca="1" si="9"/>
        <v>1954</v>
      </c>
      <c r="HH72">
        <f t="shared" ca="1" si="9"/>
        <v>1954</v>
      </c>
      <c r="HI72">
        <f t="shared" ca="1" si="9"/>
        <v>1954</v>
      </c>
      <c r="HJ72">
        <f t="shared" ca="1" si="9"/>
        <v>1954</v>
      </c>
      <c r="HK72">
        <f t="shared" ca="1" si="9"/>
        <v>1954</v>
      </c>
      <c r="HL72">
        <f t="shared" ca="1" si="9"/>
        <v>1974</v>
      </c>
      <c r="HM72">
        <f t="shared" ca="1" si="9"/>
        <v>1957</v>
      </c>
      <c r="HN72">
        <f t="shared" ca="1" si="9"/>
        <v>1957</v>
      </c>
      <c r="HO72">
        <f t="shared" ca="1" si="9"/>
        <v>1962</v>
      </c>
      <c r="HP72">
        <f t="shared" ca="1" si="9"/>
        <v>1962</v>
      </c>
      <c r="HQ72">
        <f t="shared" ca="1" si="9"/>
        <v>1965</v>
      </c>
      <c r="HR72">
        <f t="shared" ca="1" si="9"/>
        <v>1962</v>
      </c>
      <c r="HS72">
        <f t="shared" ca="1" si="9"/>
        <v>1998</v>
      </c>
      <c r="HT72">
        <f t="shared" ca="1" si="9"/>
        <v>1998</v>
      </c>
      <c r="HU72">
        <f t="shared" ca="1" si="9"/>
        <v>1998</v>
      </c>
      <c r="HV72">
        <f t="shared" ca="1" si="9"/>
        <v>1991</v>
      </c>
      <c r="HW72">
        <f t="shared" ca="1" si="9"/>
        <v>1991</v>
      </c>
      <c r="HX72">
        <f t="shared" ca="1" si="9"/>
        <v>1962</v>
      </c>
      <c r="HY72">
        <f t="shared" ca="1" si="9"/>
        <v>1962</v>
      </c>
      <c r="HZ72">
        <f t="shared" ca="1" si="9"/>
        <v>1998</v>
      </c>
      <c r="IA72">
        <f t="shared" ca="1" si="9"/>
        <v>1962</v>
      </c>
      <c r="IB72">
        <f t="shared" ca="1" si="9"/>
        <v>1962</v>
      </c>
      <c r="IC72">
        <f t="shared" ca="1" si="9"/>
        <v>1993</v>
      </c>
      <c r="ID72">
        <f t="shared" ca="1" si="9"/>
        <v>1954</v>
      </c>
      <c r="IE72">
        <f t="shared" ca="1" si="9"/>
        <v>1954</v>
      </c>
      <c r="IF72">
        <f t="shared" ca="1" si="9"/>
        <v>1954</v>
      </c>
      <c r="IG72">
        <f t="shared" ca="1" si="9"/>
        <v>1954</v>
      </c>
      <c r="IH72">
        <f t="shared" ca="1" si="9"/>
        <v>1966</v>
      </c>
      <c r="II72">
        <f t="shared" ca="1" si="9"/>
        <v>1966</v>
      </c>
      <c r="IJ72">
        <f t="shared" ca="1" si="9"/>
        <v>1966</v>
      </c>
      <c r="IK72">
        <f t="shared" ca="1" si="9"/>
        <v>1966</v>
      </c>
      <c r="IL72">
        <f t="shared" ca="1" si="9"/>
        <v>1966</v>
      </c>
      <c r="IM72">
        <f t="shared" ca="1" si="9"/>
        <v>1966</v>
      </c>
      <c r="IN72">
        <f t="shared" ca="1" si="9"/>
        <v>1966</v>
      </c>
      <c r="IO72">
        <f t="shared" ca="1" si="9"/>
        <v>1966</v>
      </c>
      <c r="IP72">
        <f t="shared" ca="1" si="9"/>
        <v>1998</v>
      </c>
      <c r="IQ72">
        <f t="shared" ca="1" si="9"/>
        <v>1998</v>
      </c>
      <c r="IR72">
        <f t="shared" ca="1" si="9"/>
        <v>1966</v>
      </c>
      <c r="IS72">
        <f t="shared" ca="1" si="9"/>
        <v>1966</v>
      </c>
      <c r="IT72">
        <f t="shared" ca="1" si="9"/>
        <v>1966</v>
      </c>
      <c r="IU72">
        <f t="shared" ca="1" si="9"/>
        <v>1966</v>
      </c>
      <c r="IV72">
        <f t="shared" ca="1" si="9"/>
        <v>2003</v>
      </c>
      <c r="IW72">
        <f t="shared" ca="1" si="9"/>
        <v>2003</v>
      </c>
      <c r="IX72">
        <f t="shared" ca="1" si="9"/>
        <v>1991</v>
      </c>
      <c r="IY72">
        <f t="shared" ref="IY72:LJ72" ca="1" si="10">INDIRECT((CONCATENATE("$A",MATCH(IY71,IY3:IY69,0)+2)))</f>
        <v>1991</v>
      </c>
      <c r="IZ72">
        <f t="shared" ca="1" si="10"/>
        <v>2007</v>
      </c>
      <c r="JA72">
        <f t="shared" ca="1" si="10"/>
        <v>2007</v>
      </c>
      <c r="JB72">
        <f t="shared" ca="1" si="10"/>
        <v>2003</v>
      </c>
      <c r="JC72">
        <f t="shared" ca="1" si="10"/>
        <v>1965</v>
      </c>
      <c r="JD72">
        <f t="shared" ca="1" si="10"/>
        <v>1987</v>
      </c>
      <c r="JE72">
        <f t="shared" ca="1" si="10"/>
        <v>1965</v>
      </c>
      <c r="JF72">
        <f t="shared" ca="1" si="10"/>
        <v>1965</v>
      </c>
      <c r="JG72">
        <f t="shared" ca="1" si="10"/>
        <v>1965</v>
      </c>
      <c r="JH72">
        <f t="shared" ca="1" si="10"/>
        <v>1965</v>
      </c>
      <c r="JI72">
        <f t="shared" ca="1" si="10"/>
        <v>1965</v>
      </c>
      <c r="JJ72">
        <f t="shared" ca="1" si="10"/>
        <v>1965</v>
      </c>
      <c r="JK72">
        <f t="shared" ca="1" si="10"/>
        <v>1965</v>
      </c>
      <c r="JL72">
        <f t="shared" ca="1" si="10"/>
        <v>1991</v>
      </c>
      <c r="JM72">
        <f t="shared" ca="1" si="10"/>
        <v>1987</v>
      </c>
      <c r="JN72">
        <f t="shared" ca="1" si="10"/>
        <v>1987</v>
      </c>
      <c r="JO72">
        <f t="shared" ca="1" si="10"/>
        <v>1987</v>
      </c>
      <c r="JP72">
        <f t="shared" ca="1" si="10"/>
        <v>1987</v>
      </c>
      <c r="JQ72">
        <f t="shared" ca="1" si="10"/>
        <v>1966</v>
      </c>
      <c r="JR72">
        <f t="shared" ca="1" si="10"/>
        <v>1966</v>
      </c>
      <c r="JS72">
        <f t="shared" ca="1" si="10"/>
        <v>1966</v>
      </c>
      <c r="JT72">
        <f t="shared" ca="1" si="10"/>
        <v>1980</v>
      </c>
      <c r="JU72">
        <f t="shared" ca="1" si="10"/>
        <v>1980</v>
      </c>
      <c r="JV72">
        <f t="shared" ca="1" si="10"/>
        <v>1980</v>
      </c>
      <c r="JW72">
        <f t="shared" ca="1" si="10"/>
        <v>1964</v>
      </c>
      <c r="JX72">
        <f t="shared" ca="1" si="10"/>
        <v>1964</v>
      </c>
      <c r="JY72">
        <f t="shared" ca="1" si="10"/>
        <v>1979</v>
      </c>
      <c r="JZ72">
        <f t="shared" ca="1" si="10"/>
        <v>1986</v>
      </c>
      <c r="KA72">
        <f t="shared" ca="1" si="10"/>
        <v>1989</v>
      </c>
      <c r="KB72">
        <f t="shared" ca="1" si="10"/>
        <v>1989</v>
      </c>
      <c r="KC72">
        <f t="shared" ca="1" si="10"/>
        <v>1952</v>
      </c>
      <c r="KD72">
        <f t="shared" ca="1" si="10"/>
        <v>1952</v>
      </c>
      <c r="KE72">
        <f t="shared" ca="1" si="10"/>
        <v>1989</v>
      </c>
      <c r="KF72">
        <f t="shared" ca="1" si="10"/>
        <v>1989</v>
      </c>
      <c r="KG72">
        <f t="shared" ca="1" si="10"/>
        <v>1989</v>
      </c>
      <c r="KH72">
        <f t="shared" ca="1" si="10"/>
        <v>1989</v>
      </c>
      <c r="KI72">
        <f t="shared" ca="1" si="10"/>
        <v>1989</v>
      </c>
      <c r="KJ72">
        <f t="shared" ca="1" si="10"/>
        <v>1989</v>
      </c>
      <c r="KK72">
        <f t="shared" ca="1" si="10"/>
        <v>1989</v>
      </c>
      <c r="KL72">
        <f t="shared" ca="1" si="10"/>
        <v>1989</v>
      </c>
      <c r="KM72">
        <f t="shared" ca="1" si="10"/>
        <v>1989</v>
      </c>
      <c r="KN72">
        <f t="shared" ca="1" si="10"/>
        <v>1965</v>
      </c>
      <c r="KO72">
        <f t="shared" ca="1" si="10"/>
        <v>1965</v>
      </c>
      <c r="KP72">
        <f t="shared" ca="1" si="10"/>
        <v>1965</v>
      </c>
      <c r="KQ72">
        <f t="shared" ca="1" si="10"/>
        <v>1965</v>
      </c>
      <c r="KR72">
        <f t="shared" ca="1" si="10"/>
        <v>1952</v>
      </c>
      <c r="KS72">
        <f t="shared" ca="1" si="10"/>
        <v>1952</v>
      </c>
      <c r="KT72">
        <f t="shared" ca="1" si="10"/>
        <v>1952</v>
      </c>
      <c r="KU72">
        <f t="shared" ca="1" si="10"/>
        <v>2008</v>
      </c>
      <c r="KV72">
        <f t="shared" ca="1" si="10"/>
        <v>2008</v>
      </c>
      <c r="KW72">
        <f t="shared" ca="1" si="10"/>
        <v>2008</v>
      </c>
      <c r="KX72">
        <f t="shared" ca="1" si="10"/>
        <v>2008</v>
      </c>
      <c r="KY72">
        <f t="shared" ca="1" si="10"/>
        <v>1999</v>
      </c>
      <c r="KZ72">
        <f t="shared" ca="1" si="10"/>
        <v>1999</v>
      </c>
      <c r="LA72">
        <f t="shared" ca="1" si="10"/>
        <v>1999</v>
      </c>
      <c r="LB72">
        <f t="shared" ca="1" si="10"/>
        <v>1999</v>
      </c>
      <c r="LC72">
        <f t="shared" ca="1" si="10"/>
        <v>1955</v>
      </c>
      <c r="LD72">
        <f t="shared" ca="1" si="10"/>
        <v>1955</v>
      </c>
      <c r="LE72">
        <f t="shared" ca="1" si="10"/>
        <v>1955</v>
      </c>
      <c r="LF72">
        <f t="shared" ca="1" si="10"/>
        <v>1955</v>
      </c>
      <c r="LG72">
        <f t="shared" ca="1" si="10"/>
        <v>1955</v>
      </c>
      <c r="LH72">
        <f t="shared" ca="1" si="10"/>
        <v>1955</v>
      </c>
      <c r="LI72">
        <f t="shared" ca="1" si="10"/>
        <v>1955</v>
      </c>
      <c r="LJ72">
        <f t="shared" ca="1" si="10"/>
        <v>1955</v>
      </c>
      <c r="LK72">
        <f t="shared" ref="LK72:NT72" ca="1" si="11">INDIRECT((CONCATENATE("$A",MATCH(LK71,LK3:LK69,0)+2)))</f>
        <v>1955</v>
      </c>
      <c r="LL72">
        <f t="shared" ca="1" si="11"/>
        <v>1955</v>
      </c>
      <c r="LM72">
        <f t="shared" ca="1" si="11"/>
        <v>1999</v>
      </c>
      <c r="LN72">
        <f t="shared" ca="1" si="11"/>
        <v>1999</v>
      </c>
      <c r="LO72">
        <f t="shared" ca="1" si="11"/>
        <v>1999</v>
      </c>
      <c r="LP72">
        <f t="shared" ca="1" si="11"/>
        <v>1999</v>
      </c>
      <c r="LQ72">
        <f t="shared" ca="1" si="11"/>
        <v>1999</v>
      </c>
      <c r="LR72">
        <f t="shared" ca="1" si="11"/>
        <v>1999</v>
      </c>
      <c r="LS72">
        <f t="shared" ca="1" si="11"/>
        <v>1999</v>
      </c>
      <c r="LT72">
        <f t="shared" ca="1" si="11"/>
        <v>1999</v>
      </c>
      <c r="LU72">
        <f t="shared" ca="1" si="11"/>
        <v>1999</v>
      </c>
      <c r="LV72">
        <f t="shared" ca="1" si="11"/>
        <v>1999</v>
      </c>
      <c r="LW72">
        <f t="shared" ca="1" si="11"/>
        <v>2016</v>
      </c>
      <c r="LX72">
        <f t="shared" ca="1" si="11"/>
        <v>2016</v>
      </c>
      <c r="LY72">
        <f t="shared" ca="1" si="11"/>
        <v>2016</v>
      </c>
      <c r="LZ72">
        <f t="shared" ca="1" si="11"/>
        <v>2016</v>
      </c>
      <c r="MA72">
        <f t="shared" ca="1" si="11"/>
        <v>2016</v>
      </c>
      <c r="MB72">
        <f t="shared" ca="1" si="11"/>
        <v>2016</v>
      </c>
      <c r="MC72">
        <f t="shared" ca="1" si="11"/>
        <v>2016</v>
      </c>
      <c r="MD72">
        <f t="shared" ca="1" si="11"/>
        <v>2000</v>
      </c>
      <c r="ME72">
        <f t="shared" ca="1" si="11"/>
        <v>2000</v>
      </c>
      <c r="MF72">
        <f t="shared" ca="1" si="11"/>
        <v>2000</v>
      </c>
      <c r="MG72">
        <f t="shared" ca="1" si="11"/>
        <v>2000</v>
      </c>
      <c r="MH72">
        <f t="shared" ca="1" si="11"/>
        <v>2000</v>
      </c>
      <c r="MI72">
        <f t="shared" ca="1" si="11"/>
        <v>2000</v>
      </c>
      <c r="MJ72">
        <f t="shared" ca="1" si="11"/>
        <v>2000</v>
      </c>
      <c r="MK72">
        <f t="shared" ca="1" si="11"/>
        <v>2000</v>
      </c>
      <c r="ML72">
        <f t="shared" ca="1" si="11"/>
        <v>2000</v>
      </c>
      <c r="MM72">
        <f t="shared" ca="1" si="11"/>
        <v>2000</v>
      </c>
      <c r="MN72">
        <f t="shared" ca="1" si="11"/>
        <v>2000</v>
      </c>
      <c r="MO72">
        <f t="shared" ca="1" si="11"/>
        <v>2000</v>
      </c>
      <c r="MP72">
        <f t="shared" ca="1" si="11"/>
        <v>1965</v>
      </c>
      <c r="MQ72">
        <f t="shared" ca="1" si="11"/>
        <v>2000</v>
      </c>
      <c r="MR72">
        <f t="shared" ca="1" si="11"/>
        <v>2000</v>
      </c>
      <c r="MS72">
        <f t="shared" ca="1" si="11"/>
        <v>2001</v>
      </c>
      <c r="MT72">
        <f t="shared" ca="1" si="11"/>
        <v>2000</v>
      </c>
      <c r="MU72">
        <f t="shared" ca="1" si="11"/>
        <v>2000</v>
      </c>
      <c r="MV72">
        <f t="shared" ca="1" si="11"/>
        <v>2001</v>
      </c>
      <c r="MW72">
        <f t="shared" ca="1" si="11"/>
        <v>2001</v>
      </c>
      <c r="MX72">
        <f t="shared" ca="1" si="11"/>
        <v>1998</v>
      </c>
      <c r="MY72">
        <f t="shared" ca="1" si="11"/>
        <v>1998</v>
      </c>
      <c r="MZ72">
        <f t="shared" ca="1" si="11"/>
        <v>1998</v>
      </c>
      <c r="NA72">
        <f t="shared" ca="1" si="11"/>
        <v>1998</v>
      </c>
      <c r="NB72">
        <f t="shared" ca="1" si="11"/>
        <v>2016</v>
      </c>
      <c r="NC72">
        <f t="shared" ca="1" si="11"/>
        <v>2016</v>
      </c>
      <c r="ND72">
        <f t="shared" ca="1" si="11"/>
        <v>2016</v>
      </c>
      <c r="NE72">
        <f t="shared" ca="1" si="11"/>
        <v>2016</v>
      </c>
      <c r="NF72">
        <f t="shared" ca="1" si="11"/>
        <v>2016</v>
      </c>
      <c r="NG72">
        <f t="shared" ca="1" si="11"/>
        <v>2004</v>
      </c>
      <c r="NH72">
        <f t="shared" ca="1" si="11"/>
        <v>2000</v>
      </c>
      <c r="NI72">
        <f t="shared" ca="1" si="11"/>
        <v>1990</v>
      </c>
      <c r="NJ72">
        <f t="shared" ca="1" si="11"/>
        <v>1998</v>
      </c>
      <c r="NK72">
        <f t="shared" ca="1" si="11"/>
        <v>1998</v>
      </c>
      <c r="NL72">
        <f t="shared" ca="1" si="11"/>
        <v>1966</v>
      </c>
      <c r="NM72">
        <f t="shared" ca="1" si="11"/>
        <v>1989</v>
      </c>
      <c r="NN72">
        <f t="shared" ca="1" si="11"/>
        <v>1999</v>
      </c>
      <c r="NO72">
        <f t="shared" ca="1" si="11"/>
        <v>2000</v>
      </c>
      <c r="NP72">
        <f t="shared" ca="1" si="11"/>
        <v>1998</v>
      </c>
      <c r="NQ72">
        <f t="shared" ca="1" si="11"/>
        <v>1966</v>
      </c>
      <c r="NR72">
        <f t="shared" ca="1" si="11"/>
        <v>1989</v>
      </c>
      <c r="NS72">
        <f t="shared" ca="1" si="11"/>
        <v>2001</v>
      </c>
      <c r="NT72">
        <f t="shared" ca="1" si="11"/>
        <v>1992</v>
      </c>
    </row>
    <row r="73" spans="1:395" customFormat="1" x14ac:dyDescent="0.15">
      <c r="A73" s="9" t="s">
        <v>37</v>
      </c>
      <c r="B73" s="5">
        <f>MIN(B3:B69)</f>
        <v>971</v>
      </c>
      <c r="C73" s="5">
        <f t="shared" ref="C73:BN73" si="12">MIN(C3:C69)</f>
        <v>986</v>
      </c>
      <c r="D73" s="5">
        <f t="shared" si="12"/>
        <v>1020</v>
      </c>
      <c r="E73" s="5">
        <f t="shared" si="12"/>
        <v>1020</v>
      </c>
      <c r="F73" s="5">
        <f t="shared" si="12"/>
        <v>1020</v>
      </c>
      <c r="G73" s="5">
        <f t="shared" si="12"/>
        <v>1000</v>
      </c>
      <c r="H73" s="5">
        <f t="shared" si="12"/>
        <v>988</v>
      </c>
      <c r="I73" s="5">
        <f t="shared" si="12"/>
        <v>972</v>
      </c>
      <c r="J73" s="5">
        <f t="shared" si="12"/>
        <v>941</v>
      </c>
      <c r="K73" s="5">
        <f t="shared" si="12"/>
        <v>902</v>
      </c>
      <c r="L73" s="5">
        <f t="shared" si="12"/>
        <v>870</v>
      </c>
      <c r="M73" s="5">
        <f t="shared" si="12"/>
        <v>862</v>
      </c>
      <c r="N73" s="5">
        <f t="shared" si="12"/>
        <v>859</v>
      </c>
      <c r="O73" s="5">
        <f t="shared" si="12"/>
        <v>856</v>
      </c>
      <c r="P73" s="5">
        <f t="shared" si="12"/>
        <v>861</v>
      </c>
      <c r="Q73" s="5">
        <f t="shared" si="12"/>
        <v>867</v>
      </c>
      <c r="R73" s="5">
        <f t="shared" si="12"/>
        <v>868</v>
      </c>
      <c r="S73" s="5">
        <f t="shared" si="12"/>
        <v>861</v>
      </c>
      <c r="T73" s="5">
        <f t="shared" si="12"/>
        <v>856</v>
      </c>
      <c r="U73" s="5">
        <f t="shared" si="12"/>
        <v>845</v>
      </c>
      <c r="V73" s="5">
        <f t="shared" si="12"/>
        <v>830</v>
      </c>
      <c r="W73" s="5">
        <f t="shared" si="12"/>
        <v>819</v>
      </c>
      <c r="X73" s="5">
        <f t="shared" si="12"/>
        <v>813</v>
      </c>
      <c r="Y73" s="5">
        <f t="shared" si="12"/>
        <v>810</v>
      </c>
      <c r="Z73" s="5">
        <f t="shared" si="12"/>
        <v>796</v>
      </c>
      <c r="AA73" s="5">
        <f t="shared" si="12"/>
        <v>786</v>
      </c>
      <c r="AB73" s="5">
        <f t="shared" si="12"/>
        <v>779</v>
      </c>
      <c r="AC73" s="5">
        <f t="shared" si="12"/>
        <v>772</v>
      </c>
      <c r="AD73" s="5">
        <f t="shared" si="12"/>
        <v>757</v>
      </c>
      <c r="AE73" s="5">
        <f t="shared" si="12"/>
        <v>737</v>
      </c>
      <c r="AF73" s="5">
        <f t="shared" si="12"/>
        <v>734</v>
      </c>
      <c r="AG73" s="5">
        <f t="shared" si="12"/>
        <v>734</v>
      </c>
      <c r="AH73" s="5">
        <f t="shared" si="12"/>
        <v>734</v>
      </c>
      <c r="AI73" s="5">
        <f t="shared" si="12"/>
        <v>729</v>
      </c>
      <c r="AJ73" s="5">
        <f t="shared" si="12"/>
        <v>728</v>
      </c>
      <c r="AK73" s="5">
        <f t="shared" si="12"/>
        <v>728</v>
      </c>
      <c r="AL73" s="5">
        <f t="shared" si="12"/>
        <v>720</v>
      </c>
      <c r="AM73" s="5">
        <f t="shared" si="12"/>
        <v>716</v>
      </c>
      <c r="AN73" s="5">
        <f t="shared" si="12"/>
        <v>709</v>
      </c>
      <c r="AO73" s="5">
        <f t="shared" si="12"/>
        <v>695</v>
      </c>
      <c r="AP73" s="5">
        <f t="shared" si="12"/>
        <v>699</v>
      </c>
      <c r="AQ73" s="5">
        <f t="shared" si="12"/>
        <v>697</v>
      </c>
      <c r="AR73" s="5">
        <f t="shared" si="12"/>
        <v>692</v>
      </c>
      <c r="AS73" s="5">
        <f t="shared" si="12"/>
        <v>690</v>
      </c>
      <c r="AT73" s="5">
        <f t="shared" si="12"/>
        <v>690</v>
      </c>
      <c r="AU73" s="5">
        <f t="shared" si="12"/>
        <v>692</v>
      </c>
      <c r="AV73" s="5">
        <f t="shared" si="12"/>
        <v>705</v>
      </c>
      <c r="AW73" s="5">
        <f t="shared" si="12"/>
        <v>715</v>
      </c>
      <c r="AX73" s="5">
        <f t="shared" si="12"/>
        <v>730</v>
      </c>
      <c r="AY73" s="5">
        <f t="shared" si="12"/>
        <v>739</v>
      </c>
      <c r="AZ73" s="5">
        <f t="shared" si="12"/>
        <v>761</v>
      </c>
      <c r="BA73" s="5">
        <f t="shared" si="12"/>
        <v>774</v>
      </c>
      <c r="BB73" s="5">
        <f t="shared" si="12"/>
        <v>767</v>
      </c>
      <c r="BC73" s="5">
        <f t="shared" si="12"/>
        <v>751</v>
      </c>
      <c r="BD73" s="5">
        <f t="shared" si="12"/>
        <v>741</v>
      </c>
      <c r="BE73" s="5">
        <f t="shared" si="12"/>
        <v>729</v>
      </c>
      <c r="BF73" s="5">
        <f t="shared" si="12"/>
        <v>716</v>
      </c>
      <c r="BG73" s="5">
        <f t="shared" si="12"/>
        <v>710</v>
      </c>
      <c r="BH73" s="5">
        <f t="shared" si="12"/>
        <v>706</v>
      </c>
      <c r="BI73" s="5">
        <f t="shared" si="12"/>
        <v>878</v>
      </c>
      <c r="BJ73" s="5">
        <f t="shared" si="12"/>
        <v>704</v>
      </c>
      <c r="BK73" s="5">
        <f t="shared" si="12"/>
        <v>695</v>
      </c>
      <c r="BL73" s="5">
        <f t="shared" si="12"/>
        <v>685</v>
      </c>
      <c r="BM73" s="5">
        <f t="shared" si="12"/>
        <v>679</v>
      </c>
      <c r="BN73" s="5">
        <f t="shared" si="12"/>
        <v>670</v>
      </c>
      <c r="BO73" s="5">
        <f t="shared" ref="BO73:DZ73" si="13">MIN(BO3:BO69)</f>
        <v>657</v>
      </c>
      <c r="BP73" s="5">
        <f t="shared" si="13"/>
        <v>658</v>
      </c>
      <c r="BQ73" s="5">
        <f t="shared" si="13"/>
        <v>663</v>
      </c>
      <c r="BR73" s="5">
        <f t="shared" si="13"/>
        <v>648</v>
      </c>
      <c r="BS73" s="5">
        <f t="shared" si="13"/>
        <v>647</v>
      </c>
      <c r="BT73" s="5">
        <f t="shared" si="13"/>
        <v>644</v>
      </c>
      <c r="BU73" s="5">
        <f t="shared" si="13"/>
        <v>635</v>
      </c>
      <c r="BV73" s="5">
        <f t="shared" si="13"/>
        <v>642</v>
      </c>
      <c r="BW73" s="5">
        <f t="shared" si="13"/>
        <v>652</v>
      </c>
      <c r="BX73" s="5">
        <f t="shared" si="13"/>
        <v>645</v>
      </c>
      <c r="BY73" s="5">
        <f t="shared" si="13"/>
        <v>635</v>
      </c>
      <c r="BZ73" s="5">
        <f t="shared" si="13"/>
        <v>626</v>
      </c>
      <c r="CA73" s="5">
        <f t="shared" si="13"/>
        <v>622</v>
      </c>
      <c r="CB73" s="5">
        <f t="shared" si="13"/>
        <v>629</v>
      </c>
      <c r="CC73" s="5">
        <f t="shared" si="13"/>
        <v>629</v>
      </c>
      <c r="CD73" s="5">
        <f t="shared" si="13"/>
        <v>630</v>
      </c>
      <c r="CE73" s="5">
        <f t="shared" si="13"/>
        <v>631</v>
      </c>
      <c r="CF73" s="5">
        <f t="shared" si="13"/>
        <v>631</v>
      </c>
      <c r="CG73" s="5">
        <f t="shared" si="13"/>
        <v>631</v>
      </c>
      <c r="CH73" s="5">
        <f t="shared" si="13"/>
        <v>629</v>
      </c>
      <c r="CI73" s="5">
        <f t="shared" si="13"/>
        <v>642</v>
      </c>
      <c r="CJ73" s="5">
        <f t="shared" si="13"/>
        <v>658</v>
      </c>
      <c r="CK73" s="5">
        <f t="shared" si="13"/>
        <v>679</v>
      </c>
      <c r="CL73" s="5">
        <f t="shared" si="13"/>
        <v>704</v>
      </c>
      <c r="CM73" s="5">
        <f t="shared" si="13"/>
        <v>754</v>
      </c>
      <c r="CN73" s="5">
        <f t="shared" si="13"/>
        <v>784</v>
      </c>
      <c r="CO73" s="5">
        <f t="shared" si="13"/>
        <v>778</v>
      </c>
      <c r="CP73" s="5">
        <f t="shared" si="13"/>
        <v>728</v>
      </c>
      <c r="CQ73" s="5">
        <f t="shared" si="13"/>
        <v>885</v>
      </c>
      <c r="CR73" s="5">
        <f t="shared" si="13"/>
        <v>893</v>
      </c>
      <c r="CS73" s="5">
        <f t="shared" si="13"/>
        <v>889</v>
      </c>
      <c r="CT73" s="5">
        <f t="shared" si="13"/>
        <v>899</v>
      </c>
      <c r="CU73" s="5">
        <f t="shared" si="13"/>
        <v>859</v>
      </c>
      <c r="CV73" s="5">
        <f t="shared" si="13"/>
        <v>816</v>
      </c>
      <c r="CW73" s="5">
        <f t="shared" si="13"/>
        <v>800</v>
      </c>
      <c r="CX73" s="5">
        <f t="shared" si="13"/>
        <v>788</v>
      </c>
      <c r="CY73" s="5">
        <f t="shared" si="13"/>
        <v>776</v>
      </c>
      <c r="CZ73" s="5">
        <f t="shared" si="13"/>
        <v>760</v>
      </c>
      <c r="DA73" s="5">
        <f t="shared" si="13"/>
        <v>740</v>
      </c>
      <c r="DB73" s="5">
        <f t="shared" si="13"/>
        <v>713</v>
      </c>
      <c r="DC73" s="5">
        <f t="shared" si="13"/>
        <v>691</v>
      </c>
      <c r="DD73" s="5">
        <f t="shared" si="13"/>
        <v>677</v>
      </c>
      <c r="DE73" s="5">
        <f t="shared" si="13"/>
        <v>694</v>
      </c>
      <c r="DF73" s="5">
        <f t="shared" si="13"/>
        <v>734</v>
      </c>
      <c r="DG73" s="5">
        <f t="shared" si="13"/>
        <v>758</v>
      </c>
      <c r="DH73" s="5">
        <f t="shared" si="13"/>
        <v>757</v>
      </c>
      <c r="DI73" s="5">
        <f t="shared" si="13"/>
        <v>753</v>
      </c>
      <c r="DJ73" s="5">
        <f t="shared" si="13"/>
        <v>756</v>
      </c>
      <c r="DK73" s="5">
        <f t="shared" si="13"/>
        <v>791</v>
      </c>
      <c r="DL73" s="5">
        <f t="shared" si="13"/>
        <v>816</v>
      </c>
      <c r="DM73" s="5">
        <f t="shared" si="13"/>
        <v>844</v>
      </c>
      <c r="DN73" s="5">
        <f t="shared" si="13"/>
        <v>896</v>
      </c>
      <c r="DO73" s="5">
        <f t="shared" si="13"/>
        <v>928</v>
      </c>
      <c r="DP73" s="5">
        <f t="shared" si="13"/>
        <v>932</v>
      </c>
      <c r="DQ73" s="5">
        <f t="shared" si="13"/>
        <v>940</v>
      </c>
      <c r="DR73" s="5">
        <f t="shared" si="13"/>
        <v>975</v>
      </c>
      <c r="DS73" s="5">
        <f t="shared" si="13"/>
        <v>980</v>
      </c>
      <c r="DT73" s="5">
        <f t="shared" si="13"/>
        <v>984</v>
      </c>
      <c r="DU73" s="5">
        <f t="shared" si="13"/>
        <v>971</v>
      </c>
      <c r="DV73" s="5">
        <f t="shared" si="13"/>
        <v>953</v>
      </c>
      <c r="DW73" s="5">
        <f t="shared" si="13"/>
        <v>939</v>
      </c>
      <c r="DX73" s="5">
        <f t="shared" si="13"/>
        <v>930</v>
      </c>
      <c r="DY73" s="5">
        <f t="shared" si="13"/>
        <v>926</v>
      </c>
      <c r="DZ73" s="5">
        <f t="shared" si="13"/>
        <v>926</v>
      </c>
      <c r="EA73" s="5">
        <f t="shared" ref="EA73:GL73" si="14">MIN(EA3:EA69)</f>
        <v>917</v>
      </c>
      <c r="EB73" s="5">
        <f t="shared" si="14"/>
        <v>917</v>
      </c>
      <c r="EC73" s="5">
        <f t="shared" si="14"/>
        <v>926</v>
      </c>
      <c r="ED73" s="5">
        <f t="shared" si="14"/>
        <v>935</v>
      </c>
      <c r="EE73" s="5">
        <f t="shared" si="14"/>
        <v>930</v>
      </c>
      <c r="EF73" s="5">
        <f t="shared" si="14"/>
        <v>935</v>
      </c>
      <c r="EG73" s="5">
        <f t="shared" si="14"/>
        <v>944</v>
      </c>
      <c r="EH73" s="5">
        <f t="shared" si="14"/>
        <v>957</v>
      </c>
      <c r="EI73" s="5">
        <f t="shared" si="14"/>
        <v>928</v>
      </c>
      <c r="EJ73" s="5">
        <f t="shared" si="14"/>
        <v>971</v>
      </c>
      <c r="EK73" s="5">
        <f t="shared" si="14"/>
        <v>984</v>
      </c>
      <c r="EL73" s="5">
        <f t="shared" si="14"/>
        <v>1010</v>
      </c>
      <c r="EM73" s="5">
        <f t="shared" si="14"/>
        <v>1000</v>
      </c>
      <c r="EN73" s="5">
        <f t="shared" si="14"/>
        <v>989</v>
      </c>
      <c r="EO73" s="5">
        <f t="shared" si="14"/>
        <v>994</v>
      </c>
      <c r="EP73" s="5">
        <f t="shared" si="14"/>
        <v>1030</v>
      </c>
      <c r="EQ73" s="5">
        <f t="shared" si="14"/>
        <v>1070</v>
      </c>
      <c r="ER73" s="5">
        <f t="shared" si="14"/>
        <v>1090</v>
      </c>
      <c r="ES73" s="5">
        <f t="shared" si="14"/>
        <v>1110</v>
      </c>
      <c r="ET73" s="5">
        <f t="shared" si="14"/>
        <v>1150</v>
      </c>
      <c r="EU73" s="5">
        <f t="shared" si="14"/>
        <v>1130</v>
      </c>
      <c r="EV73" s="5">
        <f t="shared" si="14"/>
        <v>1090</v>
      </c>
      <c r="EW73" s="5">
        <f t="shared" si="14"/>
        <v>1070</v>
      </c>
      <c r="EX73" s="5">
        <f t="shared" si="14"/>
        <v>1040</v>
      </c>
      <c r="EY73" s="5">
        <f t="shared" si="14"/>
        <v>993</v>
      </c>
      <c r="EZ73" s="5">
        <f t="shared" si="14"/>
        <v>1110</v>
      </c>
      <c r="FA73" s="5">
        <f t="shared" si="14"/>
        <v>1060</v>
      </c>
      <c r="FB73" s="5">
        <f t="shared" si="14"/>
        <v>1140</v>
      </c>
      <c r="FC73" s="5">
        <f t="shared" si="14"/>
        <v>1090</v>
      </c>
      <c r="FD73" s="5">
        <f t="shared" si="14"/>
        <v>1160</v>
      </c>
      <c r="FE73" s="5">
        <f t="shared" si="14"/>
        <v>1210</v>
      </c>
      <c r="FF73" s="5">
        <f t="shared" si="14"/>
        <v>1160</v>
      </c>
      <c r="FG73" s="5">
        <f t="shared" si="14"/>
        <v>1190</v>
      </c>
      <c r="FH73" s="5">
        <f t="shared" si="14"/>
        <v>1260</v>
      </c>
      <c r="FI73" s="5">
        <f t="shared" si="14"/>
        <v>1410</v>
      </c>
      <c r="FJ73" s="5">
        <f t="shared" si="14"/>
        <v>1630</v>
      </c>
      <c r="FK73" s="5">
        <f t="shared" si="14"/>
        <v>1610</v>
      </c>
      <c r="FL73" s="5">
        <f t="shared" si="14"/>
        <v>1830</v>
      </c>
      <c r="FM73" s="5">
        <f t="shared" si="14"/>
        <v>1830</v>
      </c>
      <c r="FN73" s="5">
        <f t="shared" si="14"/>
        <v>1830</v>
      </c>
      <c r="FO73" s="5">
        <f t="shared" si="14"/>
        <v>1950</v>
      </c>
      <c r="FP73" s="5">
        <f t="shared" si="14"/>
        <v>2090</v>
      </c>
      <c r="FQ73" s="5">
        <f t="shared" si="14"/>
        <v>2230</v>
      </c>
      <c r="FR73" s="5">
        <f t="shared" si="14"/>
        <v>2170</v>
      </c>
      <c r="FS73" s="5">
        <f t="shared" si="14"/>
        <v>2370</v>
      </c>
      <c r="FT73" s="5">
        <f t="shared" si="14"/>
        <v>2230</v>
      </c>
      <c r="FU73" s="5">
        <f t="shared" si="14"/>
        <v>2190</v>
      </c>
      <c r="FV73" s="5">
        <f t="shared" si="14"/>
        <v>2430</v>
      </c>
      <c r="FW73" s="5">
        <f t="shared" si="14"/>
        <v>2390</v>
      </c>
      <c r="FX73" s="5">
        <f t="shared" si="14"/>
        <v>2360</v>
      </c>
      <c r="FY73" s="5">
        <f t="shared" si="14"/>
        <v>2780</v>
      </c>
      <c r="FZ73" s="5">
        <f t="shared" si="14"/>
        <v>2700</v>
      </c>
      <c r="GA73" s="5">
        <f t="shared" si="14"/>
        <v>2690</v>
      </c>
      <c r="GB73" s="5">
        <f t="shared" si="14"/>
        <v>2590</v>
      </c>
      <c r="GC73" s="5">
        <f t="shared" si="14"/>
        <v>2540</v>
      </c>
      <c r="GD73" s="5">
        <f t="shared" si="14"/>
        <v>2720</v>
      </c>
      <c r="GE73" s="5">
        <f t="shared" si="14"/>
        <v>2880</v>
      </c>
      <c r="GF73" s="5">
        <f t="shared" si="14"/>
        <v>3240</v>
      </c>
      <c r="GG73" s="5">
        <f t="shared" si="14"/>
        <v>3390</v>
      </c>
      <c r="GH73" s="5">
        <f t="shared" si="14"/>
        <v>3510</v>
      </c>
      <c r="GI73" s="5">
        <f t="shared" si="14"/>
        <v>3600</v>
      </c>
      <c r="GJ73" s="5">
        <f t="shared" si="14"/>
        <v>3410</v>
      </c>
      <c r="GK73" s="5">
        <f t="shared" si="14"/>
        <v>3270</v>
      </c>
      <c r="GL73" s="5">
        <f t="shared" si="14"/>
        <v>3280</v>
      </c>
      <c r="GM73" s="5">
        <f t="shared" ref="GM73:IX73" si="15">MIN(GM3:GM69)</f>
        <v>3270</v>
      </c>
      <c r="GN73" s="5">
        <f t="shared" si="15"/>
        <v>3350</v>
      </c>
      <c r="GO73" s="5">
        <f t="shared" si="15"/>
        <v>3780</v>
      </c>
      <c r="GP73" s="5">
        <f t="shared" si="15"/>
        <v>3830</v>
      </c>
      <c r="GQ73" s="5">
        <f t="shared" si="15"/>
        <v>3900</v>
      </c>
      <c r="GR73" s="5">
        <f t="shared" si="15"/>
        <v>3810</v>
      </c>
      <c r="GS73" s="5">
        <f t="shared" si="15"/>
        <v>3720</v>
      </c>
      <c r="GT73" s="5">
        <f t="shared" si="15"/>
        <v>3720</v>
      </c>
      <c r="GU73" s="5">
        <f t="shared" si="15"/>
        <v>3830</v>
      </c>
      <c r="GV73" s="5">
        <f t="shared" si="15"/>
        <v>3900</v>
      </c>
      <c r="GW73" s="5">
        <f t="shared" si="15"/>
        <v>3620</v>
      </c>
      <c r="GX73" s="5">
        <f t="shared" si="15"/>
        <v>3850</v>
      </c>
      <c r="GY73" s="5">
        <f t="shared" si="15"/>
        <v>3920</v>
      </c>
      <c r="GZ73" s="5">
        <f t="shared" si="15"/>
        <v>3700</v>
      </c>
      <c r="HA73" s="5">
        <f t="shared" si="15"/>
        <v>3670</v>
      </c>
      <c r="HB73" s="5">
        <f t="shared" si="15"/>
        <v>3660</v>
      </c>
      <c r="HC73" s="5">
        <f t="shared" si="15"/>
        <v>4070</v>
      </c>
      <c r="HD73" s="5">
        <f t="shared" si="15"/>
        <v>4300</v>
      </c>
      <c r="HE73" s="5">
        <f t="shared" si="15"/>
        <v>4110</v>
      </c>
      <c r="HF73" s="5">
        <f t="shared" si="15"/>
        <v>3950</v>
      </c>
      <c r="HG73" s="5">
        <f t="shared" si="15"/>
        <v>3790</v>
      </c>
      <c r="HH73" s="5">
        <f t="shared" si="15"/>
        <v>3690</v>
      </c>
      <c r="HI73" s="5">
        <f t="shared" si="15"/>
        <v>3810</v>
      </c>
      <c r="HJ73" s="5">
        <f t="shared" si="15"/>
        <v>3750</v>
      </c>
      <c r="HK73" s="5">
        <f t="shared" si="15"/>
        <v>3540</v>
      </c>
      <c r="HL73" s="5">
        <f t="shared" si="15"/>
        <v>3380</v>
      </c>
      <c r="HM73" s="5">
        <f t="shared" si="15"/>
        <v>3270</v>
      </c>
      <c r="HN73" s="5">
        <f t="shared" si="15"/>
        <v>3260</v>
      </c>
      <c r="HO73" s="5">
        <f t="shared" si="15"/>
        <v>3380</v>
      </c>
      <c r="HP73" s="5">
        <f t="shared" si="15"/>
        <v>3650</v>
      </c>
      <c r="HQ73" s="5">
        <f t="shared" si="15"/>
        <v>3680</v>
      </c>
      <c r="HR73" s="5">
        <f t="shared" si="15"/>
        <v>3470</v>
      </c>
      <c r="HS73" s="5">
        <f t="shared" si="15"/>
        <v>3330</v>
      </c>
      <c r="HT73" s="5">
        <f t="shared" si="15"/>
        <v>3200</v>
      </c>
      <c r="HU73" s="5">
        <f t="shared" si="15"/>
        <v>3110</v>
      </c>
      <c r="HV73" s="5">
        <f t="shared" si="15"/>
        <v>3230</v>
      </c>
      <c r="HW73" s="5">
        <f t="shared" si="15"/>
        <v>3370</v>
      </c>
      <c r="HX73" s="5">
        <f t="shared" si="15"/>
        <v>3660</v>
      </c>
      <c r="HY73" s="5">
        <f t="shared" si="15"/>
        <v>3560</v>
      </c>
      <c r="HZ73" s="5">
        <f t="shared" si="15"/>
        <v>3590</v>
      </c>
      <c r="IA73" s="5">
        <f t="shared" si="15"/>
        <v>3470</v>
      </c>
      <c r="IB73" s="5">
        <f t="shared" si="15"/>
        <v>3080</v>
      </c>
      <c r="IC73" s="5">
        <f t="shared" si="15"/>
        <v>3070</v>
      </c>
      <c r="ID73" s="5">
        <f t="shared" si="15"/>
        <v>3320</v>
      </c>
      <c r="IE73" s="5">
        <f t="shared" si="15"/>
        <v>4020</v>
      </c>
      <c r="IF73" s="5">
        <f t="shared" si="15"/>
        <v>4790</v>
      </c>
      <c r="IG73" s="5">
        <f t="shared" si="15"/>
        <v>4820</v>
      </c>
      <c r="IH73" s="5">
        <f t="shared" si="15"/>
        <v>4720</v>
      </c>
      <c r="II73" s="5">
        <f t="shared" si="15"/>
        <v>4560</v>
      </c>
      <c r="IJ73" s="5">
        <f t="shared" si="15"/>
        <v>4430</v>
      </c>
      <c r="IK73" s="5">
        <f t="shared" si="15"/>
        <v>4340</v>
      </c>
      <c r="IL73" s="5">
        <f t="shared" si="15"/>
        <v>4160</v>
      </c>
      <c r="IM73" s="5">
        <f t="shared" si="15"/>
        <v>4110</v>
      </c>
      <c r="IN73" s="5">
        <f t="shared" si="15"/>
        <v>4010</v>
      </c>
      <c r="IO73" s="5">
        <f t="shared" si="15"/>
        <v>3900</v>
      </c>
      <c r="IP73" s="5">
        <f t="shared" si="15"/>
        <v>3680</v>
      </c>
      <c r="IQ73" s="5">
        <f t="shared" si="15"/>
        <v>3300</v>
      </c>
      <c r="IR73" s="5">
        <f t="shared" si="15"/>
        <v>3260</v>
      </c>
      <c r="IS73" s="5">
        <f t="shared" si="15"/>
        <v>3340</v>
      </c>
      <c r="IT73" s="5">
        <f t="shared" si="15"/>
        <v>3820</v>
      </c>
      <c r="IU73" s="5">
        <f t="shared" si="15"/>
        <v>3960</v>
      </c>
      <c r="IV73" s="5">
        <f t="shared" si="15"/>
        <v>3620</v>
      </c>
      <c r="IW73" s="5">
        <f t="shared" si="15"/>
        <v>3680</v>
      </c>
      <c r="IX73" s="5">
        <f t="shared" si="15"/>
        <v>4150</v>
      </c>
      <c r="IY73" s="5">
        <f t="shared" ref="IY73:LJ73" si="16">MIN(IY3:IY69)</f>
        <v>4200</v>
      </c>
      <c r="IZ73" s="5">
        <f t="shared" si="16"/>
        <v>4140</v>
      </c>
      <c r="JA73" s="5">
        <f t="shared" si="16"/>
        <v>4130</v>
      </c>
      <c r="JB73" s="5">
        <f t="shared" si="16"/>
        <v>3960</v>
      </c>
      <c r="JC73" s="5">
        <f t="shared" si="16"/>
        <v>4120</v>
      </c>
      <c r="JD73" s="5">
        <f t="shared" si="16"/>
        <v>4290</v>
      </c>
      <c r="JE73" s="5">
        <f t="shared" si="16"/>
        <v>3900</v>
      </c>
      <c r="JF73" s="5">
        <f t="shared" si="16"/>
        <v>3720</v>
      </c>
      <c r="JG73" s="5">
        <f t="shared" si="16"/>
        <v>3640</v>
      </c>
      <c r="JH73" s="5">
        <f t="shared" si="16"/>
        <v>4060</v>
      </c>
      <c r="JI73" s="5">
        <f t="shared" si="16"/>
        <v>4140</v>
      </c>
      <c r="JJ73" s="5">
        <f t="shared" si="16"/>
        <v>4040</v>
      </c>
      <c r="JK73" s="5">
        <f t="shared" si="16"/>
        <v>4190</v>
      </c>
      <c r="JL73" s="5">
        <f t="shared" si="16"/>
        <v>4190</v>
      </c>
      <c r="JM73" s="5">
        <f t="shared" si="16"/>
        <v>4100</v>
      </c>
      <c r="JN73" s="5">
        <f t="shared" si="16"/>
        <v>4020</v>
      </c>
      <c r="JO73" s="5">
        <f t="shared" si="16"/>
        <v>4020</v>
      </c>
      <c r="JP73" s="5">
        <f t="shared" si="16"/>
        <v>4030</v>
      </c>
      <c r="JQ73" s="5">
        <f t="shared" si="16"/>
        <v>3720</v>
      </c>
      <c r="JR73" s="5">
        <f t="shared" si="16"/>
        <v>3800</v>
      </c>
      <c r="JS73" s="5">
        <f t="shared" si="16"/>
        <v>3650</v>
      </c>
      <c r="JT73" s="5">
        <f t="shared" si="16"/>
        <v>3720</v>
      </c>
      <c r="JU73" s="5">
        <f t="shared" si="16"/>
        <v>3660</v>
      </c>
      <c r="JV73" s="5">
        <f t="shared" si="16"/>
        <v>3540</v>
      </c>
      <c r="JW73" s="5">
        <f t="shared" si="16"/>
        <v>3520</v>
      </c>
      <c r="JX73" s="5">
        <f t="shared" si="16"/>
        <v>3500</v>
      </c>
      <c r="JY73" s="5">
        <f t="shared" si="16"/>
        <v>3370</v>
      </c>
      <c r="JZ73" s="5">
        <f t="shared" si="16"/>
        <v>3260</v>
      </c>
      <c r="KA73" s="5">
        <f t="shared" si="16"/>
        <v>3160</v>
      </c>
      <c r="KB73" s="5">
        <f t="shared" si="16"/>
        <v>3080</v>
      </c>
      <c r="KC73" s="5">
        <f t="shared" si="16"/>
        <v>3030</v>
      </c>
      <c r="KD73" s="5">
        <f t="shared" si="16"/>
        <v>2960</v>
      </c>
      <c r="KE73" s="5">
        <f t="shared" si="16"/>
        <v>2920</v>
      </c>
      <c r="KF73" s="5">
        <f t="shared" si="16"/>
        <v>2950</v>
      </c>
      <c r="KG73" s="5">
        <f t="shared" si="16"/>
        <v>3000</v>
      </c>
      <c r="KH73" s="5">
        <f t="shared" si="16"/>
        <v>3000</v>
      </c>
      <c r="KI73" s="5">
        <f t="shared" si="16"/>
        <v>3020</v>
      </c>
      <c r="KJ73" s="5">
        <f t="shared" si="16"/>
        <v>3090</v>
      </c>
      <c r="KK73" s="5">
        <f t="shared" si="16"/>
        <v>3030</v>
      </c>
      <c r="KL73" s="5">
        <f t="shared" si="16"/>
        <v>2960</v>
      </c>
      <c r="KM73" s="5">
        <f t="shared" si="16"/>
        <v>2880</v>
      </c>
      <c r="KN73" s="5">
        <f t="shared" si="16"/>
        <v>2820</v>
      </c>
      <c r="KO73" s="5">
        <f t="shared" si="16"/>
        <v>2770</v>
      </c>
      <c r="KP73" s="5">
        <f t="shared" si="16"/>
        <v>2650</v>
      </c>
      <c r="KQ73" s="5">
        <f t="shared" si="16"/>
        <v>2380</v>
      </c>
      <c r="KR73" s="5">
        <f t="shared" si="16"/>
        <v>2350</v>
      </c>
      <c r="KS73" s="5">
        <f t="shared" si="16"/>
        <v>2470</v>
      </c>
      <c r="KT73" s="5">
        <f t="shared" si="16"/>
        <v>2460</v>
      </c>
      <c r="KU73" s="5">
        <f t="shared" si="16"/>
        <v>2400</v>
      </c>
      <c r="KV73" s="5">
        <f t="shared" si="16"/>
        <v>2340</v>
      </c>
      <c r="KW73" s="5">
        <f t="shared" si="16"/>
        <v>2290</v>
      </c>
      <c r="KX73" s="5">
        <f t="shared" si="16"/>
        <v>2140</v>
      </c>
      <c r="KY73" s="5">
        <f t="shared" si="16"/>
        <v>2100</v>
      </c>
      <c r="KZ73" s="5">
        <f t="shared" si="16"/>
        <v>2110</v>
      </c>
      <c r="LA73" s="5">
        <f t="shared" si="16"/>
        <v>1780</v>
      </c>
      <c r="LB73" s="5">
        <f t="shared" si="16"/>
        <v>1840</v>
      </c>
      <c r="LC73" s="5">
        <f t="shared" si="16"/>
        <v>1920</v>
      </c>
      <c r="LD73" s="5">
        <f t="shared" si="16"/>
        <v>1920</v>
      </c>
      <c r="LE73" s="5">
        <f t="shared" si="16"/>
        <v>1600</v>
      </c>
      <c r="LF73" s="5">
        <f t="shared" si="16"/>
        <v>1050</v>
      </c>
      <c r="LG73" s="5">
        <f t="shared" si="16"/>
        <v>1530</v>
      </c>
      <c r="LH73" s="5">
        <f t="shared" si="16"/>
        <v>1660</v>
      </c>
      <c r="LI73" s="5">
        <f t="shared" si="16"/>
        <v>1770</v>
      </c>
      <c r="LJ73" s="5">
        <f t="shared" si="16"/>
        <v>1850</v>
      </c>
      <c r="LK73" s="5">
        <f t="shared" ref="LK73:NT73" si="17">MIN(LK3:LK69)</f>
        <v>1810</v>
      </c>
      <c r="LL73" s="5">
        <f t="shared" si="17"/>
        <v>1740</v>
      </c>
      <c r="LM73" s="5">
        <f t="shared" si="17"/>
        <v>1780</v>
      </c>
      <c r="LN73" s="5">
        <f t="shared" si="17"/>
        <v>1760</v>
      </c>
      <c r="LO73" s="5">
        <f t="shared" si="17"/>
        <v>1740</v>
      </c>
      <c r="LP73" s="5">
        <f t="shared" si="17"/>
        <v>1560</v>
      </c>
      <c r="LQ73" s="5">
        <f t="shared" si="17"/>
        <v>1640</v>
      </c>
      <c r="LR73" s="5">
        <f t="shared" si="17"/>
        <v>1610</v>
      </c>
      <c r="LS73" s="5">
        <f t="shared" si="17"/>
        <v>1570</v>
      </c>
      <c r="LT73" s="5">
        <f t="shared" si="17"/>
        <v>1540</v>
      </c>
      <c r="LU73" s="5">
        <f t="shared" si="17"/>
        <v>1550</v>
      </c>
      <c r="LV73" s="5">
        <f t="shared" si="17"/>
        <v>1630</v>
      </c>
      <c r="LW73" s="5">
        <f t="shared" si="17"/>
        <v>1480</v>
      </c>
      <c r="LX73" s="5">
        <f t="shared" si="17"/>
        <v>1380</v>
      </c>
      <c r="LY73" s="5">
        <f t="shared" si="17"/>
        <v>1160</v>
      </c>
      <c r="LZ73" s="5">
        <f t="shared" si="17"/>
        <v>1210</v>
      </c>
      <c r="MA73" s="5">
        <f t="shared" si="17"/>
        <v>1020</v>
      </c>
      <c r="MB73" s="5">
        <f t="shared" si="17"/>
        <v>961</v>
      </c>
      <c r="MC73" s="5">
        <f t="shared" si="17"/>
        <v>873</v>
      </c>
      <c r="MD73" s="5">
        <f t="shared" si="17"/>
        <v>924</v>
      </c>
      <c r="ME73" s="5">
        <f t="shared" si="17"/>
        <v>913</v>
      </c>
      <c r="MF73" s="5">
        <f t="shared" si="17"/>
        <v>911</v>
      </c>
      <c r="MG73" s="5">
        <f t="shared" si="17"/>
        <v>922</v>
      </c>
      <c r="MH73" s="5">
        <f t="shared" si="17"/>
        <v>978</v>
      </c>
      <c r="MI73" s="5">
        <f t="shared" si="17"/>
        <v>1040</v>
      </c>
      <c r="MJ73" s="5">
        <f t="shared" si="17"/>
        <v>894</v>
      </c>
      <c r="MK73" s="5">
        <f t="shared" si="17"/>
        <v>981</v>
      </c>
      <c r="ML73" s="5">
        <f t="shared" si="17"/>
        <v>884</v>
      </c>
      <c r="MM73" s="5">
        <f t="shared" si="17"/>
        <v>836</v>
      </c>
      <c r="MN73" s="5">
        <f t="shared" si="17"/>
        <v>886</v>
      </c>
      <c r="MO73" s="5">
        <f t="shared" si="17"/>
        <v>958</v>
      </c>
      <c r="MP73" s="5">
        <f t="shared" si="17"/>
        <v>1090</v>
      </c>
      <c r="MQ73" s="5">
        <f t="shared" si="17"/>
        <v>1110</v>
      </c>
      <c r="MR73" s="5">
        <f t="shared" si="17"/>
        <v>1110</v>
      </c>
      <c r="MS73" s="5">
        <f t="shared" si="17"/>
        <v>1110</v>
      </c>
      <c r="MT73" s="5">
        <f t="shared" si="17"/>
        <v>1110</v>
      </c>
      <c r="MU73" s="5">
        <f t="shared" si="17"/>
        <v>1100</v>
      </c>
      <c r="MV73" s="5">
        <f t="shared" si="17"/>
        <v>1100</v>
      </c>
      <c r="MW73" s="5">
        <f t="shared" si="17"/>
        <v>1070</v>
      </c>
      <c r="MX73" s="5">
        <f t="shared" si="17"/>
        <v>1040</v>
      </c>
      <c r="MY73" s="5">
        <f t="shared" si="17"/>
        <v>1020</v>
      </c>
      <c r="MZ73" s="5">
        <f t="shared" si="17"/>
        <v>990</v>
      </c>
      <c r="NA73" s="5">
        <f t="shared" si="17"/>
        <v>971</v>
      </c>
      <c r="NB73" s="5">
        <f t="shared" si="17"/>
        <v>962</v>
      </c>
      <c r="NC73" s="5">
        <f t="shared" si="17"/>
        <v>958</v>
      </c>
      <c r="ND73" s="5">
        <f t="shared" si="17"/>
        <v>873</v>
      </c>
      <c r="NE73" s="5">
        <f t="shared" si="17"/>
        <v>721</v>
      </c>
      <c r="NF73" s="5">
        <f t="shared" si="17"/>
        <v>659</v>
      </c>
      <c r="NG73" s="5">
        <f t="shared" si="17"/>
        <v>829</v>
      </c>
      <c r="NH73" s="5">
        <f t="shared" si="17"/>
        <v>997</v>
      </c>
      <c r="NI73" s="5">
        <f t="shared" si="17"/>
        <v>2180</v>
      </c>
      <c r="NJ73" s="5">
        <f t="shared" si="17"/>
        <v>4610</v>
      </c>
      <c r="NK73" s="5">
        <f t="shared" si="17"/>
        <v>4140</v>
      </c>
      <c r="NL73" s="5">
        <f t="shared" si="17"/>
        <v>4370</v>
      </c>
      <c r="NM73" s="5">
        <f t="shared" si="17"/>
        <v>3330</v>
      </c>
      <c r="NN73" s="5">
        <f t="shared" si="17"/>
        <v>1900</v>
      </c>
      <c r="NO73" s="5">
        <f t="shared" si="17"/>
        <v>1120</v>
      </c>
      <c r="NP73" s="5">
        <f t="shared" si="17"/>
        <v>2998.821917808219</v>
      </c>
      <c r="NQ73" s="5">
        <f t="shared" si="17"/>
        <v>8340</v>
      </c>
      <c r="NR73" s="5">
        <f t="shared" si="17"/>
        <v>42543</v>
      </c>
      <c r="NS73" s="5">
        <f t="shared" si="17"/>
        <v>622</v>
      </c>
      <c r="NT73" s="5">
        <f t="shared" si="17"/>
        <v>42393</v>
      </c>
      <c r="NU73" s="5"/>
      <c r="NV73" s="5"/>
      <c r="NW73" s="5"/>
      <c r="NX73" s="5"/>
      <c r="NY73" s="5"/>
      <c r="NZ73" s="5"/>
      <c r="OA73" s="5"/>
      <c r="OB73" s="5"/>
      <c r="OC73" s="5"/>
      <c r="OD73" s="5"/>
      <c r="OE73" s="5"/>
    </row>
    <row r="74" spans="1:395" customFormat="1" x14ac:dyDescent="0.15">
      <c r="A74" s="9" t="s">
        <v>40</v>
      </c>
      <c r="B74">
        <f ca="1">INDIRECT((CONCATENATE("$A",MATCH(B73,B3:B70,0)+2)))</f>
        <v>1995</v>
      </c>
      <c r="C74">
        <f t="shared" ref="C74:BN74" ca="1" si="18">INDIRECT((CONCATENATE("$A",MATCH(C73,C3:C70,0)+2)))</f>
        <v>1995</v>
      </c>
      <c r="D74">
        <f t="shared" ca="1" si="18"/>
        <v>1995</v>
      </c>
      <c r="E74">
        <f t="shared" ca="1" si="18"/>
        <v>1995</v>
      </c>
      <c r="F74">
        <f t="shared" ca="1" si="18"/>
        <v>1995</v>
      </c>
      <c r="G74">
        <f t="shared" ca="1" si="18"/>
        <v>1995</v>
      </c>
      <c r="H74">
        <f t="shared" ca="1" si="18"/>
        <v>1995</v>
      </c>
      <c r="I74">
        <f t="shared" ca="1" si="18"/>
        <v>1995</v>
      </c>
      <c r="J74">
        <f t="shared" ca="1" si="18"/>
        <v>1995</v>
      </c>
      <c r="K74">
        <f t="shared" ca="1" si="18"/>
        <v>1995</v>
      </c>
      <c r="L74">
        <f t="shared" ca="1" si="18"/>
        <v>1995</v>
      </c>
      <c r="M74">
        <f t="shared" ca="1" si="18"/>
        <v>1995</v>
      </c>
      <c r="N74">
        <f t="shared" ca="1" si="18"/>
        <v>1995</v>
      </c>
      <c r="O74">
        <f t="shared" ca="1" si="18"/>
        <v>1995</v>
      </c>
      <c r="P74">
        <f t="shared" ca="1" si="18"/>
        <v>1995</v>
      </c>
      <c r="Q74">
        <f t="shared" ca="1" si="18"/>
        <v>1995</v>
      </c>
      <c r="R74">
        <f t="shared" ca="1" si="18"/>
        <v>1995</v>
      </c>
      <c r="S74">
        <f t="shared" ca="1" si="18"/>
        <v>1995</v>
      </c>
      <c r="T74">
        <f t="shared" ca="1" si="18"/>
        <v>1995</v>
      </c>
      <c r="U74">
        <f t="shared" ca="1" si="18"/>
        <v>1995</v>
      </c>
      <c r="V74">
        <f t="shared" ca="1" si="18"/>
        <v>1995</v>
      </c>
      <c r="W74">
        <f t="shared" ca="1" si="18"/>
        <v>1995</v>
      </c>
      <c r="X74">
        <f t="shared" ca="1" si="18"/>
        <v>1995</v>
      </c>
      <c r="Y74">
        <f t="shared" ca="1" si="18"/>
        <v>1995</v>
      </c>
      <c r="Z74">
        <f t="shared" ca="1" si="18"/>
        <v>1995</v>
      </c>
      <c r="AA74">
        <f t="shared" ca="1" si="18"/>
        <v>1995</v>
      </c>
      <c r="AB74">
        <f t="shared" ca="1" si="18"/>
        <v>1995</v>
      </c>
      <c r="AC74">
        <f t="shared" ca="1" si="18"/>
        <v>1995</v>
      </c>
      <c r="AD74">
        <f t="shared" ca="1" si="18"/>
        <v>1995</v>
      </c>
      <c r="AE74">
        <f t="shared" ca="1" si="18"/>
        <v>1995</v>
      </c>
      <c r="AF74">
        <f t="shared" ca="1" si="18"/>
        <v>1995</v>
      </c>
      <c r="AG74">
        <f t="shared" ca="1" si="18"/>
        <v>1995</v>
      </c>
      <c r="AH74">
        <f t="shared" ca="1" si="18"/>
        <v>1995</v>
      </c>
      <c r="AI74">
        <f t="shared" ca="1" si="18"/>
        <v>1995</v>
      </c>
      <c r="AJ74">
        <f t="shared" ca="1" si="18"/>
        <v>1995</v>
      </c>
      <c r="AK74">
        <f t="shared" ca="1" si="18"/>
        <v>1995</v>
      </c>
      <c r="AL74">
        <f t="shared" ca="1" si="18"/>
        <v>1995</v>
      </c>
      <c r="AM74">
        <f t="shared" ca="1" si="18"/>
        <v>1995</v>
      </c>
      <c r="AN74">
        <f t="shared" ca="1" si="18"/>
        <v>1995</v>
      </c>
      <c r="AO74">
        <f t="shared" ca="1" si="18"/>
        <v>1995</v>
      </c>
      <c r="AP74">
        <f t="shared" ca="1" si="18"/>
        <v>1995</v>
      </c>
      <c r="AQ74">
        <f t="shared" ca="1" si="18"/>
        <v>1995</v>
      </c>
      <c r="AR74">
        <f t="shared" ca="1" si="18"/>
        <v>1995</v>
      </c>
      <c r="AS74">
        <f t="shared" ca="1" si="18"/>
        <v>1995</v>
      </c>
      <c r="AT74">
        <f t="shared" ca="1" si="18"/>
        <v>1995</v>
      </c>
      <c r="AU74">
        <f t="shared" ca="1" si="18"/>
        <v>1995</v>
      </c>
      <c r="AV74">
        <f t="shared" ca="1" si="18"/>
        <v>1995</v>
      </c>
      <c r="AW74">
        <f t="shared" ca="1" si="18"/>
        <v>1995</v>
      </c>
      <c r="AX74">
        <f t="shared" ca="1" si="18"/>
        <v>1995</v>
      </c>
      <c r="AY74">
        <f t="shared" ca="1" si="18"/>
        <v>1995</v>
      </c>
      <c r="AZ74">
        <f t="shared" ca="1" si="18"/>
        <v>1995</v>
      </c>
      <c r="BA74">
        <f t="shared" ca="1" si="18"/>
        <v>1995</v>
      </c>
      <c r="BB74">
        <f t="shared" ca="1" si="18"/>
        <v>1995</v>
      </c>
      <c r="BC74">
        <f t="shared" ca="1" si="18"/>
        <v>1995</v>
      </c>
      <c r="BD74">
        <f t="shared" ca="1" si="18"/>
        <v>1995</v>
      </c>
      <c r="BE74">
        <f t="shared" ca="1" si="18"/>
        <v>1995</v>
      </c>
      <c r="BF74">
        <f t="shared" ca="1" si="18"/>
        <v>1995</v>
      </c>
      <c r="BG74">
        <f t="shared" ca="1" si="18"/>
        <v>1995</v>
      </c>
      <c r="BH74">
        <f t="shared" ca="1" si="18"/>
        <v>1995</v>
      </c>
      <c r="BI74">
        <f t="shared" ca="1" si="18"/>
        <v>1984</v>
      </c>
      <c r="BJ74">
        <f t="shared" ca="1" si="18"/>
        <v>1995</v>
      </c>
      <c r="BK74">
        <f t="shared" ca="1" si="18"/>
        <v>1995</v>
      </c>
      <c r="BL74">
        <f t="shared" ca="1" si="18"/>
        <v>1995</v>
      </c>
      <c r="BM74">
        <f t="shared" ca="1" si="18"/>
        <v>1995</v>
      </c>
      <c r="BN74">
        <f t="shared" ca="1" si="18"/>
        <v>1995</v>
      </c>
      <c r="BO74">
        <f t="shared" ref="BO74:DZ74" ca="1" si="19">INDIRECT((CONCATENATE("$A",MATCH(BO73,BO3:BO70,0)+2)))</f>
        <v>1995</v>
      </c>
      <c r="BP74">
        <f t="shared" ca="1" si="19"/>
        <v>1995</v>
      </c>
      <c r="BQ74">
        <f t="shared" ca="1" si="19"/>
        <v>1995</v>
      </c>
      <c r="BR74">
        <f t="shared" ca="1" si="19"/>
        <v>1995</v>
      </c>
      <c r="BS74">
        <f t="shared" ca="1" si="19"/>
        <v>1995</v>
      </c>
      <c r="BT74">
        <f t="shared" ca="1" si="19"/>
        <v>1995</v>
      </c>
      <c r="BU74">
        <f t="shared" ca="1" si="19"/>
        <v>1995</v>
      </c>
      <c r="BV74">
        <f t="shared" ca="1" si="19"/>
        <v>1995</v>
      </c>
      <c r="BW74">
        <f t="shared" ca="1" si="19"/>
        <v>1995</v>
      </c>
      <c r="BX74">
        <f t="shared" ca="1" si="19"/>
        <v>1995</v>
      </c>
      <c r="BY74">
        <f t="shared" ca="1" si="19"/>
        <v>1995</v>
      </c>
      <c r="BZ74">
        <f t="shared" ca="1" si="19"/>
        <v>1995</v>
      </c>
      <c r="CA74">
        <f t="shared" ca="1" si="19"/>
        <v>1995</v>
      </c>
      <c r="CB74">
        <f t="shared" ca="1" si="19"/>
        <v>1995</v>
      </c>
      <c r="CC74">
        <f t="shared" ca="1" si="19"/>
        <v>1995</v>
      </c>
      <c r="CD74">
        <f t="shared" ca="1" si="19"/>
        <v>1995</v>
      </c>
      <c r="CE74">
        <f t="shared" ca="1" si="19"/>
        <v>1995</v>
      </c>
      <c r="CF74">
        <f t="shared" ca="1" si="19"/>
        <v>1995</v>
      </c>
      <c r="CG74">
        <f t="shared" ca="1" si="19"/>
        <v>1995</v>
      </c>
      <c r="CH74">
        <f t="shared" ca="1" si="19"/>
        <v>1995</v>
      </c>
      <c r="CI74">
        <f t="shared" ca="1" si="19"/>
        <v>1995</v>
      </c>
      <c r="CJ74">
        <f t="shared" ca="1" si="19"/>
        <v>1995</v>
      </c>
      <c r="CK74">
        <f t="shared" ca="1" si="19"/>
        <v>1995</v>
      </c>
      <c r="CL74">
        <f t="shared" ca="1" si="19"/>
        <v>1995</v>
      </c>
      <c r="CM74">
        <f t="shared" ca="1" si="19"/>
        <v>1995</v>
      </c>
      <c r="CN74">
        <f t="shared" ca="1" si="19"/>
        <v>2012</v>
      </c>
      <c r="CO74">
        <f t="shared" ca="1" si="19"/>
        <v>2012</v>
      </c>
      <c r="CP74">
        <f t="shared" ca="1" si="19"/>
        <v>2012</v>
      </c>
      <c r="CQ74">
        <f t="shared" ca="1" si="19"/>
        <v>1984</v>
      </c>
      <c r="CR74">
        <f t="shared" ca="1" si="19"/>
        <v>1984</v>
      </c>
      <c r="CS74">
        <f t="shared" ca="1" si="19"/>
        <v>2012</v>
      </c>
      <c r="CT74">
        <f t="shared" ca="1" si="19"/>
        <v>1995</v>
      </c>
      <c r="CU74">
        <f t="shared" ca="1" si="19"/>
        <v>1995</v>
      </c>
      <c r="CV74">
        <f t="shared" ca="1" si="19"/>
        <v>1995</v>
      </c>
      <c r="CW74">
        <f t="shared" ca="1" si="19"/>
        <v>1995</v>
      </c>
      <c r="CX74">
        <f t="shared" ca="1" si="19"/>
        <v>1995</v>
      </c>
      <c r="CY74">
        <f t="shared" ca="1" si="19"/>
        <v>1995</v>
      </c>
      <c r="CZ74">
        <f t="shared" ca="1" si="19"/>
        <v>1995</v>
      </c>
      <c r="DA74">
        <f t="shared" ca="1" si="19"/>
        <v>1995</v>
      </c>
      <c r="DB74">
        <f t="shared" ca="1" si="19"/>
        <v>1995</v>
      </c>
      <c r="DC74">
        <f t="shared" ca="1" si="19"/>
        <v>1995</v>
      </c>
      <c r="DD74">
        <f t="shared" ca="1" si="19"/>
        <v>1995</v>
      </c>
      <c r="DE74">
        <f t="shared" ca="1" si="19"/>
        <v>1995</v>
      </c>
      <c r="DF74">
        <f t="shared" ca="1" si="19"/>
        <v>1995</v>
      </c>
      <c r="DG74">
        <f t="shared" ca="1" si="19"/>
        <v>1995</v>
      </c>
      <c r="DH74">
        <f t="shared" ca="1" si="19"/>
        <v>1995</v>
      </c>
      <c r="DI74">
        <f t="shared" ca="1" si="19"/>
        <v>1995</v>
      </c>
      <c r="DJ74">
        <f t="shared" ca="1" si="19"/>
        <v>1995</v>
      </c>
      <c r="DK74">
        <f t="shared" ca="1" si="19"/>
        <v>1995</v>
      </c>
      <c r="DL74">
        <f t="shared" ca="1" si="19"/>
        <v>1995</v>
      </c>
      <c r="DM74">
        <f t="shared" ca="1" si="19"/>
        <v>1995</v>
      </c>
      <c r="DN74">
        <f t="shared" ca="1" si="19"/>
        <v>1995</v>
      </c>
      <c r="DO74">
        <f t="shared" ca="1" si="19"/>
        <v>1995</v>
      </c>
      <c r="DP74">
        <f t="shared" ca="1" si="19"/>
        <v>1995</v>
      </c>
      <c r="DQ74">
        <f t="shared" ca="1" si="19"/>
        <v>1995</v>
      </c>
      <c r="DR74">
        <f t="shared" ca="1" si="19"/>
        <v>1995</v>
      </c>
      <c r="DS74">
        <f t="shared" ca="1" si="19"/>
        <v>1995</v>
      </c>
      <c r="DT74">
        <f t="shared" ca="1" si="19"/>
        <v>1969</v>
      </c>
      <c r="DU74">
        <f t="shared" ca="1" si="19"/>
        <v>1969</v>
      </c>
      <c r="DV74">
        <f t="shared" ca="1" si="19"/>
        <v>1969</v>
      </c>
      <c r="DW74">
        <f t="shared" ca="1" si="19"/>
        <v>1969</v>
      </c>
      <c r="DX74">
        <f t="shared" ca="1" si="19"/>
        <v>1969</v>
      </c>
      <c r="DY74">
        <f t="shared" ca="1" si="19"/>
        <v>1969</v>
      </c>
      <c r="DZ74">
        <f t="shared" ca="1" si="19"/>
        <v>1969</v>
      </c>
      <c r="EA74">
        <f t="shared" ref="EA74:GL74" ca="1" si="20">INDIRECT((CONCATENATE("$A",MATCH(EA73,EA3:EA70,0)+2)))</f>
        <v>1969</v>
      </c>
      <c r="EB74">
        <f t="shared" ca="1" si="20"/>
        <v>1969</v>
      </c>
      <c r="EC74">
        <f t="shared" ca="1" si="20"/>
        <v>1969</v>
      </c>
      <c r="ED74">
        <f t="shared" ca="1" si="20"/>
        <v>1969</v>
      </c>
      <c r="EE74">
        <f t="shared" ca="1" si="20"/>
        <v>1969</v>
      </c>
      <c r="EF74">
        <f t="shared" ca="1" si="20"/>
        <v>1969</v>
      </c>
      <c r="EG74">
        <f t="shared" ca="1" si="20"/>
        <v>1969</v>
      </c>
      <c r="EH74">
        <f t="shared" ca="1" si="20"/>
        <v>1969</v>
      </c>
      <c r="EI74">
        <f t="shared" ca="1" si="20"/>
        <v>2014</v>
      </c>
      <c r="EJ74">
        <f t="shared" ca="1" si="20"/>
        <v>1969</v>
      </c>
      <c r="EK74">
        <f t="shared" ca="1" si="20"/>
        <v>1969</v>
      </c>
      <c r="EL74">
        <f t="shared" ca="1" si="20"/>
        <v>1969</v>
      </c>
      <c r="EM74">
        <f t="shared" ca="1" si="20"/>
        <v>1960</v>
      </c>
      <c r="EN74">
        <f t="shared" ca="1" si="20"/>
        <v>1960</v>
      </c>
      <c r="EO74">
        <f t="shared" ca="1" si="20"/>
        <v>1960</v>
      </c>
      <c r="EP74">
        <f t="shared" ca="1" si="20"/>
        <v>1960</v>
      </c>
      <c r="EQ74">
        <f t="shared" ca="1" si="20"/>
        <v>1969</v>
      </c>
      <c r="ER74">
        <f t="shared" ca="1" si="20"/>
        <v>1969</v>
      </c>
      <c r="ES74">
        <f t="shared" ca="1" si="20"/>
        <v>1969</v>
      </c>
      <c r="ET74">
        <f t="shared" ca="1" si="20"/>
        <v>1969</v>
      </c>
      <c r="EU74">
        <f t="shared" ca="1" si="20"/>
        <v>1969</v>
      </c>
      <c r="EV74">
        <f t="shared" ca="1" si="20"/>
        <v>1969</v>
      </c>
      <c r="EW74">
        <f t="shared" ca="1" si="20"/>
        <v>1969</v>
      </c>
      <c r="EX74">
        <f t="shared" ca="1" si="20"/>
        <v>1969</v>
      </c>
      <c r="EY74">
        <f t="shared" ca="1" si="20"/>
        <v>1969</v>
      </c>
      <c r="EZ74">
        <f t="shared" ca="1" si="20"/>
        <v>1969</v>
      </c>
      <c r="FA74">
        <f t="shared" ca="1" si="20"/>
        <v>1969</v>
      </c>
      <c r="FB74">
        <f t="shared" ca="1" si="20"/>
        <v>1969</v>
      </c>
      <c r="FC74">
        <f t="shared" ca="1" si="20"/>
        <v>1969</v>
      </c>
      <c r="FD74">
        <f t="shared" ca="1" si="20"/>
        <v>1969</v>
      </c>
      <c r="FE74">
        <f t="shared" ca="1" si="20"/>
        <v>1969</v>
      </c>
      <c r="FF74">
        <f t="shared" ca="1" si="20"/>
        <v>1969</v>
      </c>
      <c r="FG74">
        <f t="shared" ca="1" si="20"/>
        <v>1969</v>
      </c>
      <c r="FH74">
        <f t="shared" ca="1" si="20"/>
        <v>1969</v>
      </c>
      <c r="FI74">
        <f t="shared" ca="1" si="20"/>
        <v>1969</v>
      </c>
      <c r="FJ74">
        <f t="shared" ca="1" si="20"/>
        <v>1963</v>
      </c>
      <c r="FK74">
        <f t="shared" ca="1" si="20"/>
        <v>2014</v>
      </c>
      <c r="FL74">
        <f t="shared" ca="1" si="20"/>
        <v>1987</v>
      </c>
      <c r="FM74">
        <f t="shared" ca="1" si="20"/>
        <v>1987</v>
      </c>
      <c r="FN74">
        <f t="shared" ca="1" si="20"/>
        <v>1979</v>
      </c>
      <c r="FO74">
        <f t="shared" ca="1" si="20"/>
        <v>1979</v>
      </c>
      <c r="FP74">
        <f t="shared" ca="1" si="20"/>
        <v>2014</v>
      </c>
      <c r="FQ74">
        <f t="shared" ca="1" si="20"/>
        <v>2007</v>
      </c>
      <c r="FR74">
        <f t="shared" ca="1" si="20"/>
        <v>2014</v>
      </c>
      <c r="FS74">
        <f t="shared" ca="1" si="20"/>
        <v>1987</v>
      </c>
      <c r="FT74">
        <f t="shared" ca="1" si="20"/>
        <v>1987</v>
      </c>
      <c r="FU74">
        <f t="shared" ca="1" si="20"/>
        <v>1987</v>
      </c>
      <c r="FV74">
        <f t="shared" ca="1" si="20"/>
        <v>2014</v>
      </c>
      <c r="FW74">
        <f t="shared" ca="1" si="20"/>
        <v>2014</v>
      </c>
      <c r="FX74">
        <f t="shared" ca="1" si="20"/>
        <v>2014</v>
      </c>
      <c r="FY74">
        <f t="shared" ca="1" si="20"/>
        <v>2014</v>
      </c>
      <c r="FZ74">
        <f t="shared" ca="1" si="20"/>
        <v>1986</v>
      </c>
      <c r="GA74">
        <f t="shared" ca="1" si="20"/>
        <v>1986</v>
      </c>
      <c r="GB74">
        <f t="shared" ca="1" si="20"/>
        <v>1986</v>
      </c>
      <c r="GC74">
        <f t="shared" ca="1" si="20"/>
        <v>1986</v>
      </c>
      <c r="GD74">
        <f t="shared" ca="1" si="20"/>
        <v>1986</v>
      </c>
      <c r="GE74">
        <f t="shared" ca="1" si="20"/>
        <v>1986</v>
      </c>
      <c r="GF74">
        <f t="shared" ca="1" si="20"/>
        <v>2015</v>
      </c>
      <c r="GG74">
        <f t="shared" ca="1" si="20"/>
        <v>2007</v>
      </c>
      <c r="GH74">
        <f t="shared" ca="1" si="20"/>
        <v>2007</v>
      </c>
      <c r="GI74">
        <f t="shared" ca="1" si="20"/>
        <v>1973</v>
      </c>
      <c r="GJ74">
        <f t="shared" ca="1" si="20"/>
        <v>1973</v>
      </c>
      <c r="GK74">
        <f t="shared" ca="1" si="20"/>
        <v>1973</v>
      </c>
      <c r="GL74">
        <f t="shared" ca="1" si="20"/>
        <v>1973</v>
      </c>
      <c r="GM74">
        <f t="shared" ref="GM74:IX74" ca="1" si="21">INDIRECT((CONCATENATE("$A",MATCH(GM73,GM3:GM70,0)+2)))</f>
        <v>1973</v>
      </c>
      <c r="GN74">
        <f t="shared" ca="1" si="21"/>
        <v>1973</v>
      </c>
      <c r="GO74">
        <f t="shared" ca="1" si="21"/>
        <v>1973</v>
      </c>
      <c r="GP74">
        <f t="shared" ca="1" si="21"/>
        <v>2015</v>
      </c>
      <c r="GQ74">
        <f t="shared" ca="1" si="21"/>
        <v>1959</v>
      </c>
      <c r="GR74">
        <f t="shared" ca="1" si="21"/>
        <v>1959</v>
      </c>
      <c r="GS74">
        <f t="shared" ca="1" si="21"/>
        <v>1959</v>
      </c>
      <c r="GT74">
        <f t="shared" ca="1" si="21"/>
        <v>1959</v>
      </c>
      <c r="GU74">
        <f t="shared" ca="1" si="21"/>
        <v>1959</v>
      </c>
      <c r="GV74">
        <f t="shared" ca="1" si="21"/>
        <v>1959</v>
      </c>
      <c r="GW74">
        <f t="shared" ca="1" si="21"/>
        <v>1973</v>
      </c>
      <c r="GX74">
        <f t="shared" ca="1" si="21"/>
        <v>1973</v>
      </c>
      <c r="GY74">
        <f t="shared" ca="1" si="21"/>
        <v>1973</v>
      </c>
      <c r="GZ74">
        <f t="shared" ca="1" si="21"/>
        <v>1973</v>
      </c>
      <c r="HA74">
        <f t="shared" ca="1" si="21"/>
        <v>1973</v>
      </c>
      <c r="HB74">
        <f t="shared" ca="1" si="21"/>
        <v>2015</v>
      </c>
      <c r="HC74">
        <f t="shared" ca="1" si="21"/>
        <v>2015</v>
      </c>
      <c r="HD74">
        <f t="shared" ca="1" si="21"/>
        <v>1976</v>
      </c>
      <c r="HE74">
        <f t="shared" ca="1" si="21"/>
        <v>1976</v>
      </c>
      <c r="HF74">
        <f t="shared" ca="1" si="21"/>
        <v>1976</v>
      </c>
      <c r="HG74">
        <f t="shared" ca="1" si="21"/>
        <v>1976</v>
      </c>
      <c r="HH74">
        <f t="shared" ca="1" si="21"/>
        <v>1976</v>
      </c>
      <c r="HI74">
        <f t="shared" ca="1" si="21"/>
        <v>1976</v>
      </c>
      <c r="HJ74">
        <f t="shared" ca="1" si="21"/>
        <v>1956</v>
      </c>
      <c r="HK74">
        <f t="shared" ca="1" si="21"/>
        <v>1956</v>
      </c>
      <c r="HL74">
        <f t="shared" ca="1" si="21"/>
        <v>1956</v>
      </c>
      <c r="HM74">
        <f t="shared" ca="1" si="21"/>
        <v>1956</v>
      </c>
      <c r="HN74">
        <f t="shared" ca="1" si="21"/>
        <v>1956</v>
      </c>
      <c r="HO74">
        <f t="shared" ca="1" si="21"/>
        <v>1956</v>
      </c>
      <c r="HP74">
        <f t="shared" ca="1" si="21"/>
        <v>1956</v>
      </c>
      <c r="HQ74">
        <f t="shared" ca="1" si="21"/>
        <v>1986</v>
      </c>
      <c r="HR74">
        <f t="shared" ca="1" si="21"/>
        <v>1986</v>
      </c>
      <c r="HS74">
        <f t="shared" ca="1" si="21"/>
        <v>1986</v>
      </c>
      <c r="HT74">
        <f t="shared" ca="1" si="21"/>
        <v>1986</v>
      </c>
      <c r="HU74">
        <f t="shared" ca="1" si="21"/>
        <v>1986</v>
      </c>
      <c r="HV74">
        <f t="shared" ca="1" si="21"/>
        <v>1986</v>
      </c>
      <c r="HW74">
        <f t="shared" ca="1" si="21"/>
        <v>1986</v>
      </c>
      <c r="HX74">
        <f t="shared" ca="1" si="21"/>
        <v>2006</v>
      </c>
      <c r="HY74">
        <f t="shared" ca="1" si="21"/>
        <v>2006</v>
      </c>
      <c r="HZ74">
        <f t="shared" ca="1" si="21"/>
        <v>2006</v>
      </c>
      <c r="IA74">
        <f t="shared" ca="1" si="21"/>
        <v>2006</v>
      </c>
      <c r="IB74">
        <f t="shared" ca="1" si="21"/>
        <v>2006</v>
      </c>
      <c r="IC74">
        <f t="shared" ca="1" si="21"/>
        <v>2006</v>
      </c>
      <c r="ID74">
        <f t="shared" ca="1" si="21"/>
        <v>2006</v>
      </c>
      <c r="IE74">
        <f t="shared" ca="1" si="21"/>
        <v>2006</v>
      </c>
      <c r="IF74">
        <f t="shared" ca="1" si="21"/>
        <v>1992</v>
      </c>
      <c r="IG74">
        <f t="shared" ca="1" si="21"/>
        <v>1972</v>
      </c>
      <c r="IH74">
        <f t="shared" ca="1" si="21"/>
        <v>1975</v>
      </c>
      <c r="II74">
        <f t="shared" ca="1" si="21"/>
        <v>1975</v>
      </c>
      <c r="IJ74">
        <f t="shared" ca="1" si="21"/>
        <v>1975</v>
      </c>
      <c r="IK74">
        <f t="shared" ca="1" si="21"/>
        <v>1972</v>
      </c>
      <c r="IL74">
        <f t="shared" ca="1" si="21"/>
        <v>1972</v>
      </c>
      <c r="IM74">
        <f t="shared" ca="1" si="21"/>
        <v>1972</v>
      </c>
      <c r="IN74">
        <f t="shared" ca="1" si="21"/>
        <v>2006</v>
      </c>
      <c r="IO74">
        <f t="shared" ca="1" si="21"/>
        <v>2006</v>
      </c>
      <c r="IP74">
        <f t="shared" ca="1" si="21"/>
        <v>2006</v>
      </c>
      <c r="IQ74">
        <f t="shared" ca="1" si="21"/>
        <v>2006</v>
      </c>
      <c r="IR74">
        <f t="shared" ca="1" si="21"/>
        <v>2006</v>
      </c>
      <c r="IS74">
        <f t="shared" ca="1" si="21"/>
        <v>2006</v>
      </c>
      <c r="IT74">
        <f t="shared" ca="1" si="21"/>
        <v>2006</v>
      </c>
      <c r="IU74">
        <f t="shared" ca="1" si="21"/>
        <v>2006</v>
      </c>
      <c r="IV74">
        <f t="shared" ca="1" si="21"/>
        <v>2006</v>
      </c>
      <c r="IW74">
        <f t="shared" ca="1" si="21"/>
        <v>2006</v>
      </c>
      <c r="IX74">
        <f t="shared" ca="1" si="21"/>
        <v>2006</v>
      </c>
      <c r="IY74">
        <f t="shared" ref="IY74:LJ74" ca="1" si="22">INDIRECT((CONCATENATE("$A",MATCH(IY73,IY3:IY70,0)+2)))</f>
        <v>1992</v>
      </c>
      <c r="IZ74">
        <f t="shared" ca="1" si="22"/>
        <v>1992</v>
      </c>
      <c r="JA74">
        <f t="shared" ca="1" si="22"/>
        <v>1992</v>
      </c>
      <c r="JB74">
        <f t="shared" ca="1" si="22"/>
        <v>1959</v>
      </c>
      <c r="JC74">
        <f t="shared" ca="1" si="22"/>
        <v>1959</v>
      </c>
      <c r="JD74">
        <f t="shared" ca="1" si="22"/>
        <v>1959</v>
      </c>
      <c r="JE74">
        <f t="shared" ca="1" si="22"/>
        <v>1959</v>
      </c>
      <c r="JF74">
        <f t="shared" ca="1" si="22"/>
        <v>1959</v>
      </c>
      <c r="JG74">
        <f t="shared" ca="1" si="22"/>
        <v>1959</v>
      </c>
      <c r="JH74">
        <f t="shared" ca="1" si="22"/>
        <v>2011</v>
      </c>
      <c r="JI74">
        <f t="shared" ca="1" si="22"/>
        <v>2011</v>
      </c>
      <c r="JJ74">
        <f t="shared" ca="1" si="22"/>
        <v>2011</v>
      </c>
      <c r="JK74">
        <f t="shared" ca="1" si="22"/>
        <v>2011</v>
      </c>
      <c r="JL74">
        <f t="shared" ca="1" si="22"/>
        <v>2006</v>
      </c>
      <c r="JM74">
        <f t="shared" ca="1" si="22"/>
        <v>2006</v>
      </c>
      <c r="JN74">
        <f t="shared" ca="1" si="22"/>
        <v>2006</v>
      </c>
      <c r="JO74">
        <f t="shared" ca="1" si="22"/>
        <v>2006</v>
      </c>
      <c r="JP74">
        <f t="shared" ca="1" si="22"/>
        <v>2011</v>
      </c>
      <c r="JQ74">
        <f t="shared" ca="1" si="22"/>
        <v>2011</v>
      </c>
      <c r="JR74">
        <f t="shared" ca="1" si="22"/>
        <v>2011</v>
      </c>
      <c r="JS74">
        <f t="shared" ca="1" si="22"/>
        <v>2011</v>
      </c>
      <c r="JT74">
        <f t="shared" ca="1" si="22"/>
        <v>2011</v>
      </c>
      <c r="JU74">
        <f t="shared" ca="1" si="22"/>
        <v>2011</v>
      </c>
      <c r="JV74">
        <f t="shared" ca="1" si="22"/>
        <v>2011</v>
      </c>
      <c r="JW74">
        <f t="shared" ca="1" si="22"/>
        <v>2011</v>
      </c>
      <c r="JX74">
        <f t="shared" ca="1" si="22"/>
        <v>1984</v>
      </c>
      <c r="JY74">
        <f t="shared" ca="1" si="22"/>
        <v>1984</v>
      </c>
      <c r="JZ74">
        <f t="shared" ca="1" si="22"/>
        <v>1984</v>
      </c>
      <c r="KA74">
        <f t="shared" ca="1" si="22"/>
        <v>1984</v>
      </c>
      <c r="KB74">
        <f t="shared" ca="1" si="22"/>
        <v>1984</v>
      </c>
      <c r="KC74">
        <f t="shared" ca="1" si="22"/>
        <v>1984</v>
      </c>
      <c r="KD74">
        <f t="shared" ca="1" si="22"/>
        <v>1984</v>
      </c>
      <c r="KE74">
        <f t="shared" ca="1" si="22"/>
        <v>1984</v>
      </c>
      <c r="KF74">
        <f t="shared" ca="1" si="22"/>
        <v>1984</v>
      </c>
      <c r="KG74">
        <f t="shared" ca="1" si="22"/>
        <v>1984</v>
      </c>
      <c r="KH74">
        <f t="shared" ca="1" si="22"/>
        <v>1984</v>
      </c>
      <c r="KI74">
        <f t="shared" ca="1" si="22"/>
        <v>1984</v>
      </c>
      <c r="KJ74">
        <f t="shared" ca="1" si="22"/>
        <v>1994</v>
      </c>
      <c r="KK74">
        <f t="shared" ca="1" si="22"/>
        <v>1994</v>
      </c>
      <c r="KL74">
        <f t="shared" ca="1" si="22"/>
        <v>1994</v>
      </c>
      <c r="KM74">
        <f t="shared" ca="1" si="22"/>
        <v>1994</v>
      </c>
      <c r="KN74">
        <f t="shared" ca="1" si="22"/>
        <v>1994</v>
      </c>
      <c r="KO74">
        <f t="shared" ca="1" si="22"/>
        <v>1994</v>
      </c>
      <c r="KP74">
        <f t="shared" ca="1" si="22"/>
        <v>2011</v>
      </c>
      <c r="KQ74">
        <f t="shared" ca="1" si="22"/>
        <v>2011</v>
      </c>
      <c r="KR74">
        <f t="shared" ca="1" si="22"/>
        <v>2011</v>
      </c>
      <c r="KS74">
        <f t="shared" ca="1" si="22"/>
        <v>2011</v>
      </c>
      <c r="KT74">
        <f t="shared" ca="1" si="22"/>
        <v>1994</v>
      </c>
      <c r="KU74">
        <f t="shared" ca="1" si="22"/>
        <v>1994</v>
      </c>
      <c r="KV74">
        <f t="shared" ca="1" si="22"/>
        <v>1994</v>
      </c>
      <c r="KW74">
        <f t="shared" ca="1" si="22"/>
        <v>1994</v>
      </c>
      <c r="KX74">
        <f t="shared" ca="1" si="22"/>
        <v>2011</v>
      </c>
      <c r="KY74">
        <f t="shared" ca="1" si="22"/>
        <v>2011</v>
      </c>
      <c r="KZ74">
        <f t="shared" ca="1" si="22"/>
        <v>2011</v>
      </c>
      <c r="LA74">
        <f t="shared" ca="1" si="22"/>
        <v>2011</v>
      </c>
      <c r="LB74">
        <f t="shared" ca="1" si="22"/>
        <v>2011</v>
      </c>
      <c r="LC74">
        <f t="shared" ca="1" si="22"/>
        <v>2014</v>
      </c>
      <c r="LD74">
        <f t="shared" ca="1" si="22"/>
        <v>2014</v>
      </c>
      <c r="LE74">
        <f t="shared" ca="1" si="22"/>
        <v>2014</v>
      </c>
      <c r="LF74">
        <f t="shared" ca="1" si="22"/>
        <v>2014</v>
      </c>
      <c r="LG74">
        <f t="shared" ca="1" si="22"/>
        <v>2014</v>
      </c>
      <c r="LH74">
        <f t="shared" ca="1" si="22"/>
        <v>2014</v>
      </c>
      <c r="LI74">
        <f t="shared" ca="1" si="22"/>
        <v>2014</v>
      </c>
      <c r="LJ74">
        <f t="shared" ca="1" si="22"/>
        <v>1994</v>
      </c>
      <c r="LK74">
        <f t="shared" ref="LK74:NT74" ca="1" si="23">INDIRECT((CONCATENATE("$A",MATCH(LK73,LK3:LK70,0)+2)))</f>
        <v>1994</v>
      </c>
      <c r="LL74">
        <f t="shared" ca="1" si="23"/>
        <v>2014</v>
      </c>
      <c r="LM74">
        <f t="shared" ca="1" si="23"/>
        <v>1994</v>
      </c>
      <c r="LN74">
        <f t="shared" ca="1" si="23"/>
        <v>2011</v>
      </c>
      <c r="LO74">
        <f t="shared" ca="1" si="23"/>
        <v>1994</v>
      </c>
      <c r="LP74">
        <f t="shared" ca="1" si="23"/>
        <v>2014</v>
      </c>
      <c r="LQ74">
        <f t="shared" ca="1" si="23"/>
        <v>1994</v>
      </c>
      <c r="LR74">
        <f t="shared" ca="1" si="23"/>
        <v>1994</v>
      </c>
      <c r="LS74">
        <f t="shared" ca="1" si="23"/>
        <v>1994</v>
      </c>
      <c r="LT74">
        <f t="shared" ca="1" si="23"/>
        <v>1994</v>
      </c>
      <c r="LU74">
        <f t="shared" ca="1" si="23"/>
        <v>1994</v>
      </c>
      <c r="LV74">
        <f t="shared" ca="1" si="23"/>
        <v>2011</v>
      </c>
      <c r="LW74">
        <f t="shared" ca="1" si="23"/>
        <v>2011</v>
      </c>
      <c r="LX74">
        <f t="shared" ca="1" si="23"/>
        <v>2014</v>
      </c>
      <c r="LY74">
        <f t="shared" ca="1" si="23"/>
        <v>2014</v>
      </c>
      <c r="LZ74">
        <f t="shared" ca="1" si="23"/>
        <v>2014</v>
      </c>
      <c r="MA74">
        <f t="shared" ca="1" si="23"/>
        <v>2014</v>
      </c>
      <c r="MB74">
        <f t="shared" ca="1" si="23"/>
        <v>2014</v>
      </c>
      <c r="MC74">
        <f t="shared" ca="1" si="23"/>
        <v>2014</v>
      </c>
      <c r="MD74">
        <f t="shared" ca="1" si="23"/>
        <v>2014</v>
      </c>
      <c r="ME74">
        <f t="shared" ca="1" si="23"/>
        <v>2014</v>
      </c>
      <c r="MF74">
        <f t="shared" ca="1" si="23"/>
        <v>2014</v>
      </c>
      <c r="MG74">
        <f t="shared" ca="1" si="23"/>
        <v>2014</v>
      </c>
      <c r="MH74">
        <f t="shared" ca="1" si="23"/>
        <v>2014</v>
      </c>
      <c r="MI74">
        <f t="shared" ca="1" si="23"/>
        <v>2014</v>
      </c>
      <c r="MJ74">
        <f t="shared" ca="1" si="23"/>
        <v>2014</v>
      </c>
      <c r="MK74">
        <f t="shared" ca="1" si="23"/>
        <v>2014</v>
      </c>
      <c r="ML74">
        <f t="shared" ca="1" si="23"/>
        <v>2014</v>
      </c>
      <c r="MM74">
        <f t="shared" ca="1" si="23"/>
        <v>2014</v>
      </c>
      <c r="MN74">
        <f t="shared" ca="1" si="23"/>
        <v>2014</v>
      </c>
      <c r="MO74">
        <f t="shared" ca="1" si="23"/>
        <v>2014</v>
      </c>
      <c r="MP74">
        <f t="shared" ca="1" si="23"/>
        <v>2014</v>
      </c>
      <c r="MQ74">
        <f t="shared" ca="1" si="23"/>
        <v>1994</v>
      </c>
      <c r="MR74">
        <f t="shared" ca="1" si="23"/>
        <v>1994</v>
      </c>
      <c r="MS74">
        <f t="shared" ca="1" si="23"/>
        <v>1994</v>
      </c>
      <c r="MT74">
        <f t="shared" ca="1" si="23"/>
        <v>1992</v>
      </c>
      <c r="MU74">
        <f t="shared" ca="1" si="23"/>
        <v>1992</v>
      </c>
      <c r="MV74">
        <f t="shared" ca="1" si="23"/>
        <v>1992</v>
      </c>
      <c r="MW74">
        <f t="shared" ca="1" si="23"/>
        <v>1994</v>
      </c>
      <c r="MX74">
        <f t="shared" ca="1" si="23"/>
        <v>1994</v>
      </c>
      <c r="MY74">
        <f t="shared" ca="1" si="23"/>
        <v>1994</v>
      </c>
      <c r="MZ74">
        <f t="shared" ca="1" si="23"/>
        <v>1994</v>
      </c>
      <c r="NA74">
        <f t="shared" ca="1" si="23"/>
        <v>1994</v>
      </c>
      <c r="NB74">
        <f t="shared" ca="1" si="23"/>
        <v>1994</v>
      </c>
      <c r="NC74">
        <f t="shared" ca="1" si="23"/>
        <v>1994</v>
      </c>
      <c r="ND74">
        <f t="shared" ca="1" si="23"/>
        <v>1995</v>
      </c>
      <c r="NE74">
        <f t="shared" ca="1" si="23"/>
        <v>1995</v>
      </c>
      <c r="NF74">
        <f t="shared" ca="1" si="23"/>
        <v>1995</v>
      </c>
      <c r="NG74">
        <f t="shared" ca="1" si="23"/>
        <v>1995</v>
      </c>
      <c r="NH74">
        <f t="shared" ca="1" si="23"/>
        <v>1969</v>
      </c>
      <c r="NI74">
        <f t="shared" ca="1" si="23"/>
        <v>1969</v>
      </c>
      <c r="NJ74">
        <f t="shared" ca="1" si="23"/>
        <v>1973</v>
      </c>
      <c r="NK74">
        <f t="shared" ca="1" si="23"/>
        <v>2006</v>
      </c>
      <c r="NL74">
        <f t="shared" ca="1" si="23"/>
        <v>2006</v>
      </c>
      <c r="NM74">
        <f t="shared" ca="1" si="23"/>
        <v>1984</v>
      </c>
      <c r="NN74">
        <f t="shared" ca="1" si="23"/>
        <v>1994</v>
      </c>
      <c r="NO74">
        <f t="shared" ca="1" si="23"/>
        <v>2014</v>
      </c>
      <c r="NP74">
        <f t="shared" ca="1" si="23"/>
        <v>2011</v>
      </c>
      <c r="NQ74">
        <f t="shared" ca="1" si="23"/>
        <v>1967</v>
      </c>
      <c r="NR74">
        <f t="shared" ca="1" si="23"/>
        <v>1994</v>
      </c>
      <c r="NS74">
        <f t="shared" ca="1" si="23"/>
        <v>1995</v>
      </c>
      <c r="NT74">
        <f t="shared" ca="1" si="23"/>
        <v>2004</v>
      </c>
    </row>
    <row r="75" spans="1:395" customFormat="1" x14ac:dyDescent="0.15">
      <c r="A75" s="9" t="s">
        <v>38</v>
      </c>
      <c r="B75" s="5">
        <f>AVERAGE(B3:B69)</f>
        <v>1552.1692307692308</v>
      </c>
      <c r="C75" s="5">
        <f t="shared" ref="C75:BN75" si="24">AVERAGE(C3:C69)</f>
        <v>1564.2461538461539</v>
      </c>
      <c r="D75" s="5">
        <f t="shared" si="24"/>
        <v>1576.4615384615386</v>
      </c>
      <c r="E75" s="5">
        <f t="shared" si="24"/>
        <v>1574.7692307692307</v>
      </c>
      <c r="F75" s="5">
        <f t="shared" si="24"/>
        <v>1567.0769230769231</v>
      </c>
      <c r="G75" s="5">
        <f t="shared" si="24"/>
        <v>1564.7692307692307</v>
      </c>
      <c r="H75" s="5">
        <f t="shared" si="24"/>
        <v>1551.0461538461539</v>
      </c>
      <c r="I75" s="5">
        <f t="shared" si="24"/>
        <v>1542.8</v>
      </c>
      <c r="J75" s="5">
        <f t="shared" si="24"/>
        <v>1528.4769230769232</v>
      </c>
      <c r="K75" s="5">
        <f t="shared" si="24"/>
        <v>1515.2615384615385</v>
      </c>
      <c r="L75" s="5">
        <f t="shared" si="24"/>
        <v>1498.6153846153845</v>
      </c>
      <c r="M75" s="5">
        <f t="shared" si="24"/>
        <v>1496.1846153846154</v>
      </c>
      <c r="N75" s="5">
        <f t="shared" si="24"/>
        <v>1495.0615384615385</v>
      </c>
      <c r="O75" s="5">
        <f t="shared" si="24"/>
        <v>1477.1692307692308</v>
      </c>
      <c r="P75" s="5">
        <f t="shared" si="24"/>
        <v>1460.9384615384615</v>
      </c>
      <c r="Q75" s="5">
        <f t="shared" si="24"/>
        <v>1464.7230769230769</v>
      </c>
      <c r="R75" s="5">
        <f t="shared" si="24"/>
        <v>1444.7384615384615</v>
      </c>
      <c r="S75" s="5">
        <f t="shared" si="24"/>
        <v>1441.7076923076922</v>
      </c>
      <c r="T75" s="5">
        <f t="shared" si="24"/>
        <v>1441.7846153846153</v>
      </c>
      <c r="U75" s="5">
        <f t="shared" si="24"/>
        <v>1435.7846153846153</v>
      </c>
      <c r="V75" s="5">
        <f t="shared" si="24"/>
        <v>1423.4923076923078</v>
      </c>
      <c r="W75" s="5">
        <f t="shared" si="24"/>
        <v>1407.5076923076922</v>
      </c>
      <c r="X75" s="5">
        <f t="shared" si="24"/>
        <v>1398.4461538461539</v>
      </c>
      <c r="Y75" s="5">
        <f t="shared" si="24"/>
        <v>1400.0461538461539</v>
      </c>
      <c r="Z75" s="5">
        <f t="shared" si="24"/>
        <v>1392.8461538461538</v>
      </c>
      <c r="AA75" s="5">
        <f t="shared" si="24"/>
        <v>1385</v>
      </c>
      <c r="AB75" s="5">
        <f t="shared" si="24"/>
        <v>1388.0769230769231</v>
      </c>
      <c r="AC75" s="5">
        <f t="shared" si="24"/>
        <v>1368.3538461538462</v>
      </c>
      <c r="AD75" s="5">
        <f t="shared" si="24"/>
        <v>1352.8923076923077</v>
      </c>
      <c r="AE75" s="5">
        <f t="shared" si="24"/>
        <v>1346.3076923076924</v>
      </c>
      <c r="AF75" s="5">
        <f t="shared" si="24"/>
        <v>1340.7384615384615</v>
      </c>
      <c r="AG75" s="5">
        <f t="shared" si="24"/>
        <v>1342.8153846153846</v>
      </c>
      <c r="AH75" s="5">
        <f t="shared" si="24"/>
        <v>1335.0923076923077</v>
      </c>
      <c r="AI75" s="5">
        <f t="shared" si="24"/>
        <v>1331.8615384615384</v>
      </c>
      <c r="AJ75" s="5">
        <f t="shared" si="24"/>
        <v>1327.5076923076922</v>
      </c>
      <c r="AK75" s="5">
        <f t="shared" si="24"/>
        <v>1310.6923076923076</v>
      </c>
      <c r="AL75" s="5">
        <f t="shared" si="24"/>
        <v>1307.3692307692309</v>
      </c>
      <c r="AM75" s="5">
        <f t="shared" si="24"/>
        <v>1303.5692307692307</v>
      </c>
      <c r="AN75" s="5">
        <f t="shared" si="24"/>
        <v>1295.3538461538462</v>
      </c>
      <c r="AO75" s="5">
        <f t="shared" si="24"/>
        <v>1278.7846153846153</v>
      </c>
      <c r="AP75" s="5">
        <f t="shared" si="24"/>
        <v>1274.123076923077</v>
      </c>
      <c r="AQ75" s="5">
        <f t="shared" si="24"/>
        <v>1278.9846153846154</v>
      </c>
      <c r="AR75" s="5">
        <f t="shared" si="24"/>
        <v>1280.8153846153846</v>
      </c>
      <c r="AS75" s="5">
        <f t="shared" si="24"/>
        <v>1276.8461538461538</v>
      </c>
      <c r="AT75" s="5">
        <f t="shared" si="24"/>
        <v>1268.6461538461538</v>
      </c>
      <c r="AU75" s="5">
        <f t="shared" si="24"/>
        <v>1266.6153846153845</v>
      </c>
      <c r="AV75" s="5">
        <f t="shared" si="24"/>
        <v>1267.4000000000001</v>
      </c>
      <c r="AW75" s="5">
        <f t="shared" si="24"/>
        <v>1263.0307692307692</v>
      </c>
      <c r="AX75" s="5">
        <f t="shared" si="24"/>
        <v>1252.7692307692307</v>
      </c>
      <c r="AY75" s="5">
        <f t="shared" si="24"/>
        <v>1250.5999999999999</v>
      </c>
      <c r="AZ75" s="5">
        <f t="shared" si="24"/>
        <v>1242.9230769230769</v>
      </c>
      <c r="BA75" s="5">
        <f t="shared" si="24"/>
        <v>1236.9846153846154</v>
      </c>
      <c r="BB75" s="5">
        <f t="shared" si="24"/>
        <v>1231</v>
      </c>
      <c r="BC75" s="5">
        <f t="shared" si="24"/>
        <v>1217.8923076923077</v>
      </c>
      <c r="BD75" s="5">
        <f t="shared" si="24"/>
        <v>1216.7384615384615</v>
      </c>
      <c r="BE75" s="5">
        <f t="shared" si="24"/>
        <v>1216.4615384615386</v>
      </c>
      <c r="BF75" s="5">
        <f t="shared" si="24"/>
        <v>1215.7076923076922</v>
      </c>
      <c r="BG75" s="5">
        <f t="shared" si="24"/>
        <v>1213.7076923076922</v>
      </c>
      <c r="BH75" s="5">
        <f t="shared" si="24"/>
        <v>1219.5999999999999</v>
      </c>
      <c r="BI75" s="5">
        <f t="shared" si="24"/>
        <v>1226.0588235294117</v>
      </c>
      <c r="BJ75" s="5">
        <f t="shared" si="24"/>
        <v>1221.7538461538461</v>
      </c>
      <c r="BK75" s="5">
        <f t="shared" si="24"/>
        <v>1217.2153846153847</v>
      </c>
      <c r="BL75" s="5">
        <f t="shared" si="24"/>
        <v>1212.2615384615385</v>
      </c>
      <c r="BM75" s="5">
        <f t="shared" si="24"/>
        <v>1207.876923076923</v>
      </c>
      <c r="BN75" s="5">
        <f t="shared" si="24"/>
        <v>1211.4615384615386</v>
      </c>
      <c r="BO75" s="5">
        <f t="shared" ref="BO75:DZ75" si="25">AVERAGE(BO3:BO69)</f>
        <v>1209.7384615384615</v>
      </c>
      <c r="BP75" s="5">
        <f t="shared" si="25"/>
        <v>1206.2615384615385</v>
      </c>
      <c r="BQ75" s="5">
        <f t="shared" si="25"/>
        <v>1199.4307692307693</v>
      </c>
      <c r="BR75" s="5">
        <f t="shared" si="25"/>
        <v>1205.2</v>
      </c>
      <c r="BS75" s="5">
        <f t="shared" si="25"/>
        <v>1212.6461538461538</v>
      </c>
      <c r="BT75" s="5">
        <f t="shared" si="25"/>
        <v>1219.4461538461539</v>
      </c>
      <c r="BU75" s="5">
        <f t="shared" si="25"/>
        <v>1216.123076923077</v>
      </c>
      <c r="BV75" s="5">
        <f t="shared" si="25"/>
        <v>1216.1384615384616</v>
      </c>
      <c r="BW75" s="5">
        <f t="shared" si="25"/>
        <v>1200.2461538461539</v>
      </c>
      <c r="BX75" s="5">
        <f t="shared" si="25"/>
        <v>1196.1384615384616</v>
      </c>
      <c r="BY75" s="5">
        <f t="shared" si="25"/>
        <v>1199.123076923077</v>
      </c>
      <c r="BZ75" s="5">
        <f t="shared" si="25"/>
        <v>1200.323076923077</v>
      </c>
      <c r="CA75" s="5">
        <f t="shared" si="25"/>
        <v>1199.5692307692307</v>
      </c>
      <c r="CB75" s="5">
        <f t="shared" si="25"/>
        <v>1197.3692307692309</v>
      </c>
      <c r="CC75" s="5">
        <f t="shared" si="25"/>
        <v>1206.1538461538462</v>
      </c>
      <c r="CD75" s="5">
        <f t="shared" si="25"/>
        <v>1204.5076923076922</v>
      </c>
      <c r="CE75" s="5">
        <f t="shared" si="25"/>
        <v>1197.6307692307691</v>
      </c>
      <c r="CF75" s="5">
        <f t="shared" si="25"/>
        <v>1204.7384615384615</v>
      </c>
      <c r="CG75" s="5">
        <f t="shared" si="25"/>
        <v>1201.6615384615384</v>
      </c>
      <c r="CH75" s="5">
        <f t="shared" si="25"/>
        <v>1206.5692307692307</v>
      </c>
      <c r="CI75" s="5">
        <f t="shared" si="25"/>
        <v>1227.0153846153846</v>
      </c>
      <c r="CJ75" s="5">
        <f t="shared" si="25"/>
        <v>1221.9692307692308</v>
      </c>
      <c r="CK75" s="5">
        <f t="shared" si="25"/>
        <v>1226.9076923076923</v>
      </c>
      <c r="CL75" s="5">
        <f t="shared" si="25"/>
        <v>1225.8</v>
      </c>
      <c r="CM75" s="5">
        <f t="shared" si="25"/>
        <v>1218.6307692307691</v>
      </c>
      <c r="CN75" s="5">
        <f t="shared" si="25"/>
        <v>1224.8</v>
      </c>
      <c r="CO75" s="5">
        <f t="shared" si="25"/>
        <v>1230.7230769230769</v>
      </c>
      <c r="CP75" s="5">
        <f t="shared" si="25"/>
        <v>1240.0769230769231</v>
      </c>
      <c r="CQ75" s="5">
        <f t="shared" si="25"/>
        <v>1239.7692307692307</v>
      </c>
      <c r="CR75" s="5">
        <f t="shared" si="25"/>
        <v>1251.1846153846154</v>
      </c>
      <c r="CS75" s="5">
        <f t="shared" si="25"/>
        <v>1254.1846153846154</v>
      </c>
      <c r="CT75" s="5">
        <f t="shared" si="25"/>
        <v>1247.3384615384616</v>
      </c>
      <c r="CU75" s="5">
        <f t="shared" si="25"/>
        <v>1246.7230769230769</v>
      </c>
      <c r="CV75" s="5">
        <f t="shared" si="25"/>
        <v>1246.5846153846153</v>
      </c>
      <c r="CW75" s="5">
        <f t="shared" si="25"/>
        <v>1274.6307692307691</v>
      </c>
      <c r="CX75" s="5">
        <f t="shared" si="25"/>
        <v>1283.5692307692307</v>
      </c>
      <c r="CY75" s="5">
        <f t="shared" si="25"/>
        <v>1290.2769230769231</v>
      </c>
      <c r="CZ75" s="5">
        <f t="shared" si="25"/>
        <v>1283.323076923077</v>
      </c>
      <c r="DA75" s="5">
        <f t="shared" si="25"/>
        <v>1280.1692307692308</v>
      </c>
      <c r="DB75" s="5">
        <f t="shared" si="25"/>
        <v>1289.1384615384616</v>
      </c>
      <c r="DC75" s="5">
        <f t="shared" si="25"/>
        <v>1292.8</v>
      </c>
      <c r="DD75" s="5">
        <f t="shared" si="25"/>
        <v>1300.6923076923076</v>
      </c>
      <c r="DE75" s="5">
        <f t="shared" si="25"/>
        <v>1312.7384615384615</v>
      </c>
      <c r="DF75" s="5">
        <f t="shared" si="25"/>
        <v>1321.1384615384616</v>
      </c>
      <c r="DG75" s="5">
        <f t="shared" si="25"/>
        <v>1323.9230769230769</v>
      </c>
      <c r="DH75" s="5">
        <f t="shared" si="25"/>
        <v>1333.4</v>
      </c>
      <c r="DI75" s="5">
        <f t="shared" si="25"/>
        <v>1347.5538461538461</v>
      </c>
      <c r="DJ75" s="5">
        <f t="shared" si="25"/>
        <v>1369.7076923076922</v>
      </c>
      <c r="DK75" s="5">
        <f t="shared" si="25"/>
        <v>1390.8923076923077</v>
      </c>
      <c r="DL75" s="5">
        <f t="shared" si="25"/>
        <v>1406.7076923076922</v>
      </c>
      <c r="DM75" s="5">
        <f t="shared" si="25"/>
        <v>1424.9846153846154</v>
      </c>
      <c r="DN75" s="5">
        <f t="shared" si="25"/>
        <v>1455.4769230769232</v>
      </c>
      <c r="DO75" s="5">
        <f t="shared" si="25"/>
        <v>1503.6615384615384</v>
      </c>
      <c r="DP75" s="5">
        <f t="shared" si="25"/>
        <v>1552.3384615384616</v>
      </c>
      <c r="DQ75" s="5">
        <f t="shared" si="25"/>
        <v>1578</v>
      </c>
      <c r="DR75" s="5">
        <f t="shared" si="25"/>
        <v>1595</v>
      </c>
      <c r="DS75" s="5">
        <f t="shared" si="25"/>
        <v>1605.6923076923076</v>
      </c>
      <c r="DT75" s="5">
        <f t="shared" si="25"/>
        <v>1585.4461538461539</v>
      </c>
      <c r="DU75" s="5">
        <f t="shared" si="25"/>
        <v>1568.4769230769232</v>
      </c>
      <c r="DV75" s="5">
        <f t="shared" si="25"/>
        <v>1596.1692307692308</v>
      </c>
      <c r="DW75" s="5">
        <f t="shared" si="25"/>
        <v>1619.0615384615385</v>
      </c>
      <c r="DX75" s="5">
        <f t="shared" si="25"/>
        <v>1660.3076923076924</v>
      </c>
      <c r="DY75" s="5">
        <f t="shared" si="25"/>
        <v>1689.6307692307691</v>
      </c>
      <c r="DZ75" s="5">
        <f t="shared" si="25"/>
        <v>1727.7846153846153</v>
      </c>
      <c r="EA75" s="5">
        <f t="shared" ref="EA75:GL75" si="26">AVERAGE(EA3:EA69)</f>
        <v>1760.4153846153847</v>
      </c>
      <c r="EB75" s="5">
        <f t="shared" si="26"/>
        <v>1778.7230769230769</v>
      </c>
      <c r="EC75" s="5">
        <f t="shared" si="26"/>
        <v>1777.323076923077</v>
      </c>
      <c r="ED75" s="5">
        <f t="shared" si="26"/>
        <v>1769.9230769230769</v>
      </c>
      <c r="EE75" s="5">
        <f t="shared" si="26"/>
        <v>1806.4615384615386</v>
      </c>
      <c r="EF75" s="5">
        <f t="shared" si="26"/>
        <v>1838.6923076923076</v>
      </c>
      <c r="EG75" s="5">
        <f t="shared" si="26"/>
        <v>1864.8307692307692</v>
      </c>
      <c r="EH75" s="5">
        <f t="shared" si="26"/>
        <v>1897.9538461538461</v>
      </c>
      <c r="EI75" s="5">
        <f t="shared" si="26"/>
        <v>1942.3692307692309</v>
      </c>
      <c r="EJ75" s="5">
        <f t="shared" si="26"/>
        <v>1985.9076923076923</v>
      </c>
      <c r="EK75" s="5">
        <f t="shared" si="26"/>
        <v>2001.7538461538461</v>
      </c>
      <c r="EL75" s="5">
        <f t="shared" si="26"/>
        <v>2026.6153846153845</v>
      </c>
      <c r="EM75" s="5">
        <f t="shared" si="26"/>
        <v>2045.6923076923076</v>
      </c>
      <c r="EN75" s="5">
        <f t="shared" si="26"/>
        <v>2093.8307692307694</v>
      </c>
      <c r="EO75" s="5">
        <f t="shared" si="26"/>
        <v>2136.3692307692309</v>
      </c>
      <c r="EP75" s="5">
        <f t="shared" si="26"/>
        <v>2169.0769230769229</v>
      </c>
      <c r="EQ75" s="5">
        <f t="shared" si="26"/>
        <v>2188.3076923076924</v>
      </c>
      <c r="ER75" s="5">
        <f t="shared" si="26"/>
        <v>2214.3076923076924</v>
      </c>
      <c r="ES75" s="5">
        <f t="shared" si="26"/>
        <v>2266.3076923076924</v>
      </c>
      <c r="ET75" s="5">
        <f t="shared" si="26"/>
        <v>2341.5384615384614</v>
      </c>
      <c r="EU75" s="5">
        <f t="shared" si="26"/>
        <v>2398.3076923076924</v>
      </c>
      <c r="EV75" s="5">
        <f t="shared" si="26"/>
        <v>2435.2307692307691</v>
      </c>
      <c r="EW75" s="5">
        <f t="shared" si="26"/>
        <v>2476.1538461538462</v>
      </c>
      <c r="EX75" s="5">
        <f t="shared" si="26"/>
        <v>2545.2307692307691</v>
      </c>
      <c r="EY75" s="5">
        <f t="shared" si="26"/>
        <v>2640.8153846153846</v>
      </c>
      <c r="EZ75" s="5">
        <f t="shared" si="26"/>
        <v>2745.0769230769229</v>
      </c>
      <c r="FA75" s="5">
        <f t="shared" si="26"/>
        <v>2779.0769230769229</v>
      </c>
      <c r="FB75" s="5">
        <f t="shared" si="26"/>
        <v>2833.8461538461538</v>
      </c>
      <c r="FC75" s="5">
        <f t="shared" si="26"/>
        <v>2901.0769230769229</v>
      </c>
      <c r="FD75" s="5">
        <f t="shared" si="26"/>
        <v>2977.2307692307691</v>
      </c>
      <c r="FE75" s="5">
        <f t="shared" si="26"/>
        <v>3053.3846153846152</v>
      </c>
      <c r="FF75" s="5">
        <f t="shared" si="26"/>
        <v>3119.8461538461538</v>
      </c>
      <c r="FG75" s="5">
        <f t="shared" si="26"/>
        <v>3186.1538461538462</v>
      </c>
      <c r="FH75" s="5">
        <f t="shared" si="26"/>
        <v>3265.3846153846152</v>
      </c>
      <c r="FI75" s="5">
        <f t="shared" si="26"/>
        <v>3337.8461538461538</v>
      </c>
      <c r="FJ75" s="5">
        <f t="shared" si="26"/>
        <v>3416.4615384615386</v>
      </c>
      <c r="FK75" s="5">
        <f t="shared" si="26"/>
        <v>3519.5384615384614</v>
      </c>
      <c r="FL75" s="5">
        <f t="shared" si="26"/>
        <v>3704.3076923076924</v>
      </c>
      <c r="FM75" s="5">
        <f t="shared" si="26"/>
        <v>3893.5384615384614</v>
      </c>
      <c r="FN75" s="5">
        <f t="shared" si="26"/>
        <v>4045.0769230769229</v>
      </c>
      <c r="FO75" s="5">
        <f t="shared" si="26"/>
        <v>4206</v>
      </c>
      <c r="FP75" s="5">
        <f t="shared" si="26"/>
        <v>4450</v>
      </c>
      <c r="FQ75" s="5">
        <f t="shared" si="26"/>
        <v>4658.4615384615381</v>
      </c>
      <c r="FR75" s="5">
        <f t="shared" si="26"/>
        <v>4898.6153846153848</v>
      </c>
      <c r="FS75" s="5">
        <f t="shared" si="26"/>
        <v>5178.3076923076924</v>
      </c>
      <c r="FT75" s="5">
        <f t="shared" si="26"/>
        <v>5258.6153846153848</v>
      </c>
      <c r="FU75" s="5">
        <f t="shared" si="26"/>
        <v>5300.4615384615381</v>
      </c>
      <c r="FV75" s="5">
        <f t="shared" si="26"/>
        <v>5476</v>
      </c>
      <c r="FW75" s="5">
        <f t="shared" si="26"/>
        <v>5740.6153846153848</v>
      </c>
      <c r="FX75" s="5">
        <f t="shared" si="26"/>
        <v>5935.2307692307695</v>
      </c>
      <c r="FY75" s="5">
        <f t="shared" si="26"/>
        <v>6214.3076923076924</v>
      </c>
      <c r="FZ75" s="5">
        <f t="shared" si="26"/>
        <v>6404.9230769230771</v>
      </c>
      <c r="GA75" s="5">
        <f t="shared" si="26"/>
        <v>6502.6153846153848</v>
      </c>
      <c r="GB75" s="5">
        <f t="shared" si="26"/>
        <v>6756.4615384615381</v>
      </c>
      <c r="GC75" s="5">
        <f t="shared" si="26"/>
        <v>6936.7692307692305</v>
      </c>
      <c r="GD75" s="5">
        <f t="shared" si="26"/>
        <v>7078.1538461538457</v>
      </c>
      <c r="GE75" s="5">
        <f t="shared" si="26"/>
        <v>7143.0769230769229</v>
      </c>
      <c r="GF75" s="5">
        <f t="shared" si="26"/>
        <v>7211.5384615384619</v>
      </c>
      <c r="GG75" s="5">
        <f t="shared" si="26"/>
        <v>7448.7692307692305</v>
      </c>
      <c r="GH75" s="5">
        <f t="shared" si="26"/>
        <v>7622.3076923076924</v>
      </c>
      <c r="GI75" s="5">
        <f t="shared" si="26"/>
        <v>7879.8461538461543</v>
      </c>
      <c r="GJ75" s="5">
        <f t="shared" si="26"/>
        <v>8146</v>
      </c>
      <c r="GK75" s="5">
        <f t="shared" si="26"/>
        <v>8344.7692307692305</v>
      </c>
      <c r="GL75" s="5">
        <f t="shared" si="26"/>
        <v>8415.6923076923085</v>
      </c>
      <c r="GM75" s="5">
        <f t="shared" ref="GM75:IX75" si="27">AVERAGE(GM3:GM69)</f>
        <v>8524.9230769230762</v>
      </c>
      <c r="GN75" s="5">
        <f t="shared" si="27"/>
        <v>8460.461538461539</v>
      </c>
      <c r="GO75" s="5">
        <f t="shared" si="27"/>
        <v>8416.6153846153848</v>
      </c>
      <c r="GP75" s="5">
        <f t="shared" si="27"/>
        <v>8558.461538461539</v>
      </c>
      <c r="GQ75" s="5">
        <f t="shared" si="27"/>
        <v>8894.461538461539</v>
      </c>
      <c r="GR75" s="5">
        <f t="shared" si="27"/>
        <v>8885.6923076923085</v>
      </c>
      <c r="GS75" s="5">
        <f t="shared" si="27"/>
        <v>8786</v>
      </c>
      <c r="GT75" s="5">
        <f t="shared" si="27"/>
        <v>8713.6923076923085</v>
      </c>
      <c r="GU75" s="5">
        <f t="shared" si="27"/>
        <v>8704.6153846153848</v>
      </c>
      <c r="GV75" s="5">
        <f t="shared" si="27"/>
        <v>8598.1538461538457</v>
      </c>
      <c r="GW75" s="5">
        <f t="shared" si="27"/>
        <v>8462.1538461538457</v>
      </c>
      <c r="GX75" s="5">
        <f t="shared" si="27"/>
        <v>8491.2307692307695</v>
      </c>
      <c r="GY75" s="5">
        <f t="shared" si="27"/>
        <v>8689.3846153846152</v>
      </c>
      <c r="GZ75" s="5">
        <f t="shared" si="27"/>
        <v>8738.7692307692305</v>
      </c>
      <c r="HA75" s="5">
        <f t="shared" si="27"/>
        <v>8693.3846153846152</v>
      </c>
      <c r="HB75" s="5">
        <f t="shared" si="27"/>
        <v>8684.7692307692305</v>
      </c>
      <c r="HC75" s="5">
        <f t="shared" si="27"/>
        <v>8715.0769230769238</v>
      </c>
      <c r="HD75" s="5">
        <f t="shared" si="27"/>
        <v>8644.9230769230762</v>
      </c>
      <c r="HE75" s="5">
        <f t="shared" si="27"/>
        <v>8577.0769230769238</v>
      </c>
      <c r="HF75" s="5">
        <f t="shared" si="27"/>
        <v>8648.1538461538457</v>
      </c>
      <c r="HG75" s="5">
        <f t="shared" si="27"/>
        <v>8803.3846153846152</v>
      </c>
      <c r="HH75" s="5">
        <f t="shared" si="27"/>
        <v>8889.0769230769238</v>
      </c>
      <c r="HI75" s="5">
        <f t="shared" si="27"/>
        <v>8918.1538461538457</v>
      </c>
      <c r="HJ75" s="5">
        <f t="shared" si="27"/>
        <v>8943.3846153846152</v>
      </c>
      <c r="HK75" s="5">
        <f t="shared" si="27"/>
        <v>8970.3076923076915</v>
      </c>
      <c r="HL75" s="5">
        <f t="shared" si="27"/>
        <v>8912.7692307692305</v>
      </c>
      <c r="HM75" s="5">
        <f t="shared" si="27"/>
        <v>8852.461538461539</v>
      </c>
      <c r="HN75" s="5">
        <f t="shared" si="27"/>
        <v>8748</v>
      </c>
      <c r="HO75" s="5">
        <f t="shared" si="27"/>
        <v>8651.3846153846152</v>
      </c>
      <c r="HP75" s="5">
        <f t="shared" si="27"/>
        <v>8636.3076923076915</v>
      </c>
      <c r="HQ75" s="5">
        <f t="shared" si="27"/>
        <v>8736.461538461539</v>
      </c>
      <c r="HR75" s="5">
        <f t="shared" si="27"/>
        <v>8832.7692307692305</v>
      </c>
      <c r="HS75" s="5">
        <f t="shared" si="27"/>
        <v>8938.3076923076915</v>
      </c>
      <c r="HT75" s="5">
        <f t="shared" si="27"/>
        <v>8926</v>
      </c>
      <c r="HU75" s="5">
        <f t="shared" si="27"/>
        <v>8823.2307692307695</v>
      </c>
      <c r="HV75" s="5">
        <f t="shared" si="27"/>
        <v>8709.6923076923085</v>
      </c>
      <c r="HW75" s="5">
        <f t="shared" si="27"/>
        <v>8760</v>
      </c>
      <c r="HX75" s="5">
        <f t="shared" si="27"/>
        <v>8893.8461538461543</v>
      </c>
      <c r="HY75" s="5">
        <f t="shared" si="27"/>
        <v>9017.3846153846152</v>
      </c>
      <c r="HZ75" s="5">
        <f t="shared" si="27"/>
        <v>8931.8461538461543</v>
      </c>
      <c r="IA75" s="5">
        <f t="shared" si="27"/>
        <v>8822.9230769230762</v>
      </c>
      <c r="IB75" s="5">
        <f t="shared" si="27"/>
        <v>8680.7692307692305</v>
      </c>
      <c r="IC75" s="5">
        <f t="shared" si="27"/>
        <v>8629.538461538461</v>
      </c>
      <c r="ID75" s="5">
        <f t="shared" si="27"/>
        <v>8666.3076923076915</v>
      </c>
      <c r="IE75" s="5">
        <f t="shared" si="27"/>
        <v>8819.538461538461</v>
      </c>
      <c r="IF75" s="5">
        <f t="shared" si="27"/>
        <v>9006.3076923076915</v>
      </c>
      <c r="IG75" s="5">
        <f t="shared" si="27"/>
        <v>9159.538461538461</v>
      </c>
      <c r="IH75" s="5">
        <f t="shared" si="27"/>
        <v>9341.8461538461543</v>
      </c>
      <c r="II75" s="5">
        <f t="shared" si="27"/>
        <v>9560.461538461539</v>
      </c>
      <c r="IJ75" s="5">
        <f t="shared" si="27"/>
        <v>9565.6923076923085</v>
      </c>
      <c r="IK75" s="5">
        <f t="shared" si="27"/>
        <v>9583.0769230769238</v>
      </c>
      <c r="IL75" s="5">
        <f t="shared" si="27"/>
        <v>9621.538461538461</v>
      </c>
      <c r="IM75" s="5">
        <f t="shared" si="27"/>
        <v>9661.0769230769238</v>
      </c>
      <c r="IN75" s="5">
        <f t="shared" si="27"/>
        <v>9554.1538461538457</v>
      </c>
      <c r="IO75" s="5">
        <f t="shared" si="27"/>
        <v>9586.461538461539</v>
      </c>
      <c r="IP75" s="5">
        <f t="shared" si="27"/>
        <v>9474.1538461538457</v>
      </c>
      <c r="IQ75" s="5">
        <f t="shared" si="27"/>
        <v>9286.6153846153848</v>
      </c>
      <c r="IR75" s="5">
        <f t="shared" si="27"/>
        <v>9245.2307692307695</v>
      </c>
      <c r="IS75" s="5">
        <f t="shared" si="27"/>
        <v>9209.6923076923085</v>
      </c>
      <c r="IT75" s="5">
        <f t="shared" si="27"/>
        <v>9051.0769230769238</v>
      </c>
      <c r="IU75" s="5">
        <f t="shared" si="27"/>
        <v>8818.1538461538457</v>
      </c>
      <c r="IV75" s="5">
        <f t="shared" si="27"/>
        <v>8714.1538461538457</v>
      </c>
      <c r="IW75" s="5">
        <f t="shared" si="27"/>
        <v>8689.8461538461543</v>
      </c>
      <c r="IX75" s="5">
        <f t="shared" si="27"/>
        <v>8712.461538461539</v>
      </c>
      <c r="IY75" s="5">
        <f t="shared" ref="IY75:LJ75" si="28">AVERAGE(IY3:IY69)</f>
        <v>8730.1538461538457</v>
      </c>
      <c r="IZ75" s="5">
        <f t="shared" si="28"/>
        <v>8768.3076923076915</v>
      </c>
      <c r="JA75" s="5">
        <f t="shared" si="28"/>
        <v>8745.538461538461</v>
      </c>
      <c r="JB75" s="5">
        <f t="shared" si="28"/>
        <v>8774</v>
      </c>
      <c r="JC75" s="5">
        <f t="shared" si="28"/>
        <v>8841.2307692307695</v>
      </c>
      <c r="JD75" s="5">
        <f t="shared" si="28"/>
        <v>8992.9230769230762</v>
      </c>
      <c r="JE75" s="5">
        <f t="shared" si="28"/>
        <v>9060.9230769230762</v>
      </c>
      <c r="JF75" s="5">
        <f t="shared" si="28"/>
        <v>8986.3076923076915</v>
      </c>
      <c r="JG75" s="5">
        <f t="shared" si="28"/>
        <v>8778.461538461539</v>
      </c>
      <c r="JH75" s="5">
        <f t="shared" si="28"/>
        <v>8613.8461538461543</v>
      </c>
      <c r="JI75" s="5">
        <f t="shared" si="28"/>
        <v>8453.0769230769238</v>
      </c>
      <c r="JJ75" s="5">
        <f t="shared" si="28"/>
        <v>8321.6923076923085</v>
      </c>
      <c r="JK75" s="5">
        <f t="shared" si="28"/>
        <v>8160.9230769230771</v>
      </c>
      <c r="JL75" s="5">
        <f t="shared" si="28"/>
        <v>7968</v>
      </c>
      <c r="JM75" s="5">
        <f t="shared" si="28"/>
        <v>7768.4615384615381</v>
      </c>
      <c r="JN75" s="5">
        <f t="shared" si="28"/>
        <v>7736.6153846153848</v>
      </c>
      <c r="JO75" s="5">
        <f t="shared" si="28"/>
        <v>7588.3076923076924</v>
      </c>
      <c r="JP75" s="5">
        <f t="shared" si="28"/>
        <v>7411.0769230769229</v>
      </c>
      <c r="JQ75" s="5">
        <f t="shared" si="28"/>
        <v>7289.8461538461543</v>
      </c>
      <c r="JR75" s="5">
        <f t="shared" si="28"/>
        <v>7236.7692307692305</v>
      </c>
      <c r="JS75" s="5">
        <f t="shared" si="28"/>
        <v>7107.5384615384619</v>
      </c>
      <c r="JT75" s="5">
        <f t="shared" si="28"/>
        <v>7093.3846153846152</v>
      </c>
      <c r="JU75" s="5">
        <f t="shared" si="28"/>
        <v>7022.6153846153848</v>
      </c>
      <c r="JV75" s="5">
        <f t="shared" si="28"/>
        <v>6937.3846153846152</v>
      </c>
      <c r="JW75" s="5">
        <f t="shared" si="28"/>
        <v>6926.7692307692305</v>
      </c>
      <c r="JX75" s="5">
        <f t="shared" si="28"/>
        <v>6901.0769230769229</v>
      </c>
      <c r="JY75" s="5">
        <f t="shared" si="28"/>
        <v>6716.9230769230771</v>
      </c>
      <c r="JZ75" s="5">
        <f t="shared" si="28"/>
        <v>6585.3846153846152</v>
      </c>
      <c r="KA75" s="5">
        <f t="shared" si="28"/>
        <v>6371.3846153846152</v>
      </c>
      <c r="KB75" s="5">
        <f t="shared" si="28"/>
        <v>6174.9230769230771</v>
      </c>
      <c r="KC75" s="5">
        <f t="shared" si="28"/>
        <v>5938.9230769230771</v>
      </c>
      <c r="KD75" s="5">
        <f t="shared" si="28"/>
        <v>5727.8461538461543</v>
      </c>
      <c r="KE75" s="5">
        <f t="shared" si="28"/>
        <v>5573.6923076923076</v>
      </c>
      <c r="KF75" s="5">
        <f t="shared" si="28"/>
        <v>5449.5384615384619</v>
      </c>
      <c r="KG75" s="5">
        <f t="shared" si="28"/>
        <v>5355.2307692307695</v>
      </c>
      <c r="KH75" s="5">
        <f t="shared" si="28"/>
        <v>5275.5384615384619</v>
      </c>
      <c r="KI75" s="5">
        <f t="shared" si="28"/>
        <v>5183.6923076923076</v>
      </c>
      <c r="KJ75" s="5">
        <f t="shared" si="28"/>
        <v>5031.6923076923076</v>
      </c>
      <c r="KK75" s="5">
        <f t="shared" si="28"/>
        <v>4908.7692307692305</v>
      </c>
      <c r="KL75" s="5">
        <f t="shared" si="28"/>
        <v>4797.5384615384619</v>
      </c>
      <c r="KM75" s="5">
        <f t="shared" si="28"/>
        <v>4734.3076923076924</v>
      </c>
      <c r="KN75" s="5">
        <f t="shared" si="28"/>
        <v>4614</v>
      </c>
      <c r="KO75" s="5">
        <f t="shared" si="28"/>
        <v>4556.9230769230771</v>
      </c>
      <c r="KP75" s="5">
        <f t="shared" si="28"/>
        <v>4408.6153846153848</v>
      </c>
      <c r="KQ75" s="5">
        <f t="shared" si="28"/>
        <v>4267.3846153846152</v>
      </c>
      <c r="KR75" s="5">
        <f t="shared" si="28"/>
        <v>4182.6153846153848</v>
      </c>
      <c r="KS75" s="5">
        <f t="shared" si="28"/>
        <v>4042.6153846153848</v>
      </c>
      <c r="KT75" s="5">
        <f t="shared" si="28"/>
        <v>3956.7692307692309</v>
      </c>
      <c r="KU75" s="5">
        <f t="shared" si="28"/>
        <v>3883.2307692307691</v>
      </c>
      <c r="KV75" s="5">
        <f t="shared" si="28"/>
        <v>3786.4615384615386</v>
      </c>
      <c r="KW75" s="5">
        <f t="shared" si="28"/>
        <v>3705.2307692307691</v>
      </c>
      <c r="KX75" s="5">
        <f t="shared" si="28"/>
        <v>3607.3846153846152</v>
      </c>
      <c r="KY75" s="5">
        <f t="shared" si="28"/>
        <v>3511.5384615384614</v>
      </c>
      <c r="KZ75" s="5">
        <f t="shared" si="28"/>
        <v>3426.7692307692309</v>
      </c>
      <c r="LA75" s="5">
        <f t="shared" si="28"/>
        <v>3354.4615384615386</v>
      </c>
      <c r="LB75" s="5">
        <f t="shared" si="28"/>
        <v>3285.0769230769229</v>
      </c>
      <c r="LC75" s="5">
        <f t="shared" si="28"/>
        <v>3230.1538461538462</v>
      </c>
      <c r="LD75" s="5">
        <f t="shared" si="28"/>
        <v>3182</v>
      </c>
      <c r="LE75" s="5">
        <f t="shared" si="28"/>
        <v>3125.2307692307691</v>
      </c>
      <c r="LF75" s="5">
        <f t="shared" si="28"/>
        <v>3050.7692307692309</v>
      </c>
      <c r="LG75" s="5">
        <f t="shared" si="28"/>
        <v>2990.7692307692309</v>
      </c>
      <c r="LH75" s="5">
        <f t="shared" si="28"/>
        <v>2931.2307692307691</v>
      </c>
      <c r="LI75" s="5">
        <f t="shared" si="28"/>
        <v>2871.2307692307691</v>
      </c>
      <c r="LJ75" s="5">
        <f t="shared" si="28"/>
        <v>2806.7692307692309</v>
      </c>
      <c r="LK75" s="5">
        <f t="shared" ref="LK75:NT75" si="29">AVERAGE(LK3:LK69)</f>
        <v>2752.4615384615386</v>
      </c>
      <c r="LL75" s="5">
        <f t="shared" si="29"/>
        <v>2704.1538461538462</v>
      </c>
      <c r="LM75" s="5">
        <f t="shared" si="29"/>
        <v>2673.0769230769229</v>
      </c>
      <c r="LN75" s="5">
        <f t="shared" si="29"/>
        <v>2657.8461538461538</v>
      </c>
      <c r="LO75" s="5">
        <f t="shared" si="29"/>
        <v>2630</v>
      </c>
      <c r="LP75" s="5">
        <f t="shared" si="29"/>
        <v>2575.0769230769229</v>
      </c>
      <c r="LQ75" s="5">
        <f t="shared" si="29"/>
        <v>2545.2307692307691</v>
      </c>
      <c r="LR75" s="5">
        <f t="shared" si="29"/>
        <v>2506.9230769230771</v>
      </c>
      <c r="LS75" s="5">
        <f t="shared" si="29"/>
        <v>2449.0769230769229</v>
      </c>
      <c r="LT75" s="5">
        <f t="shared" si="29"/>
        <v>2408.4615384615386</v>
      </c>
      <c r="LU75" s="5">
        <f t="shared" si="29"/>
        <v>2380.6153846153848</v>
      </c>
      <c r="LV75" s="5">
        <f t="shared" si="29"/>
        <v>2336.1538461538462</v>
      </c>
      <c r="LW75" s="5">
        <f t="shared" si="29"/>
        <v>2269.6923076923076</v>
      </c>
      <c r="LX75" s="5">
        <f t="shared" si="29"/>
        <v>2211.3846153846152</v>
      </c>
      <c r="LY75" s="5">
        <f t="shared" si="29"/>
        <v>2171.8461538461538</v>
      </c>
      <c r="LZ75" s="5">
        <f t="shared" si="29"/>
        <v>2151.8461538461538</v>
      </c>
      <c r="MA75" s="5">
        <f t="shared" si="29"/>
        <v>2122.1538461538462</v>
      </c>
      <c r="MB75" s="5">
        <f t="shared" si="29"/>
        <v>2097.5538461538463</v>
      </c>
      <c r="MC75" s="5">
        <f t="shared" si="29"/>
        <v>2054.8153846153846</v>
      </c>
      <c r="MD75" s="5">
        <f t="shared" si="29"/>
        <v>2006.8307692307692</v>
      </c>
      <c r="ME75" s="5">
        <f t="shared" si="29"/>
        <v>1979.2769230769231</v>
      </c>
      <c r="MF75" s="5">
        <f t="shared" si="29"/>
        <v>1963.4</v>
      </c>
      <c r="MG75" s="5">
        <f t="shared" si="29"/>
        <v>1940.3384615384616</v>
      </c>
      <c r="MH75" s="5">
        <f t="shared" si="29"/>
        <v>1902.7384615384615</v>
      </c>
      <c r="MI75" s="5">
        <f t="shared" si="29"/>
        <v>1884.6153846153845</v>
      </c>
      <c r="MJ75" s="5">
        <f t="shared" si="29"/>
        <v>1876.676923076923</v>
      </c>
      <c r="MK75" s="5">
        <f t="shared" si="29"/>
        <v>1866.0153846153846</v>
      </c>
      <c r="ML75" s="5">
        <f t="shared" si="29"/>
        <v>1843.4461538461539</v>
      </c>
      <c r="MM75" s="5">
        <f t="shared" si="29"/>
        <v>1810.7076923076922</v>
      </c>
      <c r="MN75" s="5">
        <f t="shared" si="29"/>
        <v>1792.4</v>
      </c>
      <c r="MO75" s="5">
        <f t="shared" si="29"/>
        <v>1777.5076923076922</v>
      </c>
      <c r="MP75" s="5">
        <f t="shared" si="29"/>
        <v>1749.6923076923076</v>
      </c>
      <c r="MQ75" s="5">
        <f t="shared" si="29"/>
        <v>1731.2307692307693</v>
      </c>
      <c r="MR75" s="5">
        <f t="shared" si="29"/>
        <v>1709.3846153846155</v>
      </c>
      <c r="MS75" s="5">
        <f t="shared" si="29"/>
        <v>1698.4615384615386</v>
      </c>
      <c r="MT75" s="5">
        <f t="shared" si="29"/>
        <v>1679.5384615384614</v>
      </c>
      <c r="MU75" s="5">
        <f t="shared" si="29"/>
        <v>1670.3076923076924</v>
      </c>
      <c r="MV75" s="5">
        <f t="shared" si="29"/>
        <v>1643.2307692307693</v>
      </c>
      <c r="MW75" s="5">
        <f t="shared" si="29"/>
        <v>1615.6923076923076</v>
      </c>
      <c r="MX75" s="5">
        <f t="shared" si="29"/>
        <v>1619.3846153846155</v>
      </c>
      <c r="MY75" s="5">
        <f t="shared" si="29"/>
        <v>1610</v>
      </c>
      <c r="MZ75" s="5">
        <f t="shared" si="29"/>
        <v>1605.3846153846155</v>
      </c>
      <c r="NA75" s="5">
        <f t="shared" si="29"/>
        <v>1590.6307692307691</v>
      </c>
      <c r="NB75" s="5">
        <f t="shared" si="29"/>
        <v>1565.7230769230769</v>
      </c>
      <c r="NC75" s="5">
        <f t="shared" si="29"/>
        <v>1557.0461538461539</v>
      </c>
      <c r="ND75" s="5">
        <f t="shared" si="29"/>
        <v>1464.8153846153846</v>
      </c>
      <c r="NE75" s="5">
        <f t="shared" si="29"/>
        <v>1268.7230769230769</v>
      </c>
      <c r="NF75" s="5">
        <f t="shared" si="29"/>
        <v>1210.0923076923077</v>
      </c>
      <c r="NG75" s="5">
        <f t="shared" si="29"/>
        <v>1338.9384615384615</v>
      </c>
      <c r="NH75" s="5">
        <f t="shared" si="29"/>
        <v>1944.5692307692307</v>
      </c>
      <c r="NI75" s="5">
        <f t="shared" si="29"/>
        <v>4139.6923076923076</v>
      </c>
      <c r="NJ75" s="5">
        <f t="shared" si="29"/>
        <v>8253.538461538461</v>
      </c>
      <c r="NK75" s="5">
        <f t="shared" si="29"/>
        <v>8927.3846153846152</v>
      </c>
      <c r="NL75" s="5">
        <f t="shared" si="29"/>
        <v>8798.461538461539</v>
      </c>
      <c r="NM75" s="5">
        <f t="shared" si="29"/>
        <v>5735.2307692307695</v>
      </c>
      <c r="NN75" s="5">
        <f t="shared" si="29"/>
        <v>2928.3076923076924</v>
      </c>
      <c r="NO75" s="5">
        <f t="shared" si="29"/>
        <v>1815.3846153846155</v>
      </c>
      <c r="NP75" s="5">
        <f t="shared" si="29"/>
        <v>4002.1611341245043</v>
      </c>
      <c r="NQ75" s="5">
        <f t="shared" si="29"/>
        <v>15488.307692307691</v>
      </c>
      <c r="NR75" s="5">
        <f t="shared" si="29"/>
        <v>42597.584615384614</v>
      </c>
      <c r="NS75" s="5">
        <f t="shared" si="29"/>
        <v>1056.8923076923077</v>
      </c>
      <c r="NT75" s="5">
        <f t="shared" si="29"/>
        <v>42465.953846153847</v>
      </c>
      <c r="NU75" s="5"/>
      <c r="NV75" s="5"/>
      <c r="NW75" s="5"/>
      <c r="NX75" s="5"/>
      <c r="NY75" s="5"/>
      <c r="NZ75" s="5"/>
      <c r="OA75" s="5"/>
      <c r="OB75" s="5"/>
      <c r="OC75" s="5"/>
      <c r="OD75" s="5"/>
      <c r="OE75" s="5"/>
    </row>
    <row r="76" spans="1:395" customFormat="1" ht="15.75" x14ac:dyDescent="0.25">
      <c r="A76" s="16" t="s">
        <v>52</v>
      </c>
      <c r="B76" s="17">
        <f>STDEVP(B3:B69,B75)</f>
        <v>237.76532670419104</v>
      </c>
      <c r="C76" s="17">
        <f t="shared" ref="C76:BN76" si="30">STDEVP(C3:C69,C75)</f>
        <v>256.58609700220637</v>
      </c>
      <c r="D76" s="17">
        <f t="shared" si="30"/>
        <v>286.55440421223108</v>
      </c>
      <c r="E76" s="17">
        <f t="shared" si="30"/>
        <v>288.72293362483771</v>
      </c>
      <c r="F76" s="17">
        <f t="shared" si="30"/>
        <v>284.49702068484811</v>
      </c>
      <c r="G76" s="17">
        <f t="shared" si="30"/>
        <v>287.6345940141062</v>
      </c>
      <c r="H76" s="17">
        <f t="shared" si="30"/>
        <v>284.98465832015478</v>
      </c>
      <c r="I76" s="17">
        <f t="shared" si="30"/>
        <v>289.84359418643186</v>
      </c>
      <c r="J76" s="17">
        <f t="shared" si="30"/>
        <v>290.01750771040599</v>
      </c>
      <c r="K76" s="17">
        <f t="shared" si="30"/>
        <v>288.61121363182184</v>
      </c>
      <c r="L76" s="17">
        <f t="shared" si="30"/>
        <v>278.46917528710617</v>
      </c>
      <c r="M76" s="17">
        <f t="shared" si="30"/>
        <v>285.92745913625038</v>
      </c>
      <c r="N76" s="17">
        <f t="shared" si="30"/>
        <v>302.42694469318883</v>
      </c>
      <c r="O76" s="17">
        <f t="shared" si="30"/>
        <v>288.48231757327466</v>
      </c>
      <c r="P76" s="17">
        <f t="shared" si="30"/>
        <v>278.97930176959471</v>
      </c>
      <c r="Q76" s="17">
        <f t="shared" si="30"/>
        <v>305.55461286850419</v>
      </c>
      <c r="R76" s="17">
        <f t="shared" si="30"/>
        <v>291.6807240035659</v>
      </c>
      <c r="S76" s="17">
        <f t="shared" si="30"/>
        <v>300.41767505787578</v>
      </c>
      <c r="T76" s="17">
        <f t="shared" si="30"/>
        <v>319.93486516589269</v>
      </c>
      <c r="U76" s="17">
        <f t="shared" si="30"/>
        <v>313.28588417202138</v>
      </c>
      <c r="V76" s="17">
        <f t="shared" si="30"/>
        <v>308.77804733737656</v>
      </c>
      <c r="W76" s="17">
        <f t="shared" si="30"/>
        <v>305.95697474689177</v>
      </c>
      <c r="X76" s="17">
        <f t="shared" si="30"/>
        <v>300.44331037748742</v>
      </c>
      <c r="Y76" s="17">
        <f t="shared" si="30"/>
        <v>312.10693732491819</v>
      </c>
      <c r="Z76" s="17">
        <f t="shared" si="30"/>
        <v>319.66342293528697</v>
      </c>
      <c r="AA76" s="17">
        <f t="shared" si="30"/>
        <v>321.68222603285767</v>
      </c>
      <c r="AB76" s="17">
        <f t="shared" si="30"/>
        <v>334.0280022598497</v>
      </c>
      <c r="AC76" s="17">
        <f t="shared" si="30"/>
        <v>332.62994411249241</v>
      </c>
      <c r="AD76" s="17">
        <f t="shared" si="30"/>
        <v>328.53467706261057</v>
      </c>
      <c r="AE76" s="17">
        <f t="shared" si="30"/>
        <v>326.80593458674974</v>
      </c>
      <c r="AF76" s="17">
        <f t="shared" si="30"/>
        <v>327.81837529261077</v>
      </c>
      <c r="AG76" s="17">
        <f t="shared" si="30"/>
        <v>333.37315939238903</v>
      </c>
      <c r="AH76" s="17">
        <f t="shared" si="30"/>
        <v>335.65326278842127</v>
      </c>
      <c r="AI76" s="17">
        <f t="shared" si="30"/>
        <v>336.45013484927188</v>
      </c>
      <c r="AJ76" s="17">
        <f t="shared" si="30"/>
        <v>330.897911706961</v>
      </c>
      <c r="AK76" s="17">
        <f t="shared" si="30"/>
        <v>327.01598158874754</v>
      </c>
      <c r="AL76" s="17">
        <f t="shared" si="30"/>
        <v>323.80514947291209</v>
      </c>
      <c r="AM76" s="17">
        <f t="shared" si="30"/>
        <v>311.85413107348603</v>
      </c>
      <c r="AN76" s="17">
        <f t="shared" si="30"/>
        <v>304.930912730182</v>
      </c>
      <c r="AO76" s="17">
        <f t="shared" si="30"/>
        <v>278.84667734055836</v>
      </c>
      <c r="AP76" s="17">
        <f t="shared" si="30"/>
        <v>273.67413201859392</v>
      </c>
      <c r="AQ76" s="17">
        <f t="shared" si="30"/>
        <v>282.14854739516659</v>
      </c>
      <c r="AR76" s="17">
        <f t="shared" si="30"/>
        <v>301.04821381238429</v>
      </c>
      <c r="AS76" s="17">
        <f t="shared" si="30"/>
        <v>310.00152642680058</v>
      </c>
      <c r="AT76" s="17">
        <f t="shared" si="30"/>
        <v>302.4828785923126</v>
      </c>
      <c r="AU76" s="17">
        <f t="shared" si="30"/>
        <v>297.44924152206369</v>
      </c>
      <c r="AV76" s="17">
        <f t="shared" si="30"/>
        <v>299.71005180259715</v>
      </c>
      <c r="AW76" s="17">
        <f t="shared" si="30"/>
        <v>307.70366348508867</v>
      </c>
      <c r="AX76" s="17">
        <f t="shared" si="30"/>
        <v>287.10803421364466</v>
      </c>
      <c r="AY76" s="17">
        <f t="shared" si="30"/>
        <v>272.00633905269257</v>
      </c>
      <c r="AZ76" s="17">
        <f t="shared" si="30"/>
        <v>267.41219503097074</v>
      </c>
      <c r="BA76" s="17">
        <f t="shared" si="30"/>
        <v>267.98397127031507</v>
      </c>
      <c r="BB76" s="17">
        <f t="shared" si="30"/>
        <v>259.38073104292778</v>
      </c>
      <c r="BC76" s="17">
        <f t="shared" si="30"/>
        <v>254.2784874584344</v>
      </c>
      <c r="BD76" s="17">
        <f t="shared" si="30"/>
        <v>254.27867538439946</v>
      </c>
      <c r="BE76" s="17">
        <f t="shared" si="30"/>
        <v>248.95071174121398</v>
      </c>
      <c r="BF76" s="17">
        <f t="shared" si="30"/>
        <v>255.00129073214165</v>
      </c>
      <c r="BG76" s="17">
        <f t="shared" si="30"/>
        <v>254.76006079856498</v>
      </c>
      <c r="BH76" s="17">
        <f t="shared" si="30"/>
        <v>265.32089204880833</v>
      </c>
      <c r="BI76" s="17">
        <f t="shared" si="30"/>
        <v>269.32641711174227</v>
      </c>
      <c r="BJ76" s="17">
        <f t="shared" si="30"/>
        <v>262.43492877567132</v>
      </c>
      <c r="BK76" s="17">
        <f t="shared" si="30"/>
        <v>265.83672890247249</v>
      </c>
      <c r="BL76" s="17">
        <f t="shared" si="30"/>
        <v>265.06655978995383</v>
      </c>
      <c r="BM76" s="17">
        <f t="shared" si="30"/>
        <v>264.82993443433463</v>
      </c>
      <c r="BN76" s="17">
        <f t="shared" si="30"/>
        <v>275.36615166450258</v>
      </c>
      <c r="BO76" s="17">
        <f t="shared" ref="BO76:DZ76" si="31">STDEVP(BO3:BO69,BO75)</f>
        <v>268.29931707539504</v>
      </c>
      <c r="BP76" s="17">
        <f t="shared" si="31"/>
        <v>258.66102053290439</v>
      </c>
      <c r="BQ76" s="17">
        <f t="shared" si="31"/>
        <v>258.85628218216954</v>
      </c>
      <c r="BR76" s="17">
        <f t="shared" si="31"/>
        <v>270.10296577640952</v>
      </c>
      <c r="BS76" s="17">
        <f t="shared" si="31"/>
        <v>285.8035684176802</v>
      </c>
      <c r="BT76" s="17">
        <f t="shared" si="31"/>
        <v>298.96883544738375</v>
      </c>
      <c r="BU76" s="17">
        <f t="shared" si="31"/>
        <v>301.72682345240077</v>
      </c>
      <c r="BV76" s="17">
        <f t="shared" si="31"/>
        <v>309.57839742007866</v>
      </c>
      <c r="BW76" s="17">
        <f t="shared" si="31"/>
        <v>287.08366591541096</v>
      </c>
      <c r="BX76" s="17">
        <f t="shared" si="31"/>
        <v>287.9743189793291</v>
      </c>
      <c r="BY76" s="17">
        <f t="shared" si="31"/>
        <v>278.85825158227698</v>
      </c>
      <c r="BZ76" s="17">
        <f t="shared" si="31"/>
        <v>283.29415634809556</v>
      </c>
      <c r="CA76" s="17">
        <f t="shared" si="31"/>
        <v>288.42119711697103</v>
      </c>
      <c r="CB76" s="17">
        <f t="shared" si="31"/>
        <v>289.29211247513592</v>
      </c>
      <c r="CC76" s="17">
        <f t="shared" si="31"/>
        <v>303.35918458453676</v>
      </c>
      <c r="CD76" s="17">
        <f t="shared" si="31"/>
        <v>314.40299959422453</v>
      </c>
      <c r="CE76" s="17">
        <f t="shared" si="31"/>
        <v>308.55614730109647</v>
      </c>
      <c r="CF76" s="17">
        <f t="shared" si="31"/>
        <v>322.18568318939083</v>
      </c>
      <c r="CG76" s="17">
        <f t="shared" si="31"/>
        <v>318.37843295899677</v>
      </c>
      <c r="CH76" s="17">
        <f t="shared" si="31"/>
        <v>317.63901605776368</v>
      </c>
      <c r="CI76" s="17">
        <f t="shared" si="31"/>
        <v>338.73783070203115</v>
      </c>
      <c r="CJ76" s="17">
        <f t="shared" si="31"/>
        <v>325.77622777414336</v>
      </c>
      <c r="CK76" s="17">
        <f t="shared" si="31"/>
        <v>325.76937943595669</v>
      </c>
      <c r="CL76" s="17">
        <f t="shared" si="31"/>
        <v>333.64334977410346</v>
      </c>
      <c r="CM76" s="17">
        <f t="shared" si="31"/>
        <v>305.90831312224213</v>
      </c>
      <c r="CN76" s="17">
        <f t="shared" si="31"/>
        <v>304.68812668933202</v>
      </c>
      <c r="CO76" s="17">
        <f t="shared" si="31"/>
        <v>299.3468398632769</v>
      </c>
      <c r="CP76" s="17">
        <f t="shared" si="31"/>
        <v>298.32569692405235</v>
      </c>
      <c r="CQ76" s="17">
        <f t="shared" si="31"/>
        <v>270.4746540094626</v>
      </c>
      <c r="CR76" s="17">
        <f t="shared" si="31"/>
        <v>264.16339596336923</v>
      </c>
      <c r="CS76" s="17">
        <f t="shared" si="31"/>
        <v>267.47029811356742</v>
      </c>
      <c r="CT76" s="17">
        <f t="shared" si="31"/>
        <v>262.54773170208819</v>
      </c>
      <c r="CU76" s="17">
        <f t="shared" si="31"/>
        <v>248.74073807592228</v>
      </c>
      <c r="CV76" s="17">
        <f t="shared" si="31"/>
        <v>240.69626857575818</v>
      </c>
      <c r="CW76" s="17">
        <f t="shared" si="31"/>
        <v>271.08103279338127</v>
      </c>
      <c r="CX76" s="17">
        <f t="shared" si="31"/>
        <v>289.25264039709288</v>
      </c>
      <c r="CY76" s="17">
        <f t="shared" si="31"/>
        <v>260.84237128454163</v>
      </c>
      <c r="CZ76" s="17">
        <f t="shared" si="31"/>
        <v>251.10314841154687</v>
      </c>
      <c r="DA76" s="17">
        <f t="shared" si="31"/>
        <v>249.09311689763933</v>
      </c>
      <c r="DB76" s="17">
        <f t="shared" si="31"/>
        <v>254.22781938486619</v>
      </c>
      <c r="DC76" s="17">
        <f t="shared" si="31"/>
        <v>238.88079948718413</v>
      </c>
      <c r="DD76" s="17">
        <f t="shared" si="31"/>
        <v>240.06646321364093</v>
      </c>
      <c r="DE76" s="17">
        <f t="shared" si="31"/>
        <v>247.6520822568506</v>
      </c>
      <c r="DF76" s="17">
        <f t="shared" si="31"/>
        <v>257.31450376174649</v>
      </c>
      <c r="DG76" s="17">
        <f t="shared" si="31"/>
        <v>257.23555457232317</v>
      </c>
      <c r="DH76" s="17">
        <f t="shared" si="31"/>
        <v>265.8973828036269</v>
      </c>
      <c r="DI76" s="17">
        <f t="shared" si="31"/>
        <v>261.39787569383429</v>
      </c>
      <c r="DJ76" s="17">
        <f t="shared" si="31"/>
        <v>270.89379127961962</v>
      </c>
      <c r="DK76" s="17">
        <f t="shared" si="31"/>
        <v>295.41491740698069</v>
      </c>
      <c r="DL76" s="17">
        <f t="shared" si="31"/>
        <v>292.72314581057731</v>
      </c>
      <c r="DM76" s="17">
        <f t="shared" si="31"/>
        <v>287.29567138612231</v>
      </c>
      <c r="DN76" s="17">
        <f t="shared" si="31"/>
        <v>304.44351158836008</v>
      </c>
      <c r="DO76" s="17">
        <f t="shared" si="31"/>
        <v>325.98597650275769</v>
      </c>
      <c r="DP76" s="17">
        <f t="shared" si="31"/>
        <v>354.32112967908563</v>
      </c>
      <c r="DQ76" s="17">
        <f t="shared" si="31"/>
        <v>371.40682587027169</v>
      </c>
      <c r="DR76" s="17">
        <f t="shared" si="31"/>
        <v>392.86824069330743</v>
      </c>
      <c r="DS76" s="17">
        <f t="shared" si="31"/>
        <v>395.49726747234098</v>
      </c>
      <c r="DT76" s="17">
        <f t="shared" si="31"/>
        <v>337.6026905846237</v>
      </c>
      <c r="DU76" s="17">
        <f t="shared" si="31"/>
        <v>312.21229702706876</v>
      </c>
      <c r="DV76" s="17">
        <f t="shared" si="31"/>
        <v>303.00762912841628</v>
      </c>
      <c r="DW76" s="17">
        <f t="shared" si="31"/>
        <v>307.21386672277691</v>
      </c>
      <c r="DX76" s="17">
        <f t="shared" si="31"/>
        <v>337.01438342998733</v>
      </c>
      <c r="DY76" s="17">
        <f t="shared" si="31"/>
        <v>360.14490220291924</v>
      </c>
      <c r="DZ76" s="17">
        <f t="shared" si="31"/>
        <v>380.54779066369645</v>
      </c>
      <c r="EA76" s="17">
        <f t="shared" ref="EA76:GL76" si="32">STDEVP(EA3:EA69,EA75)</f>
        <v>388.9951659864675</v>
      </c>
      <c r="EB76" s="17">
        <f t="shared" si="32"/>
        <v>398.43373304357607</v>
      </c>
      <c r="EC76" s="17">
        <f t="shared" si="32"/>
        <v>408.27891193407248</v>
      </c>
      <c r="ED76" s="17">
        <f t="shared" si="32"/>
        <v>402.3025511444618</v>
      </c>
      <c r="EE76" s="17">
        <f t="shared" si="32"/>
        <v>445.29673718677157</v>
      </c>
      <c r="EF76" s="17">
        <f t="shared" si="32"/>
        <v>472.86223642694762</v>
      </c>
      <c r="EG76" s="17">
        <f t="shared" si="32"/>
        <v>472.08819056788514</v>
      </c>
      <c r="EH76" s="17">
        <f t="shared" si="32"/>
        <v>464.80815302038167</v>
      </c>
      <c r="EI76" s="17">
        <f t="shared" si="32"/>
        <v>499.07573874813187</v>
      </c>
      <c r="EJ76" s="17">
        <f t="shared" si="32"/>
        <v>529.78528306649491</v>
      </c>
      <c r="EK76" s="17">
        <f t="shared" si="32"/>
        <v>523.82850625247954</v>
      </c>
      <c r="EL76" s="17">
        <f t="shared" si="32"/>
        <v>557.06285191082463</v>
      </c>
      <c r="EM76" s="17">
        <f t="shared" si="32"/>
        <v>540.29164187044216</v>
      </c>
      <c r="EN76" s="17">
        <f t="shared" si="32"/>
        <v>604.91606152576446</v>
      </c>
      <c r="EO76" s="17">
        <f t="shared" si="32"/>
        <v>632.77837494250059</v>
      </c>
      <c r="EP76" s="17">
        <f t="shared" si="32"/>
        <v>658.38351878586434</v>
      </c>
      <c r="EQ76" s="17">
        <f t="shared" si="32"/>
        <v>656.59491047134782</v>
      </c>
      <c r="ER76" s="17">
        <f t="shared" si="32"/>
        <v>667.49411353838343</v>
      </c>
      <c r="ES76" s="17">
        <f t="shared" si="32"/>
        <v>671.39964441268751</v>
      </c>
      <c r="ET76" s="17">
        <f t="shared" si="32"/>
        <v>680.76879617543659</v>
      </c>
      <c r="EU76" s="17">
        <f t="shared" si="32"/>
        <v>680.96760308907233</v>
      </c>
      <c r="EV76" s="17">
        <f t="shared" si="32"/>
        <v>678.15057703153502</v>
      </c>
      <c r="EW76" s="17">
        <f t="shared" si="32"/>
        <v>691.17092633967957</v>
      </c>
      <c r="EX76" s="17">
        <f t="shared" si="32"/>
        <v>757.17598869448875</v>
      </c>
      <c r="EY76" s="17">
        <f t="shared" si="32"/>
        <v>850.00326010618448</v>
      </c>
      <c r="EZ76" s="17">
        <f t="shared" si="32"/>
        <v>912.2252564004782</v>
      </c>
      <c r="FA76" s="17">
        <f t="shared" si="32"/>
        <v>901.31339028432626</v>
      </c>
      <c r="FB76" s="17">
        <f t="shared" si="32"/>
        <v>899.3224592885947</v>
      </c>
      <c r="FC76" s="17">
        <f t="shared" si="32"/>
        <v>935.71901227348621</v>
      </c>
      <c r="FD76" s="17">
        <f t="shared" si="32"/>
        <v>979.12841218731216</v>
      </c>
      <c r="FE76" s="17">
        <f t="shared" si="32"/>
        <v>1045.4059338044556</v>
      </c>
      <c r="FF76" s="17">
        <f t="shared" si="32"/>
        <v>1049.4969824081995</v>
      </c>
      <c r="FG76" s="17">
        <f t="shared" si="32"/>
        <v>1051.6692248554957</v>
      </c>
      <c r="FH76" s="17">
        <f t="shared" si="32"/>
        <v>1076.2365360760994</v>
      </c>
      <c r="FI76" s="17">
        <f t="shared" si="32"/>
        <v>1105.7734058905673</v>
      </c>
      <c r="FJ76" s="17">
        <f t="shared" si="32"/>
        <v>1078.0459746889851</v>
      </c>
      <c r="FK76" s="17">
        <f t="shared" si="32"/>
        <v>1093.7043403722892</v>
      </c>
      <c r="FL76" s="17">
        <f t="shared" si="32"/>
        <v>1164.9137947436923</v>
      </c>
      <c r="FM76" s="17">
        <f t="shared" si="32"/>
        <v>1302.9563479853216</v>
      </c>
      <c r="FN76" s="17">
        <f t="shared" si="32"/>
        <v>1363.2693802999465</v>
      </c>
      <c r="FO76" s="17">
        <f t="shared" si="32"/>
        <v>1398.7297267466822</v>
      </c>
      <c r="FP76" s="17">
        <f t="shared" si="32"/>
        <v>1459.9512237597446</v>
      </c>
      <c r="FQ76" s="17">
        <f t="shared" si="32"/>
        <v>1523.832121877057</v>
      </c>
      <c r="FR76" s="17">
        <f t="shared" si="32"/>
        <v>1739.518286613818</v>
      </c>
      <c r="FS76" s="17">
        <f t="shared" si="32"/>
        <v>1986.0487415291705</v>
      </c>
      <c r="FT76" s="17">
        <f t="shared" si="32"/>
        <v>2003.0203533989702</v>
      </c>
      <c r="FU76" s="17">
        <f t="shared" si="32"/>
        <v>1914.4826271355205</v>
      </c>
      <c r="FV76" s="17">
        <f t="shared" si="32"/>
        <v>1874.8800365663803</v>
      </c>
      <c r="FW76" s="17">
        <f t="shared" si="32"/>
        <v>1999.322519287605</v>
      </c>
      <c r="FX76" s="17">
        <f t="shared" si="32"/>
        <v>2104.1719797297287</v>
      </c>
      <c r="FY76" s="17">
        <f t="shared" si="32"/>
        <v>2334.5033663214044</v>
      </c>
      <c r="FZ76" s="17">
        <f t="shared" si="32"/>
        <v>2307.9080932523652</v>
      </c>
      <c r="GA76" s="17">
        <f t="shared" si="32"/>
        <v>2330.4137211851717</v>
      </c>
      <c r="GB76" s="17">
        <f t="shared" si="32"/>
        <v>2406.5487867352813</v>
      </c>
      <c r="GC76" s="17">
        <f t="shared" si="32"/>
        <v>2425.1354899308499</v>
      </c>
      <c r="GD76" s="17">
        <f t="shared" si="32"/>
        <v>2542.3127697264581</v>
      </c>
      <c r="GE76" s="17">
        <f t="shared" si="32"/>
        <v>2490.4927850436175</v>
      </c>
      <c r="GF76" s="17">
        <f t="shared" si="32"/>
        <v>2478.2222555262379</v>
      </c>
      <c r="GG76" s="17">
        <f t="shared" si="32"/>
        <v>2512.0235159174254</v>
      </c>
      <c r="GH76" s="17">
        <f t="shared" si="32"/>
        <v>2746.8824032096727</v>
      </c>
      <c r="GI76" s="17">
        <f t="shared" si="32"/>
        <v>2864.5389349812172</v>
      </c>
      <c r="GJ76" s="17">
        <f t="shared" si="32"/>
        <v>3016.8867155638204</v>
      </c>
      <c r="GK76" s="17">
        <f t="shared" si="32"/>
        <v>3178.0521515317328</v>
      </c>
      <c r="GL76" s="17">
        <f t="shared" si="32"/>
        <v>3198.6100055127054</v>
      </c>
      <c r="GM76" s="17">
        <f t="shared" ref="GM76:IX76" si="33">STDEVP(GM3:GM69,GM75)</f>
        <v>3147.9493676749657</v>
      </c>
      <c r="GN76" s="17">
        <f t="shared" si="33"/>
        <v>2953.3193604409344</v>
      </c>
      <c r="GO76" s="17">
        <f t="shared" si="33"/>
        <v>2766.2102271842996</v>
      </c>
      <c r="GP76" s="17">
        <f t="shared" si="33"/>
        <v>2918.6444709463271</v>
      </c>
      <c r="GQ76" s="17">
        <f t="shared" si="33"/>
        <v>3117.7697111922776</v>
      </c>
      <c r="GR76" s="17">
        <f t="shared" si="33"/>
        <v>3226.3728434484674</v>
      </c>
      <c r="GS76" s="17">
        <f t="shared" si="33"/>
        <v>3164.9021240072266</v>
      </c>
      <c r="GT76" s="17">
        <f t="shared" si="33"/>
        <v>3088.4612081152391</v>
      </c>
      <c r="GU76" s="17">
        <f t="shared" si="33"/>
        <v>3165.1430514481535</v>
      </c>
      <c r="GV76" s="17">
        <f t="shared" si="33"/>
        <v>3064.6666200161935</v>
      </c>
      <c r="GW76" s="17">
        <f t="shared" si="33"/>
        <v>2961.8224796453287</v>
      </c>
      <c r="GX76" s="17">
        <f t="shared" si="33"/>
        <v>2869.8920408859153</v>
      </c>
      <c r="GY76" s="17">
        <f t="shared" si="33"/>
        <v>3020.5251785595742</v>
      </c>
      <c r="GZ76" s="17">
        <f t="shared" si="33"/>
        <v>3191.3042397400391</v>
      </c>
      <c r="HA76" s="17">
        <f t="shared" si="33"/>
        <v>3173.3995140108786</v>
      </c>
      <c r="HB76" s="17">
        <f t="shared" si="33"/>
        <v>3025.7080852668851</v>
      </c>
      <c r="HC76" s="17">
        <f t="shared" si="33"/>
        <v>3100.56941157438</v>
      </c>
      <c r="HD76" s="17">
        <f t="shared" si="33"/>
        <v>3112.8877380866247</v>
      </c>
      <c r="HE76" s="17">
        <f t="shared" si="33"/>
        <v>3105.4218095750894</v>
      </c>
      <c r="HF76" s="17">
        <f t="shared" si="33"/>
        <v>3054.6675126850737</v>
      </c>
      <c r="HG76" s="17">
        <f t="shared" si="33"/>
        <v>3000.6318914941489</v>
      </c>
      <c r="HH76" s="17">
        <f t="shared" si="33"/>
        <v>3067.6423298470554</v>
      </c>
      <c r="HI76" s="17">
        <f t="shared" si="33"/>
        <v>3167.8579381158975</v>
      </c>
      <c r="HJ76" s="17">
        <f t="shared" si="33"/>
        <v>3316.8761667912022</v>
      </c>
      <c r="HK76" s="17">
        <f t="shared" si="33"/>
        <v>3368.7782018747621</v>
      </c>
      <c r="HL76" s="17">
        <f t="shared" si="33"/>
        <v>3490.7004192925829</v>
      </c>
      <c r="HM76" s="17">
        <f t="shared" si="33"/>
        <v>3518.4341518804786</v>
      </c>
      <c r="HN76" s="17">
        <f t="shared" si="33"/>
        <v>3456.1623488803561</v>
      </c>
      <c r="HO76" s="17">
        <f t="shared" si="33"/>
        <v>3501.8033782276943</v>
      </c>
      <c r="HP76" s="17">
        <f t="shared" si="33"/>
        <v>3742.0556533569229</v>
      </c>
      <c r="HQ76" s="17">
        <f t="shared" si="33"/>
        <v>4065.5617341828938</v>
      </c>
      <c r="HR76" s="17">
        <f t="shared" si="33"/>
        <v>4128.8205475921459</v>
      </c>
      <c r="HS76" s="17">
        <f t="shared" si="33"/>
        <v>4071.1168779626819</v>
      </c>
      <c r="HT76" s="17">
        <f t="shared" si="33"/>
        <v>3960.079506395004</v>
      </c>
      <c r="HU76" s="17">
        <f t="shared" si="33"/>
        <v>3846.9622441815723</v>
      </c>
      <c r="HV76" s="17">
        <f t="shared" si="33"/>
        <v>3779.3225179440169</v>
      </c>
      <c r="HW76" s="17">
        <f t="shared" si="33"/>
        <v>3809.4380401600156</v>
      </c>
      <c r="HX76" s="17">
        <f t="shared" si="33"/>
        <v>3798.4788391988586</v>
      </c>
      <c r="HY76" s="17">
        <f t="shared" si="33"/>
        <v>3870.53448541635</v>
      </c>
      <c r="HZ76" s="17">
        <f t="shared" si="33"/>
        <v>3620.4645157801679</v>
      </c>
      <c r="IA76" s="17">
        <f t="shared" si="33"/>
        <v>3381.9143418165709</v>
      </c>
      <c r="IB76" s="17">
        <f t="shared" si="33"/>
        <v>3145.5593074433286</v>
      </c>
      <c r="IC76" s="17">
        <f t="shared" si="33"/>
        <v>3045.957296288942</v>
      </c>
      <c r="ID76" s="17">
        <f t="shared" si="33"/>
        <v>3068.893576771241</v>
      </c>
      <c r="IE76" s="17">
        <f t="shared" si="33"/>
        <v>3209.3374331638533</v>
      </c>
      <c r="IF76" s="17">
        <f t="shared" si="33"/>
        <v>3543.2370789532265</v>
      </c>
      <c r="IG76" s="17">
        <f t="shared" si="33"/>
        <v>3746.6782988479631</v>
      </c>
      <c r="IH76" s="17">
        <f t="shared" si="33"/>
        <v>3894.3494000175756</v>
      </c>
      <c r="II76" s="17">
        <f t="shared" si="33"/>
        <v>3908.0187302865374</v>
      </c>
      <c r="IJ76" s="17">
        <f t="shared" si="33"/>
        <v>4078.3946519510541</v>
      </c>
      <c r="IK76" s="17">
        <f t="shared" si="33"/>
        <v>4235.7561391007957</v>
      </c>
      <c r="IL76" s="17">
        <f t="shared" si="33"/>
        <v>4290.5199341526541</v>
      </c>
      <c r="IM76" s="17">
        <f t="shared" si="33"/>
        <v>4184.1820181296089</v>
      </c>
      <c r="IN76" s="17">
        <f t="shared" si="33"/>
        <v>4015.2047731877101</v>
      </c>
      <c r="IO76" s="17">
        <f t="shared" si="33"/>
        <v>3967.9138976672243</v>
      </c>
      <c r="IP76" s="17">
        <f t="shared" si="33"/>
        <v>3930.7624722251535</v>
      </c>
      <c r="IQ76" s="17">
        <f t="shared" si="33"/>
        <v>3611.2132926789927</v>
      </c>
      <c r="IR76" s="17">
        <f t="shared" si="33"/>
        <v>3546.9086444960676</v>
      </c>
      <c r="IS76" s="17">
        <f t="shared" si="33"/>
        <v>3378.6719505131241</v>
      </c>
      <c r="IT76" s="17">
        <f t="shared" si="33"/>
        <v>3114.9931285866769</v>
      </c>
      <c r="IU76" s="17">
        <f t="shared" si="33"/>
        <v>2841.9001818073443</v>
      </c>
      <c r="IV76" s="17">
        <f t="shared" si="33"/>
        <v>2732.1181106660351</v>
      </c>
      <c r="IW76" s="17">
        <f t="shared" si="33"/>
        <v>2647.8204257451112</v>
      </c>
      <c r="IX76" s="17">
        <f t="shared" si="33"/>
        <v>2618.228657959673</v>
      </c>
      <c r="IY76" s="17">
        <f t="shared" ref="IY76:LJ76" si="34">STDEVP(IY3:IY69,IY75)</f>
        <v>2658.3000334046324</v>
      </c>
      <c r="IZ76" s="17">
        <f t="shared" si="34"/>
        <v>2635.5412124490631</v>
      </c>
      <c r="JA76" s="17">
        <f t="shared" si="34"/>
        <v>2550.7907453519983</v>
      </c>
      <c r="JB76" s="17">
        <f t="shared" si="34"/>
        <v>2507.8916655351377</v>
      </c>
      <c r="JC76" s="17">
        <f t="shared" si="34"/>
        <v>2476.7381455236318</v>
      </c>
      <c r="JD76" s="17">
        <f t="shared" si="34"/>
        <v>2617.7377019080177</v>
      </c>
      <c r="JE76" s="17">
        <f t="shared" si="34"/>
        <v>2781.8800722886544</v>
      </c>
      <c r="JF76" s="17">
        <f t="shared" si="34"/>
        <v>2705.2662274359141</v>
      </c>
      <c r="JG76" s="17">
        <f t="shared" si="34"/>
        <v>2540.4093148899237</v>
      </c>
      <c r="JH76" s="17">
        <f t="shared" si="34"/>
        <v>2422.6648815313129</v>
      </c>
      <c r="JI76" s="17">
        <f t="shared" si="34"/>
        <v>2338.4104437124429</v>
      </c>
      <c r="JJ76" s="17">
        <f t="shared" si="34"/>
        <v>2297.9414827786777</v>
      </c>
      <c r="JK76" s="17">
        <f t="shared" si="34"/>
        <v>2155.1289935920245</v>
      </c>
      <c r="JL76" s="17">
        <f t="shared" si="34"/>
        <v>1985.7615896449126</v>
      </c>
      <c r="JM76" s="17">
        <f t="shared" si="34"/>
        <v>2003.3602308252516</v>
      </c>
      <c r="JN76" s="17">
        <f t="shared" si="34"/>
        <v>2109.8932020387488</v>
      </c>
      <c r="JO76" s="17">
        <f t="shared" si="34"/>
        <v>2037.1976959083902</v>
      </c>
      <c r="JP76" s="17">
        <f t="shared" si="34"/>
        <v>2024.1624703303091</v>
      </c>
      <c r="JQ76" s="17">
        <f t="shared" si="34"/>
        <v>1998.3989745640042</v>
      </c>
      <c r="JR76" s="17">
        <f t="shared" si="34"/>
        <v>2045.9709910058095</v>
      </c>
      <c r="JS76" s="17">
        <f t="shared" si="34"/>
        <v>2076.7034123670787</v>
      </c>
      <c r="JT76" s="17">
        <f t="shared" si="34"/>
        <v>2066.3034457866838</v>
      </c>
      <c r="JU76" s="17">
        <f t="shared" si="34"/>
        <v>2117.6053348800292</v>
      </c>
      <c r="JV76" s="17">
        <f t="shared" si="34"/>
        <v>2189.4680943394742</v>
      </c>
      <c r="JW76" s="17">
        <f t="shared" si="34"/>
        <v>2164.468657376347</v>
      </c>
      <c r="JX76" s="17">
        <f t="shared" si="34"/>
        <v>2174.2801825786651</v>
      </c>
      <c r="JY76" s="17">
        <f t="shared" si="34"/>
        <v>2179.9325282003174</v>
      </c>
      <c r="JZ76" s="17">
        <f t="shared" si="34"/>
        <v>2165.6163493320246</v>
      </c>
      <c r="KA76" s="17">
        <f t="shared" si="34"/>
        <v>2088.9898072796832</v>
      </c>
      <c r="KB76" s="17">
        <f t="shared" si="34"/>
        <v>1885.9730412586264</v>
      </c>
      <c r="KC76" s="17">
        <f t="shared" si="34"/>
        <v>1667.359664783894</v>
      </c>
      <c r="KD76" s="17">
        <f t="shared" si="34"/>
        <v>1482.2776212258448</v>
      </c>
      <c r="KE76" s="17">
        <f t="shared" si="34"/>
        <v>1368.3595234980403</v>
      </c>
      <c r="KF76" s="17">
        <f t="shared" si="34"/>
        <v>1359.770959734421</v>
      </c>
      <c r="KG76" s="17">
        <f t="shared" si="34"/>
        <v>1398.8297139983015</v>
      </c>
      <c r="KH76" s="17">
        <f t="shared" si="34"/>
        <v>1356.7955014054396</v>
      </c>
      <c r="KI76" s="17">
        <f t="shared" si="34"/>
        <v>1354.8180792903622</v>
      </c>
      <c r="KJ76" s="17">
        <f t="shared" si="34"/>
        <v>1289.8796857573986</v>
      </c>
      <c r="KK76" s="17">
        <f t="shared" si="34"/>
        <v>1241.6856915674559</v>
      </c>
      <c r="KL76" s="17">
        <f t="shared" si="34"/>
        <v>1210.3518531367688</v>
      </c>
      <c r="KM76" s="17">
        <f t="shared" si="34"/>
        <v>1224.6805016012677</v>
      </c>
      <c r="KN76" s="17">
        <f t="shared" si="34"/>
        <v>1150.6964952768494</v>
      </c>
      <c r="KO76" s="17">
        <f t="shared" si="34"/>
        <v>1131.872842034888</v>
      </c>
      <c r="KP76" s="17">
        <f t="shared" si="34"/>
        <v>1091.434803398688</v>
      </c>
      <c r="KQ76" s="17">
        <f t="shared" si="34"/>
        <v>1039.8445060376059</v>
      </c>
      <c r="KR76" s="17">
        <f t="shared" si="34"/>
        <v>1035.1654485286424</v>
      </c>
      <c r="KS76" s="17">
        <f t="shared" si="34"/>
        <v>974.52906563472959</v>
      </c>
      <c r="KT76" s="17">
        <f t="shared" si="34"/>
        <v>942.4759585267584</v>
      </c>
      <c r="KU76" s="17">
        <f t="shared" si="34"/>
        <v>922.38016827400099</v>
      </c>
      <c r="KV76" s="17">
        <f t="shared" si="34"/>
        <v>946.33812710671907</v>
      </c>
      <c r="KW76" s="17">
        <f t="shared" si="34"/>
        <v>923.96560950743572</v>
      </c>
      <c r="KX76" s="17">
        <f t="shared" si="34"/>
        <v>856.52624174464279</v>
      </c>
      <c r="KY76" s="17">
        <f t="shared" si="34"/>
        <v>816.92184776837973</v>
      </c>
      <c r="KZ76" s="17">
        <f t="shared" si="34"/>
        <v>774.84721405462028</v>
      </c>
      <c r="LA76" s="17">
        <f t="shared" si="34"/>
        <v>744.68628898192367</v>
      </c>
      <c r="LB76" s="17">
        <f t="shared" si="34"/>
        <v>707.70247788374741</v>
      </c>
      <c r="LC76" s="17">
        <f t="shared" si="34"/>
        <v>716.55212398467336</v>
      </c>
      <c r="LD76" s="17">
        <f t="shared" si="34"/>
        <v>757.03208370423499</v>
      </c>
      <c r="LE76" s="17">
        <f t="shared" si="34"/>
        <v>755.80001301512243</v>
      </c>
      <c r="LF76" s="17">
        <f t="shared" si="34"/>
        <v>729.68716354569233</v>
      </c>
      <c r="LG76" s="17">
        <f t="shared" si="34"/>
        <v>651.11398176465127</v>
      </c>
      <c r="LH76" s="17">
        <f t="shared" si="34"/>
        <v>610.68889985076032</v>
      </c>
      <c r="LI76" s="17">
        <f t="shared" si="34"/>
        <v>578.64394163320253</v>
      </c>
      <c r="LJ76" s="17">
        <f t="shared" si="34"/>
        <v>544.03127052589969</v>
      </c>
      <c r="LK76" s="17">
        <f t="shared" ref="LK76:NT76" si="35">STDEVP(LK3:LK69,LK75)</f>
        <v>540.33948579273761</v>
      </c>
      <c r="LL76" s="17">
        <f t="shared" si="35"/>
        <v>535.89317204223846</v>
      </c>
      <c r="LM76" s="17">
        <f t="shared" si="35"/>
        <v>552.84367640059895</v>
      </c>
      <c r="LN76" s="17">
        <f t="shared" si="35"/>
        <v>586.4647353259063</v>
      </c>
      <c r="LO76" s="17">
        <f t="shared" si="35"/>
        <v>598.36393101472447</v>
      </c>
      <c r="LP76" s="17">
        <f t="shared" si="35"/>
        <v>590.41619392703114</v>
      </c>
      <c r="LQ76" s="17">
        <f t="shared" si="35"/>
        <v>581.00254965358067</v>
      </c>
      <c r="LR76" s="17">
        <f t="shared" si="35"/>
        <v>575.83384355612236</v>
      </c>
      <c r="LS76" s="17">
        <f t="shared" si="35"/>
        <v>539.09779592058464</v>
      </c>
      <c r="LT76" s="17">
        <f t="shared" si="35"/>
        <v>548.05504802376981</v>
      </c>
      <c r="LU76" s="17">
        <f t="shared" si="35"/>
        <v>493.6256615151749</v>
      </c>
      <c r="LV76" s="17">
        <f t="shared" si="35"/>
        <v>449.18340827075821</v>
      </c>
      <c r="LW76" s="17">
        <f t="shared" si="35"/>
        <v>408.17765454394782</v>
      </c>
      <c r="LX76" s="17">
        <f t="shared" si="35"/>
        <v>392.11886309791606</v>
      </c>
      <c r="LY76" s="17">
        <f t="shared" si="35"/>
        <v>391.75553720707171</v>
      </c>
      <c r="LZ76" s="17">
        <f t="shared" si="35"/>
        <v>390.31025851506683</v>
      </c>
      <c r="MA76" s="17">
        <f t="shared" si="35"/>
        <v>397.48257940745191</v>
      </c>
      <c r="MB76" s="17">
        <f t="shared" si="35"/>
        <v>389.7071950863853</v>
      </c>
      <c r="MC76" s="17">
        <f t="shared" si="35"/>
        <v>377.5062067443871</v>
      </c>
      <c r="MD76" s="17">
        <f t="shared" si="35"/>
        <v>367.72731865579675</v>
      </c>
      <c r="ME76" s="17">
        <f t="shared" si="35"/>
        <v>360.42598986823162</v>
      </c>
      <c r="MF76" s="17">
        <f t="shared" si="35"/>
        <v>363.95865566064384</v>
      </c>
      <c r="MG76" s="17">
        <f t="shared" si="35"/>
        <v>354.09544497096289</v>
      </c>
      <c r="MH76" s="17">
        <f t="shared" si="35"/>
        <v>342.32707543141635</v>
      </c>
      <c r="MI76" s="17">
        <f t="shared" si="35"/>
        <v>334.17957848436839</v>
      </c>
      <c r="MJ76" s="17">
        <f t="shared" si="35"/>
        <v>334.17420188098981</v>
      </c>
      <c r="MK76" s="17">
        <f t="shared" si="35"/>
        <v>339.60290948479309</v>
      </c>
      <c r="ML76" s="17">
        <f t="shared" si="35"/>
        <v>346.98188018227296</v>
      </c>
      <c r="MM76" s="17">
        <f t="shared" si="35"/>
        <v>328.33472033595245</v>
      </c>
      <c r="MN76" s="17">
        <f t="shared" si="35"/>
        <v>329.11823425816476</v>
      </c>
      <c r="MO76" s="17">
        <f t="shared" si="35"/>
        <v>316.2775978173583</v>
      </c>
      <c r="MP76" s="17">
        <f t="shared" si="35"/>
        <v>305.02841015605486</v>
      </c>
      <c r="MQ76" s="17">
        <f t="shared" si="35"/>
        <v>296.09328839275548</v>
      </c>
      <c r="MR76" s="17">
        <f t="shared" si="35"/>
        <v>292.13361888363966</v>
      </c>
      <c r="MS76" s="17">
        <f t="shared" si="35"/>
        <v>292.42575213688116</v>
      </c>
      <c r="MT76" s="17">
        <f t="shared" si="35"/>
        <v>287.2673275583507</v>
      </c>
      <c r="MU76" s="17">
        <f t="shared" si="35"/>
        <v>277.64687202953655</v>
      </c>
      <c r="MV76" s="17">
        <f t="shared" si="35"/>
        <v>265.11922813746492</v>
      </c>
      <c r="MW76" s="17">
        <f t="shared" si="35"/>
        <v>263.33507420273645</v>
      </c>
      <c r="MX76" s="17">
        <f t="shared" si="35"/>
        <v>300.61994995734102</v>
      </c>
      <c r="MY76" s="17">
        <f t="shared" si="35"/>
        <v>306.11940629285641</v>
      </c>
      <c r="MZ76" s="17">
        <f t="shared" si="35"/>
        <v>298.81116426283711</v>
      </c>
      <c r="NA76" s="17">
        <f t="shared" si="35"/>
        <v>285.00757933732211</v>
      </c>
      <c r="NB76" s="17">
        <f t="shared" si="35"/>
        <v>260.55811354884065</v>
      </c>
      <c r="NC76" s="17">
        <f t="shared" si="35"/>
        <v>252.79458847590831</v>
      </c>
      <c r="ND76" s="17">
        <f t="shared" si="35"/>
        <v>277.04779657142444</v>
      </c>
      <c r="NE76" s="17">
        <f t="shared" si="35"/>
        <v>272.37627203270358</v>
      </c>
      <c r="NF76" s="17">
        <f t="shared" si="35"/>
        <v>281.3193872967127</v>
      </c>
      <c r="NG76" s="17">
        <f t="shared" si="35"/>
        <v>232.93163757967227</v>
      </c>
      <c r="NH76" s="17">
        <f t="shared" si="35"/>
        <v>360.23754659486769</v>
      </c>
      <c r="NI76" s="17">
        <f t="shared" si="35"/>
        <v>1146.4159819758279</v>
      </c>
      <c r="NJ76" s="17">
        <f t="shared" si="35"/>
        <v>2150.661935290334</v>
      </c>
      <c r="NK76" s="17">
        <f t="shared" si="35"/>
        <v>2790.2993631742352</v>
      </c>
      <c r="NL76" s="17">
        <f t="shared" si="35"/>
        <v>2280.5257439892393</v>
      </c>
      <c r="NM76" s="17">
        <f t="shared" si="35"/>
        <v>1375.1651225286071</v>
      </c>
      <c r="NN76" s="17">
        <f t="shared" si="35"/>
        <v>598.95507301230964</v>
      </c>
      <c r="NO76" s="17">
        <f t="shared" si="35"/>
        <v>305.22260591384691</v>
      </c>
      <c r="NP76" s="17">
        <f t="shared" si="35"/>
        <v>648.61263711178572</v>
      </c>
      <c r="NQ76" s="17">
        <f t="shared" si="35"/>
        <v>3517.8452294373383</v>
      </c>
      <c r="NR76" s="17">
        <f t="shared" si="35"/>
        <v>22.968946300875331</v>
      </c>
      <c r="NS76" s="17">
        <f t="shared" si="35"/>
        <v>154.07702944414129</v>
      </c>
      <c r="NT76" s="17">
        <f t="shared" si="35"/>
        <v>70.088349174286364</v>
      </c>
      <c r="NU76" s="17"/>
      <c r="NV76" s="17"/>
      <c r="NW76" s="17"/>
      <c r="NX76" s="17"/>
      <c r="NY76" s="17"/>
      <c r="NZ76" s="17"/>
      <c r="OA76" s="17"/>
      <c r="OB76" s="17"/>
      <c r="OC76" s="17"/>
      <c r="OD76" s="17"/>
      <c r="OE76" s="17"/>
    </row>
    <row r="77" spans="1:395" customFormat="1" ht="15.75" x14ac:dyDescent="0.25">
      <c r="A77" s="16" t="s">
        <v>53</v>
      </c>
      <c r="B77" s="17">
        <f>B76/B75</f>
        <v>0.15318260534410816</v>
      </c>
      <c r="C77" s="17">
        <f t="shared" ref="C77:BN77" si="36">C76/C75</f>
        <v>0.16403179024689615</v>
      </c>
      <c r="D77" s="17">
        <f t="shared" si="36"/>
        <v>0.1817706282208941</v>
      </c>
      <c r="E77" s="17">
        <f t="shared" si="36"/>
        <v>0.18334301177817949</v>
      </c>
      <c r="F77" s="17">
        <f t="shared" si="36"/>
        <v>0.18154630222378879</v>
      </c>
      <c r="G77" s="17">
        <f t="shared" si="36"/>
        <v>0.18381917816258878</v>
      </c>
      <c r="H77" s="17">
        <f t="shared" si="36"/>
        <v>0.18373705876738342</v>
      </c>
      <c r="I77" s="17">
        <f t="shared" si="36"/>
        <v>0.18786854691886951</v>
      </c>
      <c r="J77" s="17">
        <f t="shared" si="36"/>
        <v>0.18974281085420769</v>
      </c>
      <c r="K77" s="17">
        <f t="shared" si="36"/>
        <v>0.19046956997592107</v>
      </c>
      <c r="L77" s="17">
        <f t="shared" si="36"/>
        <v>0.18581764083422547</v>
      </c>
      <c r="M77" s="17">
        <f t="shared" si="36"/>
        <v>0.19110439727569895</v>
      </c>
      <c r="N77" s="17">
        <f t="shared" si="36"/>
        <v>0.2022839441140295</v>
      </c>
      <c r="O77" s="17">
        <f t="shared" si="36"/>
        <v>0.19529402018687356</v>
      </c>
      <c r="P77" s="17">
        <f t="shared" si="36"/>
        <v>0.19095896857682265</v>
      </c>
      <c r="Q77" s="17">
        <f t="shared" si="36"/>
        <v>0.20860913416505902</v>
      </c>
      <c r="R77" s="17">
        <f t="shared" si="36"/>
        <v>0.20189171380746884</v>
      </c>
      <c r="S77" s="17">
        <f t="shared" si="36"/>
        <v>0.20837627256951613</v>
      </c>
      <c r="T77" s="17">
        <f t="shared" si="36"/>
        <v>0.22190198296750849</v>
      </c>
      <c r="U77" s="17">
        <f t="shared" si="36"/>
        <v>0.218198384921473</v>
      </c>
      <c r="V77" s="17">
        <f t="shared" si="36"/>
        <v>0.21691585242069314</v>
      </c>
      <c r="W77" s="17">
        <f t="shared" si="36"/>
        <v>0.21737499298867574</v>
      </c>
      <c r="X77" s="17">
        <f t="shared" si="36"/>
        <v>0.21484081425028528</v>
      </c>
      <c r="Y77" s="17">
        <f t="shared" si="36"/>
        <v>0.22292617744601478</v>
      </c>
      <c r="Z77" s="17">
        <f t="shared" si="36"/>
        <v>0.22950375535200368</v>
      </c>
      <c r="AA77" s="17">
        <f t="shared" si="36"/>
        <v>0.23226153504177449</v>
      </c>
      <c r="AB77" s="17">
        <f t="shared" si="36"/>
        <v>0.24064084396664151</v>
      </c>
      <c r="AC77" s="17">
        <f t="shared" si="36"/>
        <v>0.2430876670149647</v>
      </c>
      <c r="AD77" s="17">
        <f t="shared" si="36"/>
        <v>0.24283875013156642</v>
      </c>
      <c r="AE77" s="17">
        <f t="shared" si="36"/>
        <v>0.24274238084948843</v>
      </c>
      <c r="AF77" s="17">
        <f t="shared" si="36"/>
        <v>0.2445058336854512</v>
      </c>
      <c r="AG77" s="17">
        <f t="shared" si="36"/>
        <v>0.24826432822548822</v>
      </c>
      <c r="AH77" s="17">
        <f t="shared" si="36"/>
        <v>0.25140828155065492</v>
      </c>
      <c r="AI77" s="17">
        <f t="shared" si="36"/>
        <v>0.25261645083460593</v>
      </c>
      <c r="AJ77" s="17">
        <f t="shared" si="36"/>
        <v>0.24926251924893922</v>
      </c>
      <c r="AK77" s="17">
        <f t="shared" si="36"/>
        <v>0.249498665453003</v>
      </c>
      <c r="AL77" s="17">
        <f t="shared" si="36"/>
        <v>0.24767689329998335</v>
      </c>
      <c r="AM77" s="17">
        <f t="shared" si="36"/>
        <v>0.2392309696428338</v>
      </c>
      <c r="AN77" s="17">
        <f t="shared" si="36"/>
        <v>0.23540356454383513</v>
      </c>
      <c r="AO77" s="17">
        <f t="shared" si="36"/>
        <v>0.21805601505198799</v>
      </c>
      <c r="AP77" s="17">
        <f t="shared" si="36"/>
        <v>0.21479410974919225</v>
      </c>
      <c r="AQ77" s="17">
        <f t="shared" si="36"/>
        <v>0.22060355066141205</v>
      </c>
      <c r="AR77" s="17">
        <f t="shared" si="36"/>
        <v>0.23504418937221458</v>
      </c>
      <c r="AS77" s="17">
        <f t="shared" si="36"/>
        <v>0.24278690544902751</v>
      </c>
      <c r="AT77" s="17">
        <f t="shared" si="36"/>
        <v>0.23842966588853437</v>
      </c>
      <c r="AU77" s="17">
        <f t="shared" si="36"/>
        <v>0.23483785617556346</v>
      </c>
      <c r="AV77" s="17">
        <f t="shared" si="36"/>
        <v>0.2364762914648865</v>
      </c>
      <c r="AW77" s="17">
        <f t="shared" si="36"/>
        <v>0.24362325208632182</v>
      </c>
      <c r="AX77" s="17">
        <f t="shared" si="36"/>
        <v>0.22917870838618326</v>
      </c>
      <c r="AY77" s="17">
        <f t="shared" si="36"/>
        <v>0.21750067092011241</v>
      </c>
      <c r="AZ77" s="17">
        <f t="shared" si="36"/>
        <v>0.21514782370359076</v>
      </c>
      <c r="BA77" s="17">
        <f t="shared" si="36"/>
        <v>0.21664292986133127</v>
      </c>
      <c r="BB77" s="17">
        <f t="shared" si="36"/>
        <v>0.21070733634681379</v>
      </c>
      <c r="BC77" s="17">
        <f t="shared" si="36"/>
        <v>0.20878569135578789</v>
      </c>
      <c r="BD77" s="17">
        <f t="shared" si="36"/>
        <v>0.20898383952035665</v>
      </c>
      <c r="BE77" s="17">
        <f t="shared" si="36"/>
        <v>0.20465152729453531</v>
      </c>
      <c r="BF77" s="17">
        <f t="shared" si="36"/>
        <v>0.20975543080433312</v>
      </c>
      <c r="BG77" s="17">
        <f t="shared" si="36"/>
        <v>0.20990232031418951</v>
      </c>
      <c r="BH77" s="17">
        <f t="shared" si="36"/>
        <v>0.21754746806232236</v>
      </c>
      <c r="BI77" s="17">
        <f t="shared" si="36"/>
        <v>0.21966843021156354</v>
      </c>
      <c r="BJ77" s="17">
        <f t="shared" si="36"/>
        <v>0.21480180283600672</v>
      </c>
      <c r="BK77" s="17">
        <f t="shared" si="36"/>
        <v>0.2183974440862588</v>
      </c>
      <c r="BL77" s="17">
        <f t="shared" si="36"/>
        <v>0.21865459835205653</v>
      </c>
      <c r="BM77" s="17">
        <f t="shared" si="36"/>
        <v>0.21925241667810974</v>
      </c>
      <c r="BN77" s="17">
        <f t="shared" si="36"/>
        <v>0.22730077920112599</v>
      </c>
      <c r="BO77" s="17">
        <f t="shared" ref="BO77:DZ77" si="37">BO76/BO75</f>
        <v>0.2217829106087861</v>
      </c>
      <c r="BP77" s="17">
        <f t="shared" si="37"/>
        <v>0.21443195549681512</v>
      </c>
      <c r="BQ77" s="17">
        <f t="shared" si="37"/>
        <v>0.21581594271437757</v>
      </c>
      <c r="BR77" s="17">
        <f t="shared" si="37"/>
        <v>0.2241146413677477</v>
      </c>
      <c r="BS77" s="17">
        <f t="shared" si="37"/>
        <v>0.23568587383153453</v>
      </c>
      <c r="BT77" s="17">
        <f t="shared" si="37"/>
        <v>0.24516772184194519</v>
      </c>
      <c r="BU77" s="17">
        <f t="shared" si="37"/>
        <v>0.24810549949911509</v>
      </c>
      <c r="BV77" s="17">
        <f t="shared" si="37"/>
        <v>0.25455851221780301</v>
      </c>
      <c r="BW77" s="17">
        <f t="shared" si="37"/>
        <v>0.23918732419634064</v>
      </c>
      <c r="BX77" s="17">
        <f t="shared" si="37"/>
        <v>0.24075333102234614</v>
      </c>
      <c r="BY77" s="17">
        <f t="shared" si="37"/>
        <v>0.23255181803174119</v>
      </c>
      <c r="BZ77" s="17">
        <f t="shared" si="37"/>
        <v>0.23601492114464323</v>
      </c>
      <c r="CA77" s="17">
        <f t="shared" si="37"/>
        <v>0.24043730842614167</v>
      </c>
      <c r="CB77" s="17">
        <f t="shared" si="37"/>
        <v>0.24160643604419732</v>
      </c>
      <c r="CC77" s="17">
        <f t="shared" si="37"/>
        <v>0.25150952803564908</v>
      </c>
      <c r="CD77" s="17">
        <f t="shared" si="37"/>
        <v>0.26102199396656911</v>
      </c>
      <c r="CE77" s="17">
        <f t="shared" si="37"/>
        <v>0.25763879421641794</v>
      </c>
      <c r="CF77" s="17">
        <f t="shared" si="37"/>
        <v>0.26743205556661392</v>
      </c>
      <c r="CG77" s="17">
        <f t="shared" si="37"/>
        <v>0.26494850901744754</v>
      </c>
      <c r="CH77" s="17">
        <f t="shared" si="37"/>
        <v>0.2632580111919956</v>
      </c>
      <c r="CI77" s="17">
        <f t="shared" si="37"/>
        <v>0.27606649024063423</v>
      </c>
      <c r="CJ77" s="17">
        <f t="shared" si="37"/>
        <v>0.26659937056603866</v>
      </c>
      <c r="CK77" s="17">
        <f t="shared" si="37"/>
        <v>0.26552069196274791</v>
      </c>
      <c r="CL77" s="17">
        <f t="shared" si="37"/>
        <v>0.27218416525869105</v>
      </c>
      <c r="CM77" s="17">
        <f t="shared" si="37"/>
        <v>0.25102625081043972</v>
      </c>
      <c r="CN77" s="17">
        <f t="shared" si="37"/>
        <v>0.24876561617352386</v>
      </c>
      <c r="CO77" s="17">
        <f t="shared" si="37"/>
        <v>0.24322842845497955</v>
      </c>
      <c r="CP77" s="17">
        <f t="shared" si="37"/>
        <v>0.24057031573802373</v>
      </c>
      <c r="CQ77" s="17">
        <f t="shared" si="37"/>
        <v>0.21816532246218365</v>
      </c>
      <c r="CR77" s="17">
        <f t="shared" si="37"/>
        <v>0.21113062989682393</v>
      </c>
      <c r="CS77" s="17">
        <f t="shared" si="37"/>
        <v>0.21326230192318493</v>
      </c>
      <c r="CT77" s="17">
        <f t="shared" si="37"/>
        <v>0.21048635939459687</v>
      </c>
      <c r="CU77" s="17">
        <f t="shared" si="37"/>
        <v>0.19951562835414624</v>
      </c>
      <c r="CV77" s="17">
        <f t="shared" si="37"/>
        <v>0.19308458134748832</v>
      </c>
      <c r="CW77" s="17">
        <f t="shared" si="37"/>
        <v>0.21267416363797401</v>
      </c>
      <c r="CX77" s="17">
        <f t="shared" si="37"/>
        <v>0.22535024481986574</v>
      </c>
      <c r="CY77" s="17">
        <f t="shared" si="37"/>
        <v>0.20215999109905095</v>
      </c>
      <c r="CZ77" s="17">
        <f t="shared" si="37"/>
        <v>0.19566635473710733</v>
      </c>
      <c r="DA77" s="17">
        <f t="shared" si="37"/>
        <v>0.19457827208357736</v>
      </c>
      <c r="DB77" s="17">
        <f t="shared" si="37"/>
        <v>0.19720753586195075</v>
      </c>
      <c r="DC77" s="17">
        <f t="shared" si="37"/>
        <v>0.18477784613798279</v>
      </c>
      <c r="DD77" s="17">
        <f t="shared" si="37"/>
        <v>0.18456821939661319</v>
      </c>
      <c r="DE77" s="17">
        <f t="shared" si="37"/>
        <v>0.18865302534566952</v>
      </c>
      <c r="DF77" s="17">
        <f t="shared" si="37"/>
        <v>0.19476724904527007</v>
      </c>
      <c r="DG77" s="17">
        <f t="shared" si="37"/>
        <v>0.19429796115508693</v>
      </c>
      <c r="DH77" s="17">
        <f t="shared" si="37"/>
        <v>0.19941306644939769</v>
      </c>
      <c r="DI77" s="17">
        <f t="shared" si="37"/>
        <v>0.19397954036486889</v>
      </c>
      <c r="DJ77" s="17">
        <f t="shared" si="37"/>
        <v>0.19777489226421444</v>
      </c>
      <c r="DK77" s="17">
        <f t="shared" si="37"/>
        <v>0.2123923727043375</v>
      </c>
      <c r="DL77" s="17">
        <f t="shared" si="37"/>
        <v>0.20809095408468795</v>
      </c>
      <c r="DM77" s="17">
        <f t="shared" si="37"/>
        <v>0.20161317412439486</v>
      </c>
      <c r="DN77" s="17">
        <f t="shared" si="37"/>
        <v>0.20917096434944299</v>
      </c>
      <c r="DO77" s="17">
        <f t="shared" si="37"/>
        <v>0.21679478271173189</v>
      </c>
      <c r="DP77" s="17">
        <f t="shared" si="37"/>
        <v>0.22824992001288938</v>
      </c>
      <c r="DQ77" s="17">
        <f t="shared" si="37"/>
        <v>0.23536554237659804</v>
      </c>
      <c r="DR77" s="17">
        <f t="shared" si="37"/>
        <v>0.24631237661022409</v>
      </c>
      <c r="DS77" s="17">
        <f t="shared" si="37"/>
        <v>0.24630949876115901</v>
      </c>
      <c r="DT77" s="17">
        <f t="shared" si="37"/>
        <v>0.21293860391639857</v>
      </c>
      <c r="DU77" s="17">
        <f t="shared" si="37"/>
        <v>0.1990544409251451</v>
      </c>
      <c r="DV77" s="17">
        <f t="shared" si="37"/>
        <v>0.18983427526816182</v>
      </c>
      <c r="DW77" s="17">
        <f t="shared" si="37"/>
        <v>0.18974810989253507</v>
      </c>
      <c r="DX77" s="17">
        <f t="shared" si="37"/>
        <v>0.20298308861146383</v>
      </c>
      <c r="DY77" s="17">
        <f t="shared" si="37"/>
        <v>0.21315006139884682</v>
      </c>
      <c r="DZ77" s="17">
        <f t="shared" si="37"/>
        <v>0.22025186893968504</v>
      </c>
      <c r="EA77" s="17">
        <f t="shared" ref="EA77:GL77" si="38">EA76/EA75</f>
        <v>0.22096782917598456</v>
      </c>
      <c r="EB77" s="17">
        <f t="shared" si="38"/>
        <v>0.22399986721530957</v>
      </c>
      <c r="EC77" s="17">
        <f t="shared" si="38"/>
        <v>0.22971564215600565</v>
      </c>
      <c r="ED77" s="17">
        <f t="shared" si="38"/>
        <v>0.22729945520787534</v>
      </c>
      <c r="EE77" s="17">
        <f t="shared" si="38"/>
        <v>0.24650219653500383</v>
      </c>
      <c r="EF77" s="17">
        <f t="shared" si="38"/>
        <v>0.25717311942226162</v>
      </c>
      <c r="EG77" s="17">
        <f t="shared" si="38"/>
        <v>0.25315336831481955</v>
      </c>
      <c r="EH77" s="17">
        <f t="shared" si="38"/>
        <v>0.24489960805016583</v>
      </c>
      <c r="EI77" s="17">
        <f t="shared" si="38"/>
        <v>0.25694174456752711</v>
      </c>
      <c r="EJ77" s="17">
        <f t="shared" si="38"/>
        <v>0.26677236062813492</v>
      </c>
      <c r="EK77" s="17">
        <f t="shared" si="38"/>
        <v>0.26168477570754239</v>
      </c>
      <c r="EL77" s="17">
        <f t="shared" si="38"/>
        <v>0.27487349407275186</v>
      </c>
      <c r="EM77" s="17">
        <f t="shared" si="38"/>
        <v>0.26411188028561888</v>
      </c>
      <c r="EN77" s="17">
        <f t="shared" si="38"/>
        <v>0.28890398900193748</v>
      </c>
      <c r="EO77" s="17">
        <f t="shared" si="38"/>
        <v>0.29619335732272251</v>
      </c>
      <c r="EP77" s="17">
        <f t="shared" si="38"/>
        <v>0.30353165984169933</v>
      </c>
      <c r="EQ77" s="17">
        <f t="shared" si="38"/>
        <v>0.30004688681550623</v>
      </c>
      <c r="ER77" s="17">
        <f t="shared" si="38"/>
        <v>0.30144596248172667</v>
      </c>
      <c r="ES77" s="17">
        <f t="shared" si="38"/>
        <v>0.29625264331562479</v>
      </c>
      <c r="ET77" s="17">
        <f t="shared" si="38"/>
        <v>0.29073568824837964</v>
      </c>
      <c r="EU77" s="17">
        <f t="shared" si="38"/>
        <v>0.28393671307197188</v>
      </c>
      <c r="EV77" s="17">
        <f t="shared" si="38"/>
        <v>0.27847487211478794</v>
      </c>
      <c r="EW77" s="17">
        <f t="shared" si="38"/>
        <v>0.27913084940713995</v>
      </c>
      <c r="EX77" s="17">
        <f t="shared" si="38"/>
        <v>0.29748814836280085</v>
      </c>
      <c r="EY77" s="17">
        <f t="shared" si="38"/>
        <v>0.32187151932621039</v>
      </c>
      <c r="EZ77" s="17">
        <f t="shared" si="38"/>
        <v>0.33231318537258919</v>
      </c>
      <c r="FA77" s="17">
        <f t="shared" si="38"/>
        <v>0.32432113800089246</v>
      </c>
      <c r="FB77" s="17">
        <f t="shared" si="38"/>
        <v>0.31735048780542158</v>
      </c>
      <c r="FC77" s="17">
        <f t="shared" si="38"/>
        <v>0.32254195151814502</v>
      </c>
      <c r="FD77" s="17">
        <f t="shared" si="38"/>
        <v>0.32887219301454784</v>
      </c>
      <c r="FE77" s="17">
        <f t="shared" si="38"/>
        <v>0.34237610569501492</v>
      </c>
      <c r="FF77" s="17">
        <f t="shared" si="38"/>
        <v>0.3363938254180826</v>
      </c>
      <c r="FG77" s="17">
        <f t="shared" si="38"/>
        <v>0.33007484121490693</v>
      </c>
      <c r="FH77" s="17">
        <f t="shared" si="38"/>
        <v>0.32958951634839323</v>
      </c>
      <c r="FI77" s="17">
        <f t="shared" si="38"/>
        <v>0.33128351485475149</v>
      </c>
      <c r="FJ77" s="17">
        <f t="shared" si="38"/>
        <v>0.31554459564454462</v>
      </c>
      <c r="FK77" s="17">
        <f t="shared" si="38"/>
        <v>0.31075220581456831</v>
      </c>
      <c r="FL77" s="17">
        <f t="shared" si="38"/>
        <v>0.31447544089351276</v>
      </c>
      <c r="FM77" s="17">
        <f t="shared" si="38"/>
        <v>0.33464581404712307</v>
      </c>
      <c r="FN77" s="17">
        <f t="shared" si="38"/>
        <v>0.33701939573078965</v>
      </c>
      <c r="FO77" s="17">
        <f t="shared" si="38"/>
        <v>0.33255580759550218</v>
      </c>
      <c r="FP77" s="17">
        <f t="shared" si="38"/>
        <v>0.32807892668758304</v>
      </c>
      <c r="FQ77" s="17">
        <f t="shared" si="38"/>
        <v>0.32711059419421634</v>
      </c>
      <c r="FR77" s="17">
        <f t="shared" si="38"/>
        <v>0.35510407534279126</v>
      </c>
      <c r="FS77" s="17">
        <f t="shared" si="38"/>
        <v>0.38353239311743093</v>
      </c>
      <c r="FT77" s="17">
        <f t="shared" si="38"/>
        <v>0.38090261540309839</v>
      </c>
      <c r="FU77" s="17">
        <f t="shared" si="38"/>
        <v>0.36119168363802523</v>
      </c>
      <c r="FV77" s="17">
        <f t="shared" si="38"/>
        <v>0.34238130689670931</v>
      </c>
      <c r="FW77" s="17">
        <f t="shared" si="38"/>
        <v>0.34827668905422715</v>
      </c>
      <c r="FX77" s="17">
        <f t="shared" si="38"/>
        <v>0.35452235330732357</v>
      </c>
      <c r="FY77" s="17">
        <f t="shared" si="38"/>
        <v>0.3756658797586</v>
      </c>
      <c r="FZ77" s="17">
        <f t="shared" si="38"/>
        <v>0.36033345998607735</v>
      </c>
      <c r="GA77" s="17">
        <f t="shared" si="38"/>
        <v>0.35838098724072243</v>
      </c>
      <c r="GB77" s="17">
        <f t="shared" si="38"/>
        <v>0.35618478297195455</v>
      </c>
      <c r="GC77" s="17">
        <f t="shared" si="38"/>
        <v>0.34960590575418671</v>
      </c>
      <c r="GD77" s="17">
        <f t="shared" si="38"/>
        <v>0.3591773822644318</v>
      </c>
      <c r="GE77" s="17">
        <f t="shared" si="38"/>
        <v>0.3486582619595846</v>
      </c>
      <c r="GF77" s="17">
        <f t="shared" si="38"/>
        <v>0.34364681943297165</v>
      </c>
      <c r="GG77" s="17">
        <f t="shared" si="38"/>
        <v>0.3372400779367426</v>
      </c>
      <c r="GH77" s="17">
        <f t="shared" si="38"/>
        <v>0.3603741168808734</v>
      </c>
      <c r="GI77" s="17">
        <f t="shared" si="38"/>
        <v>0.36352726678337943</v>
      </c>
      <c r="GJ77" s="17">
        <f t="shared" si="38"/>
        <v>0.37035191696094039</v>
      </c>
      <c r="GK77" s="17">
        <f t="shared" si="38"/>
        <v>0.38084362354964441</v>
      </c>
      <c r="GL77" s="17">
        <f t="shared" si="38"/>
        <v>0.38007687170181315</v>
      </c>
      <c r="GM77" s="17">
        <f t="shared" ref="GM77:IX77" si="39">GM76/GM75</f>
        <v>0.36926425485250991</v>
      </c>
      <c r="GN77" s="17">
        <f t="shared" si="39"/>
        <v>0.34907307917127767</v>
      </c>
      <c r="GO77" s="17">
        <f t="shared" si="39"/>
        <v>0.32866064335559603</v>
      </c>
      <c r="GP77" s="17">
        <f t="shared" si="39"/>
        <v>0.34102443036403246</v>
      </c>
      <c r="GQ77" s="17">
        <f t="shared" si="39"/>
        <v>0.35052933757826482</v>
      </c>
      <c r="GR77" s="17">
        <f t="shared" si="39"/>
        <v>0.36309752034238335</v>
      </c>
      <c r="GS77" s="17">
        <f t="shared" si="39"/>
        <v>0.36022104757651113</v>
      </c>
      <c r="GT77" s="17">
        <f t="shared" si="39"/>
        <v>0.35443771699269144</v>
      </c>
      <c r="GU77" s="17">
        <f t="shared" si="39"/>
        <v>0.36361664606597732</v>
      </c>
      <c r="GV77" s="17">
        <f t="shared" si="39"/>
        <v>0.35643309887820745</v>
      </c>
      <c r="GW77" s="17">
        <f t="shared" si="39"/>
        <v>0.35000811064094678</v>
      </c>
      <c r="GX77" s="17">
        <f t="shared" si="39"/>
        <v>0.33798304614277985</v>
      </c>
      <c r="GY77" s="17">
        <f t="shared" si="39"/>
        <v>0.34761094280620441</v>
      </c>
      <c r="GZ77" s="17">
        <f t="shared" si="39"/>
        <v>0.36518921091352863</v>
      </c>
      <c r="HA77" s="17">
        <f t="shared" si="39"/>
        <v>0.36503613430319626</v>
      </c>
      <c r="HB77" s="17">
        <f t="shared" si="39"/>
        <v>0.34839245636454186</v>
      </c>
      <c r="HC77" s="17">
        <f t="shared" si="39"/>
        <v>0.35577074522019259</v>
      </c>
      <c r="HD77" s="17">
        <f t="shared" si="39"/>
        <v>0.36008275728863648</v>
      </c>
      <c r="HE77" s="17">
        <f t="shared" si="39"/>
        <v>0.36206062245050458</v>
      </c>
      <c r="HF77" s="17">
        <f t="shared" si="39"/>
        <v>0.35321613919294431</v>
      </c>
      <c r="HG77" s="17">
        <f t="shared" si="39"/>
        <v>0.34084980068351278</v>
      </c>
      <c r="HH77" s="17">
        <f t="shared" si="39"/>
        <v>0.34510246186340815</v>
      </c>
      <c r="HI77" s="17">
        <f t="shared" si="39"/>
        <v>0.35521454246745332</v>
      </c>
      <c r="HJ77" s="17">
        <f t="shared" si="39"/>
        <v>0.37087482082403522</v>
      </c>
      <c r="HK77" s="17">
        <f t="shared" si="39"/>
        <v>0.37554767544524598</v>
      </c>
      <c r="HL77" s="17">
        <f t="shared" si="39"/>
        <v>0.39165161005647542</v>
      </c>
      <c r="HM77" s="17">
        <f t="shared" si="39"/>
        <v>0.39745263355212995</v>
      </c>
      <c r="HN77" s="17">
        <f t="shared" si="39"/>
        <v>0.39508028679473667</v>
      </c>
      <c r="HO77" s="17">
        <f t="shared" si="39"/>
        <v>0.40476796881744165</v>
      </c>
      <c r="HP77" s="17">
        <f t="shared" si="39"/>
        <v>0.43329346135848656</v>
      </c>
      <c r="HQ77" s="17">
        <f t="shared" si="39"/>
        <v>0.46535564957100761</v>
      </c>
      <c r="HR77" s="17">
        <f t="shared" si="39"/>
        <v>0.46744349815109731</v>
      </c>
      <c r="HS77" s="17">
        <f t="shared" si="39"/>
        <v>0.45546841953833</v>
      </c>
      <c r="HT77" s="17">
        <f t="shared" si="39"/>
        <v>0.44365667783945822</v>
      </c>
      <c r="HU77" s="17">
        <f t="shared" si="39"/>
        <v>0.43600381139265609</v>
      </c>
      <c r="HV77" s="17">
        <f t="shared" si="39"/>
        <v>0.43392147327709374</v>
      </c>
      <c r="HW77" s="17">
        <f t="shared" si="39"/>
        <v>0.43486735618265016</v>
      </c>
      <c r="HX77" s="17">
        <f t="shared" si="39"/>
        <v>0.42709068422059471</v>
      </c>
      <c r="HY77" s="17">
        <f t="shared" si="39"/>
        <v>0.42923027579557904</v>
      </c>
      <c r="HZ77" s="17">
        <f t="shared" si="39"/>
        <v>0.40534335829565926</v>
      </c>
      <c r="IA77" s="17">
        <f t="shared" si="39"/>
        <v>0.38330996568044279</v>
      </c>
      <c r="IB77" s="17">
        <f t="shared" si="39"/>
        <v>0.36235951259869981</v>
      </c>
      <c r="IC77" s="17">
        <f t="shared" si="39"/>
        <v>0.3529687375361571</v>
      </c>
      <c r="ID77" s="17">
        <f t="shared" si="39"/>
        <v>0.3541177726121153</v>
      </c>
      <c r="IE77" s="17">
        <f t="shared" si="39"/>
        <v>0.36388949911150154</v>
      </c>
      <c r="IF77" s="17">
        <f t="shared" si="39"/>
        <v>0.39341728042219937</v>
      </c>
      <c r="IG77" s="17">
        <f t="shared" si="39"/>
        <v>0.40904662550198634</v>
      </c>
      <c r="IH77" s="17">
        <f t="shared" si="39"/>
        <v>0.41687149797625639</v>
      </c>
      <c r="II77" s="17">
        <f t="shared" si="39"/>
        <v>0.40876883553839516</v>
      </c>
      <c r="IJ77" s="17">
        <f t="shared" si="39"/>
        <v>0.42635645395695915</v>
      </c>
      <c r="IK77" s="17">
        <f t="shared" si="39"/>
        <v>0.44200377113750472</v>
      </c>
      <c r="IL77" s="17">
        <f t="shared" si="39"/>
        <v>0.44592867879744569</v>
      </c>
      <c r="IM77" s="17">
        <f t="shared" si="39"/>
        <v>0.43309685363699629</v>
      </c>
      <c r="IN77" s="17">
        <f t="shared" si="39"/>
        <v>0.42025749614698588</v>
      </c>
      <c r="IO77" s="17">
        <f t="shared" si="39"/>
        <v>0.4139080808646321</v>
      </c>
      <c r="IP77" s="17">
        <f t="shared" si="39"/>
        <v>0.4148932491550047</v>
      </c>
      <c r="IQ77" s="17">
        <f t="shared" si="39"/>
        <v>0.38886215732176088</v>
      </c>
      <c r="IR77" s="17">
        <f t="shared" si="39"/>
        <v>0.38364738891111322</v>
      </c>
      <c r="IS77" s="17">
        <f t="shared" si="39"/>
        <v>0.36686045935444772</v>
      </c>
      <c r="IT77" s="17">
        <f t="shared" si="39"/>
        <v>0.34415718207460905</v>
      </c>
      <c r="IU77" s="17">
        <f t="shared" si="39"/>
        <v>0.32227836249952441</v>
      </c>
      <c r="IV77" s="17">
        <f t="shared" si="39"/>
        <v>0.31352649481531775</v>
      </c>
      <c r="IW77" s="17">
        <f t="shared" si="39"/>
        <v>0.30470279667415945</v>
      </c>
      <c r="IX77" s="17">
        <f t="shared" si="39"/>
        <v>0.30051537632635611</v>
      </c>
      <c r="IY77" s="17">
        <f t="shared" ref="IY77:LJ77" si="40">IY76/IY75</f>
        <v>0.30449635599214236</v>
      </c>
      <c r="IZ77" s="17">
        <f t="shared" si="40"/>
        <v>0.30057581290870816</v>
      </c>
      <c r="JA77" s="17">
        <f t="shared" si="40"/>
        <v>0.29166766078154999</v>
      </c>
      <c r="JB77" s="17">
        <f t="shared" si="40"/>
        <v>0.28583219347334599</v>
      </c>
      <c r="JC77" s="17">
        <f t="shared" si="40"/>
        <v>0.28013499592649138</v>
      </c>
      <c r="JD77" s="17">
        <f t="shared" si="40"/>
        <v>0.29108863486505826</v>
      </c>
      <c r="JE77" s="17">
        <f t="shared" si="40"/>
        <v>0.30701949996394079</v>
      </c>
      <c r="JF77" s="17">
        <f t="shared" si="40"/>
        <v>0.30104313362780027</v>
      </c>
      <c r="JG77" s="17">
        <f t="shared" si="40"/>
        <v>0.28939117677505261</v>
      </c>
      <c r="JH77" s="17">
        <f t="shared" si="40"/>
        <v>0.2812523973915616</v>
      </c>
      <c r="JI77" s="17">
        <f t="shared" si="40"/>
        <v>0.2766342321254141</v>
      </c>
      <c r="JJ77" s="17">
        <f t="shared" si="40"/>
        <v>0.27613872248731591</v>
      </c>
      <c r="JK77" s="17">
        <f t="shared" si="40"/>
        <v>0.26407907209493947</v>
      </c>
      <c r="JL77" s="17">
        <f t="shared" si="40"/>
        <v>0.24921706697350812</v>
      </c>
      <c r="JM77" s="17">
        <f t="shared" si="40"/>
        <v>0.25788378057954525</v>
      </c>
      <c r="JN77" s="17">
        <f t="shared" si="40"/>
        <v>0.27271527627370079</v>
      </c>
      <c r="JO77" s="17">
        <f t="shared" si="40"/>
        <v>0.26846535202750255</v>
      </c>
      <c r="JP77" s="17">
        <f t="shared" si="40"/>
        <v>0.27312663076365962</v>
      </c>
      <c r="JQ77" s="17">
        <f t="shared" si="40"/>
        <v>0.27413458835611232</v>
      </c>
      <c r="JR77" s="17">
        <f t="shared" si="40"/>
        <v>0.2827188384433717</v>
      </c>
      <c r="JS77" s="17">
        <f t="shared" si="40"/>
        <v>0.29218321133327585</v>
      </c>
      <c r="JT77" s="17">
        <f t="shared" si="40"/>
        <v>0.291300071520885</v>
      </c>
      <c r="JU77" s="17">
        <f t="shared" si="40"/>
        <v>0.30154083897562139</v>
      </c>
      <c r="JV77" s="17">
        <f t="shared" si="40"/>
        <v>0.31560425372467082</v>
      </c>
      <c r="JW77" s="17">
        <f t="shared" si="40"/>
        <v>0.3124788173628788</v>
      </c>
      <c r="JX77" s="17">
        <f t="shared" si="40"/>
        <v>0.31506389608670493</v>
      </c>
      <c r="JY77" s="17">
        <f t="shared" si="40"/>
        <v>0.32454332188048701</v>
      </c>
      <c r="JZ77" s="17">
        <f t="shared" si="40"/>
        <v>0.32885191614666887</v>
      </c>
      <c r="KA77" s="17">
        <f t="shared" si="40"/>
        <v>0.32787061735929734</v>
      </c>
      <c r="KB77" s="17">
        <f t="shared" si="40"/>
        <v>0.3054245401544976</v>
      </c>
      <c r="KC77" s="17">
        <f t="shared" si="40"/>
        <v>0.28075118050657488</v>
      </c>
      <c r="KD77" s="17">
        <f t="shared" si="40"/>
        <v>0.25878446826483281</v>
      </c>
      <c r="KE77" s="17">
        <f t="shared" si="40"/>
        <v>0.24550324057349809</v>
      </c>
      <c r="KF77" s="17">
        <f t="shared" si="40"/>
        <v>0.24952038953965716</v>
      </c>
      <c r="KG77" s="17">
        <f t="shared" si="40"/>
        <v>0.2612081111490982</v>
      </c>
      <c r="KH77" s="17">
        <f t="shared" si="40"/>
        <v>0.25718616427445562</v>
      </c>
      <c r="KI77" s="17">
        <f t="shared" si="40"/>
        <v>0.26136159302508916</v>
      </c>
      <c r="KJ77" s="17">
        <f t="shared" si="40"/>
        <v>0.25635106578068523</v>
      </c>
      <c r="KK77" s="17">
        <f t="shared" si="40"/>
        <v>0.25295254944646828</v>
      </c>
      <c r="KL77" s="17">
        <f t="shared" si="40"/>
        <v>0.25228601351298729</v>
      </c>
      <c r="KM77" s="17">
        <f t="shared" si="40"/>
        <v>0.25868206741001004</v>
      </c>
      <c r="KN77" s="17">
        <f t="shared" si="40"/>
        <v>0.24939239169415894</v>
      </c>
      <c r="KO77" s="17">
        <f t="shared" si="40"/>
        <v>0.24838532995363846</v>
      </c>
      <c r="KP77" s="17">
        <f t="shared" si="40"/>
        <v>0.24756861467376717</v>
      </c>
      <c r="KQ77" s="17">
        <f t="shared" si="40"/>
        <v>0.24367255350942529</v>
      </c>
      <c r="KR77" s="17">
        <f t="shared" si="40"/>
        <v>0.24749238295641945</v>
      </c>
      <c r="KS77" s="17">
        <f t="shared" si="40"/>
        <v>0.24106400755892005</v>
      </c>
      <c r="KT77" s="17">
        <f t="shared" si="40"/>
        <v>0.23819330963194252</v>
      </c>
      <c r="KU77" s="17">
        <f t="shared" si="40"/>
        <v>0.23752906357834502</v>
      </c>
      <c r="KV77" s="17">
        <f t="shared" si="40"/>
        <v>0.24992677662090337</v>
      </c>
      <c r="KW77" s="17">
        <f t="shared" si="40"/>
        <v>0.24936789826433867</v>
      </c>
      <c r="KX77" s="17">
        <f t="shared" si="40"/>
        <v>0.23743690597663675</v>
      </c>
      <c r="KY77" s="17">
        <f t="shared" si="40"/>
        <v>0.23263929947401832</v>
      </c>
      <c r="KZ77" s="17">
        <f t="shared" si="40"/>
        <v>0.22611595992435268</v>
      </c>
      <c r="LA77" s="17">
        <f t="shared" si="40"/>
        <v>0.22199875611734102</v>
      </c>
      <c r="LB77" s="17">
        <f t="shared" si="40"/>
        <v>0.21542949966020505</v>
      </c>
      <c r="LC77" s="17">
        <f t="shared" si="40"/>
        <v>0.22183219688990174</v>
      </c>
      <c r="LD77" s="17">
        <f t="shared" si="40"/>
        <v>0.23791077426280169</v>
      </c>
      <c r="LE77" s="17">
        <f t="shared" si="40"/>
        <v>0.24183814534795195</v>
      </c>
      <c r="LF77" s="17">
        <f t="shared" si="40"/>
        <v>0.23918136979561269</v>
      </c>
      <c r="LG77" s="17">
        <f t="shared" si="40"/>
        <v>0.21770786427316013</v>
      </c>
      <c r="LH77" s="17">
        <f t="shared" si="40"/>
        <v>0.20833873138245643</v>
      </c>
      <c r="LI77" s="17">
        <f t="shared" si="40"/>
        <v>0.20153167339740752</v>
      </c>
      <c r="LJ77" s="17">
        <f t="shared" si="40"/>
        <v>0.19382828647327055</v>
      </c>
      <c r="LK77" s="17">
        <f t="shared" ref="LK77:NT77" si="41">LK76/LK75</f>
        <v>0.19631136647771474</v>
      </c>
      <c r="LL77" s="17">
        <f t="shared" si="41"/>
        <v>0.19817406942450647</v>
      </c>
      <c r="LM77" s="17">
        <f t="shared" si="41"/>
        <v>0.20681921707072767</v>
      </c>
      <c r="LN77" s="17">
        <f t="shared" si="41"/>
        <v>0.22065413172137016</v>
      </c>
      <c r="LO77" s="17">
        <f t="shared" si="41"/>
        <v>0.22751480266719562</v>
      </c>
      <c r="LP77" s="17">
        <f t="shared" si="41"/>
        <v>0.229280992981581</v>
      </c>
      <c r="LQ77" s="17">
        <f t="shared" si="41"/>
        <v>0.22827106943594502</v>
      </c>
      <c r="LR77" s="17">
        <f t="shared" si="41"/>
        <v>0.22969745217028506</v>
      </c>
      <c r="LS77" s="17">
        <f t="shared" si="41"/>
        <v>0.22012285152860106</v>
      </c>
      <c r="LT77" s="17">
        <f t="shared" si="41"/>
        <v>0.22755399630498266</v>
      </c>
      <c r="LU77" s="17">
        <f t="shared" si="41"/>
        <v>0.20735212613730364</v>
      </c>
      <c r="LV77" s="17">
        <f t="shared" si="41"/>
        <v>0.19227475493973845</v>
      </c>
      <c r="LW77" s="17">
        <f t="shared" si="41"/>
        <v>0.17983832132689356</v>
      </c>
      <c r="LX77" s="17">
        <f t="shared" si="41"/>
        <v>0.17731825588816297</v>
      </c>
      <c r="LY77" s="17">
        <f t="shared" si="41"/>
        <v>0.18037904596202919</v>
      </c>
      <c r="LZ77" s="17">
        <f t="shared" si="41"/>
        <v>0.1813839050795692</v>
      </c>
      <c r="MA77" s="17">
        <f t="shared" si="41"/>
        <v>0.18730149094885004</v>
      </c>
      <c r="MB77" s="17">
        <f t="shared" si="41"/>
        <v>0.18579127100883111</v>
      </c>
      <c r="MC77" s="17">
        <f t="shared" si="41"/>
        <v>0.1837178218397697</v>
      </c>
      <c r="MD77" s="17">
        <f t="shared" si="41"/>
        <v>0.18323783165670166</v>
      </c>
      <c r="ME77" s="17">
        <f t="shared" si="41"/>
        <v>0.18209982931944887</v>
      </c>
      <c r="MF77" s="17">
        <f t="shared" si="41"/>
        <v>0.18537162863433015</v>
      </c>
      <c r="MG77" s="17">
        <f t="shared" si="41"/>
        <v>0.18249158690087841</v>
      </c>
      <c r="MH77" s="17">
        <f t="shared" si="41"/>
        <v>0.17991283739260064</v>
      </c>
      <c r="MI77" s="17">
        <f t="shared" si="41"/>
        <v>0.17731977633864446</v>
      </c>
      <c r="MJ77" s="17">
        <f t="shared" si="41"/>
        <v>0.17806698519694664</v>
      </c>
      <c r="MK77" s="17">
        <f t="shared" si="41"/>
        <v>0.18199362785789178</v>
      </c>
      <c r="ML77" s="17">
        <f t="shared" si="41"/>
        <v>0.18822458115108609</v>
      </c>
      <c r="MM77" s="17">
        <f t="shared" si="41"/>
        <v>0.18132949991364966</v>
      </c>
      <c r="MN77" s="17">
        <f t="shared" si="41"/>
        <v>0.18361874261223207</v>
      </c>
      <c r="MO77" s="17">
        <f t="shared" si="41"/>
        <v>0.17793318092859745</v>
      </c>
      <c r="MP77" s="17">
        <f t="shared" si="41"/>
        <v>0.17433260054641314</v>
      </c>
      <c r="MQ77" s="17">
        <f t="shared" si="41"/>
        <v>0.17103051404540218</v>
      </c>
      <c r="MR77" s="17">
        <f t="shared" si="41"/>
        <v>0.17089987604568965</v>
      </c>
      <c r="MS77" s="17">
        <f t="shared" si="41"/>
        <v>0.17217095913856226</v>
      </c>
      <c r="MT77" s="17">
        <f t="shared" si="41"/>
        <v>0.17103944573869009</v>
      </c>
      <c r="MU77" s="17">
        <f t="shared" si="41"/>
        <v>0.16622498555696671</v>
      </c>
      <c r="MV77" s="17">
        <f t="shared" si="41"/>
        <v>0.16134022871393333</v>
      </c>
      <c r="MW77" s="17">
        <f t="shared" si="41"/>
        <v>0.16298590576250113</v>
      </c>
      <c r="MX77" s="17">
        <f t="shared" si="41"/>
        <v>0.18563838825030557</v>
      </c>
      <c r="MY77" s="17">
        <f t="shared" si="41"/>
        <v>0.19013627720053194</v>
      </c>
      <c r="MZ77" s="17">
        <f t="shared" si="41"/>
        <v>0.18613057668504468</v>
      </c>
      <c r="NA77" s="17">
        <f t="shared" si="41"/>
        <v>0.17917896777210723</v>
      </c>
      <c r="NB77" s="17">
        <f t="shared" si="41"/>
        <v>0.16641391915924461</v>
      </c>
      <c r="NC77" s="17">
        <f t="shared" si="41"/>
        <v>0.16235523131505455</v>
      </c>
      <c r="ND77" s="17">
        <f t="shared" si="41"/>
        <v>0.18913495822148854</v>
      </c>
      <c r="NE77" s="17">
        <f t="shared" si="41"/>
        <v>0.21468536120054971</v>
      </c>
      <c r="NF77" s="17">
        <f t="shared" si="41"/>
        <v>0.23247762630042623</v>
      </c>
      <c r="NG77" s="17">
        <f t="shared" si="41"/>
        <v>0.17396739601611722</v>
      </c>
      <c r="NH77" s="17">
        <f t="shared" si="41"/>
        <v>0.18525313519044281</v>
      </c>
      <c r="NI77" s="17">
        <f t="shared" si="41"/>
        <v>0.27693265507815079</v>
      </c>
      <c r="NJ77" s="17">
        <f t="shared" si="41"/>
        <v>0.2605745336151799</v>
      </c>
      <c r="NK77" s="17">
        <f t="shared" si="41"/>
        <v>0.31255507445771918</v>
      </c>
      <c r="NL77" s="17">
        <f t="shared" si="41"/>
        <v>0.25919596670624329</v>
      </c>
      <c r="NM77" s="17">
        <f t="shared" si="41"/>
        <v>0.23977502874100554</v>
      </c>
      <c r="NN77" s="17">
        <f t="shared" si="41"/>
        <v>0.20453966452558645</v>
      </c>
      <c r="NO77" s="17">
        <f t="shared" si="41"/>
        <v>0.16813109647796651</v>
      </c>
      <c r="NP77" s="17">
        <f t="shared" si="41"/>
        <v>0.16206559790443656</v>
      </c>
      <c r="NQ77" s="17">
        <f t="shared" si="41"/>
        <v>0.22712908984785246</v>
      </c>
      <c r="NR77" s="17">
        <f t="shared" si="41"/>
        <v>5.3920771584264492E-4</v>
      </c>
      <c r="NS77" s="17">
        <f t="shared" si="41"/>
        <v>0.14578309286833946</v>
      </c>
      <c r="NT77" s="17">
        <f t="shared" si="41"/>
        <v>1.6504597878150402E-3</v>
      </c>
      <c r="NU77" s="17"/>
      <c r="NV77" s="17"/>
      <c r="NW77" s="17"/>
      <c r="NX77" s="17"/>
      <c r="NY77" s="17"/>
      <c r="NZ77" s="17"/>
      <c r="OA77" s="17"/>
      <c r="OB77" s="17"/>
      <c r="OC77" s="17"/>
      <c r="OD77" s="17"/>
      <c r="OE77" s="17"/>
    </row>
    <row r="78" spans="1:395" customFormat="1" ht="15.75" x14ac:dyDescent="0.25">
      <c r="A78" s="16"/>
      <c r="B78" s="17"/>
      <c r="C78" s="17"/>
      <c r="D78" s="17"/>
      <c r="E78" s="17"/>
      <c r="F78" s="17"/>
      <c r="G78" s="17"/>
      <c r="H78" s="17"/>
      <c r="I78" s="17"/>
      <c r="J78" s="17"/>
      <c r="K78" s="17"/>
      <c r="L78" s="17"/>
      <c r="M78" s="17"/>
      <c r="N78" s="17"/>
      <c r="O78" s="17"/>
      <c r="P78" s="17"/>
      <c r="Q78" s="17"/>
      <c r="R78" s="17"/>
      <c r="S78" s="17"/>
      <c r="T78" s="17"/>
      <c r="U78" s="17"/>
      <c r="V78" s="17"/>
      <c r="W78" s="17"/>
      <c r="X78" s="17"/>
      <c r="Y78" s="17"/>
      <c r="Z78" s="17"/>
      <c r="AA78" s="17"/>
      <c r="AB78" s="17"/>
      <c r="AC78" s="17"/>
      <c r="AD78" s="17"/>
      <c r="AE78" s="17"/>
      <c r="AF78" s="17"/>
      <c r="AG78" s="17"/>
      <c r="AH78" s="17"/>
      <c r="AI78" s="17"/>
      <c r="AJ78" s="17"/>
      <c r="AK78" s="17"/>
      <c r="AL78" s="17"/>
      <c r="AM78" s="17"/>
      <c r="AN78" s="17"/>
      <c r="AO78" s="17"/>
      <c r="AP78" s="17"/>
      <c r="AQ78" s="17"/>
      <c r="AR78" s="17"/>
      <c r="AS78" s="17"/>
      <c r="AT78" s="17"/>
      <c r="AU78" s="17"/>
      <c r="AV78" s="17"/>
      <c r="AW78" s="17"/>
      <c r="AX78" s="17"/>
      <c r="AY78" s="17"/>
      <c r="AZ78" s="17"/>
      <c r="BA78" s="17"/>
      <c r="BB78" s="17"/>
      <c r="BC78" s="17"/>
      <c r="BD78" s="17"/>
      <c r="BE78" s="17"/>
      <c r="BF78" s="17"/>
      <c r="BG78" s="17"/>
      <c r="BH78" s="17"/>
      <c r="BI78" s="17"/>
      <c r="BJ78" s="17"/>
      <c r="BK78" s="17"/>
      <c r="BL78" s="17"/>
      <c r="BM78" s="17"/>
      <c r="BN78" s="17"/>
      <c r="BO78" s="17"/>
      <c r="BP78" s="17"/>
      <c r="BQ78" s="17"/>
      <c r="BR78" s="17"/>
      <c r="BS78" s="17"/>
      <c r="BT78" s="17"/>
      <c r="BU78" s="17"/>
      <c r="BV78" s="17"/>
      <c r="BW78" s="17"/>
      <c r="BX78" s="17"/>
      <c r="BY78" s="17"/>
      <c r="BZ78" s="17"/>
      <c r="CA78" s="17"/>
      <c r="CB78" s="17"/>
      <c r="CC78" s="17"/>
      <c r="CD78" s="17"/>
      <c r="CE78" s="17"/>
      <c r="CF78" s="17"/>
      <c r="CG78" s="17"/>
      <c r="CH78" s="17"/>
      <c r="CI78" s="17"/>
      <c r="CJ78" s="17"/>
      <c r="CK78" s="17"/>
      <c r="CL78" s="17"/>
      <c r="CM78" s="17"/>
      <c r="CN78" s="17"/>
      <c r="CO78" s="17"/>
      <c r="CP78" s="17"/>
      <c r="CQ78" s="17"/>
      <c r="CR78" s="17"/>
      <c r="CS78" s="17"/>
      <c r="CT78" s="17"/>
      <c r="CU78" s="17"/>
      <c r="CV78" s="17"/>
      <c r="CW78" s="17"/>
      <c r="CX78" s="17"/>
      <c r="CY78" s="17"/>
      <c r="CZ78" s="17"/>
      <c r="DA78" s="17"/>
      <c r="DB78" s="17"/>
      <c r="DC78" s="17"/>
      <c r="DD78" s="17"/>
      <c r="DE78" s="17"/>
      <c r="DF78" s="17"/>
      <c r="DG78" s="17"/>
      <c r="DH78" s="17"/>
      <c r="DI78" s="17"/>
      <c r="DJ78" s="17"/>
      <c r="DK78" s="17"/>
      <c r="DL78" s="17"/>
      <c r="DM78" s="17"/>
      <c r="DN78" s="17"/>
      <c r="DO78" s="17"/>
      <c r="DP78" s="17"/>
      <c r="DQ78" s="17"/>
      <c r="DR78" s="17"/>
      <c r="DS78" s="17"/>
      <c r="DT78" s="17"/>
      <c r="DU78" s="17"/>
      <c r="DV78" s="17"/>
      <c r="DW78" s="17"/>
      <c r="DX78" s="17"/>
      <c r="DY78" s="17"/>
      <c r="DZ78" s="17"/>
      <c r="EA78" s="17"/>
      <c r="EB78" s="17"/>
      <c r="EC78" s="17"/>
      <c r="ED78" s="17"/>
      <c r="EE78" s="17"/>
      <c r="EF78" s="17"/>
      <c r="EG78" s="17"/>
      <c r="EH78" s="17"/>
      <c r="EI78" s="17"/>
      <c r="EJ78" s="17"/>
      <c r="EK78" s="17"/>
      <c r="EL78" s="17"/>
      <c r="EM78" s="17"/>
      <c r="EN78" s="17"/>
      <c r="EO78" s="17"/>
      <c r="EP78" s="17"/>
      <c r="EQ78" s="17"/>
      <c r="ER78" s="17"/>
      <c r="ES78" s="17"/>
      <c r="ET78" s="17"/>
      <c r="EU78" s="17"/>
      <c r="EV78" s="17"/>
      <c r="EW78" s="17"/>
      <c r="EX78" s="17"/>
      <c r="EY78" s="17"/>
      <c r="EZ78" s="17"/>
      <c r="FA78" s="17"/>
      <c r="FB78" s="17"/>
      <c r="FC78" s="17"/>
      <c r="FD78" s="17"/>
      <c r="FE78" s="17"/>
      <c r="FF78" s="17"/>
      <c r="FG78" s="17"/>
      <c r="FH78" s="17"/>
      <c r="FI78" s="17"/>
      <c r="FJ78" s="17"/>
      <c r="FK78" s="17"/>
      <c r="FL78" s="17"/>
      <c r="FM78" s="17"/>
      <c r="FN78" s="17"/>
      <c r="FO78" s="17"/>
      <c r="FP78" s="17"/>
      <c r="FQ78" s="17"/>
      <c r="FR78" s="17"/>
      <c r="FS78" s="17"/>
      <c r="FT78" s="17"/>
      <c r="FU78" s="17"/>
      <c r="FV78" s="17"/>
      <c r="FW78" s="17"/>
      <c r="FX78" s="17"/>
      <c r="FY78" s="17"/>
      <c r="FZ78" s="17"/>
      <c r="GA78" s="17"/>
      <c r="GB78" s="17"/>
      <c r="GC78" s="17"/>
      <c r="GD78" s="17"/>
      <c r="GE78" s="17"/>
      <c r="GF78" s="17"/>
      <c r="GG78" s="17"/>
      <c r="GH78" s="17"/>
      <c r="GI78" s="17"/>
      <c r="GJ78" s="17"/>
      <c r="GK78" s="17"/>
      <c r="GL78" s="17"/>
      <c r="GM78" s="17"/>
      <c r="GN78" s="17"/>
      <c r="GO78" s="17"/>
      <c r="GP78" s="17"/>
      <c r="GQ78" s="17"/>
      <c r="GR78" s="17"/>
      <c r="GS78" s="17"/>
      <c r="GT78" s="17"/>
      <c r="GU78" s="17"/>
      <c r="GV78" s="17"/>
      <c r="GW78" s="17"/>
      <c r="GX78" s="17"/>
      <c r="GY78" s="17"/>
      <c r="GZ78" s="17"/>
      <c r="HA78" s="17"/>
      <c r="HB78" s="17"/>
      <c r="HC78" s="17"/>
      <c r="HD78" s="17"/>
      <c r="HE78" s="17"/>
      <c r="HF78" s="17"/>
      <c r="HG78" s="17"/>
      <c r="HH78" s="17"/>
      <c r="HI78" s="17"/>
      <c r="HJ78" s="17"/>
      <c r="HK78" s="17"/>
      <c r="HL78" s="17"/>
      <c r="HM78" s="17"/>
      <c r="HN78" s="17"/>
      <c r="HO78" s="17"/>
      <c r="HP78" s="17"/>
      <c r="HQ78" s="17"/>
      <c r="HR78" s="17"/>
      <c r="HS78" s="17"/>
      <c r="HT78" s="17"/>
      <c r="HU78" s="17"/>
      <c r="HV78" s="17"/>
      <c r="HW78" s="17"/>
      <c r="HX78" s="17"/>
      <c r="HY78" s="17"/>
      <c r="HZ78" s="17"/>
      <c r="IA78" s="17"/>
      <c r="IB78" s="17"/>
      <c r="IC78" s="17"/>
      <c r="ID78" s="17"/>
      <c r="IE78" s="17"/>
      <c r="IF78" s="17"/>
      <c r="IG78" s="17"/>
      <c r="IH78" s="17"/>
      <c r="II78" s="17"/>
      <c r="IJ78" s="17"/>
      <c r="IK78" s="17"/>
      <c r="IL78" s="17"/>
      <c r="IM78" s="17"/>
      <c r="IN78" s="17"/>
      <c r="IO78" s="17"/>
      <c r="IP78" s="17"/>
      <c r="IQ78" s="17"/>
      <c r="IR78" s="17"/>
      <c r="IS78" s="17"/>
      <c r="IT78" s="17"/>
      <c r="IU78" s="17"/>
      <c r="IV78" s="17"/>
      <c r="IW78" s="17"/>
      <c r="IX78" s="17"/>
      <c r="IY78" s="17"/>
      <c r="IZ78" s="17"/>
      <c r="JA78" s="17"/>
      <c r="JB78" s="17"/>
      <c r="JC78" s="17"/>
      <c r="JD78" s="17"/>
      <c r="JE78" s="17"/>
      <c r="JF78" s="17"/>
      <c r="JG78" s="17"/>
      <c r="JH78" s="17"/>
      <c r="JI78" s="17"/>
      <c r="JJ78" s="17"/>
      <c r="JK78" s="17"/>
      <c r="JL78" s="17"/>
      <c r="JM78" s="17"/>
      <c r="JN78" s="17"/>
      <c r="JO78" s="17"/>
      <c r="JP78" s="17"/>
      <c r="JQ78" s="17"/>
      <c r="JR78" s="17"/>
      <c r="JS78" s="17"/>
      <c r="JT78" s="17"/>
      <c r="JU78" s="17"/>
      <c r="JV78" s="17"/>
      <c r="JW78" s="17"/>
      <c r="JX78" s="17"/>
      <c r="JY78" s="17"/>
      <c r="JZ78" s="17"/>
      <c r="KA78" s="17"/>
      <c r="KB78" s="17"/>
      <c r="KC78" s="17"/>
      <c r="KD78" s="17"/>
      <c r="KE78" s="17"/>
      <c r="KF78" s="17"/>
      <c r="KG78" s="17"/>
      <c r="KH78" s="17"/>
      <c r="KI78" s="17"/>
      <c r="KJ78" s="17"/>
      <c r="KK78" s="17"/>
      <c r="KL78" s="17"/>
      <c r="KM78" s="17"/>
      <c r="KN78" s="17"/>
      <c r="KO78" s="17"/>
      <c r="KP78" s="17"/>
      <c r="KQ78" s="17"/>
      <c r="KR78" s="17"/>
      <c r="KS78" s="17"/>
      <c r="KT78" s="17"/>
      <c r="KU78" s="17"/>
      <c r="KV78" s="17"/>
      <c r="KW78" s="17"/>
      <c r="KX78" s="17"/>
      <c r="KY78" s="17"/>
      <c r="KZ78" s="17"/>
      <c r="LA78" s="17"/>
      <c r="LB78" s="17"/>
      <c r="LC78" s="17"/>
      <c r="LD78" s="17"/>
      <c r="LE78" s="17"/>
      <c r="LF78" s="17"/>
      <c r="LG78" s="17"/>
      <c r="LH78" s="17"/>
      <c r="LI78" s="17"/>
      <c r="LJ78" s="17"/>
      <c r="LK78" s="17"/>
      <c r="LL78" s="17"/>
      <c r="LM78" s="17"/>
      <c r="LN78" s="17"/>
      <c r="LO78" s="17"/>
      <c r="LP78" s="17"/>
      <c r="LQ78" s="17"/>
      <c r="LR78" s="17"/>
      <c r="LS78" s="17"/>
      <c r="LT78" s="17"/>
      <c r="LU78" s="17"/>
      <c r="LV78" s="17"/>
      <c r="LW78" s="17"/>
      <c r="LX78" s="17"/>
      <c r="LY78" s="17"/>
      <c r="LZ78" s="17"/>
      <c r="MA78" s="17"/>
      <c r="MB78" s="17"/>
      <c r="MC78" s="17"/>
      <c r="MD78" s="17"/>
      <c r="ME78" s="17"/>
      <c r="MF78" s="17"/>
      <c r="MG78" s="17"/>
      <c r="MH78" s="17"/>
      <c r="MI78" s="17"/>
      <c r="MJ78" s="17"/>
      <c r="MK78" s="17"/>
      <c r="ML78" s="17"/>
      <c r="MM78" s="17"/>
      <c r="MN78" s="17"/>
      <c r="MO78" s="17"/>
      <c r="MP78" s="17"/>
      <c r="MQ78" s="17"/>
      <c r="MR78" s="17"/>
      <c r="MS78" s="17"/>
      <c r="MT78" s="17"/>
      <c r="MU78" s="17"/>
      <c r="MV78" s="17"/>
      <c r="MW78" s="17"/>
      <c r="MX78" s="17"/>
      <c r="MY78" s="17"/>
      <c r="MZ78" s="17"/>
      <c r="NA78" s="17"/>
      <c r="NB78" s="17"/>
      <c r="NC78" s="17"/>
      <c r="ND78" s="17"/>
      <c r="NE78" s="17"/>
      <c r="NF78" s="17"/>
      <c r="NG78" s="17"/>
      <c r="NH78" s="17"/>
      <c r="NI78" s="17"/>
      <c r="NJ78" s="17"/>
      <c r="NK78" s="17"/>
      <c r="NL78" s="17"/>
      <c r="NM78" s="17"/>
      <c r="NN78" s="17"/>
      <c r="NO78" s="17"/>
      <c r="NP78" s="17"/>
      <c r="NQ78" s="17"/>
      <c r="NR78" s="17"/>
      <c r="NS78" s="17"/>
      <c r="NT78" s="17"/>
      <c r="NU78" s="17"/>
      <c r="NV78" s="17"/>
      <c r="NW78" s="17"/>
      <c r="NX78" s="17"/>
      <c r="NY78" s="17"/>
      <c r="NZ78" s="17"/>
      <c r="OA78" s="17"/>
      <c r="OB78" s="17"/>
      <c r="OC78" s="17"/>
      <c r="OD78" s="17"/>
      <c r="OE78" s="17"/>
    </row>
    <row r="79" spans="1:395" customFormat="1" x14ac:dyDescent="0.15">
      <c r="A79" s="9" t="s">
        <v>41</v>
      </c>
      <c r="B79" s="5">
        <f>AVERAGE(B3:B13)</f>
        <v>1634.4444444444443</v>
      </c>
      <c r="C79" s="5">
        <f t="shared" ref="C79:BN79" si="42">AVERAGE(C3:C13)</f>
        <v>1622.2222222222222</v>
      </c>
      <c r="D79" s="5">
        <f t="shared" si="42"/>
        <v>1608.8888888888889</v>
      </c>
      <c r="E79" s="5">
        <f t="shared" si="42"/>
        <v>1600</v>
      </c>
      <c r="F79" s="5">
        <f t="shared" si="42"/>
        <v>1592.2222222222222</v>
      </c>
      <c r="G79" s="5">
        <f t="shared" si="42"/>
        <v>1577.7777777777778</v>
      </c>
      <c r="H79" s="5">
        <f t="shared" si="42"/>
        <v>1567.7777777777778</v>
      </c>
      <c r="I79" s="5">
        <f t="shared" si="42"/>
        <v>1555.5555555555557</v>
      </c>
      <c r="J79" s="5">
        <f t="shared" si="42"/>
        <v>1550</v>
      </c>
      <c r="K79" s="5">
        <f t="shared" si="42"/>
        <v>1535.5555555555557</v>
      </c>
      <c r="L79" s="5">
        <f t="shared" si="42"/>
        <v>1523.3333333333333</v>
      </c>
      <c r="M79" s="5">
        <f t="shared" si="42"/>
        <v>1513.3333333333333</v>
      </c>
      <c r="N79" s="5">
        <f t="shared" si="42"/>
        <v>1508.8888888888889</v>
      </c>
      <c r="O79" s="5">
        <f t="shared" si="42"/>
        <v>1505.5555555555557</v>
      </c>
      <c r="P79" s="5">
        <f t="shared" si="42"/>
        <v>1495.5555555555557</v>
      </c>
      <c r="Q79" s="5">
        <f t="shared" si="42"/>
        <v>1485.5555555555557</v>
      </c>
      <c r="R79" s="5">
        <f t="shared" si="42"/>
        <v>1475.5555555555557</v>
      </c>
      <c r="S79" s="5">
        <f t="shared" si="42"/>
        <v>1462.2222222222222</v>
      </c>
      <c r="T79" s="5">
        <f t="shared" si="42"/>
        <v>1453.3333333333333</v>
      </c>
      <c r="U79" s="5">
        <f t="shared" si="42"/>
        <v>1447.7777777777778</v>
      </c>
      <c r="V79" s="5">
        <f t="shared" si="42"/>
        <v>1436.6666666666667</v>
      </c>
      <c r="W79" s="5">
        <f t="shared" si="42"/>
        <v>1425.5555555555557</v>
      </c>
      <c r="X79" s="5">
        <f t="shared" si="42"/>
        <v>1413.3333333333333</v>
      </c>
      <c r="Y79" s="5">
        <f t="shared" si="42"/>
        <v>1408.8888888888889</v>
      </c>
      <c r="Z79" s="5">
        <f t="shared" si="42"/>
        <v>1398.8888888888889</v>
      </c>
      <c r="AA79" s="5">
        <f t="shared" si="42"/>
        <v>1394.4444444444443</v>
      </c>
      <c r="AB79" s="5">
        <f t="shared" si="42"/>
        <v>1386.6666666666667</v>
      </c>
      <c r="AC79" s="5">
        <f t="shared" si="42"/>
        <v>1378.8888888888889</v>
      </c>
      <c r="AD79" s="5">
        <f t="shared" si="42"/>
        <v>1372.2222222222222</v>
      </c>
      <c r="AE79" s="5">
        <f t="shared" si="42"/>
        <v>1363.3333333333333</v>
      </c>
      <c r="AF79" s="5">
        <f t="shared" si="42"/>
        <v>1354.4444444444443</v>
      </c>
      <c r="AG79" s="5">
        <f t="shared" si="42"/>
        <v>1347.7777777777778</v>
      </c>
      <c r="AH79" s="5">
        <f t="shared" si="42"/>
        <v>1340</v>
      </c>
      <c r="AI79" s="5">
        <f t="shared" si="42"/>
        <v>1337.7777777777778</v>
      </c>
      <c r="AJ79" s="5">
        <f t="shared" si="42"/>
        <v>1333.3333333333333</v>
      </c>
      <c r="AK79" s="5">
        <f t="shared" si="42"/>
        <v>1327.7777777777778</v>
      </c>
      <c r="AL79" s="5">
        <f t="shared" si="42"/>
        <v>1321.1111111111111</v>
      </c>
      <c r="AM79" s="5">
        <f t="shared" si="42"/>
        <v>1315.5555555555557</v>
      </c>
      <c r="AN79" s="5">
        <f t="shared" si="42"/>
        <v>1310</v>
      </c>
      <c r="AO79" s="5">
        <f t="shared" si="42"/>
        <v>1304.4444444444443</v>
      </c>
      <c r="AP79" s="5">
        <f t="shared" si="42"/>
        <v>1301.1111111111111</v>
      </c>
      <c r="AQ79" s="5">
        <f t="shared" si="42"/>
        <v>1298.8888888888889</v>
      </c>
      <c r="AR79" s="5">
        <f t="shared" si="42"/>
        <v>1295.5555555555557</v>
      </c>
      <c r="AS79" s="5">
        <f t="shared" si="42"/>
        <v>1293.3333333333333</v>
      </c>
      <c r="AT79" s="5">
        <f t="shared" si="42"/>
        <v>1286.6666666666667</v>
      </c>
      <c r="AU79" s="5">
        <f t="shared" si="42"/>
        <v>1284.4444444444443</v>
      </c>
      <c r="AV79" s="5">
        <f t="shared" si="42"/>
        <v>1278.8888888888889</v>
      </c>
      <c r="AW79" s="5">
        <f t="shared" si="42"/>
        <v>1278.8888888888889</v>
      </c>
      <c r="AX79" s="5">
        <f t="shared" si="42"/>
        <v>1275.5555555555557</v>
      </c>
      <c r="AY79" s="5">
        <f t="shared" si="42"/>
        <v>1277.7777777777778</v>
      </c>
      <c r="AZ79" s="5">
        <f t="shared" si="42"/>
        <v>1274.4444444444443</v>
      </c>
      <c r="BA79" s="5">
        <f t="shared" si="42"/>
        <v>1271.1111111111111</v>
      </c>
      <c r="BB79" s="5">
        <f t="shared" si="42"/>
        <v>1271.1111111111111</v>
      </c>
      <c r="BC79" s="5">
        <f t="shared" si="42"/>
        <v>1266.6666666666667</v>
      </c>
      <c r="BD79" s="5">
        <f t="shared" si="42"/>
        <v>1266.6666666666667</v>
      </c>
      <c r="BE79" s="5">
        <f t="shared" si="42"/>
        <v>1263.3333333333333</v>
      </c>
      <c r="BF79" s="5">
        <f t="shared" si="42"/>
        <v>1258.8888888888889</v>
      </c>
      <c r="BG79" s="5">
        <f t="shared" si="42"/>
        <v>1258.8888888888889</v>
      </c>
      <c r="BH79" s="5">
        <f t="shared" si="42"/>
        <v>1261.5555555555557</v>
      </c>
      <c r="BI79" s="5">
        <f t="shared" si="42"/>
        <v>1184.6666666666667</v>
      </c>
      <c r="BJ79" s="5">
        <f t="shared" si="42"/>
        <v>1258.7777777777778</v>
      </c>
      <c r="BK79" s="5">
        <f t="shared" si="42"/>
        <v>1254.8888888888889</v>
      </c>
      <c r="BL79" s="5">
        <f t="shared" si="42"/>
        <v>1247.1111111111111</v>
      </c>
      <c r="BM79" s="5">
        <f t="shared" si="42"/>
        <v>1240.4444444444443</v>
      </c>
      <c r="BN79" s="5">
        <f t="shared" si="42"/>
        <v>1237.1111111111111</v>
      </c>
      <c r="BO79" s="5">
        <f t="shared" ref="BO79:DZ79" si="43">AVERAGE(BO3:BO13)</f>
        <v>1238.2222222222222</v>
      </c>
      <c r="BP79" s="5">
        <f t="shared" si="43"/>
        <v>1237</v>
      </c>
      <c r="BQ79" s="5">
        <f t="shared" si="43"/>
        <v>1235.8888888888889</v>
      </c>
      <c r="BR79" s="5">
        <f t="shared" si="43"/>
        <v>1230.3333333333333</v>
      </c>
      <c r="BS79" s="5">
        <f t="shared" si="43"/>
        <v>1227.5555555555557</v>
      </c>
      <c r="BT79" s="5">
        <f t="shared" si="43"/>
        <v>1224.7777777777778</v>
      </c>
      <c r="BU79" s="5">
        <f t="shared" si="43"/>
        <v>1227</v>
      </c>
      <c r="BV79" s="5">
        <f t="shared" si="43"/>
        <v>1227</v>
      </c>
      <c r="BW79" s="5">
        <f t="shared" si="43"/>
        <v>1220.8888888888889</v>
      </c>
      <c r="BX79" s="5">
        <f t="shared" si="43"/>
        <v>1218.6666666666667</v>
      </c>
      <c r="BY79" s="5">
        <f t="shared" si="43"/>
        <v>1217.5555555555557</v>
      </c>
      <c r="BZ79" s="5">
        <f t="shared" si="43"/>
        <v>1220.3333333333333</v>
      </c>
      <c r="CA79" s="5">
        <f t="shared" si="43"/>
        <v>1215.8888888888889</v>
      </c>
      <c r="CB79" s="5">
        <f t="shared" si="43"/>
        <v>1217</v>
      </c>
      <c r="CC79" s="5">
        <f t="shared" si="43"/>
        <v>1215.8888888888889</v>
      </c>
      <c r="CD79" s="5">
        <f t="shared" si="43"/>
        <v>1213.6666666666667</v>
      </c>
      <c r="CE79" s="5">
        <f t="shared" si="43"/>
        <v>1209.2222222222222</v>
      </c>
      <c r="CF79" s="5">
        <f t="shared" si="43"/>
        <v>1214.2222222222222</v>
      </c>
      <c r="CG79" s="5">
        <f t="shared" si="43"/>
        <v>1222.5555555555557</v>
      </c>
      <c r="CH79" s="5">
        <f t="shared" si="43"/>
        <v>1228.1111111111111</v>
      </c>
      <c r="CI79" s="5">
        <f t="shared" si="43"/>
        <v>1235.8888888888889</v>
      </c>
      <c r="CJ79" s="5">
        <f t="shared" si="43"/>
        <v>1232.5555555555557</v>
      </c>
      <c r="CK79" s="5">
        <f t="shared" si="43"/>
        <v>1235.8888888888889</v>
      </c>
      <c r="CL79" s="5">
        <f t="shared" si="43"/>
        <v>1238.1111111111111</v>
      </c>
      <c r="CM79" s="5">
        <f t="shared" si="43"/>
        <v>1243.6666666666667</v>
      </c>
      <c r="CN79" s="5">
        <f t="shared" si="43"/>
        <v>1246.4444444444443</v>
      </c>
      <c r="CO79" s="5">
        <f t="shared" si="43"/>
        <v>1254.7777777777778</v>
      </c>
      <c r="CP79" s="5">
        <f t="shared" si="43"/>
        <v>1258.1111111111111</v>
      </c>
      <c r="CQ79" s="5">
        <f t="shared" si="43"/>
        <v>1263.1111111111111</v>
      </c>
      <c r="CR79" s="5">
        <f t="shared" si="43"/>
        <v>1270.3333333333333</v>
      </c>
      <c r="CS79" s="5">
        <f t="shared" si="43"/>
        <v>1281</v>
      </c>
      <c r="CT79" s="5">
        <f t="shared" si="43"/>
        <v>1284.4444444444443</v>
      </c>
      <c r="CU79" s="5">
        <f t="shared" si="43"/>
        <v>1284.4444444444443</v>
      </c>
      <c r="CV79" s="5">
        <f t="shared" si="43"/>
        <v>1284.4444444444443</v>
      </c>
      <c r="CW79" s="5">
        <f t="shared" si="43"/>
        <v>1286.6666666666667</v>
      </c>
      <c r="CX79" s="5">
        <f t="shared" si="43"/>
        <v>1286</v>
      </c>
      <c r="CY79" s="5">
        <f t="shared" si="43"/>
        <v>1283.7777777777778</v>
      </c>
      <c r="CZ79" s="5">
        <f t="shared" si="43"/>
        <v>1287.1111111111111</v>
      </c>
      <c r="DA79" s="5">
        <f t="shared" si="43"/>
        <v>1295.3333333333333</v>
      </c>
      <c r="DB79" s="5">
        <f t="shared" si="43"/>
        <v>1306.4444444444443</v>
      </c>
      <c r="DC79" s="5">
        <f t="shared" si="43"/>
        <v>1311.4444444444443</v>
      </c>
      <c r="DD79" s="5">
        <f t="shared" si="43"/>
        <v>1320.3333333333333</v>
      </c>
      <c r="DE79" s="5">
        <f t="shared" si="43"/>
        <v>1331.4444444444443</v>
      </c>
      <c r="DF79" s="5">
        <f t="shared" si="43"/>
        <v>1342.5555555555557</v>
      </c>
      <c r="DG79" s="5">
        <f t="shared" si="43"/>
        <v>1355.8888888888889</v>
      </c>
      <c r="DH79" s="5">
        <f t="shared" si="43"/>
        <v>1382.6666666666667</v>
      </c>
      <c r="DI79" s="5">
        <f t="shared" si="43"/>
        <v>1414.4444444444443</v>
      </c>
      <c r="DJ79" s="5">
        <f t="shared" si="43"/>
        <v>1450</v>
      </c>
      <c r="DK79" s="5">
        <f t="shared" si="43"/>
        <v>1482.2222222222222</v>
      </c>
      <c r="DL79" s="5">
        <f t="shared" si="43"/>
        <v>1495.5555555555557</v>
      </c>
      <c r="DM79" s="5">
        <f t="shared" si="43"/>
        <v>1500</v>
      </c>
      <c r="DN79" s="5">
        <f t="shared" si="43"/>
        <v>1493.3333333333333</v>
      </c>
      <c r="DO79" s="5">
        <f t="shared" si="43"/>
        <v>1514.4444444444443</v>
      </c>
      <c r="DP79" s="5">
        <f t="shared" si="43"/>
        <v>1518.8888888888889</v>
      </c>
      <c r="DQ79" s="5">
        <f t="shared" si="43"/>
        <v>1523.3333333333333</v>
      </c>
      <c r="DR79" s="5">
        <f t="shared" si="43"/>
        <v>1523.3333333333333</v>
      </c>
      <c r="DS79" s="5">
        <f t="shared" si="43"/>
        <v>1524.4444444444443</v>
      </c>
      <c r="DT79" s="5">
        <f t="shared" si="43"/>
        <v>1526.6666666666667</v>
      </c>
      <c r="DU79" s="5">
        <f t="shared" si="43"/>
        <v>1542.2222222222222</v>
      </c>
      <c r="DV79" s="5">
        <f t="shared" si="43"/>
        <v>1567.7777777777778</v>
      </c>
      <c r="DW79" s="5">
        <f t="shared" si="43"/>
        <v>1582.2222222222222</v>
      </c>
      <c r="DX79" s="5">
        <f t="shared" si="43"/>
        <v>1598.8888888888889</v>
      </c>
      <c r="DY79" s="5">
        <f t="shared" si="43"/>
        <v>1601.1111111111111</v>
      </c>
      <c r="DZ79" s="5">
        <f t="shared" si="43"/>
        <v>1613.3333333333333</v>
      </c>
      <c r="EA79" s="5">
        <f t="shared" ref="EA79:GL79" si="44">AVERAGE(EA3:EA13)</f>
        <v>1641.1111111111111</v>
      </c>
      <c r="EB79" s="5">
        <f t="shared" si="44"/>
        <v>1671.1111111111111</v>
      </c>
      <c r="EC79" s="5">
        <f t="shared" si="44"/>
        <v>1685.5555555555557</v>
      </c>
      <c r="ED79" s="5">
        <f t="shared" si="44"/>
        <v>1690</v>
      </c>
      <c r="EE79" s="5">
        <f t="shared" si="44"/>
        <v>1708.8888888888889</v>
      </c>
      <c r="EF79" s="5">
        <f t="shared" si="44"/>
        <v>1726.6666666666667</v>
      </c>
      <c r="EG79" s="5">
        <f t="shared" si="44"/>
        <v>1737.7777777777778</v>
      </c>
      <c r="EH79" s="5">
        <f t="shared" si="44"/>
        <v>1750</v>
      </c>
      <c r="EI79" s="5">
        <f t="shared" si="44"/>
        <v>1782.2222222222222</v>
      </c>
      <c r="EJ79" s="5">
        <f t="shared" si="44"/>
        <v>1823.3333333333333</v>
      </c>
      <c r="EK79" s="5">
        <f t="shared" si="44"/>
        <v>1872.2222222222222</v>
      </c>
      <c r="EL79" s="5">
        <f t="shared" si="44"/>
        <v>1888.8888888888889</v>
      </c>
      <c r="EM79" s="5">
        <f t="shared" si="44"/>
        <v>1878.8888888888889</v>
      </c>
      <c r="EN79" s="5">
        <f t="shared" si="44"/>
        <v>1859.8888888888889</v>
      </c>
      <c r="EO79" s="5">
        <f t="shared" si="44"/>
        <v>1873.7777777777778</v>
      </c>
      <c r="EP79" s="5">
        <f t="shared" si="44"/>
        <v>1885.5555555555557</v>
      </c>
      <c r="EQ79" s="5">
        <f t="shared" si="44"/>
        <v>1897.7777777777778</v>
      </c>
      <c r="ER79" s="5">
        <f t="shared" si="44"/>
        <v>1961.1111111111111</v>
      </c>
      <c r="ES79" s="5">
        <f t="shared" si="44"/>
        <v>2042.2222222222222</v>
      </c>
      <c r="ET79" s="5">
        <f t="shared" si="44"/>
        <v>2098.8888888888887</v>
      </c>
      <c r="EU79" s="5">
        <f t="shared" si="44"/>
        <v>2193.3333333333335</v>
      </c>
      <c r="EV79" s="5">
        <f t="shared" si="44"/>
        <v>2291.1111111111113</v>
      </c>
      <c r="EW79" s="5">
        <f t="shared" si="44"/>
        <v>2322.2222222222222</v>
      </c>
      <c r="EX79" s="5">
        <f t="shared" si="44"/>
        <v>2387.7777777777778</v>
      </c>
      <c r="EY79" s="5">
        <f t="shared" si="44"/>
        <v>2411.1111111111113</v>
      </c>
      <c r="EZ79" s="5">
        <f t="shared" si="44"/>
        <v>2484.4444444444443</v>
      </c>
      <c r="FA79" s="5">
        <f t="shared" si="44"/>
        <v>2553.3333333333335</v>
      </c>
      <c r="FB79" s="5">
        <f t="shared" si="44"/>
        <v>2612.2222222222222</v>
      </c>
      <c r="FC79" s="5">
        <f t="shared" si="44"/>
        <v>2703.3333333333335</v>
      </c>
      <c r="FD79" s="5">
        <f t="shared" si="44"/>
        <v>2780</v>
      </c>
      <c r="FE79" s="5">
        <f t="shared" si="44"/>
        <v>2833.3333333333335</v>
      </c>
      <c r="FF79" s="5">
        <f t="shared" si="44"/>
        <v>2914.4444444444443</v>
      </c>
      <c r="FG79" s="5">
        <f t="shared" si="44"/>
        <v>2937.7777777777778</v>
      </c>
      <c r="FH79" s="5">
        <f t="shared" si="44"/>
        <v>2982.2222222222222</v>
      </c>
      <c r="FI79" s="5">
        <f t="shared" si="44"/>
        <v>3031.1111111111113</v>
      </c>
      <c r="FJ79" s="5">
        <f t="shared" si="44"/>
        <v>3131.1111111111113</v>
      </c>
      <c r="FK79" s="5">
        <f t="shared" si="44"/>
        <v>3302.2222222222222</v>
      </c>
      <c r="FL79" s="5">
        <f t="shared" si="44"/>
        <v>3512.2222222222222</v>
      </c>
      <c r="FM79" s="5">
        <f t="shared" si="44"/>
        <v>3872.2222222222222</v>
      </c>
      <c r="FN79" s="5">
        <f t="shared" si="44"/>
        <v>4101.1111111111113</v>
      </c>
      <c r="FO79" s="5">
        <f t="shared" si="44"/>
        <v>4170</v>
      </c>
      <c r="FP79" s="5">
        <f t="shared" si="44"/>
        <v>4167.7777777777774</v>
      </c>
      <c r="FQ79" s="5">
        <f t="shared" si="44"/>
        <v>4357.7777777777774</v>
      </c>
      <c r="FR79" s="5">
        <f t="shared" si="44"/>
        <v>4611.1111111111113</v>
      </c>
      <c r="FS79" s="5">
        <f t="shared" si="44"/>
        <v>4736.666666666667</v>
      </c>
      <c r="FT79" s="5">
        <f t="shared" si="44"/>
        <v>4905.5555555555557</v>
      </c>
      <c r="FU79" s="5">
        <f t="shared" si="44"/>
        <v>5167.7777777777774</v>
      </c>
      <c r="FV79" s="5">
        <f t="shared" si="44"/>
        <v>5468.8888888888887</v>
      </c>
      <c r="FW79" s="5">
        <f t="shared" si="44"/>
        <v>5768.8888888888887</v>
      </c>
      <c r="FX79" s="5">
        <f t="shared" si="44"/>
        <v>6032.2222222222226</v>
      </c>
      <c r="FY79" s="5">
        <f t="shared" si="44"/>
        <v>6265.5555555555557</v>
      </c>
      <c r="FZ79" s="5">
        <f t="shared" si="44"/>
        <v>6172.2222222222226</v>
      </c>
      <c r="GA79" s="5">
        <f t="shared" si="44"/>
        <v>6081.1111111111113</v>
      </c>
      <c r="GB79" s="5">
        <f t="shared" si="44"/>
        <v>6325.5555555555557</v>
      </c>
      <c r="GC79" s="5">
        <f t="shared" si="44"/>
        <v>6984.4444444444443</v>
      </c>
      <c r="GD79" s="5">
        <f t="shared" si="44"/>
        <v>7400</v>
      </c>
      <c r="GE79" s="5">
        <f t="shared" si="44"/>
        <v>7926.666666666667</v>
      </c>
      <c r="GF79" s="5">
        <f t="shared" si="44"/>
        <v>7995.5555555555557</v>
      </c>
      <c r="GG79" s="5">
        <f t="shared" si="44"/>
        <v>7950</v>
      </c>
      <c r="GH79" s="5">
        <f t="shared" si="44"/>
        <v>8252.2222222222226</v>
      </c>
      <c r="GI79" s="5">
        <f t="shared" si="44"/>
        <v>8677.7777777777774</v>
      </c>
      <c r="GJ79" s="5">
        <f t="shared" si="44"/>
        <v>8951.1111111111113</v>
      </c>
      <c r="GK79" s="5">
        <f t="shared" si="44"/>
        <v>8715.5555555555547</v>
      </c>
      <c r="GL79" s="5">
        <f t="shared" si="44"/>
        <v>8561.1111111111113</v>
      </c>
      <c r="GM79" s="5">
        <f t="shared" ref="GM79:IX79" si="45">AVERAGE(GM3:GM13)</f>
        <v>8550</v>
      </c>
      <c r="GN79" s="5">
        <f t="shared" si="45"/>
        <v>8058.8888888888887</v>
      </c>
      <c r="GO79" s="5">
        <f t="shared" si="45"/>
        <v>7763.333333333333</v>
      </c>
      <c r="GP79" s="5">
        <f t="shared" si="45"/>
        <v>7704.4444444444443</v>
      </c>
      <c r="GQ79" s="5">
        <f t="shared" si="45"/>
        <v>7855.5555555555557</v>
      </c>
      <c r="GR79" s="5">
        <f t="shared" si="45"/>
        <v>7664.4444444444443</v>
      </c>
      <c r="GS79" s="5">
        <f t="shared" si="45"/>
        <v>7480</v>
      </c>
      <c r="GT79" s="5">
        <f t="shared" si="45"/>
        <v>7318.8888888888887</v>
      </c>
      <c r="GU79" s="5">
        <f t="shared" si="45"/>
        <v>7501.1111111111113</v>
      </c>
      <c r="GV79" s="5">
        <f t="shared" si="45"/>
        <v>8032.2222222222226</v>
      </c>
      <c r="GW79" s="5">
        <f t="shared" si="45"/>
        <v>7978.8888888888887</v>
      </c>
      <c r="GX79" s="5">
        <f t="shared" si="45"/>
        <v>8450</v>
      </c>
      <c r="GY79" s="5">
        <f t="shared" si="45"/>
        <v>9142.2222222222226</v>
      </c>
      <c r="GZ79" s="5">
        <f t="shared" si="45"/>
        <v>9623.3333333333339</v>
      </c>
      <c r="HA79" s="5">
        <f t="shared" si="45"/>
        <v>9504.4444444444453</v>
      </c>
      <c r="HB79" s="5">
        <f t="shared" si="45"/>
        <v>9167.7777777777774</v>
      </c>
      <c r="HC79" s="5">
        <f t="shared" si="45"/>
        <v>9012.2222222222226</v>
      </c>
      <c r="HD79" s="5">
        <f t="shared" si="45"/>
        <v>9135.5555555555547</v>
      </c>
      <c r="HE79" s="5">
        <f t="shared" si="45"/>
        <v>9596.6666666666661</v>
      </c>
      <c r="HF79" s="5">
        <f t="shared" si="45"/>
        <v>9904.4444444444453</v>
      </c>
      <c r="HG79" s="5">
        <f t="shared" si="45"/>
        <v>9866.6666666666661</v>
      </c>
      <c r="HH79" s="5">
        <f t="shared" si="45"/>
        <v>10063.333333333334</v>
      </c>
      <c r="HI79" s="5">
        <f t="shared" si="45"/>
        <v>10216.666666666666</v>
      </c>
      <c r="HJ79" s="5">
        <f t="shared" si="45"/>
        <v>10657.777777777777</v>
      </c>
      <c r="HK79" s="5">
        <f t="shared" si="45"/>
        <v>10603.333333333334</v>
      </c>
      <c r="HL79" s="5">
        <f t="shared" si="45"/>
        <v>10640</v>
      </c>
      <c r="HM79" s="5">
        <f t="shared" si="45"/>
        <v>10747.777777777777</v>
      </c>
      <c r="HN79" s="5">
        <f t="shared" si="45"/>
        <v>10194.444444444445</v>
      </c>
      <c r="HO79" s="5">
        <f t="shared" si="45"/>
        <v>9530</v>
      </c>
      <c r="HP79" s="5">
        <f t="shared" si="45"/>
        <v>9163.3333333333339</v>
      </c>
      <c r="HQ79" s="5">
        <f t="shared" si="45"/>
        <v>9265.5555555555547</v>
      </c>
      <c r="HR79" s="5">
        <f t="shared" si="45"/>
        <v>9523.3333333333339</v>
      </c>
      <c r="HS79" s="5">
        <f t="shared" si="45"/>
        <v>9878.8888888888887</v>
      </c>
      <c r="HT79" s="5">
        <f t="shared" si="45"/>
        <v>10190</v>
      </c>
      <c r="HU79" s="5">
        <f t="shared" si="45"/>
        <v>10254.444444444445</v>
      </c>
      <c r="HV79" s="5">
        <f t="shared" si="45"/>
        <v>10016.666666666666</v>
      </c>
      <c r="HW79" s="5">
        <f t="shared" si="45"/>
        <v>10088.888888888889</v>
      </c>
      <c r="HX79" s="5">
        <f t="shared" si="45"/>
        <v>10492.222222222223</v>
      </c>
      <c r="HY79" s="5">
        <f t="shared" si="45"/>
        <v>10693.333333333334</v>
      </c>
      <c r="HZ79" s="5">
        <f t="shared" si="45"/>
        <v>10074.444444444445</v>
      </c>
      <c r="IA79" s="5">
        <f t="shared" si="45"/>
        <v>9441.1111111111113</v>
      </c>
      <c r="IB79" s="5">
        <f t="shared" si="45"/>
        <v>9191.1111111111113</v>
      </c>
      <c r="IC79" s="5">
        <f t="shared" si="45"/>
        <v>9108.8888888888887</v>
      </c>
      <c r="ID79" s="5">
        <f t="shared" si="45"/>
        <v>9274.4444444444453</v>
      </c>
      <c r="IE79" s="5">
        <f t="shared" si="45"/>
        <v>9396.6666666666661</v>
      </c>
      <c r="IF79" s="5">
        <f t="shared" si="45"/>
        <v>9543.3333333333339</v>
      </c>
      <c r="IG79" s="5">
        <f t="shared" si="45"/>
        <v>9396.6666666666661</v>
      </c>
      <c r="IH79" s="5">
        <f t="shared" si="45"/>
        <v>9495.5555555555547</v>
      </c>
      <c r="II79" s="5">
        <f t="shared" si="45"/>
        <v>9665.5555555555547</v>
      </c>
      <c r="IJ79" s="5">
        <f t="shared" si="45"/>
        <v>9381.1111111111113</v>
      </c>
      <c r="IK79" s="5">
        <f t="shared" si="45"/>
        <v>9122.2222222222226</v>
      </c>
      <c r="IL79" s="5">
        <f t="shared" si="45"/>
        <v>9007.7777777777774</v>
      </c>
      <c r="IM79" s="5">
        <f t="shared" si="45"/>
        <v>9045.5555555555547</v>
      </c>
      <c r="IN79" s="5">
        <f t="shared" si="45"/>
        <v>8704.4444444444453</v>
      </c>
      <c r="IO79" s="5">
        <f t="shared" si="45"/>
        <v>8361.1111111111113</v>
      </c>
      <c r="IP79" s="5">
        <f t="shared" si="45"/>
        <v>8286.6666666666661</v>
      </c>
      <c r="IQ79" s="5">
        <f t="shared" si="45"/>
        <v>8214.4444444444453</v>
      </c>
      <c r="IR79" s="5">
        <f t="shared" si="45"/>
        <v>8293.3333333333339</v>
      </c>
      <c r="IS79" s="5">
        <f t="shared" si="45"/>
        <v>8500</v>
      </c>
      <c r="IT79" s="5">
        <f t="shared" si="45"/>
        <v>8481.1111111111113</v>
      </c>
      <c r="IU79" s="5">
        <f t="shared" si="45"/>
        <v>8415.5555555555547</v>
      </c>
      <c r="IV79" s="5">
        <f t="shared" si="45"/>
        <v>8495.5555555555547</v>
      </c>
      <c r="IW79" s="5">
        <f t="shared" si="45"/>
        <v>8624.4444444444453</v>
      </c>
      <c r="IX79" s="5">
        <f t="shared" si="45"/>
        <v>8762.2222222222226</v>
      </c>
      <c r="IY79" s="5">
        <f t="shared" ref="IY79:LJ79" si="46">AVERAGE(IY3:IY13)</f>
        <v>8888.8888888888887</v>
      </c>
      <c r="IZ79" s="5">
        <f t="shared" si="46"/>
        <v>8873.3333333333339</v>
      </c>
      <c r="JA79" s="5">
        <f t="shared" si="46"/>
        <v>8700</v>
      </c>
      <c r="JB79" s="5">
        <f t="shared" si="46"/>
        <v>8490</v>
      </c>
      <c r="JC79" s="5">
        <f t="shared" si="46"/>
        <v>8810</v>
      </c>
      <c r="JD79" s="5">
        <f t="shared" si="46"/>
        <v>8782.2222222222226</v>
      </c>
      <c r="JE79" s="5">
        <f t="shared" si="46"/>
        <v>8858.8888888888887</v>
      </c>
      <c r="JF79" s="5">
        <f t="shared" si="46"/>
        <v>8753.3333333333339</v>
      </c>
      <c r="JG79" s="5">
        <f t="shared" si="46"/>
        <v>8614.4444444444453</v>
      </c>
      <c r="JH79" s="5">
        <f t="shared" si="46"/>
        <v>8473.3333333333339</v>
      </c>
      <c r="JI79" s="5">
        <f t="shared" si="46"/>
        <v>8468.8888888888887</v>
      </c>
      <c r="JJ79" s="5">
        <f t="shared" si="46"/>
        <v>8173.333333333333</v>
      </c>
      <c r="JK79" s="5">
        <f t="shared" si="46"/>
        <v>7927.7777777777774</v>
      </c>
      <c r="JL79" s="5">
        <f t="shared" si="46"/>
        <v>7771.1111111111113</v>
      </c>
      <c r="JM79" s="5">
        <f t="shared" si="46"/>
        <v>7533.333333333333</v>
      </c>
      <c r="JN79" s="5">
        <f t="shared" si="46"/>
        <v>7385.5555555555557</v>
      </c>
      <c r="JO79" s="5">
        <f t="shared" si="46"/>
        <v>7307.7777777777774</v>
      </c>
      <c r="JP79" s="5">
        <f t="shared" si="46"/>
        <v>7348.8888888888887</v>
      </c>
      <c r="JQ79" s="5">
        <f t="shared" si="46"/>
        <v>7458.8888888888887</v>
      </c>
      <c r="JR79" s="5">
        <f t="shared" si="46"/>
        <v>7374.4444444444443</v>
      </c>
      <c r="JS79" s="5">
        <f t="shared" si="46"/>
        <v>7225.5555555555557</v>
      </c>
      <c r="JT79" s="5">
        <f t="shared" si="46"/>
        <v>7098.8888888888887</v>
      </c>
      <c r="JU79" s="5">
        <f t="shared" si="46"/>
        <v>7026.666666666667</v>
      </c>
      <c r="JV79" s="5">
        <f t="shared" si="46"/>
        <v>6854.4444444444443</v>
      </c>
      <c r="JW79" s="5">
        <f t="shared" si="46"/>
        <v>6653.333333333333</v>
      </c>
      <c r="JX79" s="5">
        <f t="shared" si="46"/>
        <v>6578.8888888888887</v>
      </c>
      <c r="JY79" s="5">
        <f t="shared" si="46"/>
        <v>6333.333333333333</v>
      </c>
      <c r="JZ79" s="5">
        <f t="shared" si="46"/>
        <v>6741.1111111111113</v>
      </c>
      <c r="KA79" s="5">
        <f t="shared" si="46"/>
        <v>6991.1111111111113</v>
      </c>
      <c r="KB79" s="5">
        <f t="shared" si="46"/>
        <v>6828.8888888888887</v>
      </c>
      <c r="KC79" s="5">
        <f t="shared" si="46"/>
        <v>6612.2222222222226</v>
      </c>
      <c r="KD79" s="5">
        <f t="shared" si="46"/>
        <v>6333.333333333333</v>
      </c>
      <c r="KE79" s="5">
        <f t="shared" si="46"/>
        <v>6117.7777777777774</v>
      </c>
      <c r="KF79" s="5">
        <f t="shared" si="46"/>
        <v>6010</v>
      </c>
      <c r="KG79" s="5">
        <f t="shared" si="46"/>
        <v>5952.2222222222226</v>
      </c>
      <c r="KH79" s="5">
        <f t="shared" si="46"/>
        <v>5953.333333333333</v>
      </c>
      <c r="KI79" s="5">
        <f t="shared" si="46"/>
        <v>5803.333333333333</v>
      </c>
      <c r="KJ79" s="5">
        <f t="shared" si="46"/>
        <v>5622.2222222222226</v>
      </c>
      <c r="KK79" s="5">
        <f t="shared" si="46"/>
        <v>5424.4444444444443</v>
      </c>
      <c r="KL79" s="5">
        <f t="shared" si="46"/>
        <v>5286.666666666667</v>
      </c>
      <c r="KM79" s="5">
        <f t="shared" si="46"/>
        <v>5145.5555555555557</v>
      </c>
      <c r="KN79" s="5">
        <f t="shared" si="46"/>
        <v>5007.7777777777774</v>
      </c>
      <c r="KO79" s="5">
        <f t="shared" si="46"/>
        <v>4992.2222222222226</v>
      </c>
      <c r="KP79" s="5">
        <f t="shared" si="46"/>
        <v>4911.1111111111113</v>
      </c>
      <c r="KQ79" s="5">
        <f t="shared" si="46"/>
        <v>4845.5555555555557</v>
      </c>
      <c r="KR79" s="5">
        <f t="shared" si="46"/>
        <v>4763.333333333333</v>
      </c>
      <c r="KS79" s="5">
        <f t="shared" si="46"/>
        <v>4621.1111111111113</v>
      </c>
      <c r="KT79" s="5">
        <f t="shared" si="46"/>
        <v>4502.2222222222226</v>
      </c>
      <c r="KU79" s="5">
        <f t="shared" si="46"/>
        <v>4394.4444444444443</v>
      </c>
      <c r="KV79" s="5">
        <f t="shared" si="46"/>
        <v>4248.8888888888887</v>
      </c>
      <c r="KW79" s="5">
        <f t="shared" si="46"/>
        <v>4114.4444444444443</v>
      </c>
      <c r="KX79" s="5">
        <f t="shared" si="46"/>
        <v>4004.4444444444443</v>
      </c>
      <c r="KY79" s="5">
        <f t="shared" si="46"/>
        <v>3893.3333333333335</v>
      </c>
      <c r="KZ79" s="5">
        <f t="shared" si="46"/>
        <v>3801.1111111111113</v>
      </c>
      <c r="LA79" s="5">
        <f t="shared" si="46"/>
        <v>3707.7777777777778</v>
      </c>
      <c r="LB79" s="5">
        <f t="shared" si="46"/>
        <v>3667.7777777777778</v>
      </c>
      <c r="LC79" s="5">
        <f t="shared" si="46"/>
        <v>3731.1111111111113</v>
      </c>
      <c r="LD79" s="5">
        <f t="shared" si="46"/>
        <v>3766.6666666666665</v>
      </c>
      <c r="LE79" s="5">
        <f t="shared" si="46"/>
        <v>3721.1111111111113</v>
      </c>
      <c r="LF79" s="5">
        <f t="shared" si="46"/>
        <v>3608.8888888888887</v>
      </c>
      <c r="LG79" s="5">
        <f t="shared" si="46"/>
        <v>3472.2222222222222</v>
      </c>
      <c r="LH79" s="5">
        <f t="shared" si="46"/>
        <v>3353.3333333333335</v>
      </c>
      <c r="LI79" s="5">
        <f t="shared" si="46"/>
        <v>3255.5555555555557</v>
      </c>
      <c r="LJ79" s="5">
        <f t="shared" si="46"/>
        <v>3165.5555555555557</v>
      </c>
      <c r="LK79" s="5">
        <f t="shared" ref="LK79:NT79" si="47">AVERAGE(LK3:LK13)</f>
        <v>3086.6666666666665</v>
      </c>
      <c r="LL79" s="5">
        <f t="shared" si="47"/>
        <v>3017.7777777777778</v>
      </c>
      <c r="LM79" s="5">
        <f t="shared" si="47"/>
        <v>2952.2222222222222</v>
      </c>
      <c r="LN79" s="5">
        <f t="shared" si="47"/>
        <v>2888.8888888888887</v>
      </c>
      <c r="LO79" s="5">
        <f t="shared" si="47"/>
        <v>2824.4444444444443</v>
      </c>
      <c r="LP79" s="5">
        <f t="shared" si="47"/>
        <v>2768.8888888888887</v>
      </c>
      <c r="LQ79" s="5">
        <f t="shared" si="47"/>
        <v>2716.6666666666665</v>
      </c>
      <c r="LR79" s="5">
        <f t="shared" si="47"/>
        <v>2664.4444444444443</v>
      </c>
      <c r="LS79" s="5">
        <f t="shared" si="47"/>
        <v>2613.3333333333335</v>
      </c>
      <c r="LT79" s="5">
        <f t="shared" si="47"/>
        <v>2564.4444444444443</v>
      </c>
      <c r="LU79" s="5">
        <f t="shared" si="47"/>
        <v>2521.1111111111113</v>
      </c>
      <c r="LV79" s="5">
        <f t="shared" si="47"/>
        <v>2478.8888888888887</v>
      </c>
      <c r="LW79" s="5">
        <f t="shared" si="47"/>
        <v>2434.4444444444443</v>
      </c>
      <c r="LX79" s="5">
        <f t="shared" si="47"/>
        <v>2388.8888888888887</v>
      </c>
      <c r="LY79" s="5">
        <f t="shared" si="47"/>
        <v>2352.2222222222222</v>
      </c>
      <c r="LZ79" s="5">
        <f t="shared" si="47"/>
        <v>2316.6666666666665</v>
      </c>
      <c r="MA79" s="5">
        <f t="shared" si="47"/>
        <v>2276.6666666666665</v>
      </c>
      <c r="MB79" s="5">
        <f t="shared" si="47"/>
        <v>2242.2222222222222</v>
      </c>
      <c r="MC79" s="5">
        <f t="shared" si="47"/>
        <v>2203.3333333333335</v>
      </c>
      <c r="MD79" s="5">
        <f t="shared" si="47"/>
        <v>2161.1111111111113</v>
      </c>
      <c r="ME79" s="5">
        <f t="shared" si="47"/>
        <v>2124.4444444444443</v>
      </c>
      <c r="MF79" s="5">
        <f t="shared" si="47"/>
        <v>2097.7777777777778</v>
      </c>
      <c r="MG79" s="5">
        <f t="shared" si="47"/>
        <v>2065.5555555555557</v>
      </c>
      <c r="MH79" s="5">
        <f t="shared" si="47"/>
        <v>2041.1111111111111</v>
      </c>
      <c r="MI79" s="5">
        <f t="shared" si="47"/>
        <v>2025.5555555555557</v>
      </c>
      <c r="MJ79" s="5">
        <f t="shared" si="47"/>
        <v>2002.2222222222222</v>
      </c>
      <c r="MK79" s="5">
        <f t="shared" si="47"/>
        <v>1978.8888888888889</v>
      </c>
      <c r="ML79" s="5">
        <f t="shared" si="47"/>
        <v>1950</v>
      </c>
      <c r="MM79" s="5">
        <f t="shared" si="47"/>
        <v>1923.3333333333333</v>
      </c>
      <c r="MN79" s="5">
        <f t="shared" si="47"/>
        <v>1887.7777777777778</v>
      </c>
      <c r="MO79" s="5">
        <f t="shared" si="47"/>
        <v>1851.1111111111111</v>
      </c>
      <c r="MP79" s="5">
        <f t="shared" si="47"/>
        <v>1824.4444444444443</v>
      </c>
      <c r="MQ79" s="5">
        <f t="shared" si="47"/>
        <v>1797.7777777777778</v>
      </c>
      <c r="MR79" s="5">
        <f t="shared" si="47"/>
        <v>1778.8888888888889</v>
      </c>
      <c r="MS79" s="5">
        <f t="shared" si="47"/>
        <v>1766.6666666666667</v>
      </c>
      <c r="MT79" s="5">
        <f t="shared" si="47"/>
        <v>1754.4444444444443</v>
      </c>
      <c r="MU79" s="5">
        <f t="shared" si="47"/>
        <v>1742.2222222222222</v>
      </c>
      <c r="MV79" s="5">
        <f t="shared" si="47"/>
        <v>1721.1111111111111</v>
      </c>
      <c r="MW79" s="5">
        <f t="shared" si="47"/>
        <v>1700</v>
      </c>
      <c r="MX79" s="5">
        <f t="shared" si="47"/>
        <v>1682.2222222222222</v>
      </c>
      <c r="MY79" s="5">
        <f t="shared" si="47"/>
        <v>1662.2222222222222</v>
      </c>
      <c r="MZ79" s="5">
        <f t="shared" si="47"/>
        <v>1645.5555555555557</v>
      </c>
      <c r="NA79" s="5">
        <f t="shared" si="47"/>
        <v>1624.4444444444443</v>
      </c>
      <c r="NB79" s="5">
        <f t="shared" si="47"/>
        <v>1606.6666666666667</v>
      </c>
      <c r="NC79" s="5">
        <f t="shared" si="47"/>
        <v>1592.2222222222222</v>
      </c>
      <c r="ND79" s="5">
        <f t="shared" si="47"/>
        <v>1485.5555555555557</v>
      </c>
      <c r="NE79" s="5">
        <f t="shared" si="47"/>
        <v>1292.2222222222222</v>
      </c>
      <c r="NF79" s="5">
        <f t="shared" si="47"/>
        <v>1229.2222222222222</v>
      </c>
      <c r="NG79" s="5">
        <f t="shared" si="47"/>
        <v>1362.2222222222222</v>
      </c>
      <c r="NH79" s="5">
        <f t="shared" si="47"/>
        <v>1801.1111111111111</v>
      </c>
      <c r="NI79" s="5">
        <f t="shared" si="47"/>
        <v>3951.1111111111113</v>
      </c>
      <c r="NJ79" s="5">
        <f t="shared" si="47"/>
        <v>8301.1111111111113</v>
      </c>
      <c r="NK79" s="5">
        <f t="shared" si="47"/>
        <v>9852.2222222222226</v>
      </c>
      <c r="NL79" s="5">
        <f t="shared" si="47"/>
        <v>8436.6666666666661</v>
      </c>
      <c r="NM79" s="5">
        <f t="shared" si="47"/>
        <v>6077.7777777777774</v>
      </c>
      <c r="NN79" s="5">
        <f t="shared" si="47"/>
        <v>3261.1111111111113</v>
      </c>
      <c r="NO79" s="5">
        <f t="shared" si="47"/>
        <v>1915.5555555555557</v>
      </c>
      <c r="NP79" s="5">
        <f t="shared" si="47"/>
        <v>4097.8804800758544</v>
      </c>
      <c r="NQ79" s="5">
        <f t="shared" si="47"/>
        <v>16455.555555555555</v>
      </c>
      <c r="NR79" s="5">
        <f t="shared" si="47"/>
        <v>42597.888888888891</v>
      </c>
      <c r="NS79" s="5">
        <f t="shared" si="47"/>
        <v>1180.3333333333333</v>
      </c>
      <c r="NT79" s="5">
        <f t="shared" si="47"/>
        <v>42451.777777777781</v>
      </c>
      <c r="NU79" s="5"/>
      <c r="NV79" s="5"/>
      <c r="NW79" s="5"/>
      <c r="NX79" s="5"/>
      <c r="NY79" s="5"/>
      <c r="NZ79" s="5"/>
      <c r="OA79" s="5"/>
      <c r="OB79" s="5"/>
      <c r="OC79" s="5"/>
      <c r="OD79" s="5"/>
      <c r="OE79" s="5"/>
    </row>
    <row r="80" spans="1:395" customFormat="1" x14ac:dyDescent="0.15">
      <c r="A80" s="9" t="s">
        <v>42</v>
      </c>
      <c r="B80" s="5">
        <f>AVERAGE(B14:B23)</f>
        <v>1513</v>
      </c>
      <c r="C80" s="5">
        <f t="shared" ref="C80:BN80" si="48">AVERAGE(C14:C23)</f>
        <v>1499</v>
      </c>
      <c r="D80" s="5">
        <f t="shared" si="48"/>
        <v>1485</v>
      </c>
      <c r="E80" s="5">
        <f t="shared" si="48"/>
        <v>1471</v>
      </c>
      <c r="F80" s="5">
        <f t="shared" si="48"/>
        <v>1458</v>
      </c>
      <c r="G80" s="5">
        <f t="shared" si="48"/>
        <v>1449</v>
      </c>
      <c r="H80" s="5">
        <f t="shared" si="48"/>
        <v>1435</v>
      </c>
      <c r="I80" s="5">
        <f t="shared" si="48"/>
        <v>1422</v>
      </c>
      <c r="J80" s="5">
        <f t="shared" si="48"/>
        <v>1407</v>
      </c>
      <c r="K80" s="5">
        <f t="shared" si="48"/>
        <v>1398</v>
      </c>
      <c r="L80" s="5">
        <f t="shared" si="48"/>
        <v>1390</v>
      </c>
      <c r="M80" s="5">
        <f t="shared" si="48"/>
        <v>1379</v>
      </c>
      <c r="N80" s="5">
        <f t="shared" si="48"/>
        <v>1371</v>
      </c>
      <c r="O80" s="5">
        <f t="shared" si="48"/>
        <v>1366</v>
      </c>
      <c r="P80" s="5">
        <f t="shared" si="48"/>
        <v>1360</v>
      </c>
      <c r="Q80" s="5">
        <f t="shared" si="48"/>
        <v>1355</v>
      </c>
      <c r="R80" s="5">
        <f t="shared" si="48"/>
        <v>1352</v>
      </c>
      <c r="S80" s="5">
        <f t="shared" si="48"/>
        <v>1343</v>
      </c>
      <c r="T80" s="5">
        <f t="shared" si="48"/>
        <v>1334</v>
      </c>
      <c r="U80" s="5">
        <f t="shared" si="48"/>
        <v>1315</v>
      </c>
      <c r="V80" s="5">
        <f t="shared" si="48"/>
        <v>1302</v>
      </c>
      <c r="W80" s="5">
        <f t="shared" si="48"/>
        <v>1290</v>
      </c>
      <c r="X80" s="5">
        <f t="shared" si="48"/>
        <v>1277</v>
      </c>
      <c r="Y80" s="5">
        <f t="shared" si="48"/>
        <v>1265</v>
      </c>
      <c r="Z80" s="5">
        <f t="shared" si="48"/>
        <v>1259</v>
      </c>
      <c r="AA80" s="5">
        <f t="shared" si="48"/>
        <v>1249</v>
      </c>
      <c r="AB80" s="5">
        <f t="shared" si="48"/>
        <v>1241</v>
      </c>
      <c r="AC80" s="5">
        <f t="shared" si="48"/>
        <v>1238</v>
      </c>
      <c r="AD80" s="5">
        <f t="shared" si="48"/>
        <v>1232</v>
      </c>
      <c r="AE80" s="5">
        <f t="shared" si="48"/>
        <v>1227</v>
      </c>
      <c r="AF80" s="5">
        <f t="shared" si="48"/>
        <v>1228</v>
      </c>
      <c r="AG80" s="5">
        <f t="shared" si="48"/>
        <v>1225</v>
      </c>
      <c r="AH80" s="5">
        <f t="shared" si="48"/>
        <v>1221</v>
      </c>
      <c r="AI80" s="5">
        <f t="shared" si="48"/>
        <v>1213</v>
      </c>
      <c r="AJ80" s="5">
        <f t="shared" si="48"/>
        <v>1208</v>
      </c>
      <c r="AK80" s="5">
        <f t="shared" si="48"/>
        <v>1197</v>
      </c>
      <c r="AL80" s="5">
        <f t="shared" si="48"/>
        <v>1193</v>
      </c>
      <c r="AM80" s="5">
        <f t="shared" si="48"/>
        <v>1187</v>
      </c>
      <c r="AN80" s="5">
        <f t="shared" si="48"/>
        <v>1183</v>
      </c>
      <c r="AO80" s="5">
        <f t="shared" si="48"/>
        <v>1178</v>
      </c>
      <c r="AP80" s="5">
        <f t="shared" si="48"/>
        <v>1173</v>
      </c>
      <c r="AQ80" s="5">
        <f t="shared" si="48"/>
        <v>1168</v>
      </c>
      <c r="AR80" s="5">
        <f t="shared" si="48"/>
        <v>1164.3</v>
      </c>
      <c r="AS80" s="5">
        <f t="shared" si="48"/>
        <v>1160.7</v>
      </c>
      <c r="AT80" s="5">
        <f t="shared" si="48"/>
        <v>1156.2</v>
      </c>
      <c r="AU80" s="5">
        <f t="shared" si="48"/>
        <v>1153.5999999999999</v>
      </c>
      <c r="AV80" s="5">
        <f t="shared" si="48"/>
        <v>1149.0999999999999</v>
      </c>
      <c r="AW80" s="5">
        <f t="shared" si="48"/>
        <v>1138.5</v>
      </c>
      <c r="AX80" s="5">
        <f t="shared" si="48"/>
        <v>1135</v>
      </c>
      <c r="AY80" s="5">
        <f t="shared" si="48"/>
        <v>1133</v>
      </c>
      <c r="AZ80" s="5">
        <f t="shared" si="48"/>
        <v>1130.4000000000001</v>
      </c>
      <c r="BA80" s="5">
        <f t="shared" si="48"/>
        <v>1125.3</v>
      </c>
      <c r="BB80" s="5">
        <f t="shared" si="48"/>
        <v>1121.8</v>
      </c>
      <c r="BC80" s="5">
        <f t="shared" si="48"/>
        <v>1117.8</v>
      </c>
      <c r="BD80" s="5">
        <f t="shared" si="48"/>
        <v>1115.2</v>
      </c>
      <c r="BE80" s="5">
        <f t="shared" si="48"/>
        <v>1114.3</v>
      </c>
      <c r="BF80" s="5">
        <f t="shared" si="48"/>
        <v>1112</v>
      </c>
      <c r="BG80" s="5">
        <f t="shared" si="48"/>
        <v>1112.3</v>
      </c>
      <c r="BH80" s="5">
        <f t="shared" si="48"/>
        <v>1111.9000000000001</v>
      </c>
      <c r="BI80" s="5">
        <f t="shared" si="48"/>
        <v>1083.5</v>
      </c>
      <c r="BJ80" s="5">
        <f t="shared" si="48"/>
        <v>1109.0999999999999</v>
      </c>
      <c r="BK80" s="5">
        <f t="shared" si="48"/>
        <v>1104.7</v>
      </c>
      <c r="BL80" s="5">
        <f t="shared" si="48"/>
        <v>1098.5999999999999</v>
      </c>
      <c r="BM80" s="5">
        <f t="shared" si="48"/>
        <v>1092.8</v>
      </c>
      <c r="BN80" s="5">
        <f t="shared" si="48"/>
        <v>1088.2</v>
      </c>
      <c r="BO80" s="5">
        <f t="shared" ref="BO80:DZ80" si="49">AVERAGE(BO14:BO23)</f>
        <v>1087.9000000000001</v>
      </c>
      <c r="BP80" s="5">
        <f t="shared" si="49"/>
        <v>1087.5999999999999</v>
      </c>
      <c r="BQ80" s="5">
        <f t="shared" si="49"/>
        <v>1083.3</v>
      </c>
      <c r="BR80" s="5">
        <f t="shared" si="49"/>
        <v>1081</v>
      </c>
      <c r="BS80" s="5">
        <f t="shared" si="49"/>
        <v>1078.7</v>
      </c>
      <c r="BT80" s="5">
        <f t="shared" si="49"/>
        <v>1077.0999999999999</v>
      </c>
      <c r="BU80" s="5">
        <f t="shared" si="49"/>
        <v>1076.4000000000001</v>
      </c>
      <c r="BV80" s="5">
        <f t="shared" si="49"/>
        <v>1071.9000000000001</v>
      </c>
      <c r="BW80" s="5">
        <f t="shared" si="49"/>
        <v>1069.9000000000001</v>
      </c>
      <c r="BX80" s="5">
        <f t="shared" si="49"/>
        <v>1070.4000000000001</v>
      </c>
      <c r="BY80" s="5">
        <f t="shared" si="49"/>
        <v>1070.0999999999999</v>
      </c>
      <c r="BZ80" s="5">
        <f t="shared" si="49"/>
        <v>1073.0999999999999</v>
      </c>
      <c r="CA80" s="5">
        <f t="shared" si="49"/>
        <v>1071.0999999999999</v>
      </c>
      <c r="CB80" s="5">
        <f t="shared" si="49"/>
        <v>1069.9000000000001</v>
      </c>
      <c r="CC80" s="5">
        <f t="shared" si="49"/>
        <v>1066.2</v>
      </c>
      <c r="CD80" s="5">
        <f t="shared" si="49"/>
        <v>1063.3</v>
      </c>
      <c r="CE80" s="5">
        <f t="shared" si="49"/>
        <v>1063.2</v>
      </c>
      <c r="CF80" s="5">
        <f t="shared" si="49"/>
        <v>1071.2</v>
      </c>
      <c r="CG80" s="5">
        <f t="shared" si="49"/>
        <v>1075.7</v>
      </c>
      <c r="CH80" s="5">
        <f t="shared" si="49"/>
        <v>1080.4000000000001</v>
      </c>
      <c r="CI80" s="5">
        <f t="shared" si="49"/>
        <v>1084</v>
      </c>
      <c r="CJ80" s="5">
        <f t="shared" si="49"/>
        <v>1085.5999999999999</v>
      </c>
      <c r="CK80" s="5">
        <f t="shared" si="49"/>
        <v>1086.4000000000001</v>
      </c>
      <c r="CL80" s="5">
        <f t="shared" si="49"/>
        <v>1082</v>
      </c>
      <c r="CM80" s="5">
        <f t="shared" si="49"/>
        <v>1082</v>
      </c>
      <c r="CN80" s="5">
        <f t="shared" si="49"/>
        <v>1083.4000000000001</v>
      </c>
      <c r="CO80" s="5">
        <f t="shared" si="49"/>
        <v>1090.8</v>
      </c>
      <c r="CP80" s="5">
        <f t="shared" si="49"/>
        <v>1093.2</v>
      </c>
      <c r="CQ80" s="5">
        <f t="shared" si="49"/>
        <v>1094.0999999999999</v>
      </c>
      <c r="CR80" s="5">
        <f t="shared" si="49"/>
        <v>1113.8</v>
      </c>
      <c r="CS80" s="5">
        <f t="shared" si="49"/>
        <v>1129.3</v>
      </c>
      <c r="CT80" s="5">
        <f t="shared" si="49"/>
        <v>1123.4000000000001</v>
      </c>
      <c r="CU80" s="5">
        <f t="shared" si="49"/>
        <v>1121.4000000000001</v>
      </c>
      <c r="CV80" s="5">
        <f t="shared" si="49"/>
        <v>1121.9000000000001</v>
      </c>
      <c r="CW80" s="5">
        <f t="shared" si="49"/>
        <v>1128.3</v>
      </c>
      <c r="CX80" s="5">
        <f t="shared" si="49"/>
        <v>1111</v>
      </c>
      <c r="CY80" s="5">
        <f t="shared" si="49"/>
        <v>1150</v>
      </c>
      <c r="CZ80" s="5">
        <f t="shared" si="49"/>
        <v>1148.9000000000001</v>
      </c>
      <c r="DA80" s="5">
        <f t="shared" si="49"/>
        <v>1158.5</v>
      </c>
      <c r="DB80" s="5">
        <f t="shared" si="49"/>
        <v>1170.0999999999999</v>
      </c>
      <c r="DC80" s="5">
        <f t="shared" si="49"/>
        <v>1184.4000000000001</v>
      </c>
      <c r="DD80" s="5">
        <f t="shared" si="49"/>
        <v>1194.3</v>
      </c>
      <c r="DE80" s="5">
        <f t="shared" si="49"/>
        <v>1199</v>
      </c>
      <c r="DF80" s="5">
        <f t="shared" si="49"/>
        <v>1211</v>
      </c>
      <c r="DG80" s="5">
        <f t="shared" si="49"/>
        <v>1232</v>
      </c>
      <c r="DH80" s="5">
        <f t="shared" si="49"/>
        <v>1266</v>
      </c>
      <c r="DI80" s="5">
        <f t="shared" si="49"/>
        <v>1311</v>
      </c>
      <c r="DJ80" s="5">
        <f t="shared" si="49"/>
        <v>1343</v>
      </c>
      <c r="DK80" s="5">
        <f t="shared" si="49"/>
        <v>1346</v>
      </c>
      <c r="DL80" s="5">
        <f t="shared" si="49"/>
        <v>1343</v>
      </c>
      <c r="DM80" s="5">
        <f t="shared" si="49"/>
        <v>1344</v>
      </c>
      <c r="DN80" s="5">
        <f t="shared" si="49"/>
        <v>1368</v>
      </c>
      <c r="DO80" s="5">
        <f t="shared" si="49"/>
        <v>1396</v>
      </c>
      <c r="DP80" s="5">
        <f t="shared" si="49"/>
        <v>1428</v>
      </c>
      <c r="DQ80" s="5">
        <f t="shared" si="49"/>
        <v>1455</v>
      </c>
      <c r="DR80" s="5">
        <f t="shared" si="49"/>
        <v>1477</v>
      </c>
      <c r="DS80" s="5">
        <f t="shared" si="49"/>
        <v>1485</v>
      </c>
      <c r="DT80" s="5">
        <f t="shared" si="49"/>
        <v>1479.4</v>
      </c>
      <c r="DU80" s="5">
        <f t="shared" si="49"/>
        <v>1519.1</v>
      </c>
      <c r="DV80" s="5">
        <f t="shared" si="49"/>
        <v>1596.3</v>
      </c>
      <c r="DW80" s="5">
        <f t="shared" si="49"/>
        <v>1670.9</v>
      </c>
      <c r="DX80" s="5">
        <f t="shared" si="49"/>
        <v>1707</v>
      </c>
      <c r="DY80" s="5">
        <f t="shared" si="49"/>
        <v>1738.6</v>
      </c>
      <c r="DZ80" s="5">
        <f t="shared" si="49"/>
        <v>1770.6</v>
      </c>
      <c r="EA80" s="5">
        <f t="shared" ref="EA80:GL80" si="50">AVERAGE(EA14:EA23)</f>
        <v>1769.7</v>
      </c>
      <c r="EB80" s="5">
        <f t="shared" si="50"/>
        <v>1777.7</v>
      </c>
      <c r="EC80" s="5">
        <f t="shared" si="50"/>
        <v>1802.6</v>
      </c>
      <c r="ED80" s="5">
        <f t="shared" si="50"/>
        <v>1782.5</v>
      </c>
      <c r="EE80" s="5">
        <f t="shared" si="50"/>
        <v>1781</v>
      </c>
      <c r="EF80" s="5">
        <f t="shared" si="50"/>
        <v>1792.5</v>
      </c>
      <c r="EG80" s="5">
        <f t="shared" si="50"/>
        <v>1815.4</v>
      </c>
      <c r="EH80" s="5">
        <f t="shared" si="50"/>
        <v>1812.7</v>
      </c>
      <c r="EI80" s="5">
        <f t="shared" si="50"/>
        <v>1788.6</v>
      </c>
      <c r="EJ80" s="5">
        <f t="shared" si="50"/>
        <v>1780.1</v>
      </c>
      <c r="EK80" s="5">
        <f t="shared" si="50"/>
        <v>1791.4</v>
      </c>
      <c r="EL80" s="5">
        <f t="shared" si="50"/>
        <v>1842</v>
      </c>
      <c r="EM80" s="5">
        <f t="shared" si="50"/>
        <v>1865</v>
      </c>
      <c r="EN80" s="5">
        <f t="shared" si="50"/>
        <v>1894</v>
      </c>
      <c r="EO80" s="5">
        <f t="shared" si="50"/>
        <v>1905</v>
      </c>
      <c r="EP80" s="5">
        <f t="shared" si="50"/>
        <v>1933</v>
      </c>
      <c r="EQ80" s="5">
        <f t="shared" si="50"/>
        <v>1934</v>
      </c>
      <c r="ER80" s="5">
        <f t="shared" si="50"/>
        <v>1955</v>
      </c>
      <c r="ES80" s="5">
        <f t="shared" si="50"/>
        <v>1976</v>
      </c>
      <c r="ET80" s="5">
        <f t="shared" si="50"/>
        <v>1994</v>
      </c>
      <c r="EU80" s="5">
        <f t="shared" si="50"/>
        <v>2003</v>
      </c>
      <c r="EV80" s="5">
        <f t="shared" si="50"/>
        <v>2036</v>
      </c>
      <c r="EW80" s="5">
        <f t="shared" si="50"/>
        <v>2075</v>
      </c>
      <c r="EX80" s="5">
        <f t="shared" si="50"/>
        <v>2161</v>
      </c>
      <c r="EY80" s="5">
        <f t="shared" si="50"/>
        <v>2219.3000000000002</v>
      </c>
      <c r="EZ80" s="5">
        <f t="shared" si="50"/>
        <v>2388</v>
      </c>
      <c r="FA80" s="5">
        <f t="shared" si="50"/>
        <v>2463</v>
      </c>
      <c r="FB80" s="5">
        <f t="shared" si="50"/>
        <v>2545</v>
      </c>
      <c r="FC80" s="5">
        <f t="shared" si="50"/>
        <v>2618</v>
      </c>
      <c r="FD80" s="5">
        <f t="shared" si="50"/>
        <v>2760</v>
      </c>
      <c r="FE80" s="5">
        <f t="shared" si="50"/>
        <v>2938</v>
      </c>
      <c r="FF80" s="5">
        <f t="shared" si="50"/>
        <v>3049</v>
      </c>
      <c r="FG80" s="5">
        <f t="shared" si="50"/>
        <v>3193</v>
      </c>
      <c r="FH80" s="5">
        <f t="shared" si="50"/>
        <v>3300</v>
      </c>
      <c r="FI80" s="5">
        <f t="shared" si="50"/>
        <v>3464</v>
      </c>
      <c r="FJ80" s="5">
        <f t="shared" si="50"/>
        <v>3577</v>
      </c>
      <c r="FK80" s="5">
        <f t="shared" si="50"/>
        <v>3617</v>
      </c>
      <c r="FL80" s="5">
        <f t="shared" si="50"/>
        <v>3681</v>
      </c>
      <c r="FM80" s="5">
        <f t="shared" si="50"/>
        <v>3784</v>
      </c>
      <c r="FN80" s="5">
        <f t="shared" si="50"/>
        <v>3933</v>
      </c>
      <c r="FO80" s="5">
        <f t="shared" si="50"/>
        <v>3930</v>
      </c>
      <c r="FP80" s="5">
        <f t="shared" si="50"/>
        <v>4612</v>
      </c>
      <c r="FQ80" s="5">
        <f t="shared" si="50"/>
        <v>4726</v>
      </c>
      <c r="FR80" s="5">
        <f t="shared" si="50"/>
        <v>4884</v>
      </c>
      <c r="FS80" s="5">
        <f t="shared" si="50"/>
        <v>5318</v>
      </c>
      <c r="FT80" s="5">
        <f t="shared" si="50"/>
        <v>5632</v>
      </c>
      <c r="FU80" s="5">
        <f t="shared" si="50"/>
        <v>5776</v>
      </c>
      <c r="FV80" s="5">
        <f t="shared" si="50"/>
        <v>6135</v>
      </c>
      <c r="FW80" s="5">
        <f t="shared" si="50"/>
        <v>6468</v>
      </c>
      <c r="FX80" s="5">
        <f t="shared" si="50"/>
        <v>6677</v>
      </c>
      <c r="FY80" s="5">
        <f t="shared" si="50"/>
        <v>6713</v>
      </c>
      <c r="FZ80" s="5">
        <f t="shared" si="50"/>
        <v>6622</v>
      </c>
      <c r="GA80" s="5">
        <f t="shared" si="50"/>
        <v>6614</v>
      </c>
      <c r="GB80" s="5">
        <f t="shared" si="50"/>
        <v>6688</v>
      </c>
      <c r="GC80" s="5">
        <f t="shared" si="50"/>
        <v>6896</v>
      </c>
      <c r="GD80" s="5">
        <f t="shared" si="50"/>
        <v>6760</v>
      </c>
      <c r="GE80" s="5">
        <f t="shared" si="50"/>
        <v>7006</v>
      </c>
      <c r="GF80" s="5">
        <f t="shared" si="50"/>
        <v>7205</v>
      </c>
      <c r="GG80" s="5">
        <f t="shared" si="50"/>
        <v>7162</v>
      </c>
      <c r="GH80" s="5">
        <f t="shared" si="50"/>
        <v>7182</v>
      </c>
      <c r="GI80" s="5">
        <f t="shared" si="50"/>
        <v>7300</v>
      </c>
      <c r="GJ80" s="5">
        <f t="shared" si="50"/>
        <v>7603</v>
      </c>
      <c r="GK80" s="5">
        <f t="shared" si="50"/>
        <v>8213</v>
      </c>
      <c r="GL80" s="5">
        <f t="shared" si="50"/>
        <v>8777</v>
      </c>
      <c r="GM80" s="5">
        <f t="shared" ref="GM80:IX80" si="51">AVERAGE(GM14:GM23)</f>
        <v>9104</v>
      </c>
      <c r="GN80" s="5">
        <f t="shared" si="51"/>
        <v>9087</v>
      </c>
      <c r="GO80" s="5">
        <f t="shared" si="51"/>
        <v>9005</v>
      </c>
      <c r="GP80" s="5">
        <f t="shared" si="51"/>
        <v>9230</v>
      </c>
      <c r="GQ80" s="5">
        <f t="shared" si="51"/>
        <v>9860</v>
      </c>
      <c r="GR80" s="5">
        <f t="shared" si="51"/>
        <v>9884</v>
      </c>
      <c r="GS80" s="5">
        <f t="shared" si="51"/>
        <v>9572</v>
      </c>
      <c r="GT80" s="5">
        <f t="shared" si="51"/>
        <v>9361</v>
      </c>
      <c r="GU80" s="5">
        <f t="shared" si="51"/>
        <v>9530</v>
      </c>
      <c r="GV80" s="5">
        <f t="shared" si="51"/>
        <v>9339</v>
      </c>
      <c r="GW80" s="5">
        <f t="shared" si="51"/>
        <v>9170</v>
      </c>
      <c r="GX80" s="5">
        <f t="shared" si="51"/>
        <v>8892</v>
      </c>
      <c r="GY80" s="5">
        <f t="shared" si="51"/>
        <v>8860</v>
      </c>
      <c r="GZ80" s="5">
        <f t="shared" si="51"/>
        <v>8827</v>
      </c>
      <c r="HA80" s="5">
        <f t="shared" si="51"/>
        <v>8737</v>
      </c>
      <c r="HB80" s="5">
        <f t="shared" si="51"/>
        <v>8874</v>
      </c>
      <c r="HC80" s="5">
        <f t="shared" si="51"/>
        <v>9061</v>
      </c>
      <c r="HD80" s="5">
        <f t="shared" si="51"/>
        <v>8950</v>
      </c>
      <c r="HE80" s="5">
        <f t="shared" si="51"/>
        <v>8890</v>
      </c>
      <c r="HF80" s="5">
        <f t="shared" si="51"/>
        <v>8891</v>
      </c>
      <c r="HG80" s="5">
        <f t="shared" si="51"/>
        <v>9081</v>
      </c>
      <c r="HH80" s="5">
        <f t="shared" si="51"/>
        <v>8983</v>
      </c>
      <c r="HI80" s="5">
        <f t="shared" si="51"/>
        <v>8900</v>
      </c>
      <c r="HJ80" s="5">
        <f t="shared" si="51"/>
        <v>9015</v>
      </c>
      <c r="HK80" s="5">
        <f t="shared" si="51"/>
        <v>9320</v>
      </c>
      <c r="HL80" s="5">
        <f t="shared" si="51"/>
        <v>9620</v>
      </c>
      <c r="HM80" s="5">
        <f t="shared" si="51"/>
        <v>9939</v>
      </c>
      <c r="HN80" s="5">
        <f t="shared" si="51"/>
        <v>10462</v>
      </c>
      <c r="HO80" s="5">
        <f t="shared" si="51"/>
        <v>11039</v>
      </c>
      <c r="HP80" s="5">
        <f t="shared" si="51"/>
        <v>11445</v>
      </c>
      <c r="HQ80" s="5">
        <f t="shared" si="51"/>
        <v>11943</v>
      </c>
      <c r="HR80" s="5">
        <f t="shared" si="51"/>
        <v>12204</v>
      </c>
      <c r="HS80" s="5">
        <f t="shared" si="51"/>
        <v>11925</v>
      </c>
      <c r="HT80" s="5">
        <f t="shared" si="51"/>
        <v>11092</v>
      </c>
      <c r="HU80" s="5">
        <f t="shared" si="51"/>
        <v>10325</v>
      </c>
      <c r="HV80" s="5">
        <f t="shared" si="51"/>
        <v>9840</v>
      </c>
      <c r="HW80" s="5">
        <f t="shared" si="51"/>
        <v>9678</v>
      </c>
      <c r="HX80" s="5">
        <f t="shared" si="51"/>
        <v>9990</v>
      </c>
      <c r="HY80" s="5">
        <f t="shared" si="51"/>
        <v>10415</v>
      </c>
      <c r="HZ80" s="5">
        <f t="shared" si="51"/>
        <v>10631</v>
      </c>
      <c r="IA80" s="5">
        <f t="shared" si="51"/>
        <v>10372</v>
      </c>
      <c r="IB80" s="5">
        <f t="shared" si="51"/>
        <v>9888</v>
      </c>
      <c r="IC80" s="5">
        <f t="shared" si="51"/>
        <v>9444</v>
      </c>
      <c r="ID80" s="5">
        <f t="shared" si="51"/>
        <v>9645</v>
      </c>
      <c r="IE80" s="5">
        <f t="shared" si="51"/>
        <v>9926</v>
      </c>
      <c r="IF80" s="5">
        <f t="shared" si="51"/>
        <v>10168</v>
      </c>
      <c r="IG80" s="5">
        <f t="shared" si="51"/>
        <v>10557</v>
      </c>
      <c r="IH80" s="5">
        <f t="shared" si="51"/>
        <v>10732</v>
      </c>
      <c r="II80" s="5">
        <f t="shared" si="51"/>
        <v>10643</v>
      </c>
      <c r="IJ80" s="5">
        <f t="shared" si="51"/>
        <v>10589</v>
      </c>
      <c r="IK80" s="5">
        <f t="shared" si="51"/>
        <v>10647</v>
      </c>
      <c r="IL80" s="5">
        <f t="shared" si="51"/>
        <v>10672</v>
      </c>
      <c r="IM80" s="5">
        <f t="shared" si="51"/>
        <v>10547</v>
      </c>
      <c r="IN80" s="5">
        <f t="shared" si="51"/>
        <v>10489</v>
      </c>
      <c r="IO80" s="5">
        <f t="shared" si="51"/>
        <v>10600</v>
      </c>
      <c r="IP80" s="5">
        <f t="shared" si="51"/>
        <v>10449</v>
      </c>
      <c r="IQ80" s="5">
        <f t="shared" si="51"/>
        <v>10189</v>
      </c>
      <c r="IR80" s="5">
        <f t="shared" si="51"/>
        <v>10333</v>
      </c>
      <c r="IS80" s="5">
        <f t="shared" si="51"/>
        <v>10159</v>
      </c>
      <c r="IT80" s="5">
        <f t="shared" si="51"/>
        <v>9757</v>
      </c>
      <c r="IU80" s="5">
        <f t="shared" si="51"/>
        <v>9371</v>
      </c>
      <c r="IV80" s="5">
        <f t="shared" si="51"/>
        <v>9296</v>
      </c>
      <c r="IW80" s="5">
        <f t="shared" si="51"/>
        <v>9247</v>
      </c>
      <c r="IX80" s="5">
        <f t="shared" si="51"/>
        <v>9101</v>
      </c>
      <c r="IY80" s="5">
        <f t="shared" ref="IY80:LJ80" si="52">AVERAGE(IY14:IY23)</f>
        <v>9093</v>
      </c>
      <c r="IZ80" s="5">
        <f t="shared" si="52"/>
        <v>9389</v>
      </c>
      <c r="JA80" s="5">
        <f t="shared" si="52"/>
        <v>9562</v>
      </c>
      <c r="JB80" s="5">
        <f t="shared" si="52"/>
        <v>9447</v>
      </c>
      <c r="JC80" s="5">
        <f t="shared" si="52"/>
        <v>9267</v>
      </c>
      <c r="JD80" s="5">
        <f t="shared" si="52"/>
        <v>9277</v>
      </c>
      <c r="JE80" s="5">
        <f t="shared" si="52"/>
        <v>9309</v>
      </c>
      <c r="JF80" s="5">
        <f t="shared" si="52"/>
        <v>9518</v>
      </c>
      <c r="JG80" s="5">
        <f t="shared" si="52"/>
        <v>9387</v>
      </c>
      <c r="JH80" s="5">
        <f t="shared" si="52"/>
        <v>9495</v>
      </c>
      <c r="JI80" s="5">
        <f t="shared" si="52"/>
        <v>9162</v>
      </c>
      <c r="JJ80" s="5">
        <f t="shared" si="52"/>
        <v>9045</v>
      </c>
      <c r="JK80" s="5">
        <f t="shared" si="52"/>
        <v>8893</v>
      </c>
      <c r="JL80" s="5">
        <f t="shared" si="52"/>
        <v>8610</v>
      </c>
      <c r="JM80" s="5">
        <f t="shared" si="52"/>
        <v>8402</v>
      </c>
      <c r="JN80" s="5">
        <f t="shared" si="52"/>
        <v>8519</v>
      </c>
      <c r="JO80" s="5">
        <f t="shared" si="52"/>
        <v>8339</v>
      </c>
      <c r="JP80" s="5">
        <f t="shared" si="52"/>
        <v>8214</v>
      </c>
      <c r="JQ80" s="5">
        <f t="shared" si="52"/>
        <v>8078</v>
      </c>
      <c r="JR80" s="5">
        <f t="shared" si="52"/>
        <v>7975</v>
      </c>
      <c r="JS80" s="5">
        <f t="shared" si="52"/>
        <v>7764</v>
      </c>
      <c r="JT80" s="5">
        <f t="shared" si="52"/>
        <v>7606</v>
      </c>
      <c r="JU80" s="5">
        <f t="shared" si="52"/>
        <v>7575</v>
      </c>
      <c r="JV80" s="5">
        <f t="shared" si="52"/>
        <v>7745</v>
      </c>
      <c r="JW80" s="5">
        <f t="shared" si="52"/>
        <v>7779</v>
      </c>
      <c r="JX80" s="5">
        <f t="shared" si="52"/>
        <v>7685</v>
      </c>
      <c r="JY80" s="5">
        <f t="shared" si="52"/>
        <v>7304</v>
      </c>
      <c r="JZ80" s="5">
        <f t="shared" si="52"/>
        <v>6918</v>
      </c>
      <c r="KA80" s="5">
        <f t="shared" si="52"/>
        <v>6606</v>
      </c>
      <c r="KB80" s="5">
        <f t="shared" si="52"/>
        <v>6382</v>
      </c>
      <c r="KC80" s="5">
        <f t="shared" si="52"/>
        <v>6157</v>
      </c>
      <c r="KD80" s="5">
        <f t="shared" si="52"/>
        <v>5937</v>
      </c>
      <c r="KE80" s="5">
        <f t="shared" si="52"/>
        <v>5734</v>
      </c>
      <c r="KF80" s="5">
        <f t="shared" si="52"/>
        <v>5540</v>
      </c>
      <c r="KG80" s="5">
        <f t="shared" si="52"/>
        <v>5357</v>
      </c>
      <c r="KH80" s="5">
        <f t="shared" si="52"/>
        <v>5213</v>
      </c>
      <c r="KI80" s="5">
        <f t="shared" si="52"/>
        <v>5054</v>
      </c>
      <c r="KJ80" s="5">
        <f t="shared" si="52"/>
        <v>4933</v>
      </c>
      <c r="KK80" s="5">
        <f t="shared" si="52"/>
        <v>4906</v>
      </c>
      <c r="KL80" s="5">
        <f t="shared" si="52"/>
        <v>4922</v>
      </c>
      <c r="KM80" s="5">
        <f t="shared" si="52"/>
        <v>4998</v>
      </c>
      <c r="KN80" s="5">
        <f t="shared" si="52"/>
        <v>4887</v>
      </c>
      <c r="KO80" s="5">
        <f t="shared" si="52"/>
        <v>4792</v>
      </c>
      <c r="KP80" s="5">
        <f t="shared" si="52"/>
        <v>4667</v>
      </c>
      <c r="KQ80" s="5">
        <f t="shared" si="52"/>
        <v>4499</v>
      </c>
      <c r="KR80" s="5">
        <f t="shared" si="52"/>
        <v>4338</v>
      </c>
      <c r="KS80" s="5">
        <f t="shared" si="52"/>
        <v>4180</v>
      </c>
      <c r="KT80" s="5">
        <f t="shared" si="52"/>
        <v>4037</v>
      </c>
      <c r="KU80" s="5">
        <f t="shared" si="52"/>
        <v>3932</v>
      </c>
      <c r="KV80" s="5">
        <f t="shared" si="52"/>
        <v>3858</v>
      </c>
      <c r="KW80" s="5">
        <f t="shared" si="52"/>
        <v>3760</v>
      </c>
      <c r="KX80" s="5">
        <f t="shared" si="52"/>
        <v>3677</v>
      </c>
      <c r="KY80" s="5">
        <f t="shared" si="52"/>
        <v>3580</v>
      </c>
      <c r="KZ80" s="5">
        <f t="shared" si="52"/>
        <v>3491</v>
      </c>
      <c r="LA80" s="5">
        <f t="shared" si="52"/>
        <v>3406</v>
      </c>
      <c r="LB80" s="5">
        <f t="shared" si="52"/>
        <v>3318</v>
      </c>
      <c r="LC80" s="5">
        <f t="shared" si="52"/>
        <v>3246</v>
      </c>
      <c r="LD80" s="5">
        <f t="shared" si="52"/>
        <v>3182</v>
      </c>
      <c r="LE80" s="5">
        <f t="shared" si="52"/>
        <v>3113</v>
      </c>
      <c r="LF80" s="5">
        <f t="shared" si="52"/>
        <v>3055</v>
      </c>
      <c r="LG80" s="5">
        <f t="shared" si="52"/>
        <v>3000</v>
      </c>
      <c r="LH80" s="5">
        <f t="shared" si="52"/>
        <v>2932</v>
      </c>
      <c r="LI80" s="5">
        <f t="shared" si="52"/>
        <v>2875</v>
      </c>
      <c r="LJ80" s="5">
        <f t="shared" si="52"/>
        <v>2837</v>
      </c>
      <c r="LK80" s="5">
        <f t="shared" ref="LK80:NT80" si="53">AVERAGE(LK14:LK23)</f>
        <v>2789</v>
      </c>
      <c r="LL80" s="5">
        <f t="shared" si="53"/>
        <v>2737</v>
      </c>
      <c r="LM80" s="5">
        <f t="shared" si="53"/>
        <v>2680</v>
      </c>
      <c r="LN80" s="5">
        <f t="shared" si="53"/>
        <v>2633</v>
      </c>
      <c r="LO80" s="5">
        <f t="shared" si="53"/>
        <v>2587</v>
      </c>
      <c r="LP80" s="5">
        <f t="shared" si="53"/>
        <v>2547</v>
      </c>
      <c r="LQ80" s="5">
        <f t="shared" si="53"/>
        <v>2516</v>
      </c>
      <c r="LR80" s="5">
        <f t="shared" si="53"/>
        <v>2469</v>
      </c>
      <c r="LS80" s="5">
        <f t="shared" si="53"/>
        <v>2425</v>
      </c>
      <c r="LT80" s="5">
        <f t="shared" si="53"/>
        <v>2394</v>
      </c>
      <c r="LU80" s="5">
        <f t="shared" si="53"/>
        <v>2367</v>
      </c>
      <c r="LV80" s="5">
        <f t="shared" si="53"/>
        <v>2331</v>
      </c>
      <c r="LW80" s="5">
        <f t="shared" si="53"/>
        <v>2282</v>
      </c>
      <c r="LX80" s="5">
        <f t="shared" si="53"/>
        <v>2240</v>
      </c>
      <c r="LY80" s="5">
        <f t="shared" si="53"/>
        <v>2208</v>
      </c>
      <c r="LZ80" s="5">
        <f t="shared" si="53"/>
        <v>2188</v>
      </c>
      <c r="MA80" s="5">
        <f t="shared" si="53"/>
        <v>2185</v>
      </c>
      <c r="MB80" s="5">
        <f t="shared" si="53"/>
        <v>2157</v>
      </c>
      <c r="MC80" s="5">
        <f t="shared" si="53"/>
        <v>2119</v>
      </c>
      <c r="MD80" s="5">
        <f t="shared" si="53"/>
        <v>2081</v>
      </c>
      <c r="ME80" s="5">
        <f t="shared" si="53"/>
        <v>2046</v>
      </c>
      <c r="MF80" s="5">
        <f t="shared" si="53"/>
        <v>2010</v>
      </c>
      <c r="MG80" s="5">
        <f t="shared" si="53"/>
        <v>1980</v>
      </c>
      <c r="MH80" s="5">
        <f t="shared" si="53"/>
        <v>1943</v>
      </c>
      <c r="MI80" s="5">
        <f t="shared" si="53"/>
        <v>1915</v>
      </c>
      <c r="MJ80" s="5">
        <f t="shared" si="53"/>
        <v>1895</v>
      </c>
      <c r="MK80" s="5">
        <f t="shared" si="53"/>
        <v>1869</v>
      </c>
      <c r="ML80" s="5">
        <f t="shared" si="53"/>
        <v>1842</v>
      </c>
      <c r="MM80" s="5">
        <f t="shared" si="53"/>
        <v>1824</v>
      </c>
      <c r="MN80" s="5">
        <f t="shared" si="53"/>
        <v>1812</v>
      </c>
      <c r="MO80" s="5">
        <f t="shared" si="53"/>
        <v>1817</v>
      </c>
      <c r="MP80" s="5">
        <f t="shared" si="53"/>
        <v>1799</v>
      </c>
      <c r="MQ80" s="5">
        <f t="shared" si="53"/>
        <v>1778</v>
      </c>
      <c r="MR80" s="5">
        <f t="shared" si="53"/>
        <v>1755</v>
      </c>
      <c r="MS80" s="5">
        <f t="shared" si="53"/>
        <v>1728</v>
      </c>
      <c r="MT80" s="5">
        <f t="shared" si="53"/>
        <v>1700</v>
      </c>
      <c r="MU80" s="5">
        <f t="shared" si="53"/>
        <v>1677</v>
      </c>
      <c r="MV80" s="5">
        <f t="shared" si="53"/>
        <v>1656</v>
      </c>
      <c r="MW80" s="5">
        <f t="shared" si="53"/>
        <v>1640</v>
      </c>
      <c r="MX80" s="5">
        <f t="shared" si="53"/>
        <v>1622</v>
      </c>
      <c r="MY80" s="5">
        <f t="shared" si="53"/>
        <v>1604</v>
      </c>
      <c r="MZ80" s="5">
        <f t="shared" si="53"/>
        <v>1588</v>
      </c>
      <c r="NA80" s="5">
        <f t="shared" si="53"/>
        <v>1571</v>
      </c>
      <c r="NB80" s="5">
        <f t="shared" si="53"/>
        <v>1558</v>
      </c>
      <c r="NC80" s="5">
        <f t="shared" si="53"/>
        <v>1542</v>
      </c>
      <c r="ND80" s="5">
        <f t="shared" si="53"/>
        <v>1353</v>
      </c>
      <c r="NE80" s="5">
        <f t="shared" si="53"/>
        <v>1156.2</v>
      </c>
      <c r="NF80" s="5">
        <f t="shared" si="53"/>
        <v>1080.0999999999999</v>
      </c>
      <c r="NG80" s="5">
        <f t="shared" si="53"/>
        <v>1227</v>
      </c>
      <c r="NH80" s="5">
        <f t="shared" si="53"/>
        <v>1810.7</v>
      </c>
      <c r="NI80" s="5">
        <f t="shared" si="53"/>
        <v>4193</v>
      </c>
      <c r="NJ80" s="5">
        <f t="shared" si="53"/>
        <v>8514</v>
      </c>
      <c r="NK80" s="5">
        <f t="shared" si="53"/>
        <v>10275</v>
      </c>
      <c r="NL80" s="5">
        <f t="shared" si="53"/>
        <v>9502</v>
      </c>
      <c r="NM80" s="5">
        <f t="shared" si="53"/>
        <v>6057</v>
      </c>
      <c r="NN80" s="5">
        <f t="shared" si="53"/>
        <v>2942</v>
      </c>
      <c r="NO80" s="5">
        <f t="shared" si="53"/>
        <v>1841</v>
      </c>
      <c r="NP80" s="5">
        <f t="shared" si="53"/>
        <v>4181.6373268957259</v>
      </c>
      <c r="NQ80" s="5">
        <f t="shared" si="53"/>
        <v>16904</v>
      </c>
      <c r="NR80" s="5">
        <f t="shared" si="53"/>
        <v>42600.3</v>
      </c>
      <c r="NS80" s="5">
        <f t="shared" si="53"/>
        <v>1027.9000000000001</v>
      </c>
      <c r="NT80" s="5">
        <f t="shared" si="53"/>
        <v>42454.2</v>
      </c>
      <c r="NU80" s="5"/>
      <c r="NV80" s="5"/>
      <c r="NW80" s="5"/>
      <c r="NX80" s="5"/>
      <c r="NY80" s="5"/>
      <c r="NZ80" s="5"/>
      <c r="OA80" s="5"/>
      <c r="OB80" s="5"/>
      <c r="OC80" s="5"/>
      <c r="OD80" s="5"/>
      <c r="OE80" s="5"/>
    </row>
    <row r="81" spans="1:395" customFormat="1" x14ac:dyDescent="0.15">
      <c r="A81" s="9" t="s">
        <v>43</v>
      </c>
      <c r="B81" s="5">
        <f>AVERAGE(B24:B33)</f>
        <v>1421</v>
      </c>
      <c r="C81" s="5">
        <f t="shared" ref="C81:BN81" si="54">AVERAGE(C24:C33)</f>
        <v>1412</v>
      </c>
      <c r="D81" s="5">
        <f t="shared" si="54"/>
        <v>1404</v>
      </c>
      <c r="E81" s="5">
        <f t="shared" si="54"/>
        <v>1394</v>
      </c>
      <c r="F81" s="5">
        <f t="shared" si="54"/>
        <v>1381</v>
      </c>
      <c r="G81" s="5">
        <f t="shared" si="54"/>
        <v>1365</v>
      </c>
      <c r="H81" s="5">
        <f t="shared" si="54"/>
        <v>1351</v>
      </c>
      <c r="I81" s="5">
        <f t="shared" si="54"/>
        <v>1344</v>
      </c>
      <c r="J81" s="5">
        <f t="shared" si="54"/>
        <v>1330</v>
      </c>
      <c r="K81" s="5">
        <f t="shared" si="54"/>
        <v>1319</v>
      </c>
      <c r="L81" s="5">
        <f t="shared" si="54"/>
        <v>1310</v>
      </c>
      <c r="M81" s="5">
        <f t="shared" si="54"/>
        <v>1299</v>
      </c>
      <c r="N81" s="5">
        <f t="shared" si="54"/>
        <v>1285</v>
      </c>
      <c r="O81" s="5">
        <f t="shared" si="54"/>
        <v>1273</v>
      </c>
      <c r="P81" s="5">
        <f t="shared" si="54"/>
        <v>1259</v>
      </c>
      <c r="Q81" s="5">
        <f t="shared" si="54"/>
        <v>1249</v>
      </c>
      <c r="R81" s="5">
        <f t="shared" si="54"/>
        <v>1239</v>
      </c>
      <c r="S81" s="5">
        <f t="shared" si="54"/>
        <v>1233</v>
      </c>
      <c r="T81" s="5">
        <f t="shared" si="54"/>
        <v>1230</v>
      </c>
      <c r="U81" s="5">
        <f t="shared" si="54"/>
        <v>1224</v>
      </c>
      <c r="V81" s="5">
        <f t="shared" si="54"/>
        <v>1220</v>
      </c>
      <c r="W81" s="5">
        <f t="shared" si="54"/>
        <v>1213</v>
      </c>
      <c r="X81" s="5">
        <f t="shared" si="54"/>
        <v>1208</v>
      </c>
      <c r="Y81" s="5">
        <f t="shared" si="54"/>
        <v>1199</v>
      </c>
      <c r="Z81" s="5">
        <f t="shared" si="54"/>
        <v>1190</v>
      </c>
      <c r="AA81" s="5">
        <f t="shared" si="54"/>
        <v>1179</v>
      </c>
      <c r="AB81" s="5">
        <f t="shared" si="54"/>
        <v>1174</v>
      </c>
      <c r="AC81" s="5">
        <f t="shared" si="54"/>
        <v>1161</v>
      </c>
      <c r="AD81" s="5">
        <f t="shared" si="54"/>
        <v>1152.9000000000001</v>
      </c>
      <c r="AE81" s="5">
        <f t="shared" si="54"/>
        <v>1147</v>
      </c>
      <c r="AF81" s="5">
        <f t="shared" si="54"/>
        <v>1143.2</v>
      </c>
      <c r="AG81" s="5">
        <f t="shared" si="54"/>
        <v>1136.4000000000001</v>
      </c>
      <c r="AH81" s="5">
        <f t="shared" si="54"/>
        <v>1127.5</v>
      </c>
      <c r="AI81" s="5">
        <f t="shared" si="54"/>
        <v>1126</v>
      </c>
      <c r="AJ81" s="5">
        <f t="shared" si="54"/>
        <v>1123.5</v>
      </c>
      <c r="AK81" s="5">
        <f t="shared" si="54"/>
        <v>1119.5</v>
      </c>
      <c r="AL81" s="5">
        <f t="shared" si="54"/>
        <v>1117.0999999999999</v>
      </c>
      <c r="AM81" s="5">
        <f t="shared" si="54"/>
        <v>1111.9000000000001</v>
      </c>
      <c r="AN81" s="5">
        <f t="shared" si="54"/>
        <v>1106.7</v>
      </c>
      <c r="AO81" s="5">
        <f t="shared" si="54"/>
        <v>1103.8</v>
      </c>
      <c r="AP81" s="5">
        <f t="shared" si="54"/>
        <v>1101.8</v>
      </c>
      <c r="AQ81" s="5">
        <f t="shared" si="54"/>
        <v>1097.8</v>
      </c>
      <c r="AR81" s="5">
        <f t="shared" si="54"/>
        <v>1095</v>
      </c>
      <c r="AS81" s="5">
        <f t="shared" si="54"/>
        <v>1090.5999999999999</v>
      </c>
      <c r="AT81" s="5">
        <f t="shared" si="54"/>
        <v>1089.3</v>
      </c>
      <c r="AU81" s="5">
        <f t="shared" si="54"/>
        <v>1084.4000000000001</v>
      </c>
      <c r="AV81" s="5">
        <f t="shared" si="54"/>
        <v>1078.5999999999999</v>
      </c>
      <c r="AW81" s="5">
        <f t="shared" si="54"/>
        <v>1074.5999999999999</v>
      </c>
      <c r="AX81" s="5">
        <f t="shared" si="54"/>
        <v>1071.5</v>
      </c>
      <c r="AY81" s="5">
        <f t="shared" si="54"/>
        <v>1066.4000000000001</v>
      </c>
      <c r="AZ81" s="5">
        <f t="shared" si="54"/>
        <v>1063.5999999999999</v>
      </c>
      <c r="BA81" s="5">
        <f t="shared" si="54"/>
        <v>1061.2</v>
      </c>
      <c r="BB81" s="5">
        <f t="shared" si="54"/>
        <v>1058.5</v>
      </c>
      <c r="BC81" s="5">
        <f t="shared" si="54"/>
        <v>1055.5999999999999</v>
      </c>
      <c r="BD81" s="5">
        <f t="shared" si="54"/>
        <v>1051.5999999999999</v>
      </c>
      <c r="BE81" s="5">
        <f t="shared" si="54"/>
        <v>1047</v>
      </c>
      <c r="BF81" s="5">
        <f t="shared" si="54"/>
        <v>1041.9000000000001</v>
      </c>
      <c r="BG81" s="5">
        <f t="shared" si="54"/>
        <v>1036.7</v>
      </c>
      <c r="BH81" s="5">
        <f t="shared" si="54"/>
        <v>1033.4000000000001</v>
      </c>
      <c r="BI81" s="5">
        <f t="shared" si="54"/>
        <v>1018</v>
      </c>
      <c r="BJ81" s="5">
        <f t="shared" si="54"/>
        <v>1031.3</v>
      </c>
      <c r="BK81" s="5">
        <f t="shared" si="54"/>
        <v>1028</v>
      </c>
      <c r="BL81" s="5">
        <f t="shared" si="54"/>
        <v>1026.5999999999999</v>
      </c>
      <c r="BM81" s="5">
        <f t="shared" si="54"/>
        <v>1025.5</v>
      </c>
      <c r="BN81" s="5">
        <f t="shared" si="54"/>
        <v>1024.7</v>
      </c>
      <c r="BO81" s="5">
        <f t="shared" ref="BO81:DZ81" si="55">AVERAGE(BO24:BO33)</f>
        <v>1027.8</v>
      </c>
      <c r="BP81" s="5">
        <f t="shared" si="55"/>
        <v>1028</v>
      </c>
      <c r="BQ81" s="5">
        <f t="shared" si="55"/>
        <v>1024.3</v>
      </c>
      <c r="BR81" s="5">
        <f t="shared" si="55"/>
        <v>1018.8</v>
      </c>
      <c r="BS81" s="5">
        <f t="shared" si="55"/>
        <v>1019.4</v>
      </c>
      <c r="BT81" s="5">
        <f t="shared" si="55"/>
        <v>1016.5</v>
      </c>
      <c r="BU81" s="5">
        <f t="shared" si="55"/>
        <v>1017.5</v>
      </c>
      <c r="BV81" s="5">
        <f t="shared" si="55"/>
        <v>1016</v>
      </c>
      <c r="BW81" s="5">
        <f t="shared" si="55"/>
        <v>1013.1</v>
      </c>
      <c r="BX81" s="5">
        <f t="shared" si="55"/>
        <v>1010.4</v>
      </c>
      <c r="BY81" s="5">
        <f t="shared" si="55"/>
        <v>1007.9</v>
      </c>
      <c r="BZ81" s="5">
        <f t="shared" si="55"/>
        <v>1007.4</v>
      </c>
      <c r="CA81" s="5">
        <f t="shared" si="55"/>
        <v>1008.9</v>
      </c>
      <c r="CB81" s="5">
        <f t="shared" si="55"/>
        <v>1009.1</v>
      </c>
      <c r="CC81" s="5">
        <f t="shared" si="55"/>
        <v>1011</v>
      </c>
      <c r="CD81" s="5">
        <f t="shared" si="55"/>
        <v>1009.8</v>
      </c>
      <c r="CE81" s="5">
        <f t="shared" si="55"/>
        <v>1008.8</v>
      </c>
      <c r="CF81" s="5">
        <f t="shared" si="55"/>
        <v>1011.6</v>
      </c>
      <c r="CG81" s="5">
        <f t="shared" si="55"/>
        <v>1013.2</v>
      </c>
      <c r="CH81" s="5">
        <f t="shared" si="55"/>
        <v>1012.6</v>
      </c>
      <c r="CI81" s="5">
        <f t="shared" si="55"/>
        <v>1013</v>
      </c>
      <c r="CJ81" s="5">
        <f t="shared" si="55"/>
        <v>1019</v>
      </c>
      <c r="CK81" s="5">
        <f t="shared" si="55"/>
        <v>1017</v>
      </c>
      <c r="CL81" s="5">
        <f t="shared" si="55"/>
        <v>1010.8</v>
      </c>
      <c r="CM81" s="5">
        <f t="shared" si="55"/>
        <v>1012.3</v>
      </c>
      <c r="CN81" s="5">
        <f t="shared" si="55"/>
        <v>1021.3</v>
      </c>
      <c r="CO81" s="5">
        <f t="shared" si="55"/>
        <v>1044.2</v>
      </c>
      <c r="CP81" s="5">
        <f t="shared" si="55"/>
        <v>1077.2</v>
      </c>
      <c r="CQ81" s="5">
        <f t="shared" si="55"/>
        <v>1094.2</v>
      </c>
      <c r="CR81" s="5">
        <f t="shared" si="55"/>
        <v>1102.3</v>
      </c>
      <c r="CS81" s="5">
        <f t="shared" si="55"/>
        <v>1105.7</v>
      </c>
      <c r="CT81" s="5">
        <f t="shared" si="55"/>
        <v>1104.5999999999999</v>
      </c>
      <c r="CU81" s="5">
        <f t="shared" si="55"/>
        <v>1113.9000000000001</v>
      </c>
      <c r="CV81" s="5">
        <f t="shared" si="55"/>
        <v>1115.0999999999999</v>
      </c>
      <c r="CW81" s="5">
        <f t="shared" si="55"/>
        <v>1128.5999999999999</v>
      </c>
      <c r="CX81" s="5">
        <f t="shared" si="55"/>
        <v>1139.5999999999999</v>
      </c>
      <c r="CY81" s="5">
        <f t="shared" si="55"/>
        <v>1156.8</v>
      </c>
      <c r="CZ81" s="5">
        <f t="shared" si="55"/>
        <v>1174.7</v>
      </c>
      <c r="DA81" s="5">
        <f t="shared" si="55"/>
        <v>1184.2</v>
      </c>
      <c r="DB81" s="5">
        <f t="shared" si="55"/>
        <v>1190.5999999999999</v>
      </c>
      <c r="DC81" s="5">
        <f t="shared" si="55"/>
        <v>1204.0999999999999</v>
      </c>
      <c r="DD81" s="5">
        <f t="shared" si="55"/>
        <v>1212.9000000000001</v>
      </c>
      <c r="DE81" s="5">
        <f t="shared" si="55"/>
        <v>1220.7</v>
      </c>
      <c r="DF81" s="5">
        <f t="shared" si="55"/>
        <v>1229</v>
      </c>
      <c r="DG81" s="5">
        <f t="shared" si="55"/>
        <v>1237</v>
      </c>
      <c r="DH81" s="5">
        <f t="shared" si="55"/>
        <v>1253</v>
      </c>
      <c r="DI81" s="5">
        <f t="shared" si="55"/>
        <v>1277</v>
      </c>
      <c r="DJ81" s="5">
        <f t="shared" si="55"/>
        <v>1314</v>
      </c>
      <c r="DK81" s="5">
        <f t="shared" si="55"/>
        <v>1331</v>
      </c>
      <c r="DL81" s="5">
        <f t="shared" si="55"/>
        <v>1341</v>
      </c>
      <c r="DM81" s="5">
        <f t="shared" si="55"/>
        <v>1368</v>
      </c>
      <c r="DN81" s="5">
        <f t="shared" si="55"/>
        <v>1418</v>
      </c>
      <c r="DO81" s="5">
        <f t="shared" si="55"/>
        <v>1477</v>
      </c>
      <c r="DP81" s="5">
        <f t="shared" si="55"/>
        <v>1509</v>
      </c>
      <c r="DQ81" s="5">
        <f t="shared" si="55"/>
        <v>1540</v>
      </c>
      <c r="DR81" s="5">
        <f t="shared" si="55"/>
        <v>1567</v>
      </c>
      <c r="DS81" s="5">
        <f t="shared" si="55"/>
        <v>1591</v>
      </c>
      <c r="DT81" s="5">
        <f t="shared" si="55"/>
        <v>1613</v>
      </c>
      <c r="DU81" s="5">
        <f t="shared" si="55"/>
        <v>1616</v>
      </c>
      <c r="DV81" s="5">
        <f t="shared" si="55"/>
        <v>1608</v>
      </c>
      <c r="DW81" s="5">
        <f t="shared" si="55"/>
        <v>1610</v>
      </c>
      <c r="DX81" s="5">
        <f t="shared" si="55"/>
        <v>1655</v>
      </c>
      <c r="DY81" s="5">
        <f t="shared" si="55"/>
        <v>1689</v>
      </c>
      <c r="DZ81" s="5">
        <f t="shared" si="55"/>
        <v>1694</v>
      </c>
      <c r="EA81" s="5">
        <f t="shared" ref="EA81:GL81" si="56">AVERAGE(EA24:EA33)</f>
        <v>1690</v>
      </c>
      <c r="EB81" s="5">
        <f t="shared" si="56"/>
        <v>1695</v>
      </c>
      <c r="EC81" s="5">
        <f t="shared" si="56"/>
        <v>1709</v>
      </c>
      <c r="ED81" s="5">
        <f t="shared" si="56"/>
        <v>1730</v>
      </c>
      <c r="EE81" s="5">
        <f t="shared" si="56"/>
        <v>1771</v>
      </c>
      <c r="EF81" s="5">
        <f t="shared" si="56"/>
        <v>1784</v>
      </c>
      <c r="EG81" s="5">
        <f t="shared" si="56"/>
        <v>1807</v>
      </c>
      <c r="EH81" s="5">
        <f t="shared" si="56"/>
        <v>1809</v>
      </c>
      <c r="EI81" s="5">
        <f t="shared" si="56"/>
        <v>1846</v>
      </c>
      <c r="EJ81" s="5">
        <f t="shared" si="56"/>
        <v>1878</v>
      </c>
      <c r="EK81" s="5">
        <f t="shared" si="56"/>
        <v>1916</v>
      </c>
      <c r="EL81" s="5">
        <f t="shared" si="56"/>
        <v>1954</v>
      </c>
      <c r="EM81" s="5">
        <f t="shared" si="56"/>
        <v>2013</v>
      </c>
      <c r="EN81" s="5">
        <f t="shared" si="56"/>
        <v>2135</v>
      </c>
      <c r="EO81" s="5">
        <f t="shared" si="56"/>
        <v>2230</v>
      </c>
      <c r="EP81" s="5">
        <f t="shared" si="56"/>
        <v>2230</v>
      </c>
      <c r="EQ81" s="5">
        <f t="shared" si="56"/>
        <v>2211</v>
      </c>
      <c r="ER81" s="5">
        <f t="shared" si="56"/>
        <v>2246</v>
      </c>
      <c r="ES81" s="5">
        <f t="shared" si="56"/>
        <v>2303</v>
      </c>
      <c r="ET81" s="5">
        <f t="shared" si="56"/>
        <v>2361</v>
      </c>
      <c r="EU81" s="5">
        <f t="shared" si="56"/>
        <v>2413</v>
      </c>
      <c r="EV81" s="5">
        <f t="shared" si="56"/>
        <v>2505</v>
      </c>
      <c r="EW81" s="5">
        <f t="shared" si="56"/>
        <v>2579</v>
      </c>
      <c r="EX81" s="5">
        <f t="shared" si="56"/>
        <v>2555</v>
      </c>
      <c r="EY81" s="5">
        <f t="shared" si="56"/>
        <v>2561</v>
      </c>
      <c r="EZ81" s="5">
        <f t="shared" si="56"/>
        <v>2638</v>
      </c>
      <c r="FA81" s="5">
        <f t="shared" si="56"/>
        <v>2734</v>
      </c>
      <c r="FB81" s="5">
        <f t="shared" si="56"/>
        <v>2768</v>
      </c>
      <c r="FC81" s="5">
        <f t="shared" si="56"/>
        <v>2804</v>
      </c>
      <c r="FD81" s="5">
        <f t="shared" si="56"/>
        <v>2906</v>
      </c>
      <c r="FE81" s="5">
        <f t="shared" si="56"/>
        <v>3074</v>
      </c>
      <c r="FF81" s="5">
        <f t="shared" si="56"/>
        <v>3179</v>
      </c>
      <c r="FG81" s="5">
        <f t="shared" si="56"/>
        <v>3230</v>
      </c>
      <c r="FH81" s="5">
        <f t="shared" si="56"/>
        <v>3244</v>
      </c>
      <c r="FI81" s="5">
        <f t="shared" si="56"/>
        <v>3306</v>
      </c>
      <c r="FJ81" s="5">
        <f t="shared" si="56"/>
        <v>3472</v>
      </c>
      <c r="FK81" s="5">
        <f t="shared" si="56"/>
        <v>3648</v>
      </c>
      <c r="FL81" s="5">
        <f t="shared" si="56"/>
        <v>3841</v>
      </c>
      <c r="FM81" s="5">
        <f t="shared" si="56"/>
        <v>4128</v>
      </c>
      <c r="FN81" s="5">
        <f t="shared" si="56"/>
        <v>4403</v>
      </c>
      <c r="FO81" s="5">
        <f t="shared" si="56"/>
        <v>4721</v>
      </c>
      <c r="FP81" s="5">
        <f t="shared" si="56"/>
        <v>4983</v>
      </c>
      <c r="FQ81" s="5">
        <f t="shared" si="56"/>
        <v>5203</v>
      </c>
      <c r="FR81" s="5">
        <f t="shared" si="56"/>
        <v>5522</v>
      </c>
      <c r="FS81" s="5">
        <f t="shared" si="56"/>
        <v>5822</v>
      </c>
      <c r="FT81" s="5">
        <f t="shared" si="56"/>
        <v>5884</v>
      </c>
      <c r="FU81" s="5">
        <f t="shared" si="56"/>
        <v>5746</v>
      </c>
      <c r="FV81" s="5">
        <f t="shared" si="56"/>
        <v>5559</v>
      </c>
      <c r="FW81" s="5">
        <f t="shared" si="56"/>
        <v>5489</v>
      </c>
      <c r="FX81" s="5">
        <f t="shared" si="56"/>
        <v>5676</v>
      </c>
      <c r="FY81" s="5">
        <f t="shared" si="56"/>
        <v>5981</v>
      </c>
      <c r="FZ81" s="5">
        <f t="shared" si="56"/>
        <v>6399</v>
      </c>
      <c r="GA81" s="5">
        <f t="shared" si="56"/>
        <v>6487</v>
      </c>
      <c r="GB81" s="5">
        <f t="shared" si="56"/>
        <v>6580</v>
      </c>
      <c r="GC81" s="5">
        <f t="shared" si="56"/>
        <v>6477</v>
      </c>
      <c r="GD81" s="5">
        <f t="shared" si="56"/>
        <v>6474</v>
      </c>
      <c r="GE81" s="5">
        <f t="shared" si="56"/>
        <v>6343</v>
      </c>
      <c r="GF81" s="5">
        <f t="shared" si="56"/>
        <v>6275</v>
      </c>
      <c r="GG81" s="5">
        <f t="shared" si="56"/>
        <v>6453</v>
      </c>
      <c r="GH81" s="5">
        <f t="shared" si="56"/>
        <v>6694</v>
      </c>
      <c r="GI81" s="5">
        <f t="shared" si="56"/>
        <v>6757</v>
      </c>
      <c r="GJ81" s="5">
        <f t="shared" si="56"/>
        <v>6737</v>
      </c>
      <c r="GK81" s="5">
        <f t="shared" si="56"/>
        <v>6503</v>
      </c>
      <c r="GL81" s="5">
        <f t="shared" si="56"/>
        <v>6318</v>
      </c>
      <c r="GM81" s="5">
        <f t="shared" ref="GM81:IX81" si="57">AVERAGE(GM24:GM33)</f>
        <v>6443</v>
      </c>
      <c r="GN81" s="5">
        <f t="shared" si="57"/>
        <v>6826</v>
      </c>
      <c r="GO81" s="5">
        <f t="shared" si="57"/>
        <v>7151</v>
      </c>
      <c r="GP81" s="5">
        <f t="shared" si="57"/>
        <v>7603</v>
      </c>
      <c r="GQ81" s="5">
        <f t="shared" si="57"/>
        <v>7849</v>
      </c>
      <c r="GR81" s="5">
        <f t="shared" si="57"/>
        <v>7663</v>
      </c>
      <c r="GS81" s="5">
        <f t="shared" si="57"/>
        <v>7440</v>
      </c>
      <c r="GT81" s="5">
        <f t="shared" si="57"/>
        <v>7322</v>
      </c>
      <c r="GU81" s="5">
        <f t="shared" si="57"/>
        <v>7250</v>
      </c>
      <c r="GV81" s="5">
        <f t="shared" si="57"/>
        <v>6996</v>
      </c>
      <c r="GW81" s="5">
        <f t="shared" si="57"/>
        <v>6800</v>
      </c>
      <c r="GX81" s="5">
        <f t="shared" si="57"/>
        <v>6777</v>
      </c>
      <c r="GY81" s="5">
        <f t="shared" si="57"/>
        <v>6714</v>
      </c>
      <c r="GZ81" s="5">
        <f t="shared" si="57"/>
        <v>6650</v>
      </c>
      <c r="HA81" s="5">
        <f t="shared" si="57"/>
        <v>6824</v>
      </c>
      <c r="HB81" s="5">
        <f t="shared" si="57"/>
        <v>7157</v>
      </c>
      <c r="HC81" s="5">
        <f t="shared" si="57"/>
        <v>7854</v>
      </c>
      <c r="HD81" s="5">
        <f t="shared" si="57"/>
        <v>8203</v>
      </c>
      <c r="HE81" s="5">
        <f t="shared" si="57"/>
        <v>8376</v>
      </c>
      <c r="HF81" s="5">
        <f t="shared" si="57"/>
        <v>8566</v>
      </c>
      <c r="HG81" s="5">
        <f t="shared" si="57"/>
        <v>8814</v>
      </c>
      <c r="HH81" s="5">
        <f t="shared" si="57"/>
        <v>9123</v>
      </c>
      <c r="HI81" s="5">
        <f t="shared" si="57"/>
        <v>9345</v>
      </c>
      <c r="HJ81" s="5">
        <f t="shared" si="57"/>
        <v>9703</v>
      </c>
      <c r="HK81" s="5">
        <f t="shared" si="57"/>
        <v>9699</v>
      </c>
      <c r="HL81" s="5">
        <f t="shared" si="57"/>
        <v>9426</v>
      </c>
      <c r="HM81" s="5">
        <f t="shared" si="57"/>
        <v>8992</v>
      </c>
      <c r="HN81" s="5">
        <f t="shared" si="57"/>
        <v>8504</v>
      </c>
      <c r="HO81" s="5">
        <f t="shared" si="57"/>
        <v>8357</v>
      </c>
      <c r="HP81" s="5">
        <f t="shared" si="57"/>
        <v>8170</v>
      </c>
      <c r="HQ81" s="5">
        <f t="shared" si="57"/>
        <v>7953</v>
      </c>
      <c r="HR81" s="5">
        <f t="shared" si="57"/>
        <v>7805</v>
      </c>
      <c r="HS81" s="5">
        <f t="shared" si="57"/>
        <v>7560</v>
      </c>
      <c r="HT81" s="5">
        <f t="shared" si="57"/>
        <v>7540</v>
      </c>
      <c r="HU81" s="5">
        <f t="shared" si="57"/>
        <v>7476</v>
      </c>
      <c r="HV81" s="5">
        <f t="shared" si="57"/>
        <v>7577</v>
      </c>
      <c r="HW81" s="5">
        <f t="shared" si="57"/>
        <v>7955</v>
      </c>
      <c r="HX81" s="5">
        <f t="shared" si="57"/>
        <v>8150</v>
      </c>
      <c r="HY81" s="5">
        <f t="shared" si="57"/>
        <v>8358</v>
      </c>
      <c r="HZ81" s="5">
        <f t="shared" si="57"/>
        <v>8165</v>
      </c>
      <c r="IA81" s="5">
        <f t="shared" si="57"/>
        <v>8209</v>
      </c>
      <c r="IB81" s="5">
        <f t="shared" si="57"/>
        <v>8259</v>
      </c>
      <c r="IC81" s="5">
        <f t="shared" si="57"/>
        <v>8182</v>
      </c>
      <c r="ID81" s="5">
        <f t="shared" si="57"/>
        <v>8034</v>
      </c>
      <c r="IE81" s="5">
        <f t="shared" si="57"/>
        <v>8113</v>
      </c>
      <c r="IF81" s="5">
        <f t="shared" si="57"/>
        <v>8037</v>
      </c>
      <c r="IG81" s="5">
        <f t="shared" si="57"/>
        <v>8089</v>
      </c>
      <c r="IH81" s="5">
        <f t="shared" si="57"/>
        <v>8243</v>
      </c>
      <c r="II81" s="5">
        <f t="shared" si="57"/>
        <v>8403</v>
      </c>
      <c r="IJ81" s="5">
        <f t="shared" si="57"/>
        <v>8411</v>
      </c>
      <c r="IK81" s="5">
        <f t="shared" si="57"/>
        <v>8435</v>
      </c>
      <c r="IL81" s="5">
        <f t="shared" si="57"/>
        <v>8534</v>
      </c>
      <c r="IM81" s="5">
        <f t="shared" si="57"/>
        <v>8882</v>
      </c>
      <c r="IN81" s="5">
        <f t="shared" si="57"/>
        <v>8618</v>
      </c>
      <c r="IO81" s="5">
        <f t="shared" si="57"/>
        <v>8162</v>
      </c>
      <c r="IP81" s="5">
        <f t="shared" si="57"/>
        <v>7749</v>
      </c>
      <c r="IQ81" s="5">
        <f t="shared" si="57"/>
        <v>7522</v>
      </c>
      <c r="IR81" s="5">
        <f t="shared" si="57"/>
        <v>7707</v>
      </c>
      <c r="IS81" s="5">
        <f t="shared" si="57"/>
        <v>7961</v>
      </c>
      <c r="IT81" s="5">
        <f t="shared" si="57"/>
        <v>8022</v>
      </c>
      <c r="IU81" s="5">
        <f t="shared" si="57"/>
        <v>7890</v>
      </c>
      <c r="IV81" s="5">
        <f t="shared" si="57"/>
        <v>7568</v>
      </c>
      <c r="IW81" s="5">
        <f t="shared" si="57"/>
        <v>7383</v>
      </c>
      <c r="IX81" s="5">
        <f t="shared" si="57"/>
        <v>7418</v>
      </c>
      <c r="IY81" s="5">
        <f t="shared" ref="IY81:LJ81" si="58">AVERAGE(IY24:IY33)</f>
        <v>7298</v>
      </c>
      <c r="IZ81" s="5">
        <f t="shared" si="58"/>
        <v>7263</v>
      </c>
      <c r="JA81" s="5">
        <f t="shared" si="58"/>
        <v>7468</v>
      </c>
      <c r="JB81" s="5">
        <f t="shared" si="58"/>
        <v>7807</v>
      </c>
      <c r="JC81" s="5">
        <f t="shared" si="58"/>
        <v>8027</v>
      </c>
      <c r="JD81" s="5">
        <f t="shared" si="58"/>
        <v>8597</v>
      </c>
      <c r="JE81" s="5">
        <f t="shared" si="58"/>
        <v>8754</v>
      </c>
      <c r="JF81" s="5">
        <f t="shared" si="58"/>
        <v>8456</v>
      </c>
      <c r="JG81" s="5">
        <f t="shared" si="58"/>
        <v>8327</v>
      </c>
      <c r="JH81" s="5">
        <f t="shared" si="58"/>
        <v>8287</v>
      </c>
      <c r="JI81" s="5">
        <f t="shared" si="58"/>
        <v>8334</v>
      </c>
      <c r="JJ81" s="5">
        <f t="shared" si="58"/>
        <v>8279</v>
      </c>
      <c r="JK81" s="5">
        <f t="shared" si="58"/>
        <v>8208</v>
      </c>
      <c r="JL81" s="5">
        <f t="shared" si="58"/>
        <v>7898</v>
      </c>
      <c r="JM81" s="5">
        <f t="shared" si="58"/>
        <v>7592</v>
      </c>
      <c r="JN81" s="5">
        <f t="shared" si="58"/>
        <v>7380</v>
      </c>
      <c r="JO81" s="5">
        <f t="shared" si="58"/>
        <v>7093</v>
      </c>
      <c r="JP81" s="5">
        <f t="shared" si="58"/>
        <v>6935</v>
      </c>
      <c r="JQ81" s="5">
        <f t="shared" si="58"/>
        <v>6758</v>
      </c>
      <c r="JR81" s="5">
        <f t="shared" si="58"/>
        <v>6519</v>
      </c>
      <c r="JS81" s="5">
        <f t="shared" si="58"/>
        <v>6505</v>
      </c>
      <c r="JT81" s="5">
        <f t="shared" si="58"/>
        <v>6686</v>
      </c>
      <c r="JU81" s="5">
        <f t="shared" si="58"/>
        <v>6797</v>
      </c>
      <c r="JV81" s="5">
        <f t="shared" si="58"/>
        <v>6757</v>
      </c>
      <c r="JW81" s="5">
        <f t="shared" si="58"/>
        <v>6662</v>
      </c>
      <c r="JX81" s="5">
        <f t="shared" si="58"/>
        <v>6593</v>
      </c>
      <c r="JY81" s="5">
        <f t="shared" si="58"/>
        <v>6591</v>
      </c>
      <c r="JZ81" s="5">
        <f t="shared" si="58"/>
        <v>6331</v>
      </c>
      <c r="KA81" s="5">
        <f t="shared" si="58"/>
        <v>6019</v>
      </c>
      <c r="KB81" s="5">
        <f t="shared" si="58"/>
        <v>5792</v>
      </c>
      <c r="KC81" s="5">
        <f t="shared" si="58"/>
        <v>5635</v>
      </c>
      <c r="KD81" s="5">
        <f t="shared" si="58"/>
        <v>5462</v>
      </c>
      <c r="KE81" s="5">
        <f t="shared" si="58"/>
        <v>5289</v>
      </c>
      <c r="KF81" s="5">
        <f t="shared" si="58"/>
        <v>5127</v>
      </c>
      <c r="KG81" s="5">
        <f t="shared" si="58"/>
        <v>4958</v>
      </c>
      <c r="KH81" s="5">
        <f t="shared" si="58"/>
        <v>4814</v>
      </c>
      <c r="KI81" s="5">
        <f t="shared" si="58"/>
        <v>4649</v>
      </c>
      <c r="KJ81" s="5">
        <f t="shared" si="58"/>
        <v>4497</v>
      </c>
      <c r="KK81" s="5">
        <f t="shared" si="58"/>
        <v>4386</v>
      </c>
      <c r="KL81" s="5">
        <f t="shared" si="58"/>
        <v>4483</v>
      </c>
      <c r="KM81" s="5">
        <f t="shared" si="58"/>
        <v>4412</v>
      </c>
      <c r="KN81" s="5">
        <f t="shared" si="58"/>
        <v>4246</v>
      </c>
      <c r="KO81" s="5">
        <f t="shared" si="58"/>
        <v>4140</v>
      </c>
      <c r="KP81" s="5">
        <f t="shared" si="58"/>
        <v>4016</v>
      </c>
      <c r="KQ81" s="5">
        <f t="shared" si="58"/>
        <v>3887</v>
      </c>
      <c r="KR81" s="5">
        <f t="shared" si="58"/>
        <v>3828</v>
      </c>
      <c r="KS81" s="5">
        <f t="shared" si="58"/>
        <v>3714</v>
      </c>
      <c r="KT81" s="5">
        <f t="shared" si="58"/>
        <v>3593</v>
      </c>
      <c r="KU81" s="5">
        <f t="shared" si="58"/>
        <v>3490</v>
      </c>
      <c r="KV81" s="5">
        <f t="shared" si="58"/>
        <v>3400</v>
      </c>
      <c r="KW81" s="5">
        <f t="shared" si="58"/>
        <v>3320</v>
      </c>
      <c r="KX81" s="5">
        <f t="shared" si="58"/>
        <v>3233</v>
      </c>
      <c r="KY81" s="5">
        <f t="shared" si="58"/>
        <v>3169</v>
      </c>
      <c r="KZ81" s="5">
        <f t="shared" si="58"/>
        <v>3106</v>
      </c>
      <c r="LA81" s="5">
        <f t="shared" si="58"/>
        <v>3045</v>
      </c>
      <c r="LB81" s="5">
        <f t="shared" si="58"/>
        <v>3029</v>
      </c>
      <c r="LC81" s="5">
        <f t="shared" si="58"/>
        <v>2999</v>
      </c>
      <c r="LD81" s="5">
        <f t="shared" si="58"/>
        <v>2904</v>
      </c>
      <c r="LE81" s="5">
        <f t="shared" si="58"/>
        <v>2824</v>
      </c>
      <c r="LF81" s="5">
        <f t="shared" si="58"/>
        <v>2765</v>
      </c>
      <c r="LG81" s="5">
        <f t="shared" si="58"/>
        <v>2720</v>
      </c>
      <c r="LH81" s="5">
        <f t="shared" si="58"/>
        <v>2683</v>
      </c>
      <c r="LI81" s="5">
        <f t="shared" si="58"/>
        <v>2633</v>
      </c>
      <c r="LJ81" s="5">
        <f t="shared" si="58"/>
        <v>2574</v>
      </c>
      <c r="LK81" s="5">
        <f t="shared" ref="LK81:NT81" si="59">AVERAGE(LK24:LK33)</f>
        <v>2528</v>
      </c>
      <c r="LL81" s="5">
        <f t="shared" si="59"/>
        <v>2484</v>
      </c>
      <c r="LM81" s="5">
        <f t="shared" si="59"/>
        <v>2449</v>
      </c>
      <c r="LN81" s="5">
        <f t="shared" si="59"/>
        <v>2437</v>
      </c>
      <c r="LO81" s="5">
        <f t="shared" si="59"/>
        <v>2421</v>
      </c>
      <c r="LP81" s="5">
        <f t="shared" si="59"/>
        <v>2375</v>
      </c>
      <c r="LQ81" s="5">
        <f t="shared" si="59"/>
        <v>2319</v>
      </c>
      <c r="LR81" s="5">
        <f t="shared" si="59"/>
        <v>2267</v>
      </c>
      <c r="LS81" s="5">
        <f t="shared" si="59"/>
        <v>2222</v>
      </c>
      <c r="LT81" s="5">
        <f t="shared" si="59"/>
        <v>2182</v>
      </c>
      <c r="LU81" s="5">
        <f t="shared" si="59"/>
        <v>2144</v>
      </c>
      <c r="LV81" s="5">
        <f t="shared" si="59"/>
        <v>2114</v>
      </c>
      <c r="LW81" s="5">
        <f t="shared" si="59"/>
        <v>2088</v>
      </c>
      <c r="LX81" s="5">
        <f t="shared" si="59"/>
        <v>2064</v>
      </c>
      <c r="LY81" s="5">
        <f t="shared" si="59"/>
        <v>2039</v>
      </c>
      <c r="LZ81" s="5">
        <f t="shared" si="59"/>
        <v>2019</v>
      </c>
      <c r="MA81" s="5">
        <f t="shared" si="59"/>
        <v>1993</v>
      </c>
      <c r="MB81" s="5">
        <f t="shared" si="59"/>
        <v>1964</v>
      </c>
      <c r="MC81" s="5">
        <f t="shared" si="59"/>
        <v>1941</v>
      </c>
      <c r="MD81" s="5">
        <f t="shared" si="59"/>
        <v>1909</v>
      </c>
      <c r="ME81" s="5">
        <f t="shared" si="59"/>
        <v>1879</v>
      </c>
      <c r="MF81" s="5">
        <f t="shared" si="59"/>
        <v>1854</v>
      </c>
      <c r="MG81" s="5">
        <f t="shared" si="59"/>
        <v>1830</v>
      </c>
      <c r="MH81" s="5">
        <f t="shared" si="59"/>
        <v>1805</v>
      </c>
      <c r="MI81" s="5">
        <f t="shared" si="59"/>
        <v>1792</v>
      </c>
      <c r="MJ81" s="5">
        <f t="shared" si="59"/>
        <v>1774</v>
      </c>
      <c r="MK81" s="5">
        <f t="shared" si="59"/>
        <v>1748</v>
      </c>
      <c r="ML81" s="5">
        <f t="shared" si="59"/>
        <v>1722</v>
      </c>
      <c r="MM81" s="5">
        <f t="shared" si="59"/>
        <v>1695</v>
      </c>
      <c r="MN81" s="5">
        <f t="shared" si="59"/>
        <v>1670</v>
      </c>
      <c r="MO81" s="5">
        <f t="shared" si="59"/>
        <v>1648</v>
      </c>
      <c r="MP81" s="5">
        <f t="shared" si="59"/>
        <v>1628</v>
      </c>
      <c r="MQ81" s="5">
        <f t="shared" si="59"/>
        <v>1607</v>
      </c>
      <c r="MR81" s="5">
        <f t="shared" si="59"/>
        <v>1587</v>
      </c>
      <c r="MS81" s="5">
        <f t="shared" si="59"/>
        <v>1565</v>
      </c>
      <c r="MT81" s="5">
        <f t="shared" si="59"/>
        <v>1542</v>
      </c>
      <c r="MU81" s="5">
        <f t="shared" si="59"/>
        <v>1525</v>
      </c>
      <c r="MV81" s="5">
        <f t="shared" si="59"/>
        <v>1508</v>
      </c>
      <c r="MW81" s="5">
        <f t="shared" si="59"/>
        <v>1495</v>
      </c>
      <c r="MX81" s="5">
        <f t="shared" si="59"/>
        <v>1479</v>
      </c>
      <c r="MY81" s="5">
        <f t="shared" si="59"/>
        <v>1469</v>
      </c>
      <c r="MZ81" s="5">
        <f t="shared" si="59"/>
        <v>1456</v>
      </c>
      <c r="NA81" s="5">
        <f t="shared" si="59"/>
        <v>1445</v>
      </c>
      <c r="NB81" s="5">
        <f t="shared" si="59"/>
        <v>1432</v>
      </c>
      <c r="NC81" s="5">
        <f t="shared" si="59"/>
        <v>1425</v>
      </c>
      <c r="ND81" s="5">
        <f t="shared" si="59"/>
        <v>1269</v>
      </c>
      <c r="NE81" s="5">
        <f t="shared" si="59"/>
        <v>1082.8</v>
      </c>
      <c r="NF81" s="5">
        <f t="shared" si="59"/>
        <v>1016.3</v>
      </c>
      <c r="NG81" s="5">
        <f t="shared" si="59"/>
        <v>1243</v>
      </c>
      <c r="NH81" s="5">
        <f t="shared" si="59"/>
        <v>1932</v>
      </c>
      <c r="NI81" s="5">
        <f t="shared" si="59"/>
        <v>4265</v>
      </c>
      <c r="NJ81" s="5">
        <f t="shared" si="59"/>
        <v>7037</v>
      </c>
      <c r="NK81" s="5">
        <f t="shared" si="59"/>
        <v>8364</v>
      </c>
      <c r="NL81" s="5">
        <f t="shared" si="59"/>
        <v>7950</v>
      </c>
      <c r="NM81" s="5">
        <f t="shared" si="59"/>
        <v>5359</v>
      </c>
      <c r="NN81" s="5">
        <f t="shared" si="59"/>
        <v>2666</v>
      </c>
      <c r="NO81" s="5">
        <f t="shared" si="59"/>
        <v>1690</v>
      </c>
      <c r="NP81" s="5">
        <f t="shared" si="59"/>
        <v>3670.354062429823</v>
      </c>
      <c r="NQ81" s="5">
        <f t="shared" si="59"/>
        <v>14460</v>
      </c>
      <c r="NR81" s="5">
        <f t="shared" si="59"/>
        <v>42599.1</v>
      </c>
      <c r="NS81" s="5">
        <f t="shared" si="59"/>
        <v>985.6</v>
      </c>
      <c r="NT81" s="5">
        <f t="shared" si="59"/>
        <v>42448.3</v>
      </c>
      <c r="NU81" s="5"/>
      <c r="NV81" s="5"/>
      <c r="NW81" s="5"/>
      <c r="NX81" s="5"/>
      <c r="NY81" s="5"/>
      <c r="NZ81" s="5"/>
      <c r="OA81" s="5"/>
      <c r="OB81" s="5"/>
      <c r="OC81" s="5"/>
      <c r="OD81" s="5"/>
      <c r="OE81" s="5"/>
    </row>
    <row r="82" spans="1:395" customFormat="1" x14ac:dyDescent="0.15">
      <c r="A82" s="9" t="s">
        <v>44</v>
      </c>
      <c r="B82" s="5">
        <f>AVERAGE(B34:B43)</f>
        <v>1480</v>
      </c>
      <c r="C82" s="5">
        <f t="shared" ref="C82:BN82" si="60">AVERAGE(C34:C43)</f>
        <v>1464</v>
      </c>
      <c r="D82" s="5">
        <f t="shared" si="60"/>
        <v>1447</v>
      </c>
      <c r="E82" s="5">
        <f t="shared" si="60"/>
        <v>1434</v>
      </c>
      <c r="F82" s="5">
        <f t="shared" si="60"/>
        <v>1420</v>
      </c>
      <c r="G82" s="5">
        <f t="shared" si="60"/>
        <v>1408</v>
      </c>
      <c r="H82" s="5">
        <f t="shared" si="60"/>
        <v>1399</v>
      </c>
      <c r="I82" s="5">
        <f t="shared" si="60"/>
        <v>1385</v>
      </c>
      <c r="J82" s="5">
        <f t="shared" si="60"/>
        <v>1371</v>
      </c>
      <c r="K82" s="5">
        <f t="shared" si="60"/>
        <v>1357</v>
      </c>
      <c r="L82" s="5">
        <f t="shared" si="60"/>
        <v>1346</v>
      </c>
      <c r="M82" s="5">
        <f t="shared" si="60"/>
        <v>1337</v>
      </c>
      <c r="N82" s="5">
        <f t="shared" si="60"/>
        <v>1327</v>
      </c>
      <c r="O82" s="5">
        <f t="shared" si="60"/>
        <v>1318</v>
      </c>
      <c r="P82" s="5">
        <f t="shared" si="60"/>
        <v>1311</v>
      </c>
      <c r="Q82" s="5">
        <f t="shared" si="60"/>
        <v>1303</v>
      </c>
      <c r="R82" s="5">
        <f t="shared" si="60"/>
        <v>1294</v>
      </c>
      <c r="S82" s="5">
        <f t="shared" si="60"/>
        <v>1285</v>
      </c>
      <c r="T82" s="5">
        <f t="shared" si="60"/>
        <v>1276</v>
      </c>
      <c r="U82" s="5">
        <f t="shared" si="60"/>
        <v>1269.0999999999999</v>
      </c>
      <c r="V82" s="5">
        <f t="shared" si="60"/>
        <v>1257.7</v>
      </c>
      <c r="W82" s="5">
        <f t="shared" si="60"/>
        <v>1248.9000000000001</v>
      </c>
      <c r="X82" s="5">
        <f t="shared" si="60"/>
        <v>1235.5999999999999</v>
      </c>
      <c r="Y82" s="5">
        <f t="shared" si="60"/>
        <v>1227.3</v>
      </c>
      <c r="Z82" s="5">
        <f t="shared" si="60"/>
        <v>1219.9000000000001</v>
      </c>
      <c r="AA82" s="5">
        <f t="shared" si="60"/>
        <v>1210.9000000000001</v>
      </c>
      <c r="AB82" s="5">
        <f t="shared" si="60"/>
        <v>1203.5999999999999</v>
      </c>
      <c r="AC82" s="5">
        <f t="shared" si="60"/>
        <v>1195.3</v>
      </c>
      <c r="AD82" s="5">
        <f t="shared" si="60"/>
        <v>1186.8</v>
      </c>
      <c r="AE82" s="5">
        <f t="shared" si="60"/>
        <v>1178.9000000000001</v>
      </c>
      <c r="AF82" s="5">
        <f t="shared" si="60"/>
        <v>1174.3</v>
      </c>
      <c r="AG82" s="5">
        <f t="shared" si="60"/>
        <v>1167.3</v>
      </c>
      <c r="AH82" s="5">
        <f t="shared" si="60"/>
        <v>1160.7</v>
      </c>
      <c r="AI82" s="5">
        <f t="shared" si="60"/>
        <v>1155.9000000000001</v>
      </c>
      <c r="AJ82" s="5">
        <f t="shared" si="60"/>
        <v>1155.4000000000001</v>
      </c>
      <c r="AK82" s="5">
        <f t="shared" si="60"/>
        <v>1150.0999999999999</v>
      </c>
      <c r="AL82" s="5">
        <f t="shared" si="60"/>
        <v>1148.0999999999999</v>
      </c>
      <c r="AM82" s="5">
        <f t="shared" si="60"/>
        <v>1145.9000000000001</v>
      </c>
      <c r="AN82" s="5">
        <f t="shared" si="60"/>
        <v>1140.0999999999999</v>
      </c>
      <c r="AO82" s="5">
        <f t="shared" si="60"/>
        <v>1139.3</v>
      </c>
      <c r="AP82" s="5">
        <f t="shared" si="60"/>
        <v>1131.8</v>
      </c>
      <c r="AQ82" s="5">
        <f t="shared" si="60"/>
        <v>1125.9000000000001</v>
      </c>
      <c r="AR82" s="5">
        <f t="shared" si="60"/>
        <v>1122.3</v>
      </c>
      <c r="AS82" s="5">
        <f t="shared" si="60"/>
        <v>1121.8</v>
      </c>
      <c r="AT82" s="5">
        <f t="shared" si="60"/>
        <v>1114</v>
      </c>
      <c r="AU82" s="5">
        <f t="shared" si="60"/>
        <v>1104.5</v>
      </c>
      <c r="AV82" s="5">
        <f t="shared" si="60"/>
        <v>1095.9000000000001</v>
      </c>
      <c r="AW82" s="5">
        <f t="shared" si="60"/>
        <v>1091.5</v>
      </c>
      <c r="AX82" s="5">
        <f t="shared" si="60"/>
        <v>1086.4000000000001</v>
      </c>
      <c r="AY82" s="5">
        <f t="shared" si="60"/>
        <v>1083.9000000000001</v>
      </c>
      <c r="AZ82" s="5">
        <f t="shared" si="60"/>
        <v>1079.2</v>
      </c>
      <c r="BA82" s="5">
        <f t="shared" si="60"/>
        <v>1074.5999999999999</v>
      </c>
      <c r="BB82" s="5">
        <f t="shared" si="60"/>
        <v>1070</v>
      </c>
      <c r="BC82" s="5">
        <f t="shared" si="60"/>
        <v>1061.7</v>
      </c>
      <c r="BD82" s="5">
        <f t="shared" si="60"/>
        <v>1056.4000000000001</v>
      </c>
      <c r="BE82" s="5">
        <f t="shared" si="60"/>
        <v>1052.5</v>
      </c>
      <c r="BF82" s="5">
        <f t="shared" si="60"/>
        <v>1047</v>
      </c>
      <c r="BG82" s="5">
        <f t="shared" si="60"/>
        <v>1043.5999999999999</v>
      </c>
      <c r="BH82" s="5">
        <f t="shared" si="60"/>
        <v>1043</v>
      </c>
      <c r="BI82" s="5">
        <f t="shared" si="60"/>
        <v>1014</v>
      </c>
      <c r="BJ82" s="5">
        <f t="shared" si="60"/>
        <v>1040.7</v>
      </c>
      <c r="BK82" s="5">
        <f t="shared" si="60"/>
        <v>1040.3</v>
      </c>
      <c r="BL82" s="5">
        <f t="shared" si="60"/>
        <v>1037.5</v>
      </c>
      <c r="BM82" s="5">
        <f t="shared" si="60"/>
        <v>1035.0999999999999</v>
      </c>
      <c r="BN82" s="5">
        <f t="shared" si="60"/>
        <v>1033</v>
      </c>
      <c r="BO82" s="5">
        <f t="shared" ref="BO82:DZ82" si="61">AVERAGE(BO34:BO43)</f>
        <v>1032.8</v>
      </c>
      <c r="BP82" s="5">
        <f t="shared" si="61"/>
        <v>1030.5</v>
      </c>
      <c r="BQ82" s="5">
        <f t="shared" si="61"/>
        <v>1031.3</v>
      </c>
      <c r="BR82" s="5">
        <f t="shared" si="61"/>
        <v>1031</v>
      </c>
      <c r="BS82" s="5">
        <f t="shared" si="61"/>
        <v>1024.8</v>
      </c>
      <c r="BT82" s="5">
        <f t="shared" si="61"/>
        <v>1020.8</v>
      </c>
      <c r="BU82" s="5">
        <f t="shared" si="61"/>
        <v>1018</v>
      </c>
      <c r="BV82" s="5">
        <f t="shared" si="61"/>
        <v>1014.4</v>
      </c>
      <c r="BW82" s="5">
        <f t="shared" si="61"/>
        <v>1014.4</v>
      </c>
      <c r="BX82" s="5">
        <f t="shared" si="61"/>
        <v>1014.8</v>
      </c>
      <c r="BY82" s="5">
        <f t="shared" si="61"/>
        <v>1016.9</v>
      </c>
      <c r="BZ82" s="5">
        <f t="shared" si="61"/>
        <v>1023.3</v>
      </c>
      <c r="CA82" s="5">
        <f t="shared" si="61"/>
        <v>1032.9000000000001</v>
      </c>
      <c r="CB82" s="5">
        <f t="shared" si="61"/>
        <v>1046.2</v>
      </c>
      <c r="CC82" s="5">
        <f t="shared" si="61"/>
        <v>1052</v>
      </c>
      <c r="CD82" s="5">
        <f t="shared" si="61"/>
        <v>1043.3</v>
      </c>
      <c r="CE82" s="5">
        <f t="shared" si="61"/>
        <v>1031.4000000000001</v>
      </c>
      <c r="CF82" s="5">
        <f t="shared" si="61"/>
        <v>1023.1</v>
      </c>
      <c r="CG82" s="5">
        <f t="shared" si="61"/>
        <v>1024.5</v>
      </c>
      <c r="CH82" s="5">
        <f t="shared" si="61"/>
        <v>1033</v>
      </c>
      <c r="CI82" s="5">
        <f t="shared" si="61"/>
        <v>1035.3</v>
      </c>
      <c r="CJ82" s="5">
        <f t="shared" si="61"/>
        <v>1031.2</v>
      </c>
      <c r="CK82" s="5">
        <f t="shared" si="61"/>
        <v>1027.7</v>
      </c>
      <c r="CL82" s="5">
        <f t="shared" si="61"/>
        <v>1026.5</v>
      </c>
      <c r="CM82" s="5">
        <f t="shared" si="61"/>
        <v>1026.8</v>
      </c>
      <c r="CN82" s="5">
        <f t="shared" si="61"/>
        <v>1032</v>
      </c>
      <c r="CO82" s="5">
        <f t="shared" si="61"/>
        <v>1034.3</v>
      </c>
      <c r="CP82" s="5">
        <f t="shared" si="61"/>
        <v>1040.0999999999999</v>
      </c>
      <c r="CQ82" s="5">
        <f t="shared" si="61"/>
        <v>1049.5</v>
      </c>
      <c r="CR82" s="5">
        <f t="shared" si="61"/>
        <v>1059.5999999999999</v>
      </c>
      <c r="CS82" s="5">
        <f t="shared" si="61"/>
        <v>1069.5</v>
      </c>
      <c r="CT82" s="5">
        <f t="shared" si="61"/>
        <v>1072.8</v>
      </c>
      <c r="CU82" s="5">
        <f t="shared" si="61"/>
        <v>1085.5</v>
      </c>
      <c r="CV82" s="5">
        <f t="shared" si="61"/>
        <v>1099.9000000000001</v>
      </c>
      <c r="CW82" s="5">
        <f t="shared" si="61"/>
        <v>1114</v>
      </c>
      <c r="CX82" s="5">
        <f t="shared" si="61"/>
        <v>1130</v>
      </c>
      <c r="CY82" s="5">
        <f t="shared" si="61"/>
        <v>1134</v>
      </c>
      <c r="CZ82" s="5">
        <f t="shared" si="61"/>
        <v>1134</v>
      </c>
      <c r="DA82" s="5">
        <f t="shared" si="61"/>
        <v>1133</v>
      </c>
      <c r="DB82" s="5">
        <f t="shared" si="61"/>
        <v>1129</v>
      </c>
      <c r="DC82" s="5">
        <f t="shared" si="61"/>
        <v>1153</v>
      </c>
      <c r="DD82" s="5">
        <f t="shared" si="61"/>
        <v>1184</v>
      </c>
      <c r="DE82" s="5">
        <f t="shared" si="61"/>
        <v>1203</v>
      </c>
      <c r="DF82" s="5">
        <f t="shared" si="61"/>
        <v>1210</v>
      </c>
      <c r="DG82" s="5">
        <f t="shared" si="61"/>
        <v>1216</v>
      </c>
      <c r="DH82" s="5">
        <f t="shared" si="61"/>
        <v>1216</v>
      </c>
      <c r="DI82" s="5">
        <f t="shared" si="61"/>
        <v>1222</v>
      </c>
      <c r="DJ82" s="5">
        <f t="shared" si="61"/>
        <v>1232</v>
      </c>
      <c r="DK82" s="5">
        <f t="shared" si="61"/>
        <v>1250</v>
      </c>
      <c r="DL82" s="5">
        <f t="shared" si="61"/>
        <v>1274</v>
      </c>
      <c r="DM82" s="5">
        <f t="shared" si="61"/>
        <v>1285</v>
      </c>
      <c r="DN82" s="5">
        <f t="shared" si="61"/>
        <v>1296</v>
      </c>
      <c r="DO82" s="5">
        <f t="shared" si="61"/>
        <v>1306</v>
      </c>
      <c r="DP82" s="5">
        <f t="shared" si="61"/>
        <v>1325</v>
      </c>
      <c r="DQ82" s="5">
        <f t="shared" si="61"/>
        <v>1366</v>
      </c>
      <c r="DR82" s="5">
        <f t="shared" si="61"/>
        <v>1403</v>
      </c>
      <c r="DS82" s="5">
        <f t="shared" si="61"/>
        <v>1423</v>
      </c>
      <c r="DT82" s="5">
        <f t="shared" si="61"/>
        <v>1444</v>
      </c>
      <c r="DU82" s="5">
        <f t="shared" si="61"/>
        <v>1461</v>
      </c>
      <c r="DV82" s="5">
        <f t="shared" si="61"/>
        <v>1481</v>
      </c>
      <c r="DW82" s="5">
        <f t="shared" si="61"/>
        <v>1492</v>
      </c>
      <c r="DX82" s="5">
        <f t="shared" si="61"/>
        <v>1506</v>
      </c>
      <c r="DY82" s="5">
        <f t="shared" si="61"/>
        <v>1533</v>
      </c>
      <c r="DZ82" s="5">
        <f t="shared" si="61"/>
        <v>1561</v>
      </c>
      <c r="EA82" s="5">
        <f t="shared" ref="EA82:GL82" si="62">AVERAGE(EA34:EA43)</f>
        <v>1596</v>
      </c>
      <c r="EB82" s="5">
        <f t="shared" si="62"/>
        <v>1621</v>
      </c>
      <c r="EC82" s="5">
        <f t="shared" si="62"/>
        <v>1639</v>
      </c>
      <c r="ED82" s="5">
        <f t="shared" si="62"/>
        <v>1663</v>
      </c>
      <c r="EE82" s="5">
        <f t="shared" si="62"/>
        <v>1703</v>
      </c>
      <c r="EF82" s="5">
        <f t="shared" si="62"/>
        <v>1751</v>
      </c>
      <c r="EG82" s="5">
        <f t="shared" si="62"/>
        <v>1793</v>
      </c>
      <c r="EH82" s="5">
        <f t="shared" si="62"/>
        <v>1885</v>
      </c>
      <c r="EI82" s="5">
        <f t="shared" si="62"/>
        <v>2025</v>
      </c>
      <c r="EJ82" s="5">
        <f t="shared" si="62"/>
        <v>2081</v>
      </c>
      <c r="EK82" s="5">
        <f t="shared" si="62"/>
        <v>2087</v>
      </c>
      <c r="EL82" s="5">
        <f t="shared" si="62"/>
        <v>2056</v>
      </c>
      <c r="EM82" s="5">
        <f t="shared" si="62"/>
        <v>2024</v>
      </c>
      <c r="EN82" s="5">
        <f t="shared" si="62"/>
        <v>2020</v>
      </c>
      <c r="EO82" s="5">
        <f t="shared" si="62"/>
        <v>2053</v>
      </c>
      <c r="EP82" s="5">
        <f t="shared" si="62"/>
        <v>2168</v>
      </c>
      <c r="EQ82" s="5">
        <f t="shared" si="62"/>
        <v>2322</v>
      </c>
      <c r="ER82" s="5">
        <f t="shared" si="62"/>
        <v>2389</v>
      </c>
      <c r="ES82" s="5">
        <f t="shared" si="62"/>
        <v>2445</v>
      </c>
      <c r="ET82" s="5">
        <f t="shared" si="62"/>
        <v>2443</v>
      </c>
      <c r="EU82" s="5">
        <f t="shared" si="62"/>
        <v>2528</v>
      </c>
      <c r="EV82" s="5">
        <f t="shared" si="62"/>
        <v>2570</v>
      </c>
      <c r="EW82" s="5">
        <f t="shared" si="62"/>
        <v>2659</v>
      </c>
      <c r="EX82" s="5">
        <f t="shared" si="62"/>
        <v>2705</v>
      </c>
      <c r="EY82" s="5">
        <f t="shared" si="62"/>
        <v>2725</v>
      </c>
      <c r="EZ82" s="5">
        <f t="shared" si="62"/>
        <v>2750</v>
      </c>
      <c r="FA82" s="5">
        <f t="shared" si="62"/>
        <v>2790</v>
      </c>
      <c r="FB82" s="5">
        <f t="shared" si="62"/>
        <v>2899</v>
      </c>
      <c r="FC82" s="5">
        <f t="shared" si="62"/>
        <v>2895</v>
      </c>
      <c r="FD82" s="5">
        <f t="shared" si="62"/>
        <v>2853</v>
      </c>
      <c r="FE82" s="5">
        <f t="shared" si="62"/>
        <v>2849</v>
      </c>
      <c r="FF82" s="5">
        <f t="shared" si="62"/>
        <v>2962</v>
      </c>
      <c r="FG82" s="5">
        <f t="shared" si="62"/>
        <v>3197</v>
      </c>
      <c r="FH82" s="5">
        <f t="shared" si="62"/>
        <v>3357</v>
      </c>
      <c r="FI82" s="5">
        <f t="shared" si="62"/>
        <v>3507</v>
      </c>
      <c r="FJ82" s="5">
        <f t="shared" si="62"/>
        <v>3513</v>
      </c>
      <c r="FK82" s="5">
        <f t="shared" si="62"/>
        <v>3438</v>
      </c>
      <c r="FL82" s="5">
        <f t="shared" si="62"/>
        <v>3454</v>
      </c>
      <c r="FM82" s="5">
        <f t="shared" si="62"/>
        <v>3553</v>
      </c>
      <c r="FN82" s="5">
        <f t="shared" si="62"/>
        <v>3469</v>
      </c>
      <c r="FO82" s="5">
        <f t="shared" si="62"/>
        <v>3598</v>
      </c>
      <c r="FP82" s="5">
        <f t="shared" si="62"/>
        <v>3972</v>
      </c>
      <c r="FQ82" s="5">
        <f t="shared" si="62"/>
        <v>4428</v>
      </c>
      <c r="FR82" s="5">
        <f t="shared" si="62"/>
        <v>4827</v>
      </c>
      <c r="FS82" s="5">
        <f t="shared" si="62"/>
        <v>5232</v>
      </c>
      <c r="FT82" s="5">
        <f t="shared" si="62"/>
        <v>5336</v>
      </c>
      <c r="FU82" s="5">
        <f t="shared" si="62"/>
        <v>5323</v>
      </c>
      <c r="FV82" s="5">
        <f t="shared" si="62"/>
        <v>5466</v>
      </c>
      <c r="FW82" s="5">
        <f t="shared" si="62"/>
        <v>5955</v>
      </c>
      <c r="FX82" s="5">
        <f t="shared" si="62"/>
        <v>6383</v>
      </c>
      <c r="FY82" s="5">
        <f t="shared" si="62"/>
        <v>6938</v>
      </c>
      <c r="FZ82" s="5">
        <f t="shared" si="62"/>
        <v>6954</v>
      </c>
      <c r="GA82" s="5">
        <f t="shared" si="62"/>
        <v>7095</v>
      </c>
      <c r="GB82" s="5">
        <f t="shared" si="62"/>
        <v>7283</v>
      </c>
      <c r="GC82" s="5">
        <f t="shared" si="62"/>
        <v>7333</v>
      </c>
      <c r="GD82" s="5">
        <f t="shared" si="62"/>
        <v>7456</v>
      </c>
      <c r="GE82" s="5">
        <f t="shared" si="62"/>
        <v>7344</v>
      </c>
      <c r="GF82" s="5">
        <f t="shared" si="62"/>
        <v>7170</v>
      </c>
      <c r="GG82" s="5">
        <f t="shared" si="62"/>
        <v>7565</v>
      </c>
      <c r="GH82" s="5">
        <f t="shared" si="62"/>
        <v>7991</v>
      </c>
      <c r="GI82" s="5">
        <f t="shared" si="62"/>
        <v>8086</v>
      </c>
      <c r="GJ82" s="5">
        <f t="shared" si="62"/>
        <v>8002</v>
      </c>
      <c r="GK82" s="5">
        <f t="shared" si="62"/>
        <v>8400</v>
      </c>
      <c r="GL82" s="5">
        <f t="shared" si="62"/>
        <v>8320</v>
      </c>
      <c r="GM82" s="5">
        <f t="shared" ref="GM82:IX82" si="63">AVERAGE(GM34:GM43)</f>
        <v>8147</v>
      </c>
      <c r="GN82" s="5">
        <f t="shared" si="63"/>
        <v>8064</v>
      </c>
      <c r="GO82" s="5">
        <f t="shared" si="63"/>
        <v>8062</v>
      </c>
      <c r="GP82" s="5">
        <f t="shared" si="63"/>
        <v>8259</v>
      </c>
      <c r="GQ82" s="5">
        <f t="shared" si="63"/>
        <v>8606</v>
      </c>
      <c r="GR82" s="5">
        <f t="shared" si="63"/>
        <v>8823</v>
      </c>
      <c r="GS82" s="5">
        <f t="shared" si="63"/>
        <v>8941</v>
      </c>
      <c r="GT82" s="5">
        <f t="shared" si="63"/>
        <v>9291</v>
      </c>
      <c r="GU82" s="5">
        <f t="shared" si="63"/>
        <v>9198</v>
      </c>
      <c r="GV82" s="5">
        <f t="shared" si="63"/>
        <v>9164</v>
      </c>
      <c r="GW82" s="5">
        <f t="shared" si="63"/>
        <v>9394</v>
      </c>
      <c r="GX82" s="5">
        <f t="shared" si="63"/>
        <v>9503</v>
      </c>
      <c r="GY82" s="5">
        <f t="shared" si="63"/>
        <v>9615</v>
      </c>
      <c r="GZ82" s="5">
        <f t="shared" si="63"/>
        <v>9605</v>
      </c>
      <c r="HA82" s="5">
        <f t="shared" si="63"/>
        <v>9520</v>
      </c>
      <c r="HB82" s="5">
        <f t="shared" si="63"/>
        <v>9527</v>
      </c>
      <c r="HC82" s="5">
        <f t="shared" si="63"/>
        <v>9362</v>
      </c>
      <c r="HD82" s="5">
        <f t="shared" si="63"/>
        <v>9063</v>
      </c>
      <c r="HE82" s="5">
        <f t="shared" si="63"/>
        <v>8984</v>
      </c>
      <c r="HF82" s="5">
        <f t="shared" si="63"/>
        <v>9017</v>
      </c>
      <c r="HG82" s="5">
        <f t="shared" si="63"/>
        <v>8948</v>
      </c>
      <c r="HH82" s="5">
        <f t="shared" si="63"/>
        <v>8637</v>
      </c>
      <c r="HI82" s="5">
        <f t="shared" si="63"/>
        <v>8433</v>
      </c>
      <c r="HJ82" s="5">
        <f t="shared" si="63"/>
        <v>8056</v>
      </c>
      <c r="HK82" s="5">
        <f t="shared" si="63"/>
        <v>7610</v>
      </c>
      <c r="HL82" s="5">
        <f t="shared" si="63"/>
        <v>7216</v>
      </c>
      <c r="HM82" s="5">
        <f t="shared" si="63"/>
        <v>6926</v>
      </c>
      <c r="HN82" s="5">
        <f t="shared" si="63"/>
        <v>6853</v>
      </c>
      <c r="HO82" s="5">
        <f t="shared" si="63"/>
        <v>6678</v>
      </c>
      <c r="HP82" s="5">
        <f t="shared" si="63"/>
        <v>6512</v>
      </c>
      <c r="HQ82" s="5">
        <f t="shared" si="63"/>
        <v>6377</v>
      </c>
      <c r="HR82" s="5">
        <f t="shared" si="63"/>
        <v>6307</v>
      </c>
      <c r="HS82" s="5">
        <f t="shared" si="63"/>
        <v>6353</v>
      </c>
      <c r="HT82" s="5">
        <f t="shared" si="63"/>
        <v>6366</v>
      </c>
      <c r="HU82" s="5">
        <f t="shared" si="63"/>
        <v>6280</v>
      </c>
      <c r="HV82" s="5">
        <f t="shared" si="63"/>
        <v>6258</v>
      </c>
      <c r="HW82" s="5">
        <f t="shared" si="63"/>
        <v>6239</v>
      </c>
      <c r="HX82" s="5">
        <f t="shared" si="63"/>
        <v>6372</v>
      </c>
      <c r="HY82" s="5">
        <f t="shared" si="63"/>
        <v>6385</v>
      </c>
      <c r="HZ82" s="5">
        <f t="shared" si="63"/>
        <v>6710</v>
      </c>
      <c r="IA82" s="5">
        <f t="shared" si="63"/>
        <v>7179</v>
      </c>
      <c r="IB82" s="5">
        <f t="shared" si="63"/>
        <v>7485</v>
      </c>
      <c r="IC82" s="5">
        <f t="shared" si="63"/>
        <v>7823</v>
      </c>
      <c r="ID82" s="5">
        <f t="shared" si="63"/>
        <v>7886</v>
      </c>
      <c r="IE82" s="5">
        <f t="shared" si="63"/>
        <v>8091</v>
      </c>
      <c r="IF82" s="5">
        <f t="shared" si="63"/>
        <v>8355</v>
      </c>
      <c r="IG82" s="5">
        <f t="shared" si="63"/>
        <v>8373</v>
      </c>
      <c r="IH82" s="5">
        <f t="shared" si="63"/>
        <v>8446</v>
      </c>
      <c r="II82" s="5">
        <f t="shared" si="63"/>
        <v>8706</v>
      </c>
      <c r="IJ82" s="5">
        <f t="shared" si="63"/>
        <v>8744</v>
      </c>
      <c r="IK82" s="5">
        <f t="shared" si="63"/>
        <v>8701</v>
      </c>
      <c r="IL82" s="5">
        <f t="shared" si="63"/>
        <v>8796</v>
      </c>
      <c r="IM82" s="5">
        <f t="shared" si="63"/>
        <v>9252</v>
      </c>
      <c r="IN82" s="5">
        <f t="shared" si="63"/>
        <v>9082</v>
      </c>
      <c r="IO82" s="5">
        <f t="shared" si="63"/>
        <v>9079</v>
      </c>
      <c r="IP82" s="5">
        <f t="shared" si="63"/>
        <v>9370</v>
      </c>
      <c r="IQ82" s="5">
        <f t="shared" si="63"/>
        <v>9319</v>
      </c>
      <c r="IR82" s="5">
        <f t="shared" si="63"/>
        <v>8916</v>
      </c>
      <c r="IS82" s="5">
        <f t="shared" si="63"/>
        <v>8700</v>
      </c>
      <c r="IT82" s="5">
        <f t="shared" si="63"/>
        <v>8714</v>
      </c>
      <c r="IU82" s="5">
        <f t="shared" si="63"/>
        <v>8686</v>
      </c>
      <c r="IV82" s="5">
        <f t="shared" si="63"/>
        <v>8527</v>
      </c>
      <c r="IW82" s="5">
        <f t="shared" si="63"/>
        <v>8500</v>
      </c>
      <c r="IX82" s="5">
        <f t="shared" si="63"/>
        <v>8511</v>
      </c>
      <c r="IY82" s="5">
        <f t="shared" ref="IY82:LJ82" si="64">AVERAGE(IY34:IY43)</f>
        <v>8640</v>
      </c>
      <c r="IZ82" s="5">
        <f t="shared" si="64"/>
        <v>8968</v>
      </c>
      <c r="JA82" s="5">
        <f t="shared" si="64"/>
        <v>9053</v>
      </c>
      <c r="JB82" s="5">
        <f t="shared" si="64"/>
        <v>9146</v>
      </c>
      <c r="JC82" s="5">
        <f t="shared" si="64"/>
        <v>9726</v>
      </c>
      <c r="JD82" s="5">
        <f t="shared" si="64"/>
        <v>10467</v>
      </c>
      <c r="JE82" s="5">
        <f t="shared" si="64"/>
        <v>10463</v>
      </c>
      <c r="JF82" s="5">
        <f t="shared" si="64"/>
        <v>10314</v>
      </c>
      <c r="JG82" s="5">
        <f t="shared" si="64"/>
        <v>9960</v>
      </c>
      <c r="JH82" s="5">
        <f t="shared" si="64"/>
        <v>9352</v>
      </c>
      <c r="JI82" s="5">
        <f t="shared" si="64"/>
        <v>8982</v>
      </c>
      <c r="JJ82" s="5">
        <f t="shared" si="64"/>
        <v>8549</v>
      </c>
      <c r="JK82" s="5">
        <f t="shared" si="64"/>
        <v>8135</v>
      </c>
      <c r="JL82" s="5">
        <f t="shared" si="64"/>
        <v>7958</v>
      </c>
      <c r="JM82" s="5">
        <f t="shared" si="64"/>
        <v>7961</v>
      </c>
      <c r="JN82" s="5">
        <f t="shared" si="64"/>
        <v>7959</v>
      </c>
      <c r="JO82" s="5">
        <f t="shared" si="64"/>
        <v>7842</v>
      </c>
      <c r="JP82" s="5">
        <f t="shared" si="64"/>
        <v>7761</v>
      </c>
      <c r="JQ82" s="5">
        <f t="shared" si="64"/>
        <v>7744</v>
      </c>
      <c r="JR82" s="5">
        <f t="shared" si="64"/>
        <v>7737</v>
      </c>
      <c r="JS82" s="5">
        <f t="shared" si="64"/>
        <v>7726</v>
      </c>
      <c r="JT82" s="5">
        <f t="shared" si="64"/>
        <v>7661</v>
      </c>
      <c r="JU82" s="5">
        <f t="shared" si="64"/>
        <v>7598</v>
      </c>
      <c r="JV82" s="5">
        <f t="shared" si="64"/>
        <v>7435</v>
      </c>
      <c r="JW82" s="5">
        <f t="shared" si="64"/>
        <v>7395</v>
      </c>
      <c r="JX82" s="5">
        <f t="shared" si="64"/>
        <v>7472</v>
      </c>
      <c r="JY82" s="5">
        <f t="shared" si="64"/>
        <v>7554</v>
      </c>
      <c r="JZ82" s="5">
        <f t="shared" si="64"/>
        <v>7486</v>
      </c>
      <c r="KA82" s="5">
        <f t="shared" si="64"/>
        <v>7211</v>
      </c>
      <c r="KB82" s="5">
        <f t="shared" si="64"/>
        <v>6788</v>
      </c>
      <c r="KC82" s="5">
        <f t="shared" si="64"/>
        <v>6391</v>
      </c>
      <c r="KD82" s="5">
        <f t="shared" si="64"/>
        <v>6057</v>
      </c>
      <c r="KE82" s="5">
        <f t="shared" si="64"/>
        <v>5819</v>
      </c>
      <c r="KF82" s="5">
        <f t="shared" si="64"/>
        <v>5798</v>
      </c>
      <c r="KG82" s="5">
        <f t="shared" si="64"/>
        <v>5867</v>
      </c>
      <c r="KH82" s="5">
        <f t="shared" si="64"/>
        <v>5819</v>
      </c>
      <c r="KI82" s="5">
        <f t="shared" si="64"/>
        <v>5814</v>
      </c>
      <c r="KJ82" s="5">
        <f t="shared" si="64"/>
        <v>5709</v>
      </c>
      <c r="KK82" s="5">
        <f t="shared" si="64"/>
        <v>5492</v>
      </c>
      <c r="KL82" s="5">
        <f t="shared" si="64"/>
        <v>5255</v>
      </c>
      <c r="KM82" s="5">
        <f t="shared" si="64"/>
        <v>5018</v>
      </c>
      <c r="KN82" s="5">
        <f t="shared" si="64"/>
        <v>4819</v>
      </c>
      <c r="KO82" s="5">
        <f t="shared" si="64"/>
        <v>4645</v>
      </c>
      <c r="KP82" s="5">
        <f t="shared" si="64"/>
        <v>4468</v>
      </c>
      <c r="KQ82" s="5">
        <f t="shared" si="64"/>
        <v>4301</v>
      </c>
      <c r="KR82" s="5">
        <f t="shared" si="64"/>
        <v>4157</v>
      </c>
      <c r="KS82" s="5">
        <f t="shared" si="64"/>
        <v>4037</v>
      </c>
      <c r="KT82" s="5">
        <f t="shared" si="64"/>
        <v>3917</v>
      </c>
      <c r="KU82" s="5">
        <f t="shared" si="64"/>
        <v>3810</v>
      </c>
      <c r="KV82" s="5">
        <f t="shared" si="64"/>
        <v>3702</v>
      </c>
      <c r="KW82" s="5">
        <f t="shared" si="64"/>
        <v>3606</v>
      </c>
      <c r="KX82" s="5">
        <f t="shared" si="64"/>
        <v>3514</v>
      </c>
      <c r="KY82" s="5">
        <f t="shared" si="64"/>
        <v>3427</v>
      </c>
      <c r="KZ82" s="5">
        <f t="shared" si="64"/>
        <v>3350</v>
      </c>
      <c r="LA82" s="5">
        <f t="shared" si="64"/>
        <v>3276</v>
      </c>
      <c r="LB82" s="5">
        <f t="shared" si="64"/>
        <v>3203</v>
      </c>
      <c r="LC82" s="5">
        <f t="shared" si="64"/>
        <v>3130</v>
      </c>
      <c r="LD82" s="5">
        <f t="shared" si="64"/>
        <v>3075</v>
      </c>
      <c r="LE82" s="5">
        <f t="shared" si="64"/>
        <v>3036</v>
      </c>
      <c r="LF82" s="5">
        <f t="shared" si="64"/>
        <v>3000</v>
      </c>
      <c r="LG82" s="5">
        <f t="shared" si="64"/>
        <v>2931</v>
      </c>
      <c r="LH82" s="5">
        <f t="shared" si="64"/>
        <v>2859</v>
      </c>
      <c r="LI82" s="5">
        <f t="shared" si="64"/>
        <v>2797</v>
      </c>
      <c r="LJ82" s="5">
        <f t="shared" si="64"/>
        <v>2748</v>
      </c>
      <c r="LK82" s="5">
        <f t="shared" ref="LK82:NT82" si="65">AVERAGE(LK34:LK43)</f>
        <v>2708</v>
      </c>
      <c r="LL82" s="5">
        <f t="shared" si="65"/>
        <v>2661</v>
      </c>
      <c r="LM82" s="5">
        <f t="shared" si="65"/>
        <v>2611</v>
      </c>
      <c r="LN82" s="5">
        <f t="shared" si="65"/>
        <v>2563</v>
      </c>
      <c r="LO82" s="5">
        <f t="shared" si="65"/>
        <v>2523</v>
      </c>
      <c r="LP82" s="5">
        <f t="shared" si="65"/>
        <v>2478</v>
      </c>
      <c r="LQ82" s="5">
        <f t="shared" si="65"/>
        <v>2430</v>
      </c>
      <c r="LR82" s="5">
        <f t="shared" si="65"/>
        <v>2385</v>
      </c>
      <c r="LS82" s="5">
        <f t="shared" si="65"/>
        <v>2352</v>
      </c>
      <c r="LT82" s="5">
        <f t="shared" si="65"/>
        <v>2316</v>
      </c>
      <c r="LU82" s="5">
        <f t="shared" si="65"/>
        <v>2280</v>
      </c>
      <c r="LV82" s="5">
        <f t="shared" si="65"/>
        <v>2237</v>
      </c>
      <c r="LW82" s="5">
        <f t="shared" si="65"/>
        <v>2206</v>
      </c>
      <c r="LX82" s="5">
        <f t="shared" si="65"/>
        <v>2174</v>
      </c>
      <c r="LY82" s="5">
        <f t="shared" si="65"/>
        <v>2141</v>
      </c>
      <c r="LZ82" s="5">
        <f t="shared" si="65"/>
        <v>2108</v>
      </c>
      <c r="MA82" s="5">
        <f t="shared" si="65"/>
        <v>2078</v>
      </c>
      <c r="MB82" s="5">
        <f t="shared" si="65"/>
        <v>2055</v>
      </c>
      <c r="MC82" s="5">
        <f t="shared" si="65"/>
        <v>2022</v>
      </c>
      <c r="MD82" s="5">
        <f t="shared" si="65"/>
        <v>1983</v>
      </c>
      <c r="ME82" s="5">
        <f t="shared" si="65"/>
        <v>1946</v>
      </c>
      <c r="MF82" s="5">
        <f t="shared" si="65"/>
        <v>1916</v>
      </c>
      <c r="MG82" s="5">
        <f t="shared" si="65"/>
        <v>1885</v>
      </c>
      <c r="MH82" s="5">
        <f t="shared" si="65"/>
        <v>1858</v>
      </c>
      <c r="MI82" s="5">
        <f t="shared" si="65"/>
        <v>1829</v>
      </c>
      <c r="MJ82" s="5">
        <f t="shared" si="65"/>
        <v>1808</v>
      </c>
      <c r="MK82" s="5">
        <f t="shared" si="65"/>
        <v>1787</v>
      </c>
      <c r="ML82" s="5">
        <f t="shared" si="65"/>
        <v>1771</v>
      </c>
      <c r="MM82" s="5">
        <f t="shared" si="65"/>
        <v>1754</v>
      </c>
      <c r="MN82" s="5">
        <f t="shared" si="65"/>
        <v>1741</v>
      </c>
      <c r="MO82" s="5">
        <f t="shared" si="65"/>
        <v>1725</v>
      </c>
      <c r="MP82" s="5">
        <f t="shared" si="65"/>
        <v>1707</v>
      </c>
      <c r="MQ82" s="5">
        <f t="shared" si="65"/>
        <v>1689</v>
      </c>
      <c r="MR82" s="5">
        <f t="shared" si="65"/>
        <v>1670</v>
      </c>
      <c r="MS82" s="5">
        <f t="shared" si="65"/>
        <v>1651</v>
      </c>
      <c r="MT82" s="5">
        <f t="shared" si="65"/>
        <v>1638</v>
      </c>
      <c r="MU82" s="5">
        <f t="shared" si="65"/>
        <v>1619</v>
      </c>
      <c r="MV82" s="5">
        <f t="shared" si="65"/>
        <v>1602</v>
      </c>
      <c r="MW82" s="5">
        <f t="shared" si="65"/>
        <v>1585</v>
      </c>
      <c r="MX82" s="5">
        <f t="shared" si="65"/>
        <v>1561</v>
      </c>
      <c r="MY82" s="5">
        <f t="shared" si="65"/>
        <v>1540</v>
      </c>
      <c r="MZ82" s="5">
        <f t="shared" si="65"/>
        <v>1527</v>
      </c>
      <c r="NA82" s="5">
        <f t="shared" si="65"/>
        <v>1521</v>
      </c>
      <c r="NB82" s="5">
        <f t="shared" si="65"/>
        <v>1511</v>
      </c>
      <c r="NC82" s="5">
        <f t="shared" si="65"/>
        <v>1498</v>
      </c>
      <c r="ND82" s="5">
        <f t="shared" si="65"/>
        <v>1309</v>
      </c>
      <c r="NE82" s="5">
        <f t="shared" si="65"/>
        <v>1106.0999999999999</v>
      </c>
      <c r="NF82" s="5">
        <f t="shared" si="65"/>
        <v>1029.4000000000001</v>
      </c>
      <c r="NG82" s="5">
        <f t="shared" si="65"/>
        <v>1181</v>
      </c>
      <c r="NH82" s="5">
        <f t="shared" si="65"/>
        <v>1915</v>
      </c>
      <c r="NI82" s="5">
        <f t="shared" si="65"/>
        <v>4147</v>
      </c>
      <c r="NJ82" s="5">
        <f t="shared" si="65"/>
        <v>8551</v>
      </c>
      <c r="NK82" s="5">
        <f t="shared" si="65"/>
        <v>7392</v>
      </c>
      <c r="NL82" s="5">
        <f t="shared" si="65"/>
        <v>8965</v>
      </c>
      <c r="NM82" s="5">
        <f t="shared" si="65"/>
        <v>6161</v>
      </c>
      <c r="NN82" s="5">
        <f t="shared" si="65"/>
        <v>2846</v>
      </c>
      <c r="NO82" s="5">
        <f t="shared" si="65"/>
        <v>1766</v>
      </c>
      <c r="NP82" s="5">
        <f t="shared" si="65"/>
        <v>3881.233008458717</v>
      </c>
      <c r="NQ82" s="5">
        <f t="shared" si="65"/>
        <v>14180</v>
      </c>
      <c r="NR82" s="5">
        <f t="shared" si="65"/>
        <v>42599.199999999997</v>
      </c>
      <c r="NS82" s="5">
        <f t="shared" si="65"/>
        <v>985.2</v>
      </c>
      <c r="NT82" s="5">
        <f t="shared" si="65"/>
        <v>42448.7</v>
      </c>
      <c r="NU82" s="5"/>
      <c r="NV82" s="5"/>
      <c r="NW82" s="5"/>
      <c r="NX82" s="5"/>
      <c r="NY82" s="5"/>
      <c r="NZ82" s="5"/>
      <c r="OA82" s="5"/>
      <c r="OB82" s="5"/>
      <c r="OC82" s="5"/>
      <c r="OD82" s="5"/>
      <c r="OE82" s="5"/>
    </row>
    <row r="83" spans="1:395" customFormat="1" x14ac:dyDescent="0.15">
      <c r="A83" s="9" t="s">
        <v>45</v>
      </c>
      <c r="B83" s="5">
        <f>AVERAGE(B44:B53)</f>
        <v>1542.1</v>
      </c>
      <c r="C83" s="5">
        <f t="shared" ref="C83:BN83" si="66">AVERAGE(C44:C53)</f>
        <v>1572.6</v>
      </c>
      <c r="D83" s="5">
        <f t="shared" si="66"/>
        <v>1563</v>
      </c>
      <c r="E83" s="5">
        <f t="shared" si="66"/>
        <v>1559</v>
      </c>
      <c r="F83" s="5">
        <f t="shared" si="66"/>
        <v>1498</v>
      </c>
      <c r="G83" s="5">
        <f t="shared" si="66"/>
        <v>1481</v>
      </c>
      <c r="H83" s="5">
        <f t="shared" si="66"/>
        <v>1460.8</v>
      </c>
      <c r="I83" s="5">
        <f t="shared" si="66"/>
        <v>1437.2</v>
      </c>
      <c r="J83" s="5">
        <f t="shared" si="66"/>
        <v>1416.1</v>
      </c>
      <c r="K83" s="5">
        <f t="shared" si="66"/>
        <v>1395.2</v>
      </c>
      <c r="L83" s="5">
        <f t="shared" si="66"/>
        <v>1384</v>
      </c>
      <c r="M83" s="5">
        <f t="shared" si="66"/>
        <v>1396.2</v>
      </c>
      <c r="N83" s="5">
        <f t="shared" si="66"/>
        <v>1393.9</v>
      </c>
      <c r="O83" s="5">
        <f t="shared" si="66"/>
        <v>1395.6</v>
      </c>
      <c r="P83" s="5">
        <f t="shared" si="66"/>
        <v>1393.1</v>
      </c>
      <c r="Q83" s="5">
        <f t="shared" si="66"/>
        <v>1483.7</v>
      </c>
      <c r="R83" s="5">
        <f t="shared" si="66"/>
        <v>1482.8</v>
      </c>
      <c r="S83" s="5">
        <f t="shared" si="66"/>
        <v>1471.1</v>
      </c>
      <c r="T83" s="5">
        <f t="shared" si="66"/>
        <v>1478.6</v>
      </c>
      <c r="U83" s="5">
        <f t="shared" si="66"/>
        <v>1452.5</v>
      </c>
      <c r="V83" s="5">
        <f t="shared" si="66"/>
        <v>1442</v>
      </c>
      <c r="W83" s="5">
        <f t="shared" si="66"/>
        <v>1426.9</v>
      </c>
      <c r="X83" s="5">
        <f t="shared" si="66"/>
        <v>1405.3</v>
      </c>
      <c r="Y83" s="5">
        <f t="shared" si="66"/>
        <v>1380</v>
      </c>
      <c r="Z83" s="5">
        <f t="shared" si="66"/>
        <v>1341.6</v>
      </c>
      <c r="AA83" s="5">
        <f t="shared" si="66"/>
        <v>1335.6</v>
      </c>
      <c r="AB83" s="5">
        <f t="shared" si="66"/>
        <v>1346.9</v>
      </c>
      <c r="AC83" s="5">
        <f t="shared" si="66"/>
        <v>1339</v>
      </c>
      <c r="AD83" s="5">
        <f t="shared" si="66"/>
        <v>1325.1</v>
      </c>
      <c r="AE83" s="5">
        <f t="shared" si="66"/>
        <v>1314.1</v>
      </c>
      <c r="AF83" s="5">
        <f t="shared" si="66"/>
        <v>1305.3</v>
      </c>
      <c r="AG83" s="5">
        <f t="shared" si="66"/>
        <v>1301.5999999999999</v>
      </c>
      <c r="AH83" s="5">
        <f t="shared" si="66"/>
        <v>1279.9000000000001</v>
      </c>
      <c r="AI83" s="5">
        <f t="shared" si="66"/>
        <v>1279.3</v>
      </c>
      <c r="AJ83" s="5">
        <f t="shared" si="66"/>
        <v>1291.5</v>
      </c>
      <c r="AK83" s="5">
        <f t="shared" si="66"/>
        <v>1278.9000000000001</v>
      </c>
      <c r="AL83" s="5">
        <f t="shared" si="66"/>
        <v>1270.2</v>
      </c>
      <c r="AM83" s="5">
        <f t="shared" si="66"/>
        <v>1254.4000000000001</v>
      </c>
      <c r="AN83" s="5">
        <f t="shared" si="66"/>
        <v>1236.5</v>
      </c>
      <c r="AO83" s="5">
        <f t="shared" si="66"/>
        <v>1232.8</v>
      </c>
      <c r="AP83" s="5">
        <f t="shared" si="66"/>
        <v>1236</v>
      </c>
      <c r="AQ83" s="5">
        <f t="shared" si="66"/>
        <v>1234.5999999999999</v>
      </c>
      <c r="AR83" s="5">
        <f t="shared" si="66"/>
        <v>1281</v>
      </c>
      <c r="AS83" s="5">
        <f t="shared" si="66"/>
        <v>1273.0999999999999</v>
      </c>
      <c r="AT83" s="5">
        <f t="shared" si="66"/>
        <v>1263.5999999999999</v>
      </c>
      <c r="AU83" s="5">
        <f t="shared" si="66"/>
        <v>1250.5999999999999</v>
      </c>
      <c r="AV83" s="5">
        <f t="shared" si="66"/>
        <v>1241.4000000000001</v>
      </c>
      <c r="AW83" s="5">
        <f t="shared" si="66"/>
        <v>1235.8</v>
      </c>
      <c r="AX83" s="5">
        <f t="shared" si="66"/>
        <v>1232</v>
      </c>
      <c r="AY83" s="5">
        <f t="shared" si="66"/>
        <v>1240.5999999999999</v>
      </c>
      <c r="AZ83" s="5">
        <f t="shared" si="66"/>
        <v>1238.0999999999999</v>
      </c>
      <c r="BA83" s="5">
        <f t="shared" si="66"/>
        <v>1243</v>
      </c>
      <c r="BB83" s="5">
        <f t="shared" si="66"/>
        <v>1239</v>
      </c>
      <c r="BC83" s="5">
        <f t="shared" si="66"/>
        <v>1237.8</v>
      </c>
      <c r="BD83" s="5">
        <f t="shared" si="66"/>
        <v>1242.2</v>
      </c>
      <c r="BE83" s="5">
        <f t="shared" si="66"/>
        <v>1233.2</v>
      </c>
      <c r="BF83" s="5">
        <f t="shared" si="66"/>
        <v>1228.0999999999999</v>
      </c>
      <c r="BG83" s="5">
        <f t="shared" si="66"/>
        <v>1172</v>
      </c>
      <c r="BH83" s="5">
        <f t="shared" si="66"/>
        <v>1160.5999999999999</v>
      </c>
      <c r="BI83" s="5">
        <f t="shared" si="66"/>
        <v>1316.6666666666667</v>
      </c>
      <c r="BJ83" s="5">
        <f t="shared" si="66"/>
        <v>1154.4000000000001</v>
      </c>
      <c r="BK83" s="5">
        <f t="shared" si="66"/>
        <v>1150.5</v>
      </c>
      <c r="BL83" s="5">
        <f t="shared" si="66"/>
        <v>1143.5999999999999</v>
      </c>
      <c r="BM83" s="5">
        <f t="shared" si="66"/>
        <v>1134.4000000000001</v>
      </c>
      <c r="BN83" s="5">
        <f t="shared" si="66"/>
        <v>1133.2</v>
      </c>
      <c r="BO83" s="5">
        <f t="shared" ref="BO83:DZ83" si="67">AVERAGE(BO44:BO53)</f>
        <v>1124.4000000000001</v>
      </c>
      <c r="BP83" s="5">
        <f t="shared" si="67"/>
        <v>1118.3</v>
      </c>
      <c r="BQ83" s="5">
        <f t="shared" si="67"/>
        <v>1115.3</v>
      </c>
      <c r="BR83" s="5">
        <f t="shared" si="67"/>
        <v>1109.7</v>
      </c>
      <c r="BS83" s="5">
        <f t="shared" si="67"/>
        <v>1117.5</v>
      </c>
      <c r="BT83" s="5">
        <f t="shared" si="67"/>
        <v>1122.7</v>
      </c>
      <c r="BU83" s="5">
        <f t="shared" si="67"/>
        <v>1119.5</v>
      </c>
      <c r="BV83" s="5">
        <f t="shared" si="67"/>
        <v>1121.0999999999999</v>
      </c>
      <c r="BW83" s="5">
        <f t="shared" si="67"/>
        <v>1106.2</v>
      </c>
      <c r="BX83" s="5">
        <f t="shared" si="67"/>
        <v>1098.8</v>
      </c>
      <c r="BY83" s="5">
        <f t="shared" si="67"/>
        <v>1106.2</v>
      </c>
      <c r="BZ83" s="5">
        <f t="shared" si="67"/>
        <v>1095.5</v>
      </c>
      <c r="CA83" s="5">
        <f t="shared" si="67"/>
        <v>1097.5999999999999</v>
      </c>
      <c r="CB83" s="5">
        <f t="shared" si="67"/>
        <v>1111</v>
      </c>
      <c r="CC83" s="5">
        <f t="shared" si="67"/>
        <v>1118.2</v>
      </c>
      <c r="CD83" s="5">
        <f t="shared" si="67"/>
        <v>1127.3</v>
      </c>
      <c r="CE83" s="5">
        <f t="shared" si="67"/>
        <v>1124.4000000000001</v>
      </c>
      <c r="CF83" s="5">
        <f t="shared" si="67"/>
        <v>1115.2</v>
      </c>
      <c r="CG83" s="5">
        <f t="shared" si="67"/>
        <v>1106.2</v>
      </c>
      <c r="CH83" s="5">
        <f t="shared" si="67"/>
        <v>1133.2</v>
      </c>
      <c r="CI83" s="5">
        <f t="shared" si="67"/>
        <v>1158.8</v>
      </c>
      <c r="CJ83" s="5">
        <f t="shared" si="67"/>
        <v>1173.5</v>
      </c>
      <c r="CK83" s="5">
        <f t="shared" si="67"/>
        <v>1209.3</v>
      </c>
      <c r="CL83" s="5">
        <f t="shared" si="67"/>
        <v>1224.0999999999999</v>
      </c>
      <c r="CM83" s="5">
        <f t="shared" si="67"/>
        <v>1229.8</v>
      </c>
      <c r="CN83" s="5">
        <f t="shared" si="67"/>
        <v>1222.3</v>
      </c>
      <c r="CO83" s="5">
        <f t="shared" si="67"/>
        <v>1228.3</v>
      </c>
      <c r="CP83" s="5">
        <f t="shared" si="67"/>
        <v>1235.9000000000001</v>
      </c>
      <c r="CQ83" s="5">
        <f t="shared" si="67"/>
        <v>1253.5999999999999</v>
      </c>
      <c r="CR83" s="5">
        <f t="shared" si="67"/>
        <v>1249.0999999999999</v>
      </c>
      <c r="CS83" s="5">
        <f t="shared" si="67"/>
        <v>1255.9000000000001</v>
      </c>
      <c r="CT83" s="5">
        <f t="shared" si="67"/>
        <v>1266.5</v>
      </c>
      <c r="CU83" s="5">
        <f t="shared" si="67"/>
        <v>1261.7</v>
      </c>
      <c r="CV83" s="5">
        <f t="shared" si="67"/>
        <v>1241.9000000000001</v>
      </c>
      <c r="CW83" s="5">
        <f t="shared" si="67"/>
        <v>1248</v>
      </c>
      <c r="CX83" s="5">
        <f t="shared" si="67"/>
        <v>1252.0999999999999</v>
      </c>
      <c r="CY83" s="5">
        <f t="shared" si="67"/>
        <v>1248.5999999999999</v>
      </c>
      <c r="CZ83" s="5">
        <f t="shared" si="67"/>
        <v>1251.5999999999999</v>
      </c>
      <c r="DA83" s="5">
        <f t="shared" si="67"/>
        <v>1279.5999999999999</v>
      </c>
      <c r="DB83" s="5">
        <f t="shared" si="67"/>
        <v>1316.9</v>
      </c>
      <c r="DC83" s="5">
        <f t="shared" si="67"/>
        <v>1340.4</v>
      </c>
      <c r="DD83" s="5">
        <f t="shared" si="67"/>
        <v>1360</v>
      </c>
      <c r="DE83" s="5">
        <f t="shared" si="67"/>
        <v>1374.8</v>
      </c>
      <c r="DF83" s="5">
        <f t="shared" si="67"/>
        <v>1366.1</v>
      </c>
      <c r="DG83" s="5">
        <f t="shared" si="67"/>
        <v>1351.2</v>
      </c>
      <c r="DH83" s="5">
        <f t="shared" si="67"/>
        <v>1346.7</v>
      </c>
      <c r="DI83" s="5">
        <f t="shared" si="67"/>
        <v>1334.1</v>
      </c>
      <c r="DJ83" s="5">
        <f t="shared" si="67"/>
        <v>1331.2</v>
      </c>
      <c r="DK83" s="5">
        <f t="shared" si="67"/>
        <v>1387.1</v>
      </c>
      <c r="DL83" s="5">
        <f t="shared" si="67"/>
        <v>1427.6</v>
      </c>
      <c r="DM83" s="5">
        <f t="shared" si="67"/>
        <v>1466.4</v>
      </c>
      <c r="DN83" s="5">
        <f t="shared" si="67"/>
        <v>1473.6</v>
      </c>
      <c r="DO83" s="5">
        <f t="shared" si="67"/>
        <v>1471.8</v>
      </c>
      <c r="DP83" s="5">
        <f t="shared" si="67"/>
        <v>1474.2</v>
      </c>
      <c r="DQ83" s="5">
        <f t="shared" si="67"/>
        <v>1489</v>
      </c>
      <c r="DR83" s="5">
        <f t="shared" si="67"/>
        <v>1513.5</v>
      </c>
      <c r="DS83" s="5">
        <f t="shared" si="67"/>
        <v>1544</v>
      </c>
      <c r="DT83" s="5">
        <f t="shared" si="67"/>
        <v>1527</v>
      </c>
      <c r="DU83" s="5">
        <f t="shared" si="67"/>
        <v>1482</v>
      </c>
      <c r="DV83" s="5">
        <f t="shared" si="67"/>
        <v>1540</v>
      </c>
      <c r="DW83" s="5">
        <f t="shared" si="67"/>
        <v>1621</v>
      </c>
      <c r="DX83" s="5">
        <f t="shared" si="67"/>
        <v>1700</v>
      </c>
      <c r="DY83" s="5">
        <f t="shared" si="67"/>
        <v>1741</v>
      </c>
      <c r="DZ83" s="5">
        <f t="shared" si="67"/>
        <v>1793</v>
      </c>
      <c r="EA83" s="5">
        <f t="shared" ref="EA83:GL83" si="68">AVERAGE(EA44:EA53)</f>
        <v>1866</v>
      </c>
      <c r="EB83" s="5">
        <f t="shared" si="68"/>
        <v>1924</v>
      </c>
      <c r="EC83" s="5">
        <f t="shared" si="68"/>
        <v>1945</v>
      </c>
      <c r="ED83" s="5">
        <f t="shared" si="68"/>
        <v>1935</v>
      </c>
      <c r="EE83" s="5">
        <f t="shared" si="68"/>
        <v>1941</v>
      </c>
      <c r="EF83" s="5">
        <f t="shared" si="68"/>
        <v>1939</v>
      </c>
      <c r="EG83" s="5">
        <f t="shared" si="68"/>
        <v>1945</v>
      </c>
      <c r="EH83" s="5">
        <f t="shared" si="68"/>
        <v>1983</v>
      </c>
      <c r="EI83" s="5">
        <f t="shared" si="68"/>
        <v>2018</v>
      </c>
      <c r="EJ83" s="5">
        <f t="shared" si="68"/>
        <v>2044</v>
      </c>
      <c r="EK83" s="5">
        <f t="shared" si="68"/>
        <v>2058</v>
      </c>
      <c r="EL83" s="5">
        <f t="shared" si="68"/>
        <v>2089</v>
      </c>
      <c r="EM83" s="5">
        <f t="shared" si="68"/>
        <v>2150</v>
      </c>
      <c r="EN83" s="5">
        <f t="shared" si="68"/>
        <v>2277</v>
      </c>
      <c r="EO83" s="5">
        <f t="shared" si="68"/>
        <v>2290</v>
      </c>
      <c r="EP83" s="5">
        <f t="shared" si="68"/>
        <v>2313</v>
      </c>
      <c r="EQ83" s="5">
        <f t="shared" si="68"/>
        <v>2343</v>
      </c>
      <c r="ER83" s="5">
        <f t="shared" si="68"/>
        <v>2411</v>
      </c>
      <c r="ES83" s="5">
        <f t="shared" si="68"/>
        <v>2500</v>
      </c>
      <c r="ET83" s="5">
        <f t="shared" si="68"/>
        <v>2615</v>
      </c>
      <c r="EU83" s="5">
        <f t="shared" si="68"/>
        <v>2665</v>
      </c>
      <c r="EV83" s="5">
        <f t="shared" si="68"/>
        <v>2616</v>
      </c>
      <c r="EW83" s="5">
        <f t="shared" si="68"/>
        <v>2602</v>
      </c>
      <c r="EX83" s="5">
        <f t="shared" si="68"/>
        <v>2642</v>
      </c>
      <c r="EY83" s="5">
        <f t="shared" si="68"/>
        <v>2764</v>
      </c>
      <c r="EZ83" s="5">
        <f t="shared" si="68"/>
        <v>2911</v>
      </c>
      <c r="FA83" s="5">
        <f t="shared" si="68"/>
        <v>2993</v>
      </c>
      <c r="FB83" s="5">
        <f t="shared" si="68"/>
        <v>3099</v>
      </c>
      <c r="FC83" s="5">
        <f t="shared" si="68"/>
        <v>3255</v>
      </c>
      <c r="FD83" s="5">
        <f t="shared" si="68"/>
        <v>3353</v>
      </c>
      <c r="FE83" s="5">
        <f t="shared" si="68"/>
        <v>3568</v>
      </c>
      <c r="FF83" s="5">
        <f t="shared" si="68"/>
        <v>3510</v>
      </c>
      <c r="FG83" s="5">
        <f t="shared" si="68"/>
        <v>3471</v>
      </c>
      <c r="FH83" s="5">
        <f t="shared" si="68"/>
        <v>3490</v>
      </c>
      <c r="FI83" s="5">
        <f t="shared" si="68"/>
        <v>3440</v>
      </c>
      <c r="FJ83" s="5">
        <f t="shared" si="68"/>
        <v>3444</v>
      </c>
      <c r="FK83" s="5">
        <f t="shared" si="68"/>
        <v>3602</v>
      </c>
      <c r="FL83" s="5">
        <f t="shared" si="68"/>
        <v>3843</v>
      </c>
      <c r="FM83" s="5">
        <f t="shared" si="68"/>
        <v>4149</v>
      </c>
      <c r="FN83" s="5">
        <f t="shared" si="68"/>
        <v>4340</v>
      </c>
      <c r="FO83" s="5">
        <f t="shared" si="68"/>
        <v>4634</v>
      </c>
      <c r="FP83" s="5">
        <f t="shared" si="68"/>
        <v>4632</v>
      </c>
      <c r="FQ83" s="5">
        <f t="shared" si="68"/>
        <v>4943</v>
      </c>
      <c r="FR83" s="5">
        <f t="shared" si="68"/>
        <v>5403</v>
      </c>
      <c r="FS83" s="5">
        <f t="shared" si="68"/>
        <v>5812</v>
      </c>
      <c r="FT83" s="5">
        <f t="shared" si="68"/>
        <v>5428</v>
      </c>
      <c r="FU83" s="5">
        <f t="shared" si="68"/>
        <v>5212</v>
      </c>
      <c r="FV83" s="5">
        <f t="shared" si="68"/>
        <v>5278</v>
      </c>
      <c r="FW83" s="5">
        <f t="shared" si="68"/>
        <v>5418</v>
      </c>
      <c r="FX83" s="5">
        <f t="shared" si="68"/>
        <v>5533</v>
      </c>
      <c r="FY83" s="5">
        <f t="shared" si="68"/>
        <v>5847</v>
      </c>
      <c r="FZ83" s="5">
        <f t="shared" si="68"/>
        <v>6032</v>
      </c>
      <c r="GA83" s="5">
        <f t="shared" si="68"/>
        <v>6233</v>
      </c>
      <c r="GB83" s="5">
        <f t="shared" si="68"/>
        <v>6929</v>
      </c>
      <c r="GC83" s="5">
        <f t="shared" si="68"/>
        <v>7529</v>
      </c>
      <c r="GD83" s="5">
        <f t="shared" si="68"/>
        <v>8213</v>
      </c>
      <c r="GE83" s="5">
        <f t="shared" si="68"/>
        <v>8550</v>
      </c>
      <c r="GF83" s="5">
        <f t="shared" si="68"/>
        <v>8778</v>
      </c>
      <c r="GG83" s="5">
        <f t="shared" si="68"/>
        <v>9035</v>
      </c>
      <c r="GH83" s="5">
        <f t="shared" si="68"/>
        <v>9362</v>
      </c>
      <c r="GI83" s="5">
        <f t="shared" si="68"/>
        <v>9919</v>
      </c>
      <c r="GJ83" s="5">
        <f t="shared" si="68"/>
        <v>10497</v>
      </c>
      <c r="GK83" s="5">
        <f t="shared" si="68"/>
        <v>10907</v>
      </c>
      <c r="GL83" s="5">
        <f t="shared" si="68"/>
        <v>11141</v>
      </c>
      <c r="GM83" s="5">
        <f t="shared" ref="GM83:IX83" si="69">AVERAGE(GM44:GM53)</f>
        <v>11283</v>
      </c>
      <c r="GN83" s="5">
        <f t="shared" si="69"/>
        <v>10892</v>
      </c>
      <c r="GO83" s="5">
        <f t="shared" si="69"/>
        <v>10436</v>
      </c>
      <c r="GP83" s="5">
        <f t="shared" si="69"/>
        <v>10669</v>
      </c>
      <c r="GQ83" s="5">
        <f t="shared" si="69"/>
        <v>11004</v>
      </c>
      <c r="GR83" s="5">
        <f t="shared" si="69"/>
        <v>10882</v>
      </c>
      <c r="GS83" s="5">
        <f t="shared" si="69"/>
        <v>10664</v>
      </c>
      <c r="GT83" s="5">
        <f t="shared" si="69"/>
        <v>10350</v>
      </c>
      <c r="GU83" s="5">
        <f t="shared" si="69"/>
        <v>10198</v>
      </c>
      <c r="GV83" s="5">
        <f t="shared" si="69"/>
        <v>9733</v>
      </c>
      <c r="GW83" s="5">
        <f t="shared" si="69"/>
        <v>9261</v>
      </c>
      <c r="GX83" s="5">
        <f t="shared" si="69"/>
        <v>9110</v>
      </c>
      <c r="GY83" s="5">
        <f t="shared" si="69"/>
        <v>9354</v>
      </c>
      <c r="GZ83" s="5">
        <f t="shared" si="69"/>
        <v>9119</v>
      </c>
      <c r="HA83" s="5">
        <f t="shared" si="69"/>
        <v>8834</v>
      </c>
      <c r="HB83" s="5">
        <f t="shared" si="69"/>
        <v>8524</v>
      </c>
      <c r="HC83" s="5">
        <f t="shared" si="69"/>
        <v>8181</v>
      </c>
      <c r="HD83" s="5">
        <f t="shared" si="69"/>
        <v>7915</v>
      </c>
      <c r="HE83" s="5">
        <f t="shared" si="69"/>
        <v>7844</v>
      </c>
      <c r="HF83" s="5">
        <f t="shared" si="69"/>
        <v>7985</v>
      </c>
      <c r="HG83" s="5">
        <f t="shared" si="69"/>
        <v>8326</v>
      </c>
      <c r="HH83" s="5">
        <f t="shared" si="69"/>
        <v>8731</v>
      </c>
      <c r="HI83" s="5">
        <f t="shared" si="69"/>
        <v>8883</v>
      </c>
      <c r="HJ83" s="5">
        <f t="shared" si="69"/>
        <v>8923</v>
      </c>
      <c r="HK83" s="5">
        <f t="shared" si="69"/>
        <v>9210</v>
      </c>
      <c r="HL83" s="5">
        <f t="shared" si="69"/>
        <v>9368</v>
      </c>
      <c r="HM83" s="5">
        <f t="shared" si="69"/>
        <v>9438</v>
      </c>
      <c r="HN83" s="5">
        <f t="shared" si="69"/>
        <v>9432</v>
      </c>
      <c r="HO83" s="5">
        <f t="shared" si="69"/>
        <v>9460</v>
      </c>
      <c r="HP83" s="5">
        <f t="shared" si="69"/>
        <v>9710</v>
      </c>
      <c r="HQ83" s="5">
        <f t="shared" si="69"/>
        <v>9917</v>
      </c>
      <c r="HR83" s="5">
        <f t="shared" si="69"/>
        <v>9930</v>
      </c>
      <c r="HS83" s="5">
        <f t="shared" si="69"/>
        <v>10020</v>
      </c>
      <c r="HT83" s="5">
        <f t="shared" si="69"/>
        <v>10069</v>
      </c>
      <c r="HU83" s="5">
        <f t="shared" si="69"/>
        <v>9918</v>
      </c>
      <c r="HV83" s="5">
        <f t="shared" si="69"/>
        <v>9951</v>
      </c>
      <c r="HW83" s="5">
        <f t="shared" si="69"/>
        <v>10123</v>
      </c>
      <c r="HX83" s="5">
        <f t="shared" si="69"/>
        <v>10478</v>
      </c>
      <c r="HY83" s="5">
        <f t="shared" si="69"/>
        <v>10397</v>
      </c>
      <c r="HZ83" s="5">
        <f t="shared" si="69"/>
        <v>10232</v>
      </c>
      <c r="IA83" s="5">
        <f t="shared" si="69"/>
        <v>9922</v>
      </c>
      <c r="IB83" s="5">
        <f t="shared" si="69"/>
        <v>9872</v>
      </c>
      <c r="IC83" s="5">
        <f t="shared" si="69"/>
        <v>9787</v>
      </c>
      <c r="ID83" s="5">
        <f t="shared" si="69"/>
        <v>9577</v>
      </c>
      <c r="IE83" s="5">
        <f t="shared" si="69"/>
        <v>9648</v>
      </c>
      <c r="IF83" s="5">
        <f t="shared" si="69"/>
        <v>9880</v>
      </c>
      <c r="IG83" s="5">
        <f t="shared" si="69"/>
        <v>10158</v>
      </c>
      <c r="IH83" s="5">
        <f t="shared" si="69"/>
        <v>10480</v>
      </c>
      <c r="II83" s="5">
        <f t="shared" si="69"/>
        <v>10820</v>
      </c>
      <c r="IJ83" s="5">
        <f t="shared" si="69"/>
        <v>11213</v>
      </c>
      <c r="IK83" s="5">
        <f t="shared" si="69"/>
        <v>11404</v>
      </c>
      <c r="IL83" s="5">
        <f t="shared" si="69"/>
        <v>11191</v>
      </c>
      <c r="IM83" s="5">
        <f t="shared" si="69"/>
        <v>10892</v>
      </c>
      <c r="IN83" s="5">
        <f t="shared" si="69"/>
        <v>11000</v>
      </c>
      <c r="IO83" s="5">
        <f t="shared" si="69"/>
        <v>11428</v>
      </c>
      <c r="IP83" s="5">
        <f t="shared" si="69"/>
        <v>11131</v>
      </c>
      <c r="IQ83" s="5">
        <f t="shared" si="69"/>
        <v>10746</v>
      </c>
      <c r="IR83" s="5">
        <f t="shared" si="69"/>
        <v>10382</v>
      </c>
      <c r="IS83" s="5">
        <f t="shared" si="69"/>
        <v>9921</v>
      </c>
      <c r="IT83" s="5">
        <f t="shared" si="69"/>
        <v>9508</v>
      </c>
      <c r="IU83" s="5">
        <f t="shared" si="69"/>
        <v>9195</v>
      </c>
      <c r="IV83" s="5">
        <f t="shared" si="69"/>
        <v>9079</v>
      </c>
      <c r="IW83" s="5">
        <f t="shared" si="69"/>
        <v>9193</v>
      </c>
      <c r="IX83" s="5">
        <f t="shared" si="69"/>
        <v>9380</v>
      </c>
      <c r="IY83" s="5">
        <f t="shared" ref="IY83:LJ83" si="70">AVERAGE(IY44:IY53)</f>
        <v>9260</v>
      </c>
      <c r="IZ83" s="5">
        <f t="shared" si="70"/>
        <v>8763</v>
      </c>
      <c r="JA83" s="5">
        <f t="shared" si="70"/>
        <v>8523</v>
      </c>
      <c r="JB83" s="5">
        <f t="shared" si="70"/>
        <v>8505</v>
      </c>
      <c r="JC83" s="5">
        <f t="shared" si="70"/>
        <v>8596</v>
      </c>
      <c r="JD83" s="5">
        <f t="shared" si="70"/>
        <v>8877</v>
      </c>
      <c r="JE83" s="5">
        <f t="shared" si="70"/>
        <v>9343</v>
      </c>
      <c r="JF83" s="5">
        <f t="shared" si="70"/>
        <v>9359</v>
      </c>
      <c r="JG83" s="5">
        <f t="shared" si="70"/>
        <v>8741</v>
      </c>
      <c r="JH83" s="5">
        <f t="shared" si="70"/>
        <v>8475</v>
      </c>
      <c r="JI83" s="5">
        <f t="shared" si="70"/>
        <v>8437</v>
      </c>
      <c r="JJ83" s="5">
        <f t="shared" si="70"/>
        <v>8584</v>
      </c>
      <c r="JK83" s="5">
        <f t="shared" si="70"/>
        <v>8580</v>
      </c>
      <c r="JL83" s="5">
        <f t="shared" si="70"/>
        <v>8544</v>
      </c>
      <c r="JM83" s="5">
        <f t="shared" si="70"/>
        <v>8341</v>
      </c>
      <c r="JN83" s="5">
        <f t="shared" si="70"/>
        <v>8141</v>
      </c>
      <c r="JO83" s="5">
        <f t="shared" si="70"/>
        <v>7843</v>
      </c>
      <c r="JP83" s="5">
        <f t="shared" si="70"/>
        <v>7530</v>
      </c>
      <c r="JQ83" s="5">
        <f t="shared" si="70"/>
        <v>7354</v>
      </c>
      <c r="JR83" s="5">
        <f t="shared" si="70"/>
        <v>7366</v>
      </c>
      <c r="JS83" s="5">
        <f t="shared" si="70"/>
        <v>6943</v>
      </c>
      <c r="JT83" s="5">
        <f t="shared" si="70"/>
        <v>6807</v>
      </c>
      <c r="JU83" s="5">
        <f t="shared" si="70"/>
        <v>6839</v>
      </c>
      <c r="JV83" s="5">
        <f t="shared" si="70"/>
        <v>6707</v>
      </c>
      <c r="JW83" s="5">
        <f t="shared" si="70"/>
        <v>6810</v>
      </c>
      <c r="JX83" s="5">
        <f t="shared" si="70"/>
        <v>6899</v>
      </c>
      <c r="JY83" s="5">
        <f t="shared" si="70"/>
        <v>6585</v>
      </c>
      <c r="JZ83" s="5">
        <f t="shared" si="70"/>
        <v>6259</v>
      </c>
      <c r="KA83" s="5">
        <f t="shared" si="70"/>
        <v>5867</v>
      </c>
      <c r="KB83" s="5">
        <f t="shared" si="70"/>
        <v>5783</v>
      </c>
      <c r="KC83" s="5">
        <f t="shared" si="70"/>
        <v>5557</v>
      </c>
      <c r="KD83" s="5">
        <f t="shared" si="70"/>
        <v>5506</v>
      </c>
      <c r="KE83" s="5">
        <f t="shared" si="70"/>
        <v>5447</v>
      </c>
      <c r="KF83" s="5">
        <f t="shared" si="70"/>
        <v>5272</v>
      </c>
      <c r="KG83" s="5">
        <f t="shared" si="70"/>
        <v>5090</v>
      </c>
      <c r="KH83" s="5">
        <f t="shared" si="70"/>
        <v>5015</v>
      </c>
      <c r="KI83" s="5">
        <f t="shared" si="70"/>
        <v>4988</v>
      </c>
      <c r="KJ83" s="5">
        <f t="shared" si="70"/>
        <v>4697</v>
      </c>
      <c r="KK83" s="5">
        <f t="shared" si="70"/>
        <v>4692</v>
      </c>
      <c r="KL83" s="5">
        <f t="shared" si="70"/>
        <v>4483</v>
      </c>
      <c r="KM83" s="5">
        <f t="shared" si="70"/>
        <v>4603</v>
      </c>
      <c r="KN83" s="5">
        <f t="shared" si="70"/>
        <v>4548</v>
      </c>
      <c r="KO83" s="5">
        <f t="shared" si="70"/>
        <v>4610</v>
      </c>
      <c r="KP83" s="5">
        <f t="shared" si="70"/>
        <v>4449</v>
      </c>
      <c r="KQ83" s="5">
        <f t="shared" si="70"/>
        <v>4316</v>
      </c>
      <c r="KR83" s="5">
        <f t="shared" si="70"/>
        <v>4336</v>
      </c>
      <c r="KS83" s="5">
        <f t="shared" si="70"/>
        <v>4097</v>
      </c>
      <c r="KT83" s="5">
        <f t="shared" si="70"/>
        <v>4062</v>
      </c>
      <c r="KU83" s="5">
        <f t="shared" si="70"/>
        <v>4009</v>
      </c>
      <c r="KV83" s="5">
        <f t="shared" si="70"/>
        <v>4032</v>
      </c>
      <c r="KW83" s="5">
        <f t="shared" si="70"/>
        <v>3963</v>
      </c>
      <c r="KX83" s="5">
        <f t="shared" si="70"/>
        <v>3899</v>
      </c>
      <c r="KY83" s="5">
        <f t="shared" si="70"/>
        <v>3806</v>
      </c>
      <c r="KZ83" s="5">
        <f t="shared" si="70"/>
        <v>3638</v>
      </c>
      <c r="LA83" s="5">
        <f t="shared" si="70"/>
        <v>3550</v>
      </c>
      <c r="LB83" s="5">
        <f t="shared" si="70"/>
        <v>3441</v>
      </c>
      <c r="LC83" s="5">
        <f t="shared" si="70"/>
        <v>3321</v>
      </c>
      <c r="LD83" s="5">
        <f t="shared" si="70"/>
        <v>3242</v>
      </c>
      <c r="LE83" s="5">
        <f t="shared" si="70"/>
        <v>3162</v>
      </c>
      <c r="LF83" s="5">
        <f t="shared" si="70"/>
        <v>3068</v>
      </c>
      <c r="LG83" s="5">
        <f t="shared" si="70"/>
        <v>2993</v>
      </c>
      <c r="LH83" s="5">
        <f t="shared" si="70"/>
        <v>2934</v>
      </c>
      <c r="LI83" s="5">
        <f t="shared" si="70"/>
        <v>2883</v>
      </c>
      <c r="LJ83" s="5">
        <f t="shared" si="70"/>
        <v>2778</v>
      </c>
      <c r="LK83" s="5">
        <f t="shared" ref="LK83:NT83" si="71">AVERAGE(LK44:LK53)</f>
        <v>2751</v>
      </c>
      <c r="LL83" s="5">
        <f t="shared" si="71"/>
        <v>2713</v>
      </c>
      <c r="LM83" s="5">
        <f t="shared" si="71"/>
        <v>2732</v>
      </c>
      <c r="LN83" s="5">
        <f t="shared" si="71"/>
        <v>2755</v>
      </c>
      <c r="LO83" s="5">
        <f t="shared" si="71"/>
        <v>2787</v>
      </c>
      <c r="LP83" s="5">
        <f t="shared" si="71"/>
        <v>2740</v>
      </c>
      <c r="LQ83" s="5">
        <f t="shared" si="71"/>
        <v>2698</v>
      </c>
      <c r="LR83" s="5">
        <f t="shared" si="71"/>
        <v>2677</v>
      </c>
      <c r="LS83" s="5">
        <f t="shared" si="71"/>
        <v>2646</v>
      </c>
      <c r="LT83" s="5">
        <f t="shared" si="71"/>
        <v>2682</v>
      </c>
      <c r="LU83" s="5">
        <f t="shared" si="71"/>
        <v>2607</v>
      </c>
      <c r="LV83" s="5">
        <f t="shared" si="71"/>
        <v>2527</v>
      </c>
      <c r="LW83" s="5">
        <f t="shared" si="71"/>
        <v>2371</v>
      </c>
      <c r="LX83" s="5">
        <f t="shared" si="71"/>
        <v>2262</v>
      </c>
      <c r="LY83" s="5">
        <f t="shared" si="71"/>
        <v>2214</v>
      </c>
      <c r="LZ83" s="5">
        <f t="shared" si="71"/>
        <v>2240</v>
      </c>
      <c r="MA83" s="5">
        <f t="shared" si="71"/>
        <v>2220</v>
      </c>
      <c r="MB83" s="5">
        <f t="shared" si="71"/>
        <v>2175</v>
      </c>
      <c r="MC83" s="5">
        <f t="shared" si="71"/>
        <v>2079</v>
      </c>
      <c r="MD83" s="5">
        <f t="shared" si="71"/>
        <v>2054</v>
      </c>
      <c r="ME83" s="5">
        <f t="shared" si="71"/>
        <v>2068</v>
      </c>
      <c r="MF83" s="5">
        <f t="shared" si="71"/>
        <v>2048</v>
      </c>
      <c r="MG83" s="5">
        <f t="shared" si="71"/>
        <v>2024</v>
      </c>
      <c r="MH83" s="5">
        <f t="shared" si="71"/>
        <v>2008</v>
      </c>
      <c r="MI83" s="5">
        <f t="shared" si="71"/>
        <v>1980</v>
      </c>
      <c r="MJ83" s="5">
        <f t="shared" si="71"/>
        <v>1978</v>
      </c>
      <c r="MK83" s="5">
        <f t="shared" si="71"/>
        <v>1982</v>
      </c>
      <c r="ML83" s="5">
        <f t="shared" si="71"/>
        <v>1960</v>
      </c>
      <c r="MM83" s="5">
        <f t="shared" si="71"/>
        <v>1904</v>
      </c>
      <c r="MN83" s="5">
        <f t="shared" si="71"/>
        <v>1851</v>
      </c>
      <c r="MO83" s="5">
        <f t="shared" si="71"/>
        <v>1814</v>
      </c>
      <c r="MP83" s="5">
        <f t="shared" si="71"/>
        <v>1777</v>
      </c>
      <c r="MQ83" s="5">
        <f t="shared" si="71"/>
        <v>1764</v>
      </c>
      <c r="MR83" s="5">
        <f t="shared" si="71"/>
        <v>1745</v>
      </c>
      <c r="MS83" s="5">
        <f t="shared" si="71"/>
        <v>1781</v>
      </c>
      <c r="MT83" s="5">
        <f t="shared" si="71"/>
        <v>1754</v>
      </c>
      <c r="MU83" s="5">
        <f t="shared" si="71"/>
        <v>1695</v>
      </c>
      <c r="MV83" s="5">
        <f t="shared" si="71"/>
        <v>1654</v>
      </c>
      <c r="MW83" s="5">
        <f t="shared" si="71"/>
        <v>1637</v>
      </c>
      <c r="MX83" s="5">
        <f t="shared" si="71"/>
        <v>1744</v>
      </c>
      <c r="MY83" s="5">
        <f t="shared" si="71"/>
        <v>1755</v>
      </c>
      <c r="MZ83" s="5">
        <f t="shared" si="71"/>
        <v>1734</v>
      </c>
      <c r="NA83" s="5">
        <f t="shared" si="71"/>
        <v>1685.1</v>
      </c>
      <c r="NB83" s="5">
        <f t="shared" si="71"/>
        <v>1595.2</v>
      </c>
      <c r="NC83" s="5">
        <f t="shared" si="71"/>
        <v>1562.8</v>
      </c>
      <c r="ND83" s="5">
        <f t="shared" si="71"/>
        <v>1427.3</v>
      </c>
      <c r="NE83" s="5">
        <f t="shared" si="71"/>
        <v>1248.4000000000001</v>
      </c>
      <c r="NF83" s="5">
        <f t="shared" si="71"/>
        <v>1137.4000000000001</v>
      </c>
      <c r="NG83" s="5">
        <f t="shared" si="71"/>
        <v>1336.1</v>
      </c>
      <c r="NH83" s="5">
        <f t="shared" si="71"/>
        <v>2048</v>
      </c>
      <c r="NI83" s="5">
        <f t="shared" si="71"/>
        <v>4277</v>
      </c>
      <c r="NJ83" s="5">
        <f t="shared" si="71"/>
        <v>9442</v>
      </c>
      <c r="NK83" s="5">
        <f t="shared" si="71"/>
        <v>9840</v>
      </c>
      <c r="NL83" s="5">
        <f t="shared" si="71"/>
        <v>9332</v>
      </c>
      <c r="NM83" s="5">
        <f t="shared" si="71"/>
        <v>5597</v>
      </c>
      <c r="NN83" s="5">
        <f t="shared" si="71"/>
        <v>3055</v>
      </c>
      <c r="NO83" s="5">
        <f t="shared" si="71"/>
        <v>1886</v>
      </c>
      <c r="NP83" s="5">
        <f t="shared" si="71"/>
        <v>4239.2732225465979</v>
      </c>
      <c r="NQ83" s="5">
        <f t="shared" si="71"/>
        <v>16552</v>
      </c>
      <c r="NR83" s="5">
        <f t="shared" si="71"/>
        <v>42586.8</v>
      </c>
      <c r="NS83" s="5">
        <f t="shared" si="71"/>
        <v>1018.9</v>
      </c>
      <c r="NT83" s="5">
        <f t="shared" si="71"/>
        <v>42507.1</v>
      </c>
      <c r="NU83" s="5"/>
      <c r="NV83" s="5"/>
      <c r="NW83" s="5"/>
      <c r="NX83" s="5"/>
      <c r="NY83" s="5"/>
      <c r="NZ83" s="5"/>
      <c r="OA83" s="5"/>
      <c r="OB83" s="5"/>
      <c r="OC83" s="5"/>
      <c r="OD83" s="5"/>
      <c r="OE83" s="5"/>
    </row>
    <row r="84" spans="1:395" customFormat="1" x14ac:dyDescent="0.15">
      <c r="A84" s="9" t="s">
        <v>46</v>
      </c>
      <c r="B84" s="5">
        <f>AVERAGE(B54:B63)</f>
        <v>1695</v>
      </c>
      <c r="C84" s="5">
        <f t="shared" ref="C84:BN84" si="72">AVERAGE(C54:C63)</f>
        <v>1800</v>
      </c>
      <c r="D84" s="5">
        <f t="shared" si="72"/>
        <v>1878</v>
      </c>
      <c r="E84" s="5">
        <f t="shared" si="72"/>
        <v>1931</v>
      </c>
      <c r="F84" s="5">
        <f t="shared" si="72"/>
        <v>1953</v>
      </c>
      <c r="G84" s="5">
        <f t="shared" si="72"/>
        <v>1907</v>
      </c>
      <c r="H84" s="5">
        <f t="shared" si="72"/>
        <v>1865</v>
      </c>
      <c r="I84" s="5">
        <f t="shared" si="72"/>
        <v>1887</v>
      </c>
      <c r="J84" s="5">
        <f t="shared" si="72"/>
        <v>1884</v>
      </c>
      <c r="K84" s="5">
        <f t="shared" si="72"/>
        <v>1885</v>
      </c>
      <c r="L84" s="5">
        <f t="shared" si="72"/>
        <v>1864</v>
      </c>
      <c r="M84" s="5">
        <f t="shared" si="72"/>
        <v>1860</v>
      </c>
      <c r="N84" s="5">
        <f t="shared" si="72"/>
        <v>1848</v>
      </c>
      <c r="O84" s="5">
        <f t="shared" si="72"/>
        <v>1808</v>
      </c>
      <c r="P84" s="5">
        <f t="shared" si="72"/>
        <v>1764</v>
      </c>
      <c r="Q84" s="5">
        <f t="shared" si="72"/>
        <v>1761</v>
      </c>
      <c r="R84" s="5">
        <f t="shared" si="72"/>
        <v>1730</v>
      </c>
      <c r="S84" s="5">
        <f t="shared" si="72"/>
        <v>1740</v>
      </c>
      <c r="T84" s="5">
        <f t="shared" si="72"/>
        <v>1753</v>
      </c>
      <c r="U84" s="5">
        <f t="shared" si="72"/>
        <v>1800</v>
      </c>
      <c r="V84" s="5">
        <f t="shared" si="72"/>
        <v>1767</v>
      </c>
      <c r="W84" s="5">
        <f t="shared" si="72"/>
        <v>1695</v>
      </c>
      <c r="X84" s="5">
        <f t="shared" si="72"/>
        <v>1690</v>
      </c>
      <c r="Y84" s="5">
        <f t="shared" si="72"/>
        <v>1701</v>
      </c>
      <c r="Z84" s="5">
        <f t="shared" si="72"/>
        <v>1705</v>
      </c>
      <c r="AA84" s="5">
        <f t="shared" si="72"/>
        <v>1694</v>
      </c>
      <c r="AB84" s="5">
        <f t="shared" si="72"/>
        <v>1689</v>
      </c>
      <c r="AC84" s="5">
        <f t="shared" si="72"/>
        <v>1652</v>
      </c>
      <c r="AD84" s="5">
        <f t="shared" si="72"/>
        <v>1616</v>
      </c>
      <c r="AE84" s="5">
        <f t="shared" si="72"/>
        <v>1624</v>
      </c>
      <c r="AF84" s="5">
        <f t="shared" si="72"/>
        <v>1607</v>
      </c>
      <c r="AG84" s="5">
        <f t="shared" si="72"/>
        <v>1641</v>
      </c>
      <c r="AH84" s="5">
        <f t="shared" si="72"/>
        <v>1653</v>
      </c>
      <c r="AI84" s="5">
        <f t="shared" si="72"/>
        <v>1665</v>
      </c>
      <c r="AJ84" s="5">
        <f t="shared" si="72"/>
        <v>1655</v>
      </c>
      <c r="AK84" s="5">
        <f t="shared" si="72"/>
        <v>1623</v>
      </c>
      <c r="AL84" s="5">
        <f t="shared" si="72"/>
        <v>1617</v>
      </c>
      <c r="AM84" s="5">
        <f t="shared" si="72"/>
        <v>1609</v>
      </c>
      <c r="AN84" s="5">
        <f t="shared" si="72"/>
        <v>1625</v>
      </c>
      <c r="AO84" s="5">
        <f t="shared" si="72"/>
        <v>1567</v>
      </c>
      <c r="AP84" s="5">
        <f t="shared" si="72"/>
        <v>1576</v>
      </c>
      <c r="AQ84" s="5">
        <f t="shared" si="72"/>
        <v>1604</v>
      </c>
      <c r="AR84" s="5">
        <f t="shared" si="72"/>
        <v>1596</v>
      </c>
      <c r="AS84" s="5">
        <f t="shared" si="72"/>
        <v>1573</v>
      </c>
      <c r="AT84" s="5">
        <f t="shared" si="72"/>
        <v>1557</v>
      </c>
      <c r="AU84" s="5">
        <f t="shared" si="72"/>
        <v>1558</v>
      </c>
      <c r="AV84" s="5">
        <f t="shared" si="72"/>
        <v>1563</v>
      </c>
      <c r="AW84" s="5">
        <f t="shared" si="72"/>
        <v>1563</v>
      </c>
      <c r="AX84" s="5">
        <f t="shared" si="72"/>
        <v>1575</v>
      </c>
      <c r="AY84" s="5">
        <f t="shared" si="72"/>
        <v>1589</v>
      </c>
      <c r="AZ84" s="5">
        <f t="shared" si="72"/>
        <v>1557</v>
      </c>
      <c r="BA84" s="5">
        <f t="shared" si="72"/>
        <v>1537</v>
      </c>
      <c r="BB84" s="5">
        <f t="shared" si="72"/>
        <v>1533</v>
      </c>
      <c r="BC84" s="5">
        <f t="shared" si="72"/>
        <v>1510</v>
      </c>
      <c r="BD84" s="5">
        <f t="shared" si="72"/>
        <v>1482</v>
      </c>
      <c r="BE84" s="5">
        <f t="shared" si="72"/>
        <v>1506</v>
      </c>
      <c r="BF84" s="5">
        <f t="shared" si="72"/>
        <v>1518</v>
      </c>
      <c r="BG84" s="5">
        <f t="shared" si="72"/>
        <v>1509</v>
      </c>
      <c r="BH84" s="5">
        <f t="shared" si="72"/>
        <v>1522</v>
      </c>
      <c r="BI84" s="5">
        <f t="shared" si="72"/>
        <v>1440</v>
      </c>
      <c r="BJ84" s="5">
        <f t="shared" si="72"/>
        <v>1529</v>
      </c>
      <c r="BK84" s="5">
        <f t="shared" si="72"/>
        <v>1551</v>
      </c>
      <c r="BL84" s="5">
        <f t="shared" si="72"/>
        <v>1547</v>
      </c>
      <c r="BM84" s="5">
        <f t="shared" si="72"/>
        <v>1528</v>
      </c>
      <c r="BN84" s="5">
        <f t="shared" si="72"/>
        <v>1546</v>
      </c>
      <c r="BO84" s="5">
        <f t="shared" ref="BO84:DZ84" si="73">AVERAGE(BO54:BO63)</f>
        <v>1517</v>
      </c>
      <c r="BP84" s="5">
        <f t="shared" si="73"/>
        <v>1566</v>
      </c>
      <c r="BQ84" s="5">
        <f t="shared" si="73"/>
        <v>1566</v>
      </c>
      <c r="BR84" s="5">
        <f t="shared" si="73"/>
        <v>1619</v>
      </c>
      <c r="BS84" s="5">
        <f t="shared" si="73"/>
        <v>1631</v>
      </c>
      <c r="BT84" s="5">
        <f t="shared" si="73"/>
        <v>1673</v>
      </c>
      <c r="BU84" s="5">
        <f t="shared" si="73"/>
        <v>1661</v>
      </c>
      <c r="BV84" s="5">
        <f t="shared" si="73"/>
        <v>1683</v>
      </c>
      <c r="BW84" s="5">
        <f t="shared" si="73"/>
        <v>1618</v>
      </c>
      <c r="BX84" s="5">
        <f t="shared" si="73"/>
        <v>1580</v>
      </c>
      <c r="BY84" s="5">
        <f t="shared" si="73"/>
        <v>1554</v>
      </c>
      <c r="BZ84" s="5">
        <f t="shared" si="73"/>
        <v>1538</v>
      </c>
      <c r="CA84" s="5">
        <f t="shared" si="73"/>
        <v>1504</v>
      </c>
      <c r="CB84" s="5">
        <f t="shared" si="73"/>
        <v>1474</v>
      </c>
      <c r="CC84" s="5">
        <f t="shared" si="73"/>
        <v>1502</v>
      </c>
      <c r="CD84" s="5">
        <f t="shared" si="73"/>
        <v>1503</v>
      </c>
      <c r="CE84" s="5">
        <f t="shared" si="73"/>
        <v>1493</v>
      </c>
      <c r="CF84" s="5">
        <f t="shared" si="73"/>
        <v>1486</v>
      </c>
      <c r="CG84" s="5">
        <f t="shared" si="73"/>
        <v>1472</v>
      </c>
      <c r="CH84" s="5">
        <f t="shared" si="73"/>
        <v>1495</v>
      </c>
      <c r="CI84" s="5">
        <f t="shared" si="73"/>
        <v>1564</v>
      </c>
      <c r="CJ84" s="5">
        <f t="shared" si="73"/>
        <v>1530</v>
      </c>
      <c r="CK84" s="5">
        <f t="shared" si="73"/>
        <v>1531</v>
      </c>
      <c r="CL84" s="5">
        <f t="shared" si="73"/>
        <v>1513</v>
      </c>
      <c r="CM84" s="5">
        <f t="shared" si="73"/>
        <v>1503</v>
      </c>
      <c r="CN84" s="5">
        <f t="shared" si="73"/>
        <v>1539</v>
      </c>
      <c r="CO84" s="5">
        <f t="shared" si="73"/>
        <v>1538</v>
      </c>
      <c r="CP84" s="5">
        <f t="shared" si="73"/>
        <v>1521</v>
      </c>
      <c r="CQ84" s="5">
        <f t="shared" si="73"/>
        <v>1532</v>
      </c>
      <c r="CR84" s="5">
        <f t="shared" si="73"/>
        <v>1569</v>
      </c>
      <c r="CS84" s="5">
        <f t="shared" si="73"/>
        <v>1540</v>
      </c>
      <c r="CT84" s="5">
        <f t="shared" si="73"/>
        <v>1537</v>
      </c>
      <c r="CU84" s="5">
        <f t="shared" si="73"/>
        <v>1553</v>
      </c>
      <c r="CV84" s="5">
        <f t="shared" si="73"/>
        <v>1542</v>
      </c>
      <c r="CW84" s="5">
        <f t="shared" si="73"/>
        <v>1565</v>
      </c>
      <c r="CX84" s="5">
        <f t="shared" si="73"/>
        <v>1571</v>
      </c>
      <c r="CY84" s="5">
        <f t="shared" si="73"/>
        <v>1577</v>
      </c>
      <c r="CZ84" s="5">
        <f t="shared" si="73"/>
        <v>1559</v>
      </c>
      <c r="DA84" s="5">
        <f t="shared" si="73"/>
        <v>1535</v>
      </c>
      <c r="DB84" s="5">
        <f t="shared" si="73"/>
        <v>1536</v>
      </c>
      <c r="DC84" s="5">
        <f t="shared" si="73"/>
        <v>1462</v>
      </c>
      <c r="DD84" s="5">
        <f t="shared" si="73"/>
        <v>1453</v>
      </c>
      <c r="DE84" s="5">
        <f t="shared" si="73"/>
        <v>1457</v>
      </c>
      <c r="DF84" s="5">
        <f t="shared" si="73"/>
        <v>1505</v>
      </c>
      <c r="DG84" s="5">
        <f t="shared" si="73"/>
        <v>1499</v>
      </c>
      <c r="DH84" s="5">
        <f t="shared" si="73"/>
        <v>1484</v>
      </c>
      <c r="DI84" s="5">
        <f t="shared" si="73"/>
        <v>1486</v>
      </c>
      <c r="DJ84" s="5">
        <f t="shared" si="73"/>
        <v>1487</v>
      </c>
      <c r="DK84" s="5">
        <f t="shared" si="73"/>
        <v>1525</v>
      </c>
      <c r="DL84" s="5">
        <f t="shared" si="73"/>
        <v>1559</v>
      </c>
      <c r="DM84" s="5">
        <f t="shared" si="73"/>
        <v>1562</v>
      </c>
      <c r="DN84" s="5">
        <f t="shared" si="73"/>
        <v>1621</v>
      </c>
      <c r="DO84" s="5">
        <f t="shared" si="73"/>
        <v>1765</v>
      </c>
      <c r="DP84" s="5">
        <f t="shared" si="73"/>
        <v>1865</v>
      </c>
      <c r="DQ84" s="5">
        <f t="shared" si="73"/>
        <v>1892</v>
      </c>
      <c r="DR84" s="5">
        <f t="shared" si="73"/>
        <v>1957</v>
      </c>
      <c r="DS84" s="5">
        <f t="shared" si="73"/>
        <v>1989</v>
      </c>
      <c r="DT84" s="5">
        <f t="shared" si="73"/>
        <v>1933</v>
      </c>
      <c r="DU84" s="5">
        <f t="shared" si="73"/>
        <v>1900</v>
      </c>
      <c r="DV84" s="5">
        <f t="shared" si="73"/>
        <v>1873</v>
      </c>
      <c r="DW84" s="5">
        <f t="shared" si="73"/>
        <v>1787</v>
      </c>
      <c r="DX84" s="5">
        <f t="shared" si="73"/>
        <v>1839</v>
      </c>
      <c r="DY84" s="5">
        <f t="shared" si="73"/>
        <v>1852</v>
      </c>
      <c r="DZ84" s="5">
        <f t="shared" si="73"/>
        <v>1942</v>
      </c>
      <c r="EA84" s="5">
        <f t="shared" ref="EA84:GL84" si="74">AVERAGE(EA54:EA63)</f>
        <v>2045</v>
      </c>
      <c r="EB84" s="5">
        <f t="shared" si="74"/>
        <v>2090</v>
      </c>
      <c r="EC84" s="5">
        <f t="shared" si="74"/>
        <v>2059</v>
      </c>
      <c r="ED84" s="5">
        <f t="shared" si="74"/>
        <v>1999</v>
      </c>
      <c r="EE84" s="5">
        <f t="shared" si="74"/>
        <v>2093</v>
      </c>
      <c r="EF84" s="5">
        <f t="shared" si="74"/>
        <v>2184</v>
      </c>
      <c r="EG84" s="5">
        <f t="shared" si="74"/>
        <v>2248</v>
      </c>
      <c r="EH84" s="5">
        <f t="shared" si="74"/>
        <v>2280</v>
      </c>
      <c r="EI84" s="5">
        <f t="shared" si="74"/>
        <v>2337</v>
      </c>
      <c r="EJ84" s="5">
        <f t="shared" si="74"/>
        <v>2383</v>
      </c>
      <c r="EK84" s="5">
        <f t="shared" si="74"/>
        <v>2313</v>
      </c>
      <c r="EL84" s="5">
        <f t="shared" si="74"/>
        <v>2341</v>
      </c>
      <c r="EM84" s="5">
        <f t="shared" si="74"/>
        <v>2297</v>
      </c>
      <c r="EN84" s="5">
        <f t="shared" si="74"/>
        <v>2368</v>
      </c>
      <c r="EO84" s="5">
        <f t="shared" si="74"/>
        <v>2406</v>
      </c>
      <c r="EP84" s="5">
        <f t="shared" si="74"/>
        <v>2333</v>
      </c>
      <c r="EQ84" s="5">
        <f t="shared" si="74"/>
        <v>2263</v>
      </c>
      <c r="ER84" s="5">
        <f t="shared" si="74"/>
        <v>2259</v>
      </c>
      <c r="ES84" s="5">
        <f t="shared" si="74"/>
        <v>2273</v>
      </c>
      <c r="ET84" s="5">
        <f t="shared" si="74"/>
        <v>2367</v>
      </c>
      <c r="EU84" s="5">
        <f t="shared" si="74"/>
        <v>2424</v>
      </c>
      <c r="EV84" s="5">
        <f t="shared" si="74"/>
        <v>2452</v>
      </c>
      <c r="EW84" s="5">
        <f t="shared" si="74"/>
        <v>2536</v>
      </c>
      <c r="EX84" s="5">
        <f t="shared" si="74"/>
        <v>2710</v>
      </c>
      <c r="EY84" s="5">
        <f t="shared" si="74"/>
        <v>3063</v>
      </c>
      <c r="EZ84" s="5">
        <f t="shared" si="74"/>
        <v>3154</v>
      </c>
      <c r="FA84" s="5">
        <f t="shared" si="74"/>
        <v>3078</v>
      </c>
      <c r="FB84" s="5">
        <f t="shared" si="74"/>
        <v>3061</v>
      </c>
      <c r="FC84" s="5">
        <f t="shared" si="74"/>
        <v>3101</v>
      </c>
      <c r="FD84" s="5">
        <f t="shared" si="74"/>
        <v>3174</v>
      </c>
      <c r="FE84" s="5">
        <f t="shared" si="74"/>
        <v>3161</v>
      </c>
      <c r="FF84" s="5">
        <f t="shared" si="74"/>
        <v>3205</v>
      </c>
      <c r="FG84" s="5">
        <f t="shared" si="74"/>
        <v>3214</v>
      </c>
      <c r="FH84" s="5">
        <f t="shared" si="74"/>
        <v>3356</v>
      </c>
      <c r="FI84" s="5">
        <f t="shared" si="74"/>
        <v>3487</v>
      </c>
      <c r="FJ84" s="5">
        <f t="shared" si="74"/>
        <v>3666</v>
      </c>
      <c r="FK84" s="5">
        <f t="shared" si="74"/>
        <v>3830</v>
      </c>
      <c r="FL84" s="5">
        <f t="shared" si="74"/>
        <v>4089</v>
      </c>
      <c r="FM84" s="5">
        <f t="shared" si="74"/>
        <v>4090</v>
      </c>
      <c r="FN84" s="5">
        <f t="shared" si="74"/>
        <v>4289</v>
      </c>
      <c r="FO84" s="5">
        <f t="shared" si="74"/>
        <v>4482</v>
      </c>
      <c r="FP84" s="5">
        <f t="shared" si="74"/>
        <v>4795</v>
      </c>
      <c r="FQ84" s="5">
        <f t="shared" si="74"/>
        <v>4805</v>
      </c>
      <c r="FR84" s="5">
        <f t="shared" si="74"/>
        <v>4846</v>
      </c>
      <c r="FS84" s="5">
        <f t="shared" si="74"/>
        <v>5073</v>
      </c>
      <c r="FT84" s="5">
        <f t="shared" si="74"/>
        <v>5206</v>
      </c>
      <c r="FU84" s="5">
        <f t="shared" si="74"/>
        <v>5316</v>
      </c>
      <c r="FV84" s="5">
        <f t="shared" si="74"/>
        <v>5488</v>
      </c>
      <c r="FW84" s="5">
        <f t="shared" si="74"/>
        <v>5976</v>
      </c>
      <c r="FX84" s="5">
        <f t="shared" si="74"/>
        <v>6088</v>
      </c>
      <c r="FY84" s="5">
        <f t="shared" si="74"/>
        <v>6261</v>
      </c>
      <c r="FZ84" s="5">
        <f t="shared" si="74"/>
        <v>6487</v>
      </c>
      <c r="GA84" s="5">
        <f t="shared" si="74"/>
        <v>6618</v>
      </c>
      <c r="GB84" s="5">
        <f t="shared" si="74"/>
        <v>6867</v>
      </c>
      <c r="GC84" s="5">
        <f t="shared" si="74"/>
        <v>6791</v>
      </c>
      <c r="GD84" s="5">
        <f t="shared" si="74"/>
        <v>6839</v>
      </c>
      <c r="GE84" s="5">
        <f t="shared" si="74"/>
        <v>6601</v>
      </c>
      <c r="GF84" s="5">
        <f t="shared" si="74"/>
        <v>6602</v>
      </c>
      <c r="GG84" s="5">
        <f t="shared" si="74"/>
        <v>7073</v>
      </c>
      <c r="GH84" s="5">
        <f t="shared" si="74"/>
        <v>7193</v>
      </c>
      <c r="GI84" s="5">
        <f t="shared" si="74"/>
        <v>7294</v>
      </c>
      <c r="GJ84" s="5">
        <f t="shared" si="74"/>
        <v>7757</v>
      </c>
      <c r="GK84" s="5">
        <f t="shared" si="74"/>
        <v>8144</v>
      </c>
      <c r="GL84" s="5">
        <f t="shared" si="74"/>
        <v>8450</v>
      </c>
      <c r="GM84" s="5">
        <f t="shared" ref="GM84:IX84" si="75">AVERAGE(GM54:GM63)</f>
        <v>8879</v>
      </c>
      <c r="GN84" s="5">
        <f t="shared" si="75"/>
        <v>8991</v>
      </c>
      <c r="GO84" s="5">
        <f t="shared" si="75"/>
        <v>8892</v>
      </c>
      <c r="GP84" s="5">
        <f t="shared" si="75"/>
        <v>8542</v>
      </c>
      <c r="GQ84" s="5">
        <f t="shared" si="75"/>
        <v>8335</v>
      </c>
      <c r="GR84" s="5">
        <f t="shared" si="75"/>
        <v>8069</v>
      </c>
      <c r="GS84" s="5">
        <f t="shared" si="75"/>
        <v>7806</v>
      </c>
      <c r="GT84" s="5">
        <f t="shared" si="75"/>
        <v>7943</v>
      </c>
      <c r="GU84" s="5">
        <f t="shared" si="75"/>
        <v>8016</v>
      </c>
      <c r="GV84" s="5">
        <f t="shared" si="75"/>
        <v>8024</v>
      </c>
      <c r="GW84" s="5">
        <f t="shared" si="75"/>
        <v>7995</v>
      </c>
      <c r="GX84" s="5">
        <f t="shared" si="75"/>
        <v>7858</v>
      </c>
      <c r="GY84" s="5">
        <f t="shared" si="75"/>
        <v>8210</v>
      </c>
      <c r="GZ84" s="5">
        <f t="shared" si="75"/>
        <v>8796</v>
      </c>
      <c r="HA84" s="5">
        <f t="shared" si="75"/>
        <v>9156</v>
      </c>
      <c r="HB84" s="5">
        <f t="shared" si="75"/>
        <v>9176</v>
      </c>
      <c r="HC84" s="5">
        <f t="shared" si="75"/>
        <v>8952</v>
      </c>
      <c r="HD84" s="5">
        <f t="shared" si="75"/>
        <v>8667</v>
      </c>
      <c r="HE84" s="5">
        <f t="shared" si="75"/>
        <v>8205</v>
      </c>
      <c r="HF84" s="5">
        <f t="shared" si="75"/>
        <v>8297</v>
      </c>
      <c r="HG84" s="5">
        <f t="shared" si="75"/>
        <v>8633</v>
      </c>
      <c r="HH84" s="5">
        <f t="shared" si="75"/>
        <v>8821</v>
      </c>
      <c r="HI84" s="5">
        <f t="shared" si="75"/>
        <v>8854</v>
      </c>
      <c r="HJ84" s="5">
        <f t="shared" si="75"/>
        <v>8624</v>
      </c>
      <c r="HK84" s="5">
        <f t="shared" si="75"/>
        <v>8770</v>
      </c>
      <c r="HL84" s="5">
        <f t="shared" si="75"/>
        <v>8698</v>
      </c>
      <c r="HM84" s="5">
        <f t="shared" si="75"/>
        <v>8443</v>
      </c>
      <c r="HN84" s="5">
        <f t="shared" si="75"/>
        <v>8216</v>
      </c>
      <c r="HO84" s="5">
        <f t="shared" si="75"/>
        <v>7909</v>
      </c>
      <c r="HP84" s="5">
        <f t="shared" si="75"/>
        <v>8035</v>
      </c>
      <c r="HQ84" s="5">
        <f t="shared" si="75"/>
        <v>8417</v>
      </c>
      <c r="HR84" s="5">
        <f t="shared" si="75"/>
        <v>8713</v>
      </c>
      <c r="HS84" s="5">
        <f t="shared" si="75"/>
        <v>9221</v>
      </c>
      <c r="HT84" s="5">
        <f t="shared" si="75"/>
        <v>9708</v>
      </c>
      <c r="HU84" s="5">
        <f t="shared" si="75"/>
        <v>10127</v>
      </c>
      <c r="HV84" s="5">
        <f t="shared" si="75"/>
        <v>10038</v>
      </c>
      <c r="HW84" s="5">
        <f t="shared" si="75"/>
        <v>9920</v>
      </c>
      <c r="HX84" s="5">
        <f t="shared" si="75"/>
        <v>9550</v>
      </c>
      <c r="HY84" s="5">
        <f t="shared" si="75"/>
        <v>9418</v>
      </c>
      <c r="HZ84" s="5">
        <f t="shared" si="75"/>
        <v>9302</v>
      </c>
      <c r="IA84" s="5">
        <f t="shared" si="75"/>
        <v>9438</v>
      </c>
      <c r="IB84" s="5">
        <f t="shared" si="75"/>
        <v>9032</v>
      </c>
      <c r="IC84" s="5">
        <f t="shared" si="75"/>
        <v>8958</v>
      </c>
      <c r="ID84" s="5">
        <f t="shared" si="75"/>
        <v>8990</v>
      </c>
      <c r="IE84" s="5">
        <f t="shared" si="75"/>
        <v>9134</v>
      </c>
      <c r="IF84" s="5">
        <f t="shared" si="75"/>
        <v>9356</v>
      </c>
      <c r="IG84" s="5">
        <f t="shared" si="75"/>
        <v>9705</v>
      </c>
      <c r="IH84" s="5">
        <f t="shared" si="75"/>
        <v>9886</v>
      </c>
      <c r="II84" s="5">
        <f t="shared" si="75"/>
        <v>10074</v>
      </c>
      <c r="IJ84" s="5">
        <f t="shared" si="75"/>
        <v>10077</v>
      </c>
      <c r="IK84" s="5">
        <f t="shared" si="75"/>
        <v>10197</v>
      </c>
      <c r="IL84" s="5">
        <f t="shared" si="75"/>
        <v>10412</v>
      </c>
      <c r="IM84" s="5">
        <f t="shared" si="75"/>
        <v>10325</v>
      </c>
      <c r="IN84" s="5">
        <f t="shared" si="75"/>
        <v>10393</v>
      </c>
      <c r="IO84" s="5">
        <f t="shared" si="75"/>
        <v>10698</v>
      </c>
      <c r="IP84" s="5">
        <f t="shared" si="75"/>
        <v>10728</v>
      </c>
      <c r="IQ84" s="5">
        <f t="shared" si="75"/>
        <v>10433</v>
      </c>
      <c r="IR84" s="5">
        <f t="shared" si="75"/>
        <v>10243</v>
      </c>
      <c r="IS84" s="5">
        <f t="shared" si="75"/>
        <v>10266</v>
      </c>
      <c r="IT84" s="5">
        <f t="shared" si="75"/>
        <v>10012</v>
      </c>
      <c r="IU84" s="5">
        <f t="shared" si="75"/>
        <v>9665</v>
      </c>
      <c r="IV84" s="5">
        <f t="shared" si="75"/>
        <v>9543</v>
      </c>
      <c r="IW84" s="5">
        <f t="shared" si="75"/>
        <v>9487</v>
      </c>
      <c r="IX84" s="5">
        <f t="shared" si="75"/>
        <v>9223</v>
      </c>
      <c r="IY84" s="5">
        <f t="shared" ref="IY84:LJ84" si="76">AVERAGE(IY54:IY63)</f>
        <v>9264</v>
      </c>
      <c r="IZ84" s="5">
        <f t="shared" si="76"/>
        <v>9537</v>
      </c>
      <c r="JA84" s="5">
        <f t="shared" si="76"/>
        <v>9439</v>
      </c>
      <c r="JB84" s="5">
        <f t="shared" si="76"/>
        <v>9404</v>
      </c>
      <c r="JC84" s="5">
        <f t="shared" si="76"/>
        <v>9047</v>
      </c>
      <c r="JD84" s="5">
        <f t="shared" si="76"/>
        <v>8492</v>
      </c>
      <c r="JE84" s="5">
        <f t="shared" si="76"/>
        <v>7996</v>
      </c>
      <c r="JF84" s="5">
        <f t="shared" si="76"/>
        <v>7902</v>
      </c>
      <c r="JG84" s="5">
        <f t="shared" si="76"/>
        <v>8028</v>
      </c>
      <c r="JH84" s="5">
        <f t="shared" si="76"/>
        <v>7961</v>
      </c>
      <c r="JI84" s="5">
        <f t="shared" si="76"/>
        <v>7883</v>
      </c>
      <c r="JJ84" s="5">
        <f t="shared" si="76"/>
        <v>7754</v>
      </c>
      <c r="JK84" s="5">
        <f t="shared" si="76"/>
        <v>7647</v>
      </c>
      <c r="JL84" s="5">
        <f t="shared" si="76"/>
        <v>7547</v>
      </c>
      <c r="JM84" s="5">
        <f t="shared" si="76"/>
        <v>7490</v>
      </c>
      <c r="JN84" s="5">
        <f t="shared" si="76"/>
        <v>7403</v>
      </c>
      <c r="JO84" s="5">
        <f t="shared" si="76"/>
        <v>7196</v>
      </c>
      <c r="JP84" s="5">
        <f t="shared" si="76"/>
        <v>7073</v>
      </c>
      <c r="JQ84" s="5">
        <f t="shared" si="76"/>
        <v>7000</v>
      </c>
      <c r="JR84" s="5">
        <f t="shared" si="76"/>
        <v>7040</v>
      </c>
      <c r="JS84" s="5">
        <f t="shared" si="76"/>
        <v>7079</v>
      </c>
      <c r="JT84" s="5">
        <f t="shared" si="76"/>
        <v>7402</v>
      </c>
      <c r="JU84" s="5">
        <f t="shared" si="76"/>
        <v>7238</v>
      </c>
      <c r="JV84" s="5">
        <f t="shared" si="76"/>
        <v>6996</v>
      </c>
      <c r="JW84" s="5">
        <f t="shared" si="76"/>
        <v>6994</v>
      </c>
      <c r="JX84" s="5">
        <f t="shared" si="76"/>
        <v>6723</v>
      </c>
      <c r="JY84" s="5">
        <f t="shared" si="76"/>
        <v>6479</v>
      </c>
      <c r="JZ84" s="5">
        <f t="shared" si="76"/>
        <v>6247</v>
      </c>
      <c r="KA84" s="5">
        <f t="shared" si="76"/>
        <v>5976</v>
      </c>
      <c r="KB84" s="5">
        <f t="shared" si="76"/>
        <v>5958</v>
      </c>
      <c r="KC84" s="5">
        <f t="shared" si="76"/>
        <v>5798</v>
      </c>
      <c r="KD84" s="5">
        <f t="shared" si="76"/>
        <v>5588</v>
      </c>
      <c r="KE84" s="5">
        <f t="shared" si="76"/>
        <v>5486</v>
      </c>
      <c r="KF84" s="5">
        <f t="shared" si="76"/>
        <v>5351</v>
      </c>
      <c r="KG84" s="5">
        <f t="shared" si="76"/>
        <v>5297</v>
      </c>
      <c r="KH84" s="5">
        <f t="shared" si="76"/>
        <v>5247</v>
      </c>
      <c r="KI84" s="5">
        <f t="shared" si="76"/>
        <v>5121</v>
      </c>
      <c r="KJ84" s="5">
        <f t="shared" si="76"/>
        <v>4985</v>
      </c>
      <c r="KK84" s="5">
        <f t="shared" si="76"/>
        <v>4871</v>
      </c>
      <c r="KL84" s="5">
        <f t="shared" si="76"/>
        <v>4693</v>
      </c>
      <c r="KM84" s="5">
        <f t="shared" si="76"/>
        <v>4611</v>
      </c>
      <c r="KN84" s="5">
        <f t="shared" si="76"/>
        <v>4531</v>
      </c>
      <c r="KO84" s="5">
        <f t="shared" si="76"/>
        <v>4544</v>
      </c>
      <c r="KP84" s="5">
        <f t="shared" si="76"/>
        <v>4404</v>
      </c>
      <c r="KQ84" s="5">
        <f t="shared" si="76"/>
        <v>4249</v>
      </c>
      <c r="KR84" s="5">
        <f t="shared" si="76"/>
        <v>4145</v>
      </c>
      <c r="KS84" s="5">
        <f t="shared" si="76"/>
        <v>4075</v>
      </c>
      <c r="KT84" s="5">
        <f t="shared" si="76"/>
        <v>4083</v>
      </c>
      <c r="KU84" s="5">
        <f t="shared" si="76"/>
        <v>4074</v>
      </c>
      <c r="KV84" s="5">
        <f t="shared" si="76"/>
        <v>3988</v>
      </c>
      <c r="KW84" s="5">
        <f t="shared" si="76"/>
        <v>3948</v>
      </c>
      <c r="KX84" s="5">
        <f t="shared" si="76"/>
        <v>3800</v>
      </c>
      <c r="KY84" s="5">
        <f t="shared" si="76"/>
        <v>3624</v>
      </c>
      <c r="KZ84" s="5">
        <f t="shared" si="76"/>
        <v>3539</v>
      </c>
      <c r="LA84" s="5">
        <f t="shared" si="76"/>
        <v>3490</v>
      </c>
      <c r="LB84" s="5">
        <f t="shared" si="76"/>
        <v>3391</v>
      </c>
      <c r="LC84" s="5">
        <f t="shared" si="76"/>
        <v>3296</v>
      </c>
      <c r="LD84" s="5">
        <f t="shared" si="76"/>
        <v>3246</v>
      </c>
      <c r="LE84" s="5">
        <f t="shared" si="76"/>
        <v>3180</v>
      </c>
      <c r="LF84" s="5">
        <f t="shared" si="76"/>
        <v>3152</v>
      </c>
      <c r="LG84" s="5">
        <f t="shared" si="76"/>
        <v>3070</v>
      </c>
      <c r="LH84" s="5">
        <f t="shared" si="76"/>
        <v>3068</v>
      </c>
      <c r="LI84" s="5">
        <f t="shared" si="76"/>
        <v>3037</v>
      </c>
      <c r="LJ84" s="5">
        <f t="shared" si="76"/>
        <v>2951</v>
      </c>
      <c r="LK84" s="5">
        <f t="shared" ref="LK84:NT84" si="77">AVERAGE(LK54:LK63)</f>
        <v>2855</v>
      </c>
      <c r="LL84" s="5">
        <f t="shared" si="77"/>
        <v>2776</v>
      </c>
      <c r="LM84" s="5">
        <f t="shared" si="77"/>
        <v>2741</v>
      </c>
      <c r="LN84" s="5">
        <f t="shared" si="77"/>
        <v>2759</v>
      </c>
      <c r="LO84" s="5">
        <f t="shared" si="77"/>
        <v>2721</v>
      </c>
      <c r="LP84" s="5">
        <f t="shared" si="77"/>
        <v>2627</v>
      </c>
      <c r="LQ84" s="5">
        <f t="shared" si="77"/>
        <v>2612</v>
      </c>
      <c r="LR84" s="5">
        <f t="shared" si="77"/>
        <v>2661</v>
      </c>
      <c r="LS84" s="5">
        <f t="shared" si="77"/>
        <v>2583</v>
      </c>
      <c r="LT84" s="5">
        <f t="shared" si="77"/>
        <v>2506</v>
      </c>
      <c r="LU84" s="5">
        <f t="shared" si="77"/>
        <v>2466</v>
      </c>
      <c r="LV84" s="5">
        <f t="shared" si="77"/>
        <v>2379</v>
      </c>
      <c r="LW84" s="5">
        <f t="shared" si="77"/>
        <v>2313</v>
      </c>
      <c r="LX84" s="5">
        <f t="shared" si="77"/>
        <v>2296</v>
      </c>
      <c r="LY84" s="5">
        <f t="shared" si="77"/>
        <v>2250</v>
      </c>
      <c r="LZ84" s="5">
        <f t="shared" si="77"/>
        <v>2206</v>
      </c>
      <c r="MA84" s="5">
        <f t="shared" si="77"/>
        <v>2152</v>
      </c>
      <c r="MB84" s="5">
        <f t="shared" si="77"/>
        <v>2148</v>
      </c>
      <c r="MC84" s="5">
        <f t="shared" si="77"/>
        <v>2127</v>
      </c>
      <c r="MD84" s="5">
        <f t="shared" si="77"/>
        <v>2072</v>
      </c>
      <c r="ME84" s="5">
        <f t="shared" si="77"/>
        <v>2033</v>
      </c>
      <c r="MF84" s="5">
        <f t="shared" si="77"/>
        <v>2040</v>
      </c>
      <c r="MG84" s="5">
        <f t="shared" si="77"/>
        <v>2079</v>
      </c>
      <c r="MH84" s="5">
        <f t="shared" si="77"/>
        <v>2022</v>
      </c>
      <c r="MI84" s="5">
        <f t="shared" si="77"/>
        <v>2011</v>
      </c>
      <c r="MJ84" s="5">
        <f t="shared" si="77"/>
        <v>1990</v>
      </c>
      <c r="MK84" s="5">
        <f t="shared" si="77"/>
        <v>1955</v>
      </c>
      <c r="ML84" s="5">
        <f t="shared" si="77"/>
        <v>1937</v>
      </c>
      <c r="MM84" s="5">
        <f t="shared" si="77"/>
        <v>1960</v>
      </c>
      <c r="MN84" s="5">
        <f t="shared" si="77"/>
        <v>1958</v>
      </c>
      <c r="MO84" s="5">
        <f t="shared" si="77"/>
        <v>1946</v>
      </c>
      <c r="MP84" s="5">
        <f t="shared" si="77"/>
        <v>1898</v>
      </c>
      <c r="MQ84" s="5">
        <f t="shared" si="77"/>
        <v>1881</v>
      </c>
      <c r="MR84" s="5">
        <f t="shared" si="77"/>
        <v>1877</v>
      </c>
      <c r="MS84" s="5">
        <f t="shared" si="77"/>
        <v>1847</v>
      </c>
      <c r="MT84" s="5">
        <f t="shared" si="77"/>
        <v>1823</v>
      </c>
      <c r="MU84" s="5">
        <f t="shared" si="77"/>
        <v>1846</v>
      </c>
      <c r="MV84" s="5">
        <f t="shared" si="77"/>
        <v>1791</v>
      </c>
      <c r="MW84" s="5">
        <f t="shared" si="77"/>
        <v>1737</v>
      </c>
      <c r="MX84" s="5">
        <f t="shared" si="77"/>
        <v>1712</v>
      </c>
      <c r="MY84" s="5">
        <f t="shared" si="77"/>
        <v>1683</v>
      </c>
      <c r="MZ84" s="5">
        <f t="shared" si="77"/>
        <v>1679</v>
      </c>
      <c r="NA84" s="5">
        <f t="shared" si="77"/>
        <v>1660</v>
      </c>
      <c r="NB84" s="5">
        <f t="shared" si="77"/>
        <v>1660</v>
      </c>
      <c r="NC84" s="5">
        <f t="shared" si="77"/>
        <v>1692</v>
      </c>
      <c r="ND84" s="5">
        <f t="shared" si="77"/>
        <v>1776</v>
      </c>
      <c r="NE84" s="5">
        <f t="shared" si="77"/>
        <v>1576</v>
      </c>
      <c r="NF84" s="5">
        <f t="shared" si="77"/>
        <v>1549</v>
      </c>
      <c r="NG84" s="5">
        <f t="shared" si="77"/>
        <v>1575</v>
      </c>
      <c r="NH84" s="5">
        <f t="shared" si="77"/>
        <v>2176</v>
      </c>
      <c r="NI84" s="5">
        <f t="shared" si="77"/>
        <v>4304</v>
      </c>
      <c r="NJ84" s="5">
        <f t="shared" si="77"/>
        <v>8014</v>
      </c>
      <c r="NK84" s="5">
        <f t="shared" si="77"/>
        <v>9171</v>
      </c>
      <c r="NL84" s="5">
        <f t="shared" si="77"/>
        <v>9048</v>
      </c>
      <c r="NM84" s="5">
        <f t="shared" si="77"/>
        <v>5655</v>
      </c>
      <c r="NN84" s="5">
        <f t="shared" si="77"/>
        <v>3039</v>
      </c>
      <c r="NO84" s="5">
        <f t="shared" si="77"/>
        <v>1926</v>
      </c>
      <c r="NP84" s="5">
        <f t="shared" si="77"/>
        <v>4166.1992664121562</v>
      </c>
      <c r="NQ84" s="5">
        <f t="shared" si="77"/>
        <v>15548</v>
      </c>
      <c r="NR84" s="5">
        <f t="shared" si="77"/>
        <v>42601.8</v>
      </c>
      <c r="NS84" s="5">
        <f t="shared" si="77"/>
        <v>1213</v>
      </c>
      <c r="NT84" s="5">
        <f t="shared" si="77"/>
        <v>42473.7</v>
      </c>
      <c r="NU84" s="5"/>
      <c r="NV84" s="5"/>
      <c r="NW84" s="5"/>
      <c r="NX84" s="5"/>
      <c r="NY84" s="5"/>
      <c r="NZ84" s="5"/>
      <c r="OA84" s="5"/>
      <c r="OB84" s="5"/>
      <c r="OC84" s="5"/>
      <c r="OD84" s="5"/>
      <c r="OE84" s="5"/>
    </row>
    <row r="85" spans="1:395" customFormat="1" x14ac:dyDescent="0.15">
      <c r="A85" s="9" t="s">
        <v>47</v>
      </c>
      <c r="B85" s="5">
        <f>AVERAGE(B64:B69)</f>
        <v>1611.6666666666667</v>
      </c>
      <c r="C85" s="5">
        <f t="shared" ref="C85:BN85" si="78">AVERAGE(C64:C69)</f>
        <v>1600</v>
      </c>
      <c r="D85" s="5">
        <f t="shared" si="78"/>
        <v>1703.3333333333333</v>
      </c>
      <c r="E85" s="5">
        <f t="shared" si="78"/>
        <v>1678.3333333333333</v>
      </c>
      <c r="F85" s="5">
        <f t="shared" si="78"/>
        <v>1738.3333333333333</v>
      </c>
      <c r="G85" s="5">
        <f t="shared" si="78"/>
        <v>1901.6666666666667</v>
      </c>
      <c r="H85" s="5">
        <f t="shared" si="78"/>
        <v>1933.3333333333333</v>
      </c>
      <c r="I85" s="5">
        <f t="shared" si="78"/>
        <v>1921.6666666666667</v>
      </c>
      <c r="J85" s="5">
        <f t="shared" si="78"/>
        <v>1886.6666666666667</v>
      </c>
      <c r="K85" s="5">
        <f t="shared" si="78"/>
        <v>1855</v>
      </c>
      <c r="L85" s="5">
        <f t="shared" si="78"/>
        <v>1793.3333333333333</v>
      </c>
      <c r="M85" s="5">
        <f t="shared" si="78"/>
        <v>1820</v>
      </c>
      <c r="N85" s="5">
        <f t="shared" si="78"/>
        <v>1891.6666666666667</v>
      </c>
      <c r="O85" s="5">
        <f t="shared" si="78"/>
        <v>1810</v>
      </c>
      <c r="P85" s="5">
        <f t="shared" si="78"/>
        <v>1771.6666666666667</v>
      </c>
      <c r="Q85" s="5">
        <f t="shared" si="78"/>
        <v>1720</v>
      </c>
      <c r="R85" s="5">
        <f t="shared" si="78"/>
        <v>1608.3333333333333</v>
      </c>
      <c r="S85" s="5">
        <f t="shared" si="78"/>
        <v>1638.3333333333333</v>
      </c>
      <c r="T85" s="5">
        <f t="shared" si="78"/>
        <v>1653.3333333333333</v>
      </c>
      <c r="U85" s="5">
        <f t="shared" si="78"/>
        <v>1615</v>
      </c>
      <c r="V85" s="5">
        <f t="shared" si="78"/>
        <v>1618.3333333333333</v>
      </c>
      <c r="W85" s="5">
        <f t="shared" si="78"/>
        <v>1653.3333333333333</v>
      </c>
      <c r="X85" s="5">
        <f t="shared" si="78"/>
        <v>1670</v>
      </c>
      <c r="Y85" s="5">
        <f t="shared" si="78"/>
        <v>1766.6666666666667</v>
      </c>
      <c r="Z85" s="5">
        <f t="shared" si="78"/>
        <v>1798.3333333333333</v>
      </c>
      <c r="AA85" s="5">
        <f t="shared" si="78"/>
        <v>1798.3333333333333</v>
      </c>
      <c r="AB85" s="5">
        <f t="shared" si="78"/>
        <v>1866.6666666666667</v>
      </c>
      <c r="AC85" s="5">
        <f t="shared" si="78"/>
        <v>1780</v>
      </c>
      <c r="AD85" s="5">
        <f t="shared" si="78"/>
        <v>1743.3333333333333</v>
      </c>
      <c r="AE85" s="5">
        <f t="shared" si="78"/>
        <v>1721.6666666666667</v>
      </c>
      <c r="AF85" s="5">
        <f t="shared" si="78"/>
        <v>1730</v>
      </c>
      <c r="AG85" s="5">
        <f t="shared" si="78"/>
        <v>1740</v>
      </c>
      <c r="AH85" s="5">
        <f t="shared" si="78"/>
        <v>1716.6666666666667</v>
      </c>
      <c r="AI85" s="5">
        <f t="shared" si="78"/>
        <v>1689.8333333333333</v>
      </c>
      <c r="AJ85" s="5">
        <f t="shared" si="78"/>
        <v>1659</v>
      </c>
      <c r="AK85" s="5">
        <f t="shared" si="78"/>
        <v>1593.3333333333333</v>
      </c>
      <c r="AL85" s="5">
        <f t="shared" si="78"/>
        <v>1605.8333333333333</v>
      </c>
      <c r="AM85" s="5">
        <f t="shared" si="78"/>
        <v>1635</v>
      </c>
      <c r="AN85" s="5">
        <f t="shared" si="78"/>
        <v>1582.5</v>
      </c>
      <c r="AO85" s="5">
        <f t="shared" si="78"/>
        <v>1528.6666666666667</v>
      </c>
      <c r="AP85" s="5">
        <f t="shared" si="78"/>
        <v>1487</v>
      </c>
      <c r="AQ85" s="5">
        <f t="shared" si="78"/>
        <v>1523.5</v>
      </c>
      <c r="AR85" s="5">
        <f t="shared" si="78"/>
        <v>1501.1666666666667</v>
      </c>
      <c r="AS85" s="5">
        <f t="shared" si="78"/>
        <v>1527.1666666666667</v>
      </c>
      <c r="AT85" s="5">
        <f t="shared" si="78"/>
        <v>1513.5</v>
      </c>
      <c r="AU85" s="5">
        <f t="shared" si="78"/>
        <v>1543.1666666666667</v>
      </c>
      <c r="AV85" s="5">
        <f t="shared" si="78"/>
        <v>1598.5</v>
      </c>
      <c r="AW85" s="5">
        <f t="shared" si="78"/>
        <v>1592.1666666666667</v>
      </c>
      <c r="AX85" s="5">
        <f t="shared" si="78"/>
        <v>1491.8333333333333</v>
      </c>
      <c r="AY85" s="5">
        <f t="shared" si="78"/>
        <v>1443.3333333333333</v>
      </c>
      <c r="AZ85" s="5">
        <f t="shared" si="78"/>
        <v>1439.5</v>
      </c>
      <c r="BA85" s="5">
        <f t="shared" si="78"/>
        <v>1425.5</v>
      </c>
      <c r="BB85" s="5">
        <f t="shared" si="78"/>
        <v>1392</v>
      </c>
      <c r="BC85" s="5">
        <f t="shared" si="78"/>
        <v>1322.3333333333333</v>
      </c>
      <c r="BD85" s="5">
        <f t="shared" si="78"/>
        <v>1369</v>
      </c>
      <c r="BE85" s="5">
        <f t="shared" si="78"/>
        <v>1361.6666666666667</v>
      </c>
      <c r="BF85" s="5">
        <f t="shared" si="78"/>
        <v>1370.1666666666667</v>
      </c>
      <c r="BG85" s="5">
        <f t="shared" si="78"/>
        <v>1470.8333333333333</v>
      </c>
      <c r="BH85" s="5">
        <f t="shared" si="78"/>
        <v>1535.1666666666667</v>
      </c>
      <c r="BI85" s="5">
        <f t="shared" si="78"/>
        <v>1605</v>
      </c>
      <c r="BJ85" s="5">
        <f t="shared" si="78"/>
        <v>1573.3333333333333</v>
      </c>
      <c r="BK85" s="5">
        <f t="shared" si="78"/>
        <v>1513.3333333333333</v>
      </c>
      <c r="BL85" s="5">
        <f t="shared" si="78"/>
        <v>1506.6666666666667</v>
      </c>
      <c r="BM85" s="5">
        <f t="shared" si="78"/>
        <v>1531.6666666666667</v>
      </c>
      <c r="BN85" s="5">
        <f t="shared" si="78"/>
        <v>1560</v>
      </c>
      <c r="BO85" s="5">
        <f t="shared" ref="BO85:DZ85" si="79">AVERAGE(BO64:BO69)</f>
        <v>1598.3333333333333</v>
      </c>
      <c r="BP85" s="5">
        <f t="shared" si="79"/>
        <v>1495</v>
      </c>
      <c r="BQ85" s="5">
        <f t="shared" si="79"/>
        <v>1439.6666666666667</v>
      </c>
      <c r="BR85" s="5">
        <f t="shared" si="79"/>
        <v>1445</v>
      </c>
      <c r="BS85" s="5">
        <f t="shared" si="79"/>
        <v>1510</v>
      </c>
      <c r="BT85" s="5">
        <f t="shared" si="79"/>
        <v>1523.3333333333333</v>
      </c>
      <c r="BU85" s="5">
        <f t="shared" si="79"/>
        <v>1513.5</v>
      </c>
      <c r="BV85" s="5">
        <f t="shared" si="79"/>
        <v>1490.3333333333333</v>
      </c>
      <c r="BW85" s="5">
        <f t="shared" si="79"/>
        <v>1468.6666666666667</v>
      </c>
      <c r="BX85" s="5">
        <f t="shared" si="79"/>
        <v>1506.1666666666667</v>
      </c>
      <c r="BY85" s="5">
        <f t="shared" si="79"/>
        <v>1572.3333333333333</v>
      </c>
      <c r="BZ85" s="5">
        <f t="shared" si="79"/>
        <v>1610.8333333333333</v>
      </c>
      <c r="CA85" s="5">
        <f t="shared" si="79"/>
        <v>1647.3333333333333</v>
      </c>
      <c r="CB85" s="5">
        <f t="shared" si="79"/>
        <v>1629</v>
      </c>
      <c r="CC85" s="5">
        <f t="shared" si="79"/>
        <v>1660.5</v>
      </c>
      <c r="CD85" s="5">
        <f t="shared" si="79"/>
        <v>1650.5</v>
      </c>
      <c r="CE85" s="5">
        <f t="shared" si="79"/>
        <v>1625.8333333333333</v>
      </c>
      <c r="CF85" s="5">
        <f t="shared" si="79"/>
        <v>1718.1666666666667</v>
      </c>
      <c r="CG85" s="5">
        <f t="shared" si="79"/>
        <v>1698.1666666666667</v>
      </c>
      <c r="CH85" s="5">
        <f t="shared" si="79"/>
        <v>1638.6666666666667</v>
      </c>
      <c r="CI85" s="5">
        <f t="shared" si="79"/>
        <v>1680.3333333333333</v>
      </c>
      <c r="CJ85" s="5">
        <f t="shared" si="79"/>
        <v>1657</v>
      </c>
      <c r="CK85" s="5">
        <f t="shared" si="79"/>
        <v>1652</v>
      </c>
      <c r="CL85" s="5">
        <f t="shared" si="79"/>
        <v>1661.6666666666667</v>
      </c>
      <c r="CM85" s="5">
        <f t="shared" si="79"/>
        <v>1579.8333333333333</v>
      </c>
      <c r="CN85" s="5">
        <f t="shared" si="79"/>
        <v>1569</v>
      </c>
      <c r="CO85" s="5">
        <f t="shared" si="79"/>
        <v>1558</v>
      </c>
      <c r="CP85" s="5">
        <f t="shared" si="79"/>
        <v>1601.3333333333333</v>
      </c>
      <c r="CQ85" s="5">
        <f t="shared" si="79"/>
        <v>1497.1666666666667</v>
      </c>
      <c r="CR85" s="5">
        <f t="shared" si="79"/>
        <v>1492.6666666666667</v>
      </c>
      <c r="CS85" s="5">
        <f t="shared" si="79"/>
        <v>1498.1666666666667</v>
      </c>
      <c r="CT85" s="5">
        <f t="shared" si="79"/>
        <v>1412.3333333333333</v>
      </c>
      <c r="CU85" s="5">
        <f t="shared" si="79"/>
        <v>1353.6666666666667</v>
      </c>
      <c r="CV85" s="5">
        <f t="shared" si="79"/>
        <v>1376.6666666666667</v>
      </c>
      <c r="CW85" s="5">
        <f t="shared" si="79"/>
        <v>1572</v>
      </c>
      <c r="CX85" s="5">
        <f t="shared" si="79"/>
        <v>1636.8333333333333</v>
      </c>
      <c r="CY85" s="5">
        <f t="shared" si="79"/>
        <v>1608.3333333333333</v>
      </c>
      <c r="CZ85" s="5">
        <f t="shared" si="79"/>
        <v>1525</v>
      </c>
      <c r="DA85" s="5">
        <f t="shared" si="79"/>
        <v>1441.6666666666667</v>
      </c>
      <c r="DB85" s="5">
        <f t="shared" si="79"/>
        <v>1435</v>
      </c>
      <c r="DC85" s="5">
        <f t="shared" si="79"/>
        <v>1465</v>
      </c>
      <c r="DD85" s="5">
        <f t="shared" si="79"/>
        <v>1436.6666666666667</v>
      </c>
      <c r="DE85" s="5">
        <f t="shared" si="79"/>
        <v>1466.6666666666667</v>
      </c>
      <c r="DF85" s="5">
        <f t="shared" si="79"/>
        <v>1430</v>
      </c>
      <c r="DG85" s="5">
        <f t="shared" si="79"/>
        <v>1416.6666666666667</v>
      </c>
      <c r="DH85" s="5">
        <f t="shared" si="79"/>
        <v>1428.3333333333333</v>
      </c>
      <c r="DI85" s="5">
        <f t="shared" si="79"/>
        <v>1426.6666666666667</v>
      </c>
      <c r="DJ85" s="5">
        <f t="shared" si="79"/>
        <v>1484.8333333333333</v>
      </c>
      <c r="DK85" s="5">
        <f t="shared" si="79"/>
        <v>1446.1666666666667</v>
      </c>
      <c r="DL85" s="5">
        <f t="shared" si="79"/>
        <v>1421.6666666666667</v>
      </c>
      <c r="DM85" s="5">
        <f t="shared" si="79"/>
        <v>1478.3333333333333</v>
      </c>
      <c r="DN85" s="5">
        <f t="shared" si="79"/>
        <v>1566.6666666666667</v>
      </c>
      <c r="DO85" s="5">
        <f t="shared" si="79"/>
        <v>1658.3333333333333</v>
      </c>
      <c r="DP85" s="5">
        <f t="shared" si="79"/>
        <v>1870</v>
      </c>
      <c r="DQ85" s="5">
        <f t="shared" si="79"/>
        <v>1906.6666666666667</v>
      </c>
      <c r="DR85" s="5">
        <f t="shared" si="79"/>
        <v>1798.3333333333333</v>
      </c>
      <c r="DS85" s="5">
        <f t="shared" si="79"/>
        <v>1721.6666666666667</v>
      </c>
      <c r="DT85" s="5">
        <f t="shared" si="79"/>
        <v>1558.3333333333333</v>
      </c>
      <c r="DU85" s="5">
        <f t="shared" si="79"/>
        <v>1381.6666666666667</v>
      </c>
      <c r="DV85" s="5">
        <f t="shared" si="79"/>
        <v>1443</v>
      </c>
      <c r="DW85" s="5">
        <f t="shared" si="79"/>
        <v>1531.6666666666667</v>
      </c>
      <c r="DX85" s="5">
        <f t="shared" si="79"/>
        <v>1576.6666666666667</v>
      </c>
      <c r="DY85" s="5">
        <f t="shared" si="79"/>
        <v>1646.6666666666667</v>
      </c>
      <c r="DZ85" s="5">
        <f t="shared" si="79"/>
        <v>1696.6666666666667</v>
      </c>
      <c r="EA85" s="5">
        <f t="shared" ref="EA85:GL85" si="80">AVERAGE(EA64:EA69)</f>
        <v>1665</v>
      </c>
      <c r="EB85" s="5">
        <f t="shared" si="80"/>
        <v>1583.3333333333333</v>
      </c>
      <c r="EC85" s="5">
        <f t="shared" si="80"/>
        <v>1468.3333333333333</v>
      </c>
      <c r="ED85" s="5">
        <f t="shared" si="80"/>
        <v>1456.6666666666667</v>
      </c>
      <c r="EE85" s="5">
        <f t="shared" si="80"/>
        <v>1525</v>
      </c>
      <c r="EF85" s="5">
        <f t="shared" si="80"/>
        <v>1578.3333333333333</v>
      </c>
      <c r="EG85" s="5">
        <f t="shared" si="80"/>
        <v>1581.6666666666667</v>
      </c>
      <c r="EH85" s="5">
        <f t="shared" si="80"/>
        <v>1653.3333333333333</v>
      </c>
      <c r="EI85" s="5">
        <f t="shared" si="80"/>
        <v>1678</v>
      </c>
      <c r="EJ85" s="5">
        <f t="shared" si="80"/>
        <v>1835.5</v>
      </c>
      <c r="EK85" s="5">
        <f t="shared" si="80"/>
        <v>1935</v>
      </c>
      <c r="EL85" s="5">
        <f t="shared" si="80"/>
        <v>1985</v>
      </c>
      <c r="EM85" s="5">
        <f t="shared" si="80"/>
        <v>2095</v>
      </c>
      <c r="EN85" s="5">
        <f t="shared" si="80"/>
        <v>2070</v>
      </c>
      <c r="EO85" s="5">
        <f t="shared" si="80"/>
        <v>2193.3333333333335</v>
      </c>
      <c r="EP85" s="5">
        <f t="shared" si="80"/>
        <v>2375</v>
      </c>
      <c r="EQ85" s="5">
        <f t="shared" si="80"/>
        <v>2405</v>
      </c>
      <c r="ER85" s="5">
        <f t="shared" si="80"/>
        <v>2280</v>
      </c>
      <c r="ES85" s="5">
        <f t="shared" si="80"/>
        <v>2326.6666666666665</v>
      </c>
      <c r="ET85" s="5">
        <f t="shared" si="80"/>
        <v>2585</v>
      </c>
      <c r="EU85" s="5">
        <f t="shared" si="80"/>
        <v>2636.6666666666665</v>
      </c>
      <c r="EV85" s="5">
        <f t="shared" si="80"/>
        <v>2646.6666666666665</v>
      </c>
      <c r="EW85" s="5">
        <f t="shared" si="80"/>
        <v>2590</v>
      </c>
      <c r="EX85" s="5">
        <f t="shared" si="80"/>
        <v>2703.3333333333335</v>
      </c>
      <c r="EY85" s="5">
        <f t="shared" si="80"/>
        <v>2771.6666666666665</v>
      </c>
      <c r="EZ85" s="5">
        <f t="shared" si="80"/>
        <v>2943.3333333333335</v>
      </c>
      <c r="FA85" s="5">
        <f t="shared" si="80"/>
        <v>2846.6666666666665</v>
      </c>
      <c r="FB85" s="5">
        <f t="shared" si="80"/>
        <v>2828.3333333333335</v>
      </c>
      <c r="FC85" s="5">
        <f t="shared" si="80"/>
        <v>2918.3333333333335</v>
      </c>
      <c r="FD85" s="5">
        <f t="shared" si="80"/>
        <v>3006.6666666666665</v>
      </c>
      <c r="FE85" s="5">
        <f t="shared" si="80"/>
        <v>2845</v>
      </c>
      <c r="FF85" s="5">
        <f t="shared" si="80"/>
        <v>2918.3333333333335</v>
      </c>
      <c r="FG85" s="5">
        <f t="shared" si="80"/>
        <v>2935</v>
      </c>
      <c r="FH85" s="5">
        <f t="shared" si="80"/>
        <v>2990</v>
      </c>
      <c r="FI85" s="5">
        <f t="shared" si="80"/>
        <v>2940</v>
      </c>
      <c r="FJ85" s="5">
        <f t="shared" si="80"/>
        <v>2861.6666666666665</v>
      </c>
      <c r="FK85" s="5">
        <f t="shared" si="80"/>
        <v>2950</v>
      </c>
      <c r="FL85" s="5">
        <f t="shared" si="80"/>
        <v>3348.3333333333335</v>
      </c>
      <c r="FM85" s="5">
        <f t="shared" si="80"/>
        <v>3531.6666666666665</v>
      </c>
      <c r="FN85" s="5">
        <f t="shared" si="80"/>
        <v>3613.3333333333335</v>
      </c>
      <c r="FO85" s="5">
        <f t="shared" si="80"/>
        <v>3701.6666666666665</v>
      </c>
      <c r="FP85" s="5">
        <f t="shared" si="80"/>
        <v>3633.3333333333335</v>
      </c>
      <c r="FQ85" s="5">
        <f t="shared" si="80"/>
        <v>3755</v>
      </c>
      <c r="FR85" s="5">
        <f t="shared" si="80"/>
        <v>3681.6666666666665</v>
      </c>
      <c r="FS85" s="5">
        <f t="shared" si="80"/>
        <v>3565</v>
      </c>
      <c r="FT85" s="5">
        <f t="shared" si="80"/>
        <v>3800</v>
      </c>
      <c r="FU85" s="5">
        <f t="shared" si="80"/>
        <v>4048.3333333333335</v>
      </c>
      <c r="FV85" s="5">
        <f t="shared" si="80"/>
        <v>4576.666666666667</v>
      </c>
      <c r="FW85" s="5">
        <f t="shared" si="80"/>
        <v>4693.333333333333</v>
      </c>
      <c r="FX85" s="5">
        <f t="shared" si="80"/>
        <v>4655</v>
      </c>
      <c r="FY85" s="5">
        <f t="shared" si="80"/>
        <v>5023.333333333333</v>
      </c>
      <c r="FZ85" s="5">
        <f t="shared" si="80"/>
        <v>5971.666666666667</v>
      </c>
      <c r="GA85" s="5">
        <f t="shared" si="80"/>
        <v>6245</v>
      </c>
      <c r="GB85" s="5">
        <f t="shared" si="80"/>
        <v>6461.666666666667</v>
      </c>
      <c r="GC85" s="5">
        <f t="shared" si="80"/>
        <v>6295</v>
      </c>
      <c r="GD85" s="5">
        <f t="shared" si="80"/>
        <v>6010</v>
      </c>
      <c r="GE85" s="5">
        <f t="shared" si="80"/>
        <v>5753.333333333333</v>
      </c>
      <c r="GF85" s="5">
        <f t="shared" si="80"/>
        <v>6081.666666666667</v>
      </c>
      <c r="GG85" s="5">
        <f t="shared" si="80"/>
        <v>6623.333333333333</v>
      </c>
      <c r="GH85" s="5">
        <f t="shared" si="80"/>
        <v>6160</v>
      </c>
      <c r="GI85" s="5">
        <f t="shared" si="80"/>
        <v>6755</v>
      </c>
      <c r="GJ85" s="5">
        <f t="shared" si="80"/>
        <v>7161.666666666667</v>
      </c>
      <c r="GK85" s="5">
        <f t="shared" si="80"/>
        <v>7050</v>
      </c>
      <c r="GL85" s="5">
        <f t="shared" si="80"/>
        <v>6651.666666666667</v>
      </c>
      <c r="GM85" s="5">
        <f t="shared" ref="GM85:IX85" si="81">AVERAGE(GM64:GM69)</f>
        <v>6435</v>
      </c>
      <c r="GN85" s="5">
        <f t="shared" si="81"/>
        <v>6466.666666666667</v>
      </c>
      <c r="GO85" s="5">
        <f t="shared" si="81"/>
        <v>6958.333333333333</v>
      </c>
      <c r="GP85" s="5">
        <f t="shared" si="81"/>
        <v>7321.666666666667</v>
      </c>
      <c r="GQ85" s="5">
        <f t="shared" si="81"/>
        <v>8483.3333333333339</v>
      </c>
      <c r="GR85" s="5">
        <f t="shared" si="81"/>
        <v>9230</v>
      </c>
      <c r="GS85" s="5">
        <f t="shared" si="81"/>
        <v>9923.3333333333339</v>
      </c>
      <c r="GT85" s="5">
        <f t="shared" si="81"/>
        <v>9641.6666666666661</v>
      </c>
      <c r="GU85" s="5">
        <f t="shared" si="81"/>
        <v>9395</v>
      </c>
      <c r="GV85" s="5">
        <f t="shared" si="81"/>
        <v>9005</v>
      </c>
      <c r="GW85" s="5">
        <f t="shared" si="81"/>
        <v>8671.6666666666661</v>
      </c>
      <c r="GX85" s="5">
        <f t="shared" si="81"/>
        <v>9080</v>
      </c>
      <c r="GY85" s="5">
        <f t="shared" si="81"/>
        <v>9166.6666666666661</v>
      </c>
      <c r="GZ85" s="5">
        <f t="shared" si="81"/>
        <v>8573.3333333333339</v>
      </c>
      <c r="HA85" s="5">
        <f t="shared" si="81"/>
        <v>8136.666666666667</v>
      </c>
      <c r="HB85" s="5">
        <f t="shared" si="81"/>
        <v>8236.6666666666661</v>
      </c>
      <c r="HC85" s="5">
        <f t="shared" si="81"/>
        <v>8545</v>
      </c>
      <c r="HD85" s="5">
        <f t="shared" si="81"/>
        <v>8620</v>
      </c>
      <c r="HE85" s="5">
        <f t="shared" si="81"/>
        <v>8025</v>
      </c>
      <c r="HF85" s="5">
        <f t="shared" si="81"/>
        <v>7571.666666666667</v>
      </c>
      <c r="HG85" s="5">
        <f t="shared" si="81"/>
        <v>7566.666666666667</v>
      </c>
      <c r="HH85" s="5">
        <f t="shared" si="81"/>
        <v>7378.333333333333</v>
      </c>
      <c r="HI85" s="5">
        <f t="shared" si="81"/>
        <v>7263.333333333333</v>
      </c>
      <c r="HJ85" s="5">
        <f t="shared" si="81"/>
        <v>7031.666666666667</v>
      </c>
      <c r="HK85" s="5">
        <f t="shared" si="81"/>
        <v>6925</v>
      </c>
      <c r="HL85" s="5">
        <f t="shared" si="81"/>
        <v>6715</v>
      </c>
      <c r="HM85" s="5">
        <f t="shared" si="81"/>
        <v>6883.333333333333</v>
      </c>
      <c r="HN85" s="5">
        <f t="shared" si="81"/>
        <v>7033.333333333333</v>
      </c>
      <c r="HO85" s="5">
        <f t="shared" si="81"/>
        <v>7023.333333333333</v>
      </c>
      <c r="HP85" s="5">
        <f t="shared" si="81"/>
        <v>6695</v>
      </c>
      <c r="HQ85" s="5">
        <f t="shared" si="81"/>
        <v>6401.666666666667</v>
      </c>
      <c r="HR85" s="5">
        <f t="shared" si="81"/>
        <v>6471.666666666667</v>
      </c>
      <c r="HS85" s="5">
        <f t="shared" si="81"/>
        <v>6881.666666666667</v>
      </c>
      <c r="HT85" s="5">
        <f t="shared" si="81"/>
        <v>6788.333333333333</v>
      </c>
      <c r="HU85" s="5">
        <f t="shared" si="81"/>
        <v>6660</v>
      </c>
      <c r="HV85" s="5">
        <f t="shared" si="81"/>
        <v>6556.666666666667</v>
      </c>
      <c r="HW85" s="5">
        <f t="shared" si="81"/>
        <v>6575</v>
      </c>
      <c r="HX85" s="5">
        <f t="shared" si="81"/>
        <v>6378.333333333333</v>
      </c>
      <c r="HY85" s="5">
        <f t="shared" si="81"/>
        <v>6693.333333333333</v>
      </c>
      <c r="HZ85" s="5">
        <f t="shared" si="81"/>
        <v>6583.333333333333</v>
      </c>
      <c r="IA85" s="5">
        <f t="shared" si="81"/>
        <v>6220</v>
      </c>
      <c r="IB85" s="5">
        <f t="shared" si="81"/>
        <v>6028.333333333333</v>
      </c>
      <c r="IC85" s="5">
        <f t="shared" si="81"/>
        <v>6166.666666666667</v>
      </c>
      <c r="ID85" s="5">
        <f t="shared" si="81"/>
        <v>6420</v>
      </c>
      <c r="IE85" s="5">
        <f t="shared" si="81"/>
        <v>6596.666666666667</v>
      </c>
      <c r="IF85" s="5">
        <f t="shared" si="81"/>
        <v>6926.666666666667</v>
      </c>
      <c r="IG85" s="5">
        <f t="shared" si="81"/>
        <v>6996.666666666667</v>
      </c>
      <c r="IH85" s="5">
        <f t="shared" si="81"/>
        <v>7315</v>
      </c>
      <c r="II85" s="5">
        <f t="shared" si="81"/>
        <v>7996.666666666667</v>
      </c>
      <c r="IJ85" s="5">
        <f t="shared" si="81"/>
        <v>7833.333333333333</v>
      </c>
      <c r="IK85" s="5">
        <f t="shared" si="81"/>
        <v>7826.666666666667</v>
      </c>
      <c r="IL85" s="5">
        <f t="shared" si="81"/>
        <v>8046.666666666667</v>
      </c>
      <c r="IM85" s="5">
        <f t="shared" si="81"/>
        <v>7930</v>
      </c>
      <c r="IN85" s="5">
        <f t="shared" si="81"/>
        <v>7810</v>
      </c>
      <c r="IO85" s="5">
        <f t="shared" si="81"/>
        <v>8033.333333333333</v>
      </c>
      <c r="IP85" s="5">
        <f t="shared" si="81"/>
        <v>7828.333333333333</v>
      </c>
      <c r="IQ85" s="5">
        <f t="shared" si="81"/>
        <v>7935</v>
      </c>
      <c r="IR85" s="5">
        <f t="shared" si="81"/>
        <v>8415</v>
      </c>
      <c r="IS85" s="5">
        <f t="shared" si="81"/>
        <v>8676.6666666666661</v>
      </c>
      <c r="IT85" s="5">
        <f t="shared" si="81"/>
        <v>8643.3333333333339</v>
      </c>
      <c r="IU85" s="5">
        <f t="shared" si="81"/>
        <v>8228.3333333333339</v>
      </c>
      <c r="IV85" s="5">
        <f t="shared" si="81"/>
        <v>8305</v>
      </c>
      <c r="IW85" s="5">
        <f t="shared" si="81"/>
        <v>8186.666666666667</v>
      </c>
      <c r="IX85" s="5">
        <f t="shared" si="81"/>
        <v>8520</v>
      </c>
      <c r="IY85" s="5">
        <f t="shared" ref="IY85:LJ85" si="82">AVERAGE(IY64:IY69)</f>
        <v>8651.6666666666661</v>
      </c>
      <c r="IZ85" s="5">
        <f t="shared" si="82"/>
        <v>8480</v>
      </c>
      <c r="JA85" s="5">
        <f t="shared" si="82"/>
        <v>8285</v>
      </c>
      <c r="JB85" s="5">
        <f t="shared" si="82"/>
        <v>8468.3333333333339</v>
      </c>
      <c r="JC85" s="5">
        <f t="shared" si="82"/>
        <v>8126.666666666667</v>
      </c>
      <c r="JD85" s="5">
        <f t="shared" si="82"/>
        <v>8066.666666666667</v>
      </c>
      <c r="JE85" s="5">
        <f t="shared" si="82"/>
        <v>8430</v>
      </c>
      <c r="JF85" s="5">
        <f t="shared" si="82"/>
        <v>8306.6666666666661</v>
      </c>
      <c r="JG85" s="5">
        <f t="shared" si="82"/>
        <v>8106.666666666667</v>
      </c>
      <c r="JH85" s="5">
        <f t="shared" si="82"/>
        <v>7990</v>
      </c>
      <c r="JI85" s="5">
        <f t="shared" si="82"/>
        <v>7541.666666666667</v>
      </c>
      <c r="JJ85" s="5">
        <f t="shared" si="82"/>
        <v>7540</v>
      </c>
      <c r="JK85" s="5">
        <f t="shared" si="82"/>
        <v>7413.333333333333</v>
      </c>
      <c r="JL85" s="5">
        <f t="shared" si="82"/>
        <v>7068.333333333333</v>
      </c>
      <c r="JM85" s="5">
        <f t="shared" si="82"/>
        <v>6548.333333333333</v>
      </c>
      <c r="JN85" s="5">
        <f t="shared" si="82"/>
        <v>7065</v>
      </c>
      <c r="JO85" s="5">
        <f t="shared" si="82"/>
        <v>7390</v>
      </c>
      <c r="JP85" s="5">
        <f t="shared" si="82"/>
        <v>6741.666666666667</v>
      </c>
      <c r="JQ85" s="5">
        <f t="shared" si="82"/>
        <v>6228.333333333333</v>
      </c>
      <c r="JR85" s="5">
        <f t="shared" si="82"/>
        <v>6275</v>
      </c>
      <c r="JS85" s="5">
        <f t="shared" si="82"/>
        <v>6131.666666666667</v>
      </c>
      <c r="JT85" s="5">
        <f t="shared" si="82"/>
        <v>5926.666666666667</v>
      </c>
      <c r="JU85" s="5">
        <f t="shared" si="82"/>
        <v>5460</v>
      </c>
      <c r="JV85" s="5">
        <f t="shared" si="82"/>
        <v>5473.333333333333</v>
      </c>
      <c r="JW85" s="5">
        <f t="shared" si="82"/>
        <v>5660</v>
      </c>
      <c r="JX85" s="5">
        <f t="shared" si="82"/>
        <v>5940</v>
      </c>
      <c r="JY85" s="5">
        <f t="shared" si="82"/>
        <v>5745</v>
      </c>
      <c r="JZ85" s="5">
        <f t="shared" si="82"/>
        <v>5828.333333333333</v>
      </c>
      <c r="KA85" s="5">
        <f t="shared" si="82"/>
        <v>5738.333333333333</v>
      </c>
      <c r="KB85" s="5">
        <f t="shared" si="82"/>
        <v>5480</v>
      </c>
      <c r="KC85" s="5">
        <f t="shared" si="82"/>
        <v>5190</v>
      </c>
      <c r="KD85" s="5">
        <f t="shared" si="82"/>
        <v>4968.333333333333</v>
      </c>
      <c r="KE85" s="5">
        <f t="shared" si="82"/>
        <v>4913.333333333333</v>
      </c>
      <c r="KF85" s="5">
        <f t="shared" si="82"/>
        <v>4875</v>
      </c>
      <c r="KG85" s="5">
        <f t="shared" si="82"/>
        <v>4805</v>
      </c>
      <c r="KH85" s="5">
        <f t="shared" si="82"/>
        <v>4708.333333333333</v>
      </c>
      <c r="KI85" s="5">
        <f t="shared" si="82"/>
        <v>4741.666666666667</v>
      </c>
      <c r="KJ85" s="5">
        <f t="shared" si="82"/>
        <v>4708.333333333333</v>
      </c>
      <c r="KK85" s="5">
        <f t="shared" si="82"/>
        <v>4463.333333333333</v>
      </c>
      <c r="KL85" s="5">
        <f t="shared" si="82"/>
        <v>4316.666666666667</v>
      </c>
      <c r="KM85" s="5">
        <f t="shared" si="82"/>
        <v>4166.666666666667</v>
      </c>
      <c r="KN85" s="5">
        <f t="shared" si="82"/>
        <v>4088.3333333333335</v>
      </c>
      <c r="KO85" s="5">
        <f t="shared" si="82"/>
        <v>3993.3333333333335</v>
      </c>
      <c r="KP85" s="5">
        <f t="shared" si="82"/>
        <v>3720</v>
      </c>
      <c r="KQ85" s="5">
        <f t="shared" si="82"/>
        <v>3541.6666666666665</v>
      </c>
      <c r="KR85" s="5">
        <f t="shared" si="82"/>
        <v>3493.3333333333335</v>
      </c>
      <c r="KS85" s="5">
        <f t="shared" si="82"/>
        <v>3358.3333333333335</v>
      </c>
      <c r="KT85" s="5">
        <f t="shared" si="82"/>
        <v>3291.6666666666665</v>
      </c>
      <c r="KU85" s="5">
        <f t="shared" si="82"/>
        <v>3285</v>
      </c>
      <c r="KV85" s="5">
        <f t="shared" si="82"/>
        <v>3013.3333333333335</v>
      </c>
      <c r="KW85" s="5">
        <f t="shared" si="82"/>
        <v>2973.3333333333335</v>
      </c>
      <c r="KX85" s="5">
        <f t="shared" si="82"/>
        <v>2868.3333333333335</v>
      </c>
      <c r="KY85" s="5">
        <f t="shared" si="82"/>
        <v>2858.3333333333335</v>
      </c>
      <c r="KZ85" s="5">
        <f t="shared" si="82"/>
        <v>2881.6666666666665</v>
      </c>
      <c r="LA85" s="5">
        <f t="shared" si="82"/>
        <v>2833.3333333333335</v>
      </c>
      <c r="LB85" s="5">
        <f t="shared" si="82"/>
        <v>2783.3333333333335</v>
      </c>
      <c r="LC85" s="5">
        <f t="shared" si="82"/>
        <v>2743.3333333333335</v>
      </c>
      <c r="LD85" s="5">
        <f t="shared" si="82"/>
        <v>2740</v>
      </c>
      <c r="LE85" s="5">
        <f t="shared" si="82"/>
        <v>2750</v>
      </c>
      <c r="LF85" s="5">
        <f t="shared" si="82"/>
        <v>2570</v>
      </c>
      <c r="LG85" s="5">
        <f t="shared" si="82"/>
        <v>2668.3333333333335</v>
      </c>
      <c r="LH85" s="5">
        <f t="shared" si="82"/>
        <v>2598.3333333333335</v>
      </c>
      <c r="LI85" s="5">
        <f t="shared" si="82"/>
        <v>2513.3333333333335</v>
      </c>
      <c r="LJ85" s="5">
        <f t="shared" si="82"/>
        <v>2511.6666666666665</v>
      </c>
      <c r="LK85" s="5">
        <f t="shared" ref="LK85:NT85" si="83">AVERAGE(LK64:LK69)</f>
        <v>2470</v>
      </c>
      <c r="LL85" s="5">
        <f t="shared" si="83"/>
        <v>2483.3333333333335</v>
      </c>
      <c r="LM85" s="5">
        <f t="shared" si="83"/>
        <v>2508.3333333333335</v>
      </c>
      <c r="LN85" s="5">
        <f t="shared" si="83"/>
        <v>2548.3333333333335</v>
      </c>
      <c r="LO85" s="5">
        <f t="shared" si="83"/>
        <v>2523.3333333333335</v>
      </c>
      <c r="LP85" s="5">
        <f t="shared" si="83"/>
        <v>2465</v>
      </c>
      <c r="LQ85" s="5">
        <f t="shared" si="83"/>
        <v>2540</v>
      </c>
      <c r="LR85" s="5">
        <f t="shared" si="83"/>
        <v>2396.6666666666665</v>
      </c>
      <c r="LS85" s="5">
        <f t="shared" si="83"/>
        <v>2231.6666666666665</v>
      </c>
      <c r="LT85" s="5">
        <f t="shared" si="83"/>
        <v>2111.6666666666665</v>
      </c>
      <c r="LU85" s="5">
        <f t="shared" si="83"/>
        <v>2235</v>
      </c>
      <c r="LV85" s="5">
        <f t="shared" si="83"/>
        <v>2276.6666666666665</v>
      </c>
      <c r="LW85" s="5">
        <f t="shared" si="83"/>
        <v>2170</v>
      </c>
      <c r="LX85" s="5">
        <f t="shared" si="83"/>
        <v>1980</v>
      </c>
      <c r="LY85" s="5">
        <f t="shared" si="83"/>
        <v>1913.3333333333333</v>
      </c>
      <c r="LZ85" s="5">
        <f t="shared" si="83"/>
        <v>1901.6666666666667</v>
      </c>
      <c r="MA85" s="5">
        <f t="shared" si="83"/>
        <v>1861.6666666666667</v>
      </c>
      <c r="MB85" s="5">
        <f t="shared" si="83"/>
        <v>1861.8333333333333</v>
      </c>
      <c r="MC85" s="5">
        <f t="shared" si="83"/>
        <v>1808.8333333333333</v>
      </c>
      <c r="MD85" s="5">
        <f t="shared" si="83"/>
        <v>1667.3333333333333</v>
      </c>
      <c r="ME85" s="5">
        <f t="shared" si="83"/>
        <v>1635.5</v>
      </c>
      <c r="MF85" s="5">
        <f t="shared" si="83"/>
        <v>1676.8333333333333</v>
      </c>
      <c r="MG85" s="5">
        <f t="shared" si="83"/>
        <v>1592</v>
      </c>
      <c r="MH85" s="5">
        <f t="shared" si="83"/>
        <v>1491.3333333333333</v>
      </c>
      <c r="MI85" s="5">
        <f t="shared" si="83"/>
        <v>1500</v>
      </c>
      <c r="MJ85" s="5">
        <f t="shared" si="83"/>
        <v>1585.6666666666667</v>
      </c>
      <c r="MK85" s="5">
        <f t="shared" si="83"/>
        <v>1678.5</v>
      </c>
      <c r="ML85" s="5">
        <f t="shared" si="83"/>
        <v>1659</v>
      </c>
      <c r="MM85" s="5">
        <f t="shared" si="83"/>
        <v>1502.6666666666667</v>
      </c>
      <c r="MN85" s="5">
        <f t="shared" si="83"/>
        <v>1532.6666666666667</v>
      </c>
      <c r="MO85" s="5">
        <f t="shared" si="83"/>
        <v>1563</v>
      </c>
      <c r="MP85" s="5">
        <f t="shared" si="83"/>
        <v>1536.6666666666667</v>
      </c>
      <c r="MQ85" s="5">
        <f t="shared" si="83"/>
        <v>1526.6666666666667</v>
      </c>
      <c r="MR85" s="5">
        <f t="shared" si="83"/>
        <v>1460</v>
      </c>
      <c r="MS85" s="5">
        <f t="shared" si="83"/>
        <v>1463.3333333333333</v>
      </c>
      <c r="MT85" s="5">
        <f t="shared" si="83"/>
        <v>1468.3333333333333</v>
      </c>
      <c r="MU85" s="5">
        <f t="shared" si="83"/>
        <v>1545</v>
      </c>
      <c r="MV85" s="5">
        <f t="shared" si="83"/>
        <v>1535</v>
      </c>
      <c r="MW85" s="5">
        <f t="shared" si="83"/>
        <v>1463.3333333333333</v>
      </c>
      <c r="MX85" s="5">
        <f t="shared" si="83"/>
        <v>1490</v>
      </c>
      <c r="MY85" s="5">
        <f t="shared" si="83"/>
        <v>1530</v>
      </c>
      <c r="MZ85" s="5">
        <f t="shared" si="83"/>
        <v>1616.6666666666667</v>
      </c>
      <c r="NA85" s="5">
        <f t="shared" si="83"/>
        <v>1658.3333333333333</v>
      </c>
      <c r="NB85" s="5">
        <f t="shared" si="83"/>
        <v>1625</v>
      </c>
      <c r="NC85" s="5">
        <f t="shared" si="83"/>
        <v>1613.3333333333333</v>
      </c>
      <c r="ND85" s="5">
        <f t="shared" si="83"/>
        <v>1750</v>
      </c>
      <c r="NE85" s="5">
        <f t="shared" si="83"/>
        <v>1523.6666666666667</v>
      </c>
      <c r="NF85" s="5">
        <f t="shared" si="83"/>
        <v>1578.5</v>
      </c>
      <c r="NG85" s="5">
        <f t="shared" si="83"/>
        <v>1525</v>
      </c>
      <c r="NH85" s="5">
        <f t="shared" si="83"/>
        <v>1895</v>
      </c>
      <c r="NI85" s="5">
        <f t="shared" si="83"/>
        <v>3610</v>
      </c>
      <c r="NJ85" s="5">
        <f t="shared" si="83"/>
        <v>7698.333333333333</v>
      </c>
      <c r="NK85" s="5">
        <f t="shared" si="83"/>
        <v>6865</v>
      </c>
      <c r="NL85" s="5">
        <f t="shared" si="83"/>
        <v>8000</v>
      </c>
      <c r="NM85" s="5">
        <f t="shared" si="83"/>
        <v>4966.666666666667</v>
      </c>
      <c r="NN85" s="5">
        <f t="shared" si="83"/>
        <v>2585</v>
      </c>
      <c r="NO85" s="5">
        <f t="shared" si="83"/>
        <v>1611.6666666666667</v>
      </c>
      <c r="NP85" s="5">
        <f t="shared" si="83"/>
        <v>3645.4300883299643</v>
      </c>
      <c r="NQ85" s="5">
        <f t="shared" si="83"/>
        <v>13700</v>
      </c>
      <c r="NR85" s="5">
        <f t="shared" si="83"/>
        <v>42598.333333333336</v>
      </c>
      <c r="NS85" s="5">
        <f t="shared" si="83"/>
        <v>961.5</v>
      </c>
      <c r="NT85" s="5">
        <f t="shared" si="83"/>
        <v>42483.5</v>
      </c>
      <c r="NU85" s="5"/>
      <c r="NV85" s="5"/>
      <c r="NW85" s="5"/>
      <c r="NX85" s="5"/>
      <c r="NY85" s="5"/>
      <c r="NZ85" s="5"/>
      <c r="OA85" s="5"/>
      <c r="OB85" s="5"/>
      <c r="OC85" s="5"/>
      <c r="OD85" s="5"/>
      <c r="OE85" s="5"/>
    </row>
    <row r="86" spans="1:395" customFormat="1" x14ac:dyDescent="0.15">
      <c r="A86" s="9" t="s">
        <v>50</v>
      </c>
      <c r="B86" s="5">
        <f>AVERAGE(B3:B43)</f>
        <v>1508.9743589743589</v>
      </c>
      <c r="C86" s="5">
        <f t="shared" ref="C86:BN86" si="84">AVERAGE(C3:C43)</f>
        <v>1496.1538461538462</v>
      </c>
      <c r="D86" s="5">
        <f t="shared" si="84"/>
        <v>1483.0769230769231</v>
      </c>
      <c r="E86" s="5">
        <f t="shared" si="84"/>
        <v>1471.5384615384614</v>
      </c>
      <c r="F86" s="5">
        <f t="shared" si="84"/>
        <v>1459.4871794871794</v>
      </c>
      <c r="G86" s="5">
        <f t="shared" si="84"/>
        <v>1446.6666666666667</v>
      </c>
      <c r="H86" s="5">
        <f t="shared" si="84"/>
        <v>1434.8717948717949</v>
      </c>
      <c r="I86" s="5">
        <f t="shared" si="84"/>
        <v>1423.3333333333333</v>
      </c>
      <c r="J86" s="5">
        <f t="shared" si="84"/>
        <v>1411.0256410256411</v>
      </c>
      <c r="K86" s="5">
        <f t="shared" si="84"/>
        <v>1398.9743589743589</v>
      </c>
      <c r="L86" s="5">
        <f t="shared" si="84"/>
        <v>1388.9743589743589</v>
      </c>
      <c r="M86" s="5">
        <f t="shared" si="84"/>
        <v>1378.7179487179487</v>
      </c>
      <c r="N86" s="5">
        <f t="shared" si="84"/>
        <v>1369.4871794871794</v>
      </c>
      <c r="O86" s="5">
        <f t="shared" si="84"/>
        <v>1362.051282051282</v>
      </c>
      <c r="P86" s="5">
        <f t="shared" si="84"/>
        <v>1352.8205128205129</v>
      </c>
      <c r="Q86" s="5">
        <f t="shared" si="84"/>
        <v>1344.6153846153845</v>
      </c>
      <c r="R86" s="5">
        <f t="shared" si="84"/>
        <v>1336.6666666666667</v>
      </c>
      <c r="S86" s="5">
        <f t="shared" si="84"/>
        <v>1327.4358974358975</v>
      </c>
      <c r="T86" s="5">
        <f t="shared" si="84"/>
        <v>1320</v>
      </c>
      <c r="U86" s="5">
        <f t="shared" si="84"/>
        <v>1310.5384615384614</v>
      </c>
      <c r="V86" s="5">
        <f t="shared" si="84"/>
        <v>1300.6923076923076</v>
      </c>
      <c r="W86" s="5">
        <f t="shared" si="84"/>
        <v>1291</v>
      </c>
      <c r="X86" s="5">
        <f t="shared" si="84"/>
        <v>1280.1538461538462</v>
      </c>
      <c r="Y86" s="5">
        <f t="shared" si="84"/>
        <v>1271.6153846153845</v>
      </c>
      <c r="Z86" s="5">
        <f t="shared" si="84"/>
        <v>1263.5641025641025</v>
      </c>
      <c r="AA86" s="5">
        <f t="shared" si="84"/>
        <v>1254.8461538461538</v>
      </c>
      <c r="AB86" s="5">
        <f t="shared" si="84"/>
        <v>1247.8461538461538</v>
      </c>
      <c r="AC86" s="5">
        <f t="shared" si="84"/>
        <v>1239.8205128205129</v>
      </c>
      <c r="AD86" s="5">
        <f t="shared" si="84"/>
        <v>1232.4871794871794</v>
      </c>
      <c r="AE86" s="5">
        <f t="shared" si="84"/>
        <v>1225.6153846153845</v>
      </c>
      <c r="AF86" s="5">
        <f t="shared" si="84"/>
        <v>1221.6666666666667</v>
      </c>
      <c r="AG86" s="5">
        <f t="shared" si="84"/>
        <v>1215.8205128205129</v>
      </c>
      <c r="AH86" s="5">
        <f t="shared" si="84"/>
        <v>1209.0256410256411</v>
      </c>
      <c r="AI86" s="5">
        <f t="shared" si="84"/>
        <v>1204.8461538461538</v>
      </c>
      <c r="AJ86" s="5">
        <f t="shared" si="84"/>
        <v>1201.7692307692307</v>
      </c>
      <c r="AK86" s="5">
        <f t="shared" si="84"/>
        <v>1195.2820512820513</v>
      </c>
      <c r="AL86" s="5">
        <f t="shared" si="84"/>
        <v>1191.5897435897436</v>
      </c>
      <c r="AM86" s="5">
        <f t="shared" si="84"/>
        <v>1186.8717948717949</v>
      </c>
      <c r="AN86" s="5">
        <f t="shared" si="84"/>
        <v>1181.7435897435898</v>
      </c>
      <c r="AO86" s="5">
        <f t="shared" si="84"/>
        <v>1178.2307692307693</v>
      </c>
      <c r="AP86" s="5">
        <f t="shared" si="84"/>
        <v>1173.7435897435898</v>
      </c>
      <c r="AQ86" s="5">
        <f t="shared" si="84"/>
        <v>1169.4102564102564</v>
      </c>
      <c r="AR86" s="5">
        <f t="shared" si="84"/>
        <v>1166.051282051282</v>
      </c>
      <c r="AS86" s="5">
        <f t="shared" si="84"/>
        <v>1163.3589743589744</v>
      </c>
      <c r="AT86" s="5">
        <f t="shared" si="84"/>
        <v>1158.3333333333333</v>
      </c>
      <c r="AU86" s="5">
        <f t="shared" si="84"/>
        <v>1153.4615384615386</v>
      </c>
      <c r="AV86" s="5">
        <f t="shared" si="84"/>
        <v>1147.3333333333333</v>
      </c>
      <c r="AW86" s="5">
        <f t="shared" si="84"/>
        <v>1142.4615384615386</v>
      </c>
      <c r="AX86" s="5">
        <f t="shared" si="84"/>
        <v>1138.6923076923076</v>
      </c>
      <c r="AY86" s="5">
        <f t="shared" si="84"/>
        <v>1136.7435897435898</v>
      </c>
      <c r="AZ86" s="5">
        <f t="shared" si="84"/>
        <v>1133.3846153846155</v>
      </c>
      <c r="BA86" s="5">
        <f t="shared" si="84"/>
        <v>1129.5128205128206</v>
      </c>
      <c r="BB86" s="5">
        <f t="shared" si="84"/>
        <v>1126.7435897435898</v>
      </c>
      <c r="BC86" s="5">
        <f t="shared" si="84"/>
        <v>1121.8205128205129</v>
      </c>
      <c r="BD86" s="5">
        <f t="shared" si="84"/>
        <v>1118.7692307692307</v>
      </c>
      <c r="BE86" s="5">
        <f t="shared" si="84"/>
        <v>1115.5897435897436</v>
      </c>
      <c r="BF86" s="5">
        <f t="shared" si="84"/>
        <v>1111.2564102564102</v>
      </c>
      <c r="BG86" s="5">
        <f t="shared" si="84"/>
        <v>1109.1282051282051</v>
      </c>
      <c r="BH86" s="5">
        <f t="shared" si="84"/>
        <v>1108.6410256410256</v>
      </c>
      <c r="BI86" s="5">
        <f t="shared" si="84"/>
        <v>1080.3</v>
      </c>
      <c r="BJ86" s="5">
        <f t="shared" si="84"/>
        <v>1106.1538461538462</v>
      </c>
      <c r="BK86" s="5">
        <f t="shared" si="84"/>
        <v>1103.1794871794871</v>
      </c>
      <c r="BL86" s="5">
        <f t="shared" si="84"/>
        <v>1098.7435897435898</v>
      </c>
      <c r="BM86" s="5">
        <f t="shared" si="84"/>
        <v>1094.8205128205129</v>
      </c>
      <c r="BN86" s="5">
        <f t="shared" si="84"/>
        <v>1092.1282051282051</v>
      </c>
      <c r="BO86" s="5">
        <f t="shared" ref="BO86:DZ86" si="85">AVERAGE(BO3:BO43)</f>
        <v>1093.051282051282</v>
      </c>
      <c r="BP86" s="5">
        <f t="shared" si="85"/>
        <v>1092.1538461538462</v>
      </c>
      <c r="BQ86" s="5">
        <f t="shared" si="85"/>
        <v>1090.051282051282</v>
      </c>
      <c r="BR86" s="5">
        <f t="shared" si="85"/>
        <v>1086.6923076923076</v>
      </c>
      <c r="BS86" s="5">
        <f t="shared" si="85"/>
        <v>1084.0256410256411</v>
      </c>
      <c r="BT86" s="5">
        <f t="shared" si="85"/>
        <v>1081.2051282051282</v>
      </c>
      <c r="BU86" s="5">
        <f t="shared" si="85"/>
        <v>1081.0769230769231</v>
      </c>
      <c r="BV86" s="5">
        <f t="shared" si="85"/>
        <v>1078.6153846153845</v>
      </c>
      <c r="BW86" s="5">
        <f t="shared" si="85"/>
        <v>1075.948717948718</v>
      </c>
      <c r="BX86" s="5">
        <f t="shared" si="85"/>
        <v>1074.9743589743589</v>
      </c>
      <c r="BY86" s="5">
        <f t="shared" si="85"/>
        <v>1074.5384615384614</v>
      </c>
      <c r="BZ86" s="5">
        <f t="shared" si="85"/>
        <v>1077.4615384615386</v>
      </c>
      <c r="CA86" s="5">
        <f t="shared" si="85"/>
        <v>1078.7692307692307</v>
      </c>
      <c r="CB86" s="5">
        <f t="shared" si="85"/>
        <v>1082.1794871794871</v>
      </c>
      <c r="CC86" s="5">
        <f t="shared" si="85"/>
        <v>1082.948717948718</v>
      </c>
      <c r="CD86" s="5">
        <f t="shared" si="85"/>
        <v>1079.1538461538462</v>
      </c>
      <c r="CE86" s="5">
        <f t="shared" si="85"/>
        <v>1074.7948717948718</v>
      </c>
      <c r="CF86" s="5">
        <f t="shared" si="85"/>
        <v>1076.5897435897436</v>
      </c>
      <c r="CG86" s="5">
        <f t="shared" si="85"/>
        <v>1080.4358974358975</v>
      </c>
      <c r="CH86" s="5">
        <f t="shared" si="85"/>
        <v>1084.948717948718</v>
      </c>
      <c r="CI86" s="5">
        <f t="shared" si="85"/>
        <v>1088.3589743589744</v>
      </c>
      <c r="CJ86" s="5">
        <f t="shared" si="85"/>
        <v>1088.4871794871794</v>
      </c>
      <c r="CK86" s="5">
        <f t="shared" si="85"/>
        <v>1088.051282051282</v>
      </c>
      <c r="CL86" s="5">
        <f t="shared" si="85"/>
        <v>1085.5384615384614</v>
      </c>
      <c r="CM86" s="5">
        <f t="shared" si="85"/>
        <v>1087.2820512820513</v>
      </c>
      <c r="CN86" s="5">
        <f t="shared" si="85"/>
        <v>1091.9230769230769</v>
      </c>
      <c r="CO86" s="5">
        <f t="shared" si="85"/>
        <v>1102.2051282051282</v>
      </c>
      <c r="CP86" s="5">
        <f t="shared" si="85"/>
        <v>1113.5384615384614</v>
      </c>
      <c r="CQ86" s="5">
        <f t="shared" si="85"/>
        <v>1121.6923076923076</v>
      </c>
      <c r="CR86" s="5">
        <f t="shared" si="85"/>
        <v>1133.0769230769231</v>
      </c>
      <c r="CS86" s="5">
        <f t="shared" si="85"/>
        <v>1142.9230769230769</v>
      </c>
      <c r="CT86" s="5">
        <f t="shared" si="85"/>
        <v>1142.7692307692307</v>
      </c>
      <c r="CU86" s="5">
        <f t="shared" si="85"/>
        <v>1147.8974358974358</v>
      </c>
      <c r="CV86" s="5">
        <f t="shared" si="85"/>
        <v>1152.0256410256411</v>
      </c>
      <c r="CW86" s="5">
        <f t="shared" si="85"/>
        <v>1161.2564102564102</v>
      </c>
      <c r="CX86" s="5">
        <f t="shared" si="85"/>
        <v>1163.5897435897436</v>
      </c>
      <c r="CY86" s="5">
        <f t="shared" si="85"/>
        <v>1178.5128205128206</v>
      </c>
      <c r="CZ86" s="5">
        <f t="shared" si="85"/>
        <v>1183.5897435897436</v>
      </c>
      <c r="DA86" s="5">
        <f t="shared" si="85"/>
        <v>1190.1282051282051</v>
      </c>
      <c r="DB86" s="5">
        <f t="shared" si="85"/>
        <v>1196.2820512820513</v>
      </c>
      <c r="DC86" s="5">
        <f t="shared" si="85"/>
        <v>1210.7179487179487</v>
      </c>
      <c r="DD86" s="5">
        <f t="shared" si="85"/>
        <v>1225.5128205128206</v>
      </c>
      <c r="DE86" s="5">
        <f t="shared" si="85"/>
        <v>1236.1538461538462</v>
      </c>
      <c r="DF86" s="5">
        <f t="shared" si="85"/>
        <v>1245.7179487179487</v>
      </c>
      <c r="DG86" s="5">
        <f t="shared" si="85"/>
        <v>1257.7692307692307</v>
      </c>
      <c r="DH86" s="5">
        <f t="shared" si="85"/>
        <v>1276.7692307692307</v>
      </c>
      <c r="DI86" s="5">
        <f t="shared" si="85"/>
        <v>1303.3333333333333</v>
      </c>
      <c r="DJ86" s="5">
        <f t="shared" si="85"/>
        <v>1331.7948717948718</v>
      </c>
      <c r="DK86" s="5">
        <f t="shared" si="85"/>
        <v>1348.9743589743589</v>
      </c>
      <c r="DL86" s="5">
        <f t="shared" si="85"/>
        <v>1360</v>
      </c>
      <c r="DM86" s="5">
        <f t="shared" si="85"/>
        <v>1371.0256410256411</v>
      </c>
      <c r="DN86" s="5">
        <f t="shared" si="85"/>
        <v>1391.2820512820513</v>
      </c>
      <c r="DO86" s="5">
        <f t="shared" si="85"/>
        <v>1421.0256410256411</v>
      </c>
      <c r="DP86" s="5">
        <f t="shared" si="85"/>
        <v>1443.3333333333333</v>
      </c>
      <c r="DQ86" s="5">
        <f t="shared" si="85"/>
        <v>1469.7435897435898</v>
      </c>
      <c r="DR86" s="5">
        <f t="shared" si="85"/>
        <v>1491.7948717948718</v>
      </c>
      <c r="DS86" s="5">
        <f t="shared" si="85"/>
        <v>1505.3846153846155</v>
      </c>
      <c r="DT86" s="5">
        <f t="shared" si="85"/>
        <v>1515.4871794871794</v>
      </c>
      <c r="DU86" s="5">
        <f t="shared" si="85"/>
        <v>1534.3846153846155</v>
      </c>
      <c r="DV86" s="5">
        <f t="shared" si="85"/>
        <v>1563.1538461538462</v>
      </c>
      <c r="DW86" s="5">
        <f t="shared" si="85"/>
        <v>1588.948717948718</v>
      </c>
      <c r="DX86" s="5">
        <f t="shared" si="85"/>
        <v>1617.1794871794871</v>
      </c>
      <c r="DY86" s="5">
        <f t="shared" si="85"/>
        <v>1641.4358974358975</v>
      </c>
      <c r="DZ86" s="5">
        <f t="shared" si="85"/>
        <v>1660.9230769230769</v>
      </c>
      <c r="EA86" s="5">
        <f t="shared" ref="EA86:GL86" si="86">AVERAGE(EA3:EA43)</f>
        <v>1675.051282051282</v>
      </c>
      <c r="EB86" s="5">
        <f t="shared" si="86"/>
        <v>1691.7179487179487</v>
      </c>
      <c r="EC86" s="5">
        <f t="shared" si="86"/>
        <v>1709.6410256410256</v>
      </c>
      <c r="ED86" s="5">
        <f t="shared" si="86"/>
        <v>1717.051282051282</v>
      </c>
      <c r="EE86" s="5">
        <f t="shared" si="86"/>
        <v>1741.7948717948718</v>
      </c>
      <c r="EF86" s="5">
        <f t="shared" si="86"/>
        <v>1764.4871794871794</v>
      </c>
      <c r="EG86" s="5">
        <f t="shared" si="86"/>
        <v>1789.5897435897436</v>
      </c>
      <c r="EH86" s="5">
        <f t="shared" si="86"/>
        <v>1815.8205128205129</v>
      </c>
      <c r="EI86" s="5">
        <f t="shared" si="86"/>
        <v>1862.4615384615386</v>
      </c>
      <c r="EJ86" s="5">
        <f t="shared" si="86"/>
        <v>1892.3333333333333</v>
      </c>
      <c r="EK86" s="5">
        <f t="shared" si="86"/>
        <v>1917.7948717948718</v>
      </c>
      <c r="EL86" s="5">
        <f t="shared" si="86"/>
        <v>1936.4102564102564</v>
      </c>
      <c r="EM86" s="5">
        <f t="shared" si="86"/>
        <v>1946.9230769230769</v>
      </c>
      <c r="EN86" s="5">
        <f t="shared" si="86"/>
        <v>1980.2307692307693</v>
      </c>
      <c r="EO86" s="5">
        <f t="shared" si="86"/>
        <v>2019.0769230769231</v>
      </c>
      <c r="EP86" s="5">
        <f t="shared" si="86"/>
        <v>2058.4615384615386</v>
      </c>
      <c r="EQ86" s="5">
        <f t="shared" si="86"/>
        <v>2096.1538461538462</v>
      </c>
      <c r="ER86" s="5">
        <f t="shared" si="86"/>
        <v>2142.3076923076924</v>
      </c>
      <c r="ES86" s="5">
        <f t="shared" si="86"/>
        <v>2195.3846153846152</v>
      </c>
      <c r="ET86" s="5">
        <f t="shared" si="86"/>
        <v>2227.4358974358975</v>
      </c>
      <c r="EU86" s="5">
        <f t="shared" si="86"/>
        <v>2286.6666666666665</v>
      </c>
      <c r="EV86" s="5">
        <f t="shared" si="86"/>
        <v>2352.0512820512822</v>
      </c>
      <c r="EW86" s="5">
        <f t="shared" si="86"/>
        <v>2411.0256410256411</v>
      </c>
      <c r="EX86" s="5">
        <f t="shared" si="86"/>
        <v>2453.8461538461538</v>
      </c>
      <c r="EY86" s="5">
        <f t="shared" si="86"/>
        <v>2480.8461538461538</v>
      </c>
      <c r="EZ86" s="5">
        <f t="shared" si="86"/>
        <v>2567.1794871794873</v>
      </c>
      <c r="FA86" s="5">
        <f t="shared" si="86"/>
        <v>2637.1794871794873</v>
      </c>
      <c r="FB86" s="5">
        <f t="shared" si="86"/>
        <v>2708.4615384615386</v>
      </c>
      <c r="FC86" s="5">
        <f t="shared" si="86"/>
        <v>2756.4102564102564</v>
      </c>
      <c r="FD86" s="5">
        <f t="shared" si="86"/>
        <v>2825.897435897436</v>
      </c>
      <c r="FE86" s="5">
        <f t="shared" si="86"/>
        <v>2925.897435897436</v>
      </c>
      <c r="FF86" s="5">
        <f t="shared" si="86"/>
        <v>3028.9743589743589</v>
      </c>
      <c r="FG86" s="5">
        <f t="shared" si="86"/>
        <v>3144.6153846153848</v>
      </c>
      <c r="FH86" s="5">
        <f t="shared" si="86"/>
        <v>3226.9230769230771</v>
      </c>
      <c r="FI86" s="5">
        <f t="shared" si="86"/>
        <v>3334.6153846153848</v>
      </c>
      <c r="FJ86" s="5">
        <f t="shared" si="86"/>
        <v>3430.7692307692309</v>
      </c>
      <c r="FK86" s="5">
        <f t="shared" si="86"/>
        <v>3506.4102564102564</v>
      </c>
      <c r="FL86" s="5">
        <f t="shared" si="86"/>
        <v>3624.8717948717949</v>
      </c>
      <c r="FM86" s="5">
        <f t="shared" si="86"/>
        <v>3833.3333333333335</v>
      </c>
      <c r="FN86" s="5">
        <f t="shared" si="86"/>
        <v>3973.3333333333335</v>
      </c>
      <c r="FO86" s="5">
        <f t="shared" si="86"/>
        <v>4103.0769230769229</v>
      </c>
      <c r="FP86" s="5">
        <f t="shared" si="86"/>
        <v>4440.5128205128203</v>
      </c>
      <c r="FQ86" s="5">
        <f t="shared" si="86"/>
        <v>4686.9230769230771</v>
      </c>
      <c r="FR86" s="5">
        <f t="shared" si="86"/>
        <v>4970</v>
      </c>
      <c r="FS86" s="5">
        <f t="shared" si="86"/>
        <v>5291.0256410256407</v>
      </c>
      <c r="FT86" s="5">
        <f t="shared" si="86"/>
        <v>5453.0769230769229</v>
      </c>
      <c r="FU86" s="5">
        <f t="shared" si="86"/>
        <v>5511.7948717948721</v>
      </c>
      <c r="FV86" s="5">
        <f t="shared" si="86"/>
        <v>5662.0512820512822</v>
      </c>
      <c r="FW86" s="5">
        <f t="shared" si="86"/>
        <v>5924.1025641025644</v>
      </c>
      <c r="FX86" s="5">
        <f t="shared" si="86"/>
        <v>6196.1538461538457</v>
      </c>
      <c r="FY86" s="5">
        <f t="shared" si="86"/>
        <v>6479.7435897435898</v>
      </c>
      <c r="FZ86" s="5">
        <f t="shared" si="86"/>
        <v>6546.1538461538457</v>
      </c>
      <c r="GA86" s="5">
        <f t="shared" si="86"/>
        <v>6581.7948717948721</v>
      </c>
      <c r="GB86" s="5">
        <f t="shared" si="86"/>
        <v>6729.2307692307695</v>
      </c>
      <c r="GC86" s="5">
        <f t="shared" si="86"/>
        <v>6921.0256410256407</v>
      </c>
      <c r="GD86" s="5">
        <f t="shared" si="86"/>
        <v>7012.8205128205127</v>
      </c>
      <c r="GE86" s="5">
        <f t="shared" si="86"/>
        <v>7135.1282051282051</v>
      </c>
      <c r="GF86" s="5">
        <f t="shared" si="86"/>
        <v>7140</v>
      </c>
      <c r="GG86" s="5">
        <f t="shared" si="86"/>
        <v>7265.3846153846152</v>
      </c>
      <c r="GH86" s="5">
        <f t="shared" si="86"/>
        <v>7511.2820512820517</v>
      </c>
      <c r="GI86" s="5">
        <f t="shared" si="86"/>
        <v>7680.2564102564102</v>
      </c>
      <c r="GJ86" s="5">
        <f t="shared" si="86"/>
        <v>7794.3589743589746</v>
      </c>
      <c r="GK86" s="5">
        <f t="shared" si="86"/>
        <v>7938.4615384615381</v>
      </c>
      <c r="GL86" s="5">
        <f t="shared" si="86"/>
        <v>7979.4871794871797</v>
      </c>
      <c r="GM86" s="5">
        <f t="shared" ref="GM86:IX86" si="87">AVERAGE(GM3:GM43)</f>
        <v>8048.4615384615381</v>
      </c>
      <c r="GN86" s="5">
        <f t="shared" si="87"/>
        <v>8007.6923076923076</v>
      </c>
      <c r="GO86" s="5">
        <f t="shared" si="87"/>
        <v>8001.2820512820517</v>
      </c>
      <c r="GP86" s="5">
        <f t="shared" si="87"/>
        <v>8211.7948717948711</v>
      </c>
      <c r="GQ86" s="5">
        <f t="shared" si="87"/>
        <v>8560.2564102564102</v>
      </c>
      <c r="GR86" s="5">
        <f t="shared" si="87"/>
        <v>8530.2564102564102</v>
      </c>
      <c r="GS86" s="5">
        <f t="shared" si="87"/>
        <v>8380.7692307692305</v>
      </c>
      <c r="GT86" s="5">
        <f t="shared" si="87"/>
        <v>8348.9743589743593</v>
      </c>
      <c r="GU86" s="5">
        <f t="shared" si="87"/>
        <v>8392.0512820512813</v>
      </c>
      <c r="GV86" s="5">
        <f t="shared" si="87"/>
        <v>8391.7948717948711</v>
      </c>
      <c r="GW86" s="5">
        <f t="shared" si="87"/>
        <v>8344.8717948717949</v>
      </c>
      <c r="GX86" s="5">
        <f t="shared" si="87"/>
        <v>8404.3589743589746</v>
      </c>
      <c r="GY86" s="5">
        <f t="shared" si="87"/>
        <v>8568.461538461539</v>
      </c>
      <c r="GZ86" s="5">
        <f t="shared" si="87"/>
        <v>8652.0512820512813</v>
      </c>
      <c r="HA86" s="5">
        <f t="shared" si="87"/>
        <v>8624.3589743589746</v>
      </c>
      <c r="HB86" s="5">
        <f t="shared" si="87"/>
        <v>8668.9743589743593</v>
      </c>
      <c r="HC86" s="5">
        <f t="shared" si="87"/>
        <v>8817.4358974358965</v>
      </c>
      <c r="HD86" s="5">
        <f t="shared" si="87"/>
        <v>8830.2564102564102</v>
      </c>
      <c r="HE86" s="5">
        <f t="shared" si="87"/>
        <v>8945.3846153846152</v>
      </c>
      <c r="HF86" s="5">
        <f t="shared" si="87"/>
        <v>9073.8461538461543</v>
      </c>
      <c r="HG86" s="5">
        <f t="shared" si="87"/>
        <v>9159.7435897435898</v>
      </c>
      <c r="HH86" s="5">
        <f t="shared" si="87"/>
        <v>9179.4871794871797</v>
      </c>
      <c r="HI86" s="5">
        <f t="shared" si="87"/>
        <v>9198.2051282051289</v>
      </c>
      <c r="HJ86" s="5">
        <f t="shared" si="87"/>
        <v>9324.6153846153848</v>
      </c>
      <c r="HK86" s="5">
        <f t="shared" si="87"/>
        <v>9274.8717948717949</v>
      </c>
      <c r="HL86" s="5">
        <f t="shared" si="87"/>
        <v>9189.2307692307695</v>
      </c>
      <c r="HM86" s="5">
        <f t="shared" si="87"/>
        <v>9110.2564102564102</v>
      </c>
      <c r="HN86" s="5">
        <f t="shared" si="87"/>
        <v>8972.8205128205136</v>
      </c>
      <c r="HO86" s="5">
        <f t="shared" si="87"/>
        <v>8884.8717948717949</v>
      </c>
      <c r="HP86" s="5">
        <f t="shared" si="87"/>
        <v>8813.8461538461543</v>
      </c>
      <c r="HQ86" s="5">
        <f t="shared" si="87"/>
        <v>8874.8717948717949</v>
      </c>
      <c r="HR86" s="5">
        <f t="shared" si="87"/>
        <v>8945.3846153846152</v>
      </c>
      <c r="HS86" s="5">
        <f t="shared" si="87"/>
        <v>8904.8717948717949</v>
      </c>
      <c r="HT86" s="5">
        <f t="shared" si="87"/>
        <v>8761.2820512820508</v>
      </c>
      <c r="HU86" s="5">
        <f t="shared" si="87"/>
        <v>8541.0256410256407</v>
      </c>
      <c r="HV86" s="5">
        <f t="shared" si="87"/>
        <v>8382.0512820512813</v>
      </c>
      <c r="HW86" s="5">
        <f t="shared" si="87"/>
        <v>8449.2307692307695</v>
      </c>
      <c r="HX86" s="5">
        <f t="shared" si="87"/>
        <v>8706.4102564102559</v>
      </c>
      <c r="HY86" s="5">
        <f t="shared" si="87"/>
        <v>8918.461538461539</v>
      </c>
      <c r="HZ86" s="5">
        <f t="shared" si="87"/>
        <v>8864.8717948717949</v>
      </c>
      <c r="IA86" s="5">
        <f t="shared" si="87"/>
        <v>8783.8461538461543</v>
      </c>
      <c r="IB86" s="5">
        <f t="shared" si="87"/>
        <v>8693.3333333333339</v>
      </c>
      <c r="IC86" s="5">
        <f t="shared" si="87"/>
        <v>8627.4358974358965</v>
      </c>
      <c r="ID86" s="5">
        <f t="shared" si="87"/>
        <v>8695.3846153846152</v>
      </c>
      <c r="IE86" s="5">
        <f t="shared" si="87"/>
        <v>8868.461538461539</v>
      </c>
      <c r="IF86" s="5">
        <f t="shared" si="87"/>
        <v>9012.5641025641035</v>
      </c>
      <c r="IG86" s="5">
        <f t="shared" si="87"/>
        <v>9096.4102564102559</v>
      </c>
      <c r="IH86" s="5">
        <f t="shared" si="87"/>
        <v>9222.3076923076915</v>
      </c>
      <c r="II86" s="5">
        <f t="shared" si="87"/>
        <v>9346.4102564102559</v>
      </c>
      <c r="IJ86" s="5">
        <f t="shared" si="87"/>
        <v>9278.7179487179492</v>
      </c>
      <c r="IK86" s="5">
        <f t="shared" si="87"/>
        <v>9228.9743589743593</v>
      </c>
      <c r="IL86" s="5">
        <f t="shared" si="87"/>
        <v>9258.7179487179492</v>
      </c>
      <c r="IM86" s="5">
        <f t="shared" si="87"/>
        <v>9441.538461538461</v>
      </c>
      <c r="IN86" s="5">
        <f t="shared" si="87"/>
        <v>9236.6666666666661</v>
      </c>
      <c r="IO86" s="5">
        <f t="shared" si="87"/>
        <v>9068.2051282051289</v>
      </c>
      <c r="IP86" s="5">
        <f t="shared" si="87"/>
        <v>8981.0256410256407</v>
      </c>
      <c r="IQ86" s="5">
        <f t="shared" si="87"/>
        <v>8826.4102564102559</v>
      </c>
      <c r="IR86" s="5">
        <f t="shared" si="87"/>
        <v>8825.6410256410254</v>
      </c>
      <c r="IS86" s="5">
        <f t="shared" si="87"/>
        <v>8838.461538461539</v>
      </c>
      <c r="IT86" s="5">
        <f t="shared" si="87"/>
        <v>8750.2564102564102</v>
      </c>
      <c r="IU86" s="5">
        <f t="shared" si="87"/>
        <v>8595.1282051282051</v>
      </c>
      <c r="IV86" s="5">
        <f t="shared" si="87"/>
        <v>8471.0256410256407</v>
      </c>
      <c r="IW86" s="5">
        <f t="shared" si="87"/>
        <v>8433.8461538461543</v>
      </c>
      <c r="IX86" s="5">
        <f t="shared" si="87"/>
        <v>8440</v>
      </c>
      <c r="IY86" s="5">
        <f t="shared" ref="IY86:LJ86" si="88">AVERAGE(IY3:IY43)</f>
        <v>8469.4871794871797</v>
      </c>
      <c r="IZ86" s="5">
        <f t="shared" si="88"/>
        <v>8616.9230769230762</v>
      </c>
      <c r="JA86" s="5">
        <f t="shared" si="88"/>
        <v>8695.6410256410254</v>
      </c>
      <c r="JB86" s="5">
        <f t="shared" si="88"/>
        <v>8728.461538461539</v>
      </c>
      <c r="JC86" s="5">
        <f t="shared" si="88"/>
        <v>8961.2820512820508</v>
      </c>
      <c r="JD86" s="5">
        <f t="shared" si="88"/>
        <v>9293.5897435897441</v>
      </c>
      <c r="JE86" s="5">
        <f t="shared" si="88"/>
        <v>9358.7179487179492</v>
      </c>
      <c r="JF86" s="5">
        <f t="shared" si="88"/>
        <v>9273.3333333333339</v>
      </c>
      <c r="JG86" s="5">
        <f t="shared" si="88"/>
        <v>9083.8461538461543</v>
      </c>
      <c r="JH86" s="5">
        <f t="shared" si="88"/>
        <v>8912.8205128205136</v>
      </c>
      <c r="JI86" s="5">
        <f t="shared" si="88"/>
        <v>8743.5897435897441</v>
      </c>
      <c r="JJ86" s="5">
        <f t="shared" si="88"/>
        <v>8520.2564102564102</v>
      </c>
      <c r="JK86" s="5">
        <f t="shared" si="88"/>
        <v>8300.2564102564102</v>
      </c>
      <c r="JL86" s="5">
        <f t="shared" si="88"/>
        <v>8066.666666666667</v>
      </c>
      <c r="JM86" s="5">
        <f t="shared" si="88"/>
        <v>7880.7692307692305</v>
      </c>
      <c r="JN86" s="5">
        <f t="shared" si="88"/>
        <v>7821.7948717948721</v>
      </c>
      <c r="JO86" s="5">
        <f t="shared" si="88"/>
        <v>7654.1025641025644</v>
      </c>
      <c r="JP86" s="5">
        <f t="shared" si="88"/>
        <v>7570.2564102564102</v>
      </c>
      <c r="JQ86" s="5">
        <f t="shared" si="88"/>
        <v>7511.0256410256407</v>
      </c>
      <c r="JR86" s="5">
        <f t="shared" si="88"/>
        <v>7402.0512820512822</v>
      </c>
      <c r="JS86" s="5">
        <f t="shared" si="88"/>
        <v>7307.1794871794873</v>
      </c>
      <c r="JT86" s="5">
        <f t="shared" si="88"/>
        <v>7267.1794871794873</v>
      </c>
      <c r="JU86" s="5">
        <f t="shared" si="88"/>
        <v>7254.8717948717949</v>
      </c>
      <c r="JV86" s="5">
        <f t="shared" si="88"/>
        <v>7206.666666666667</v>
      </c>
      <c r="JW86" s="5">
        <f t="shared" si="88"/>
        <v>7134.3589743589746</v>
      </c>
      <c r="JX86" s="5">
        <f t="shared" si="88"/>
        <v>7095.1282051282051</v>
      </c>
      <c r="JY86" s="5">
        <f t="shared" si="88"/>
        <v>6961.2820512820517</v>
      </c>
      <c r="JZ86" s="5">
        <f t="shared" si="88"/>
        <v>6872.3076923076924</v>
      </c>
      <c r="KA86" s="5">
        <f t="shared" si="88"/>
        <v>6699.4871794871797</v>
      </c>
      <c r="KB86" s="5">
        <f t="shared" si="88"/>
        <v>6437.9487179487178</v>
      </c>
      <c r="KC86" s="5">
        <f t="shared" si="88"/>
        <v>6188.2051282051279</v>
      </c>
      <c r="KD86" s="5">
        <f t="shared" si="88"/>
        <v>5937.4358974358975</v>
      </c>
      <c r="KE86" s="5">
        <f t="shared" si="88"/>
        <v>5730.2564102564102</v>
      </c>
      <c r="KF86" s="5">
        <f t="shared" si="88"/>
        <v>5608.7179487179483</v>
      </c>
      <c r="KG86" s="5">
        <f t="shared" si="88"/>
        <v>5522.8205128205127</v>
      </c>
      <c r="KH86" s="5">
        <f t="shared" si="88"/>
        <v>5436.9230769230771</v>
      </c>
      <c r="KI86" s="5">
        <f t="shared" si="88"/>
        <v>5317.9487179487178</v>
      </c>
      <c r="KJ86" s="5">
        <f t="shared" si="88"/>
        <v>5179.2307692307695</v>
      </c>
      <c r="KK86" s="5">
        <f t="shared" si="88"/>
        <v>5042.5641025641025</v>
      </c>
      <c r="KL86" s="5">
        <f t="shared" si="88"/>
        <v>4978.9743589743593</v>
      </c>
      <c r="KM86" s="5">
        <f t="shared" si="88"/>
        <v>4886.9230769230771</v>
      </c>
      <c r="KN86" s="5">
        <f t="shared" si="88"/>
        <v>4733.0769230769229</v>
      </c>
      <c r="KO86" s="5">
        <f t="shared" si="88"/>
        <v>4633.333333333333</v>
      </c>
      <c r="KP86" s="5">
        <f t="shared" si="88"/>
        <v>4505.3846153846152</v>
      </c>
      <c r="KQ86" s="5">
        <f t="shared" si="88"/>
        <v>4371.2820512820517</v>
      </c>
      <c r="KR86" s="5">
        <f t="shared" si="88"/>
        <v>4258.9743589743593</v>
      </c>
      <c r="KS86" s="5">
        <f t="shared" si="88"/>
        <v>4125.6410256410254</v>
      </c>
      <c r="KT86" s="5">
        <f t="shared" si="88"/>
        <v>3999.7435897435898</v>
      </c>
      <c r="KU86" s="5">
        <f t="shared" si="88"/>
        <v>3894.102564102564</v>
      </c>
      <c r="KV86" s="5">
        <f t="shared" si="88"/>
        <v>3790.7692307692309</v>
      </c>
      <c r="KW86" s="5">
        <f t="shared" si="88"/>
        <v>3689.4871794871797</v>
      </c>
      <c r="KX86" s="5">
        <f t="shared" si="88"/>
        <v>3596.9230769230771</v>
      </c>
      <c r="KY86" s="5">
        <f t="shared" si="88"/>
        <v>3507.6923076923076</v>
      </c>
      <c r="KZ86" s="5">
        <f t="shared" si="88"/>
        <v>3427.6923076923076</v>
      </c>
      <c r="LA86" s="5">
        <f t="shared" si="88"/>
        <v>3349.7435897435898</v>
      </c>
      <c r="LB86" s="5">
        <f t="shared" si="88"/>
        <v>3295.1282051282051</v>
      </c>
      <c r="LC86" s="5">
        <f t="shared" si="88"/>
        <v>3264.8717948717949</v>
      </c>
      <c r="LD86" s="5">
        <f t="shared" si="88"/>
        <v>3218.2051282051284</v>
      </c>
      <c r="LE86" s="5">
        <f t="shared" si="88"/>
        <v>3159.4871794871797</v>
      </c>
      <c r="LF86" s="5">
        <f t="shared" si="88"/>
        <v>3094.3589743589741</v>
      </c>
      <c r="LG86" s="5">
        <f t="shared" si="88"/>
        <v>3019.4871794871797</v>
      </c>
      <c r="LH86" s="5">
        <f t="shared" si="88"/>
        <v>2946.6666666666665</v>
      </c>
      <c r="LI86" s="5">
        <f t="shared" si="88"/>
        <v>2880.7692307692309</v>
      </c>
      <c r="LJ86" s="5">
        <f t="shared" si="88"/>
        <v>2822.5641025641025</v>
      </c>
      <c r="LK86" s="5">
        <f t="shared" ref="LK86:NT86" si="89">AVERAGE(LK3:LK43)</f>
        <v>2770</v>
      </c>
      <c r="LL86" s="5">
        <f t="shared" si="89"/>
        <v>2717.4358974358975</v>
      </c>
      <c r="LM86" s="5">
        <f t="shared" si="89"/>
        <v>2665.897435897436</v>
      </c>
      <c r="LN86" s="5">
        <f t="shared" si="89"/>
        <v>2623.8461538461538</v>
      </c>
      <c r="LO86" s="5">
        <f t="shared" si="89"/>
        <v>2582.8205128205127</v>
      </c>
      <c r="LP86" s="5">
        <f t="shared" si="89"/>
        <v>2536.4102564102564</v>
      </c>
      <c r="LQ86" s="5">
        <f t="shared" si="89"/>
        <v>2489.7435897435898</v>
      </c>
      <c r="LR86" s="5">
        <f t="shared" si="89"/>
        <v>2440.7692307692309</v>
      </c>
      <c r="LS86" s="5">
        <f t="shared" si="89"/>
        <v>2397.6923076923076</v>
      </c>
      <c r="LT86" s="5">
        <f t="shared" si="89"/>
        <v>2358.9743589743589</v>
      </c>
      <c r="LU86" s="5">
        <f t="shared" si="89"/>
        <v>2323.0769230769229</v>
      </c>
      <c r="LV86" s="5">
        <f t="shared" si="89"/>
        <v>2285.3846153846152</v>
      </c>
      <c r="LW86" s="5">
        <f t="shared" si="89"/>
        <v>2247.9487179487178</v>
      </c>
      <c r="LX86" s="5">
        <f t="shared" si="89"/>
        <v>2212.3076923076924</v>
      </c>
      <c r="LY86" s="5">
        <f t="shared" si="89"/>
        <v>2180.7692307692309</v>
      </c>
      <c r="LZ86" s="5">
        <f t="shared" si="89"/>
        <v>2153.8461538461538</v>
      </c>
      <c r="MA86" s="5">
        <f t="shared" si="89"/>
        <v>2129.4871794871797</v>
      </c>
      <c r="MB86" s="5">
        <f t="shared" si="89"/>
        <v>2101.0256410256411</v>
      </c>
      <c r="MC86" s="5">
        <f t="shared" si="89"/>
        <v>2067.9487179487178</v>
      </c>
      <c r="MD86" s="5">
        <f t="shared" si="89"/>
        <v>2030.2564102564102</v>
      </c>
      <c r="ME86" s="5">
        <f t="shared" si="89"/>
        <v>1995.6410256410256</v>
      </c>
      <c r="MF86" s="5">
        <f t="shared" si="89"/>
        <v>1966.1538461538462</v>
      </c>
      <c r="MG86" s="5">
        <f t="shared" si="89"/>
        <v>1936.9230769230769</v>
      </c>
      <c r="MH86" s="5">
        <f t="shared" si="89"/>
        <v>1908.4615384615386</v>
      </c>
      <c r="MI86" s="5">
        <f t="shared" si="89"/>
        <v>1886.9230769230769</v>
      </c>
      <c r="MJ86" s="5">
        <f t="shared" si="89"/>
        <v>1866.4102564102564</v>
      </c>
      <c r="MK86" s="5">
        <f t="shared" si="89"/>
        <v>1842.3076923076924</v>
      </c>
      <c r="ML86" s="5">
        <f t="shared" si="89"/>
        <v>1817.948717948718</v>
      </c>
      <c r="MM86" s="5">
        <f t="shared" si="89"/>
        <v>1795.8974358974358</v>
      </c>
      <c r="MN86" s="5">
        <f t="shared" si="89"/>
        <v>1774.8717948717949</v>
      </c>
      <c r="MO86" s="5">
        <f t="shared" si="89"/>
        <v>1757.948717948718</v>
      </c>
      <c r="MP86" s="5">
        <f t="shared" si="89"/>
        <v>1737.4358974358975</v>
      </c>
      <c r="MQ86" s="5">
        <f t="shared" si="89"/>
        <v>1715.8974358974358</v>
      </c>
      <c r="MR86" s="5">
        <f t="shared" si="89"/>
        <v>1695.6410256410256</v>
      </c>
      <c r="MS86" s="5">
        <f t="shared" si="89"/>
        <v>1675.3846153846155</v>
      </c>
      <c r="MT86" s="5">
        <f t="shared" si="89"/>
        <v>1656.1538461538462</v>
      </c>
      <c r="MU86" s="5">
        <f t="shared" si="89"/>
        <v>1638.2051282051282</v>
      </c>
      <c r="MV86" s="5">
        <f t="shared" si="89"/>
        <v>1619.2307692307693</v>
      </c>
      <c r="MW86" s="5">
        <f t="shared" si="89"/>
        <v>1602.5641025641025</v>
      </c>
      <c r="MX86" s="5">
        <f t="shared" si="89"/>
        <v>1583.5897435897436</v>
      </c>
      <c r="MY86" s="5">
        <f t="shared" si="89"/>
        <v>1566.4102564102564</v>
      </c>
      <c r="MZ86" s="5">
        <f t="shared" si="89"/>
        <v>1551.7948717948718</v>
      </c>
      <c r="NA86" s="5">
        <f t="shared" si="89"/>
        <v>1538.2051282051282</v>
      </c>
      <c r="NB86" s="5">
        <f t="shared" si="89"/>
        <v>1524.8717948717949</v>
      </c>
      <c r="NC86" s="5">
        <f t="shared" si="89"/>
        <v>1512.3076923076924</v>
      </c>
      <c r="ND86" s="5">
        <f t="shared" si="89"/>
        <v>1350.7692307692307</v>
      </c>
      <c r="NE86" s="5">
        <f t="shared" si="89"/>
        <v>1155.9230769230769</v>
      </c>
      <c r="NF86" s="5">
        <f t="shared" si="89"/>
        <v>1085.1538461538462</v>
      </c>
      <c r="NG86" s="5">
        <f t="shared" si="89"/>
        <v>1250.5128205128206</v>
      </c>
      <c r="NH86" s="5">
        <f t="shared" si="89"/>
        <v>1866.3333333333333</v>
      </c>
      <c r="NI86" s="5">
        <f t="shared" si="89"/>
        <v>4143.8461538461543</v>
      </c>
      <c r="NJ86" s="5">
        <f t="shared" si="89"/>
        <v>8095.6410256410254</v>
      </c>
      <c r="NK86" s="5">
        <f t="shared" si="89"/>
        <v>8948.2051282051289</v>
      </c>
      <c r="NL86" s="5">
        <f t="shared" si="89"/>
        <v>8720.5128205128203</v>
      </c>
      <c r="NM86" s="5">
        <f t="shared" si="89"/>
        <v>5909.4871794871797</v>
      </c>
      <c r="NN86" s="5">
        <f t="shared" si="89"/>
        <v>2920.2564102564102</v>
      </c>
      <c r="NO86" s="5">
        <f t="shared" si="89"/>
        <v>1800.2564102564102</v>
      </c>
      <c r="NP86" s="5">
        <f t="shared" si="89"/>
        <v>3954.1838025262905</v>
      </c>
      <c r="NQ86" s="5">
        <f t="shared" si="89"/>
        <v>15475.384615384615</v>
      </c>
      <c r="NR86" s="5">
        <f t="shared" si="89"/>
        <v>42599.153846153844</v>
      </c>
      <c r="NS86" s="5">
        <f t="shared" si="89"/>
        <v>1041.2820512820513</v>
      </c>
      <c r="NT86" s="5">
        <f t="shared" si="89"/>
        <v>42450.717948717946</v>
      </c>
      <c r="NU86" s="5"/>
      <c r="NV86" s="5"/>
      <c r="NW86" s="5"/>
      <c r="NX86" s="5"/>
      <c r="NY86" s="5"/>
      <c r="NZ86" s="5"/>
      <c r="OA86" s="5"/>
      <c r="OB86" s="5"/>
      <c r="OC86" s="5"/>
      <c r="OD86" s="5"/>
      <c r="OE86" s="5"/>
    </row>
    <row r="87" spans="1:395" customFormat="1" x14ac:dyDescent="0.15">
      <c r="A87" s="9" t="s">
        <v>51</v>
      </c>
      <c r="B87" s="5">
        <f>AVERAGE(B44:B69)</f>
        <v>1616.9615384615386</v>
      </c>
      <c r="C87" s="5">
        <f t="shared" ref="C87:BN87" si="90">AVERAGE(C44:C69)</f>
        <v>1666.3846153846155</v>
      </c>
      <c r="D87" s="5">
        <f t="shared" si="90"/>
        <v>1716.5384615384614</v>
      </c>
      <c r="E87" s="5">
        <f t="shared" si="90"/>
        <v>1729.6153846153845</v>
      </c>
      <c r="F87" s="5">
        <f t="shared" si="90"/>
        <v>1728.4615384615386</v>
      </c>
      <c r="G87" s="5">
        <f t="shared" si="90"/>
        <v>1741.9230769230769</v>
      </c>
      <c r="H87" s="5">
        <f t="shared" si="90"/>
        <v>1725.3076923076924</v>
      </c>
      <c r="I87" s="5">
        <f t="shared" si="90"/>
        <v>1722</v>
      </c>
      <c r="J87" s="5">
        <f t="shared" si="90"/>
        <v>1704.6538461538462</v>
      </c>
      <c r="K87" s="5">
        <f t="shared" si="90"/>
        <v>1689.6923076923076</v>
      </c>
      <c r="L87" s="5">
        <f t="shared" si="90"/>
        <v>1663.0769230769231</v>
      </c>
      <c r="M87" s="5">
        <f t="shared" si="90"/>
        <v>1672.3846153846155</v>
      </c>
      <c r="N87" s="5">
        <f t="shared" si="90"/>
        <v>1683.4230769230769</v>
      </c>
      <c r="O87" s="5">
        <f t="shared" si="90"/>
        <v>1649.8461538461538</v>
      </c>
      <c r="P87" s="5">
        <f t="shared" si="90"/>
        <v>1623.1153846153845</v>
      </c>
      <c r="Q87" s="5">
        <f t="shared" si="90"/>
        <v>1644.8846153846155</v>
      </c>
      <c r="R87" s="5">
        <f t="shared" si="90"/>
        <v>1606.8461538461538</v>
      </c>
      <c r="S87" s="5">
        <f t="shared" si="90"/>
        <v>1613.1153846153845</v>
      </c>
      <c r="T87" s="5">
        <f t="shared" si="90"/>
        <v>1624.4615384615386</v>
      </c>
      <c r="U87" s="5">
        <f t="shared" si="90"/>
        <v>1623.6538461538462</v>
      </c>
      <c r="V87" s="5">
        <f t="shared" si="90"/>
        <v>1607.6923076923076</v>
      </c>
      <c r="W87" s="5">
        <f t="shared" si="90"/>
        <v>1582.2692307692307</v>
      </c>
      <c r="X87" s="5">
        <f t="shared" si="90"/>
        <v>1575.8846153846155</v>
      </c>
      <c r="Y87" s="5">
        <f t="shared" si="90"/>
        <v>1592.6923076923076</v>
      </c>
      <c r="Z87" s="5">
        <f t="shared" si="90"/>
        <v>1586.7692307692307</v>
      </c>
      <c r="AA87" s="5">
        <f t="shared" si="90"/>
        <v>1580.2307692307693</v>
      </c>
      <c r="AB87" s="5">
        <f t="shared" si="90"/>
        <v>1598.4230769230769</v>
      </c>
      <c r="AC87" s="5">
        <f t="shared" si="90"/>
        <v>1561.1538461538462</v>
      </c>
      <c r="AD87" s="5">
        <f t="shared" si="90"/>
        <v>1533.5</v>
      </c>
      <c r="AE87" s="5">
        <f t="shared" si="90"/>
        <v>1527.3461538461538</v>
      </c>
      <c r="AF87" s="5">
        <f t="shared" si="90"/>
        <v>1519.3461538461538</v>
      </c>
      <c r="AG87" s="5">
        <f t="shared" si="90"/>
        <v>1533.3076923076924</v>
      </c>
      <c r="AH87" s="5">
        <f t="shared" si="90"/>
        <v>1524.1923076923076</v>
      </c>
      <c r="AI87" s="5">
        <f t="shared" si="90"/>
        <v>1522.3846153846155</v>
      </c>
      <c r="AJ87" s="5">
        <f t="shared" si="90"/>
        <v>1516.1153846153845</v>
      </c>
      <c r="AK87" s="5">
        <f t="shared" si="90"/>
        <v>1483.8076923076924</v>
      </c>
      <c r="AL87" s="5">
        <f t="shared" si="90"/>
        <v>1481.0384615384614</v>
      </c>
      <c r="AM87" s="5">
        <f t="shared" si="90"/>
        <v>1478.6153846153845</v>
      </c>
      <c r="AN87" s="5">
        <f t="shared" si="90"/>
        <v>1465.7692307692307</v>
      </c>
      <c r="AO87" s="5">
        <f t="shared" si="90"/>
        <v>1429.6153846153845</v>
      </c>
      <c r="AP87" s="5">
        <f t="shared" si="90"/>
        <v>1424.6923076923076</v>
      </c>
      <c r="AQ87" s="5">
        <f t="shared" si="90"/>
        <v>1443.3461538461538</v>
      </c>
      <c r="AR87" s="5">
        <f t="shared" si="90"/>
        <v>1452.9615384615386</v>
      </c>
      <c r="AS87" s="5">
        <f t="shared" si="90"/>
        <v>1447.0769230769231</v>
      </c>
      <c r="AT87" s="5">
        <f t="shared" si="90"/>
        <v>1434.1153846153845</v>
      </c>
      <c r="AU87" s="5">
        <f t="shared" si="90"/>
        <v>1436.3461538461538</v>
      </c>
      <c r="AV87" s="5">
        <f t="shared" si="90"/>
        <v>1447.5</v>
      </c>
      <c r="AW87" s="5">
        <f t="shared" si="90"/>
        <v>1443.8846153846155</v>
      </c>
      <c r="AX87" s="5">
        <f t="shared" si="90"/>
        <v>1423.8846153846155</v>
      </c>
      <c r="AY87" s="5">
        <f t="shared" si="90"/>
        <v>1421.3846153846155</v>
      </c>
      <c r="AZ87" s="5">
        <f t="shared" si="90"/>
        <v>1407.2307692307693</v>
      </c>
      <c r="BA87" s="5">
        <f t="shared" si="90"/>
        <v>1398.1923076923076</v>
      </c>
      <c r="BB87" s="5">
        <f t="shared" si="90"/>
        <v>1387.3846153846155</v>
      </c>
      <c r="BC87" s="5">
        <f t="shared" si="90"/>
        <v>1362</v>
      </c>
      <c r="BD87" s="5">
        <f t="shared" si="90"/>
        <v>1363.6923076923076</v>
      </c>
      <c r="BE87" s="5">
        <f t="shared" si="90"/>
        <v>1367.7692307692307</v>
      </c>
      <c r="BF87" s="5">
        <f t="shared" si="90"/>
        <v>1372.3846153846155</v>
      </c>
      <c r="BG87" s="5">
        <f t="shared" si="90"/>
        <v>1370.5769230769231</v>
      </c>
      <c r="BH87" s="5">
        <f t="shared" si="90"/>
        <v>1386.0384615384614</v>
      </c>
      <c r="BI87" s="5">
        <f t="shared" si="90"/>
        <v>1434.2857142857142</v>
      </c>
      <c r="BJ87" s="5">
        <f t="shared" si="90"/>
        <v>1395.1538461538462</v>
      </c>
      <c r="BK87" s="5">
        <f t="shared" si="90"/>
        <v>1388.2692307692307</v>
      </c>
      <c r="BL87" s="5">
        <f t="shared" si="90"/>
        <v>1382.5384615384614</v>
      </c>
      <c r="BM87" s="5">
        <f t="shared" si="90"/>
        <v>1377.4615384615386</v>
      </c>
      <c r="BN87" s="5">
        <f t="shared" si="90"/>
        <v>1390.4615384615386</v>
      </c>
      <c r="BO87" s="5">
        <f t="shared" ref="BO87:DZ87" si="91">AVERAGE(BO44:BO69)</f>
        <v>1384.7692307692307</v>
      </c>
      <c r="BP87" s="5">
        <f t="shared" si="91"/>
        <v>1377.4230769230769</v>
      </c>
      <c r="BQ87" s="5">
        <f t="shared" si="91"/>
        <v>1363.5</v>
      </c>
      <c r="BR87" s="5">
        <f t="shared" si="91"/>
        <v>1382.9615384615386</v>
      </c>
      <c r="BS87" s="5">
        <f t="shared" si="91"/>
        <v>1405.5769230769231</v>
      </c>
      <c r="BT87" s="5">
        <f t="shared" si="91"/>
        <v>1426.8076923076924</v>
      </c>
      <c r="BU87" s="5">
        <f t="shared" si="91"/>
        <v>1418.6923076923076</v>
      </c>
      <c r="BV87" s="5">
        <f t="shared" si="91"/>
        <v>1422.4230769230769</v>
      </c>
      <c r="BW87" s="5">
        <f t="shared" si="91"/>
        <v>1386.6923076923076</v>
      </c>
      <c r="BX87" s="5">
        <f t="shared" si="91"/>
        <v>1377.8846153846155</v>
      </c>
      <c r="BY87" s="5">
        <f t="shared" si="91"/>
        <v>1386</v>
      </c>
      <c r="BZ87" s="5">
        <f t="shared" si="91"/>
        <v>1384.6153846153845</v>
      </c>
      <c r="CA87" s="5">
        <f t="shared" si="91"/>
        <v>1380.7692307692307</v>
      </c>
      <c r="CB87" s="5">
        <f t="shared" si="91"/>
        <v>1370.1538461538462</v>
      </c>
      <c r="CC87" s="5">
        <f t="shared" si="91"/>
        <v>1390.9615384615386</v>
      </c>
      <c r="CD87" s="5">
        <f t="shared" si="91"/>
        <v>1392.5384615384614</v>
      </c>
      <c r="CE87" s="5">
        <f t="shared" si="91"/>
        <v>1381.8846153846155</v>
      </c>
      <c r="CF87" s="5">
        <f t="shared" si="91"/>
        <v>1396.9615384615386</v>
      </c>
      <c r="CG87" s="5">
        <f t="shared" si="91"/>
        <v>1383.5</v>
      </c>
      <c r="CH87" s="5">
        <f t="shared" si="91"/>
        <v>1389</v>
      </c>
      <c r="CI87" s="5">
        <f t="shared" si="91"/>
        <v>1435</v>
      </c>
      <c r="CJ87" s="5">
        <f t="shared" si="91"/>
        <v>1422.1923076923076</v>
      </c>
      <c r="CK87" s="5">
        <f t="shared" si="91"/>
        <v>1435.1923076923076</v>
      </c>
      <c r="CL87" s="5">
        <f t="shared" si="91"/>
        <v>1436.1923076923076</v>
      </c>
      <c r="CM87" s="5">
        <f t="shared" si="91"/>
        <v>1415.6538461538462</v>
      </c>
      <c r="CN87" s="5">
        <f t="shared" si="91"/>
        <v>1424.1153846153845</v>
      </c>
      <c r="CO87" s="5">
        <f t="shared" si="91"/>
        <v>1423.5</v>
      </c>
      <c r="CP87" s="5">
        <f t="shared" si="91"/>
        <v>1429.8846153846155</v>
      </c>
      <c r="CQ87" s="5">
        <f t="shared" si="91"/>
        <v>1416.8846153846155</v>
      </c>
      <c r="CR87" s="5">
        <f t="shared" si="91"/>
        <v>1428.3461538461538</v>
      </c>
      <c r="CS87" s="5">
        <f t="shared" si="91"/>
        <v>1421.0769230769231</v>
      </c>
      <c r="CT87" s="5">
        <f t="shared" si="91"/>
        <v>1404.1923076923076</v>
      </c>
      <c r="CU87" s="5">
        <f t="shared" si="91"/>
        <v>1394.9615384615386</v>
      </c>
      <c r="CV87" s="5">
        <f t="shared" si="91"/>
        <v>1388.4230769230769</v>
      </c>
      <c r="CW87" s="5">
        <f t="shared" si="91"/>
        <v>1444.6923076923076</v>
      </c>
      <c r="CX87" s="5">
        <f t="shared" si="91"/>
        <v>1463.5384615384614</v>
      </c>
      <c r="CY87" s="5">
        <f t="shared" si="91"/>
        <v>1457.9230769230769</v>
      </c>
      <c r="CZ87" s="5">
        <f t="shared" si="91"/>
        <v>1432.9230769230769</v>
      </c>
      <c r="DA87" s="5">
        <f t="shared" si="91"/>
        <v>1415.2307692307693</v>
      </c>
      <c r="DB87" s="5">
        <f t="shared" si="91"/>
        <v>1428.4230769230769</v>
      </c>
      <c r="DC87" s="5">
        <f t="shared" si="91"/>
        <v>1415.9230769230769</v>
      </c>
      <c r="DD87" s="5">
        <f t="shared" si="91"/>
        <v>1413.4615384615386</v>
      </c>
      <c r="DE87" s="5">
        <f t="shared" si="91"/>
        <v>1427.6153846153845</v>
      </c>
      <c r="DF87" s="5">
        <f t="shared" si="91"/>
        <v>1434.2692307692307</v>
      </c>
      <c r="DG87" s="5">
        <f t="shared" si="91"/>
        <v>1423.1538461538462</v>
      </c>
      <c r="DH87" s="5">
        <f t="shared" si="91"/>
        <v>1418.3461538461538</v>
      </c>
      <c r="DI87" s="5">
        <f t="shared" si="91"/>
        <v>1413.8846153846155</v>
      </c>
      <c r="DJ87" s="5">
        <f t="shared" si="91"/>
        <v>1426.5769230769231</v>
      </c>
      <c r="DK87" s="5">
        <f t="shared" si="91"/>
        <v>1453.7692307692307</v>
      </c>
      <c r="DL87" s="5">
        <f t="shared" si="91"/>
        <v>1476.7692307692307</v>
      </c>
      <c r="DM87" s="5">
        <f t="shared" si="91"/>
        <v>1505.9230769230769</v>
      </c>
      <c r="DN87" s="5">
        <f t="shared" si="91"/>
        <v>1551.7692307692307</v>
      </c>
      <c r="DO87" s="5">
        <f t="shared" si="91"/>
        <v>1627.6153846153845</v>
      </c>
      <c r="DP87" s="5">
        <f t="shared" si="91"/>
        <v>1715.8461538461538</v>
      </c>
      <c r="DQ87" s="5">
        <f t="shared" si="91"/>
        <v>1740.3846153846155</v>
      </c>
      <c r="DR87" s="5">
        <f t="shared" si="91"/>
        <v>1749.8076923076924</v>
      </c>
      <c r="DS87" s="5">
        <f t="shared" si="91"/>
        <v>1756.1538461538462</v>
      </c>
      <c r="DT87" s="5">
        <f t="shared" si="91"/>
        <v>1690.3846153846155</v>
      </c>
      <c r="DU87" s="5">
        <f t="shared" si="91"/>
        <v>1619.6153846153845</v>
      </c>
      <c r="DV87" s="5">
        <f t="shared" si="91"/>
        <v>1645.6923076923076</v>
      </c>
      <c r="DW87" s="5">
        <f t="shared" si="91"/>
        <v>1664.2307692307693</v>
      </c>
      <c r="DX87" s="5">
        <f t="shared" si="91"/>
        <v>1725</v>
      </c>
      <c r="DY87" s="5">
        <f t="shared" si="91"/>
        <v>1761.9230769230769</v>
      </c>
      <c r="DZ87" s="5">
        <f t="shared" si="91"/>
        <v>1828.0769230769231</v>
      </c>
      <c r="EA87" s="5">
        <f t="shared" ref="EA87:GL87" si="92">AVERAGE(EA44:EA69)</f>
        <v>1888.4615384615386</v>
      </c>
      <c r="EB87" s="5">
        <f t="shared" si="92"/>
        <v>1909.2307692307693</v>
      </c>
      <c r="EC87" s="5">
        <f t="shared" si="92"/>
        <v>1878.8461538461538</v>
      </c>
      <c r="ED87" s="5">
        <f t="shared" si="92"/>
        <v>1849.2307692307693</v>
      </c>
      <c r="EE87" s="5">
        <f t="shared" si="92"/>
        <v>1903.4615384615386</v>
      </c>
      <c r="EF87" s="5">
        <f t="shared" si="92"/>
        <v>1950</v>
      </c>
      <c r="EG87" s="5">
        <f t="shared" si="92"/>
        <v>1977.6923076923076</v>
      </c>
      <c r="EH87" s="5">
        <f t="shared" si="92"/>
        <v>2021.1538461538462</v>
      </c>
      <c r="EI87" s="5">
        <f t="shared" si="92"/>
        <v>2062.2307692307691</v>
      </c>
      <c r="EJ87" s="5">
        <f t="shared" si="92"/>
        <v>2126.2692307692309</v>
      </c>
      <c r="EK87" s="5">
        <f t="shared" si="92"/>
        <v>2127.6923076923076</v>
      </c>
      <c r="EL87" s="5">
        <f t="shared" si="92"/>
        <v>2161.9230769230771</v>
      </c>
      <c r="EM87" s="5">
        <f t="shared" si="92"/>
        <v>2193.8461538461538</v>
      </c>
      <c r="EN87" s="5">
        <f t="shared" si="92"/>
        <v>2264.2307692307691</v>
      </c>
      <c r="EO87" s="5">
        <f t="shared" si="92"/>
        <v>2312.3076923076924</v>
      </c>
      <c r="EP87" s="5">
        <f t="shared" si="92"/>
        <v>2335</v>
      </c>
      <c r="EQ87" s="5">
        <f t="shared" si="92"/>
        <v>2326.5384615384614</v>
      </c>
      <c r="ER87" s="5">
        <f t="shared" si="92"/>
        <v>2322.3076923076924</v>
      </c>
      <c r="ES87" s="5">
        <f t="shared" si="92"/>
        <v>2372.6923076923076</v>
      </c>
      <c r="ET87" s="5">
        <f t="shared" si="92"/>
        <v>2512.6923076923076</v>
      </c>
      <c r="EU87" s="5">
        <f t="shared" si="92"/>
        <v>2565.7692307692309</v>
      </c>
      <c r="EV87" s="5">
        <f t="shared" si="92"/>
        <v>2560</v>
      </c>
      <c r="EW87" s="5">
        <f t="shared" si="92"/>
        <v>2573.8461538461538</v>
      </c>
      <c r="EX87" s="5">
        <f t="shared" si="92"/>
        <v>2682.3076923076924</v>
      </c>
      <c r="EY87" s="5">
        <f t="shared" si="92"/>
        <v>2880.7692307692309</v>
      </c>
      <c r="EZ87" s="5">
        <f t="shared" si="92"/>
        <v>3011.9230769230771</v>
      </c>
      <c r="FA87" s="5">
        <f t="shared" si="92"/>
        <v>2991.9230769230771</v>
      </c>
      <c r="FB87" s="5">
        <f t="shared" si="92"/>
        <v>3021.9230769230771</v>
      </c>
      <c r="FC87" s="5">
        <f t="shared" si="92"/>
        <v>3118.0769230769229</v>
      </c>
      <c r="FD87" s="5">
        <f t="shared" si="92"/>
        <v>3204.2307692307691</v>
      </c>
      <c r="FE87" s="5">
        <f t="shared" si="92"/>
        <v>3244.6153846153848</v>
      </c>
      <c r="FF87" s="5">
        <f t="shared" si="92"/>
        <v>3256.1538461538462</v>
      </c>
      <c r="FG87" s="5">
        <f t="shared" si="92"/>
        <v>3248.4615384615386</v>
      </c>
      <c r="FH87" s="5">
        <f t="shared" si="92"/>
        <v>3323.0769230769229</v>
      </c>
      <c r="FI87" s="5">
        <f t="shared" si="92"/>
        <v>3342.6923076923076</v>
      </c>
      <c r="FJ87" s="5">
        <f t="shared" si="92"/>
        <v>3395</v>
      </c>
      <c r="FK87" s="5">
        <f t="shared" si="92"/>
        <v>3539.2307692307691</v>
      </c>
      <c r="FL87" s="5">
        <f t="shared" si="92"/>
        <v>3823.4615384615386</v>
      </c>
      <c r="FM87" s="5">
        <f t="shared" si="92"/>
        <v>3983.8461538461538</v>
      </c>
      <c r="FN87" s="5">
        <f t="shared" si="92"/>
        <v>4152.6923076923076</v>
      </c>
      <c r="FO87" s="5">
        <f t="shared" si="92"/>
        <v>4360.3846153846152</v>
      </c>
      <c r="FP87" s="5">
        <f t="shared" si="92"/>
        <v>4464.2307692307695</v>
      </c>
      <c r="FQ87" s="5">
        <f t="shared" si="92"/>
        <v>4615.7692307692305</v>
      </c>
      <c r="FR87" s="5">
        <f t="shared" si="92"/>
        <v>4791.5384615384619</v>
      </c>
      <c r="FS87" s="5">
        <f t="shared" si="92"/>
        <v>5009.2307692307695</v>
      </c>
      <c r="FT87" s="5">
        <f t="shared" si="92"/>
        <v>4966.9230769230771</v>
      </c>
      <c r="FU87" s="5">
        <f t="shared" si="92"/>
        <v>4983.4615384615381</v>
      </c>
      <c r="FV87" s="5">
        <f t="shared" si="92"/>
        <v>5196.9230769230771</v>
      </c>
      <c r="FW87" s="5">
        <f t="shared" si="92"/>
        <v>5465.3846153846152</v>
      </c>
      <c r="FX87" s="5">
        <f t="shared" si="92"/>
        <v>5543.8461538461543</v>
      </c>
      <c r="FY87" s="5">
        <f t="shared" si="92"/>
        <v>5816.1538461538457</v>
      </c>
      <c r="FZ87" s="5">
        <f t="shared" si="92"/>
        <v>6193.0769230769229</v>
      </c>
      <c r="GA87" s="5">
        <f t="shared" si="92"/>
        <v>6383.8461538461543</v>
      </c>
      <c r="GB87" s="5">
        <f t="shared" si="92"/>
        <v>6797.3076923076924</v>
      </c>
      <c r="GC87" s="5">
        <f t="shared" si="92"/>
        <v>6960.3846153846152</v>
      </c>
      <c r="GD87" s="5">
        <f t="shared" si="92"/>
        <v>7176.1538461538457</v>
      </c>
      <c r="GE87" s="5">
        <f t="shared" si="92"/>
        <v>7155</v>
      </c>
      <c r="GF87" s="5">
        <f t="shared" si="92"/>
        <v>7318.8461538461543</v>
      </c>
      <c r="GG87" s="5">
        <f t="shared" si="92"/>
        <v>7723.8461538461543</v>
      </c>
      <c r="GH87" s="5">
        <f t="shared" si="92"/>
        <v>7788.8461538461543</v>
      </c>
      <c r="GI87" s="5">
        <f t="shared" si="92"/>
        <v>8179.2307692307695</v>
      </c>
      <c r="GJ87" s="5">
        <f t="shared" si="92"/>
        <v>8673.461538461539</v>
      </c>
      <c r="GK87" s="5">
        <f t="shared" si="92"/>
        <v>8954.2307692307695</v>
      </c>
      <c r="GL87" s="5">
        <f t="shared" si="92"/>
        <v>9070</v>
      </c>
      <c r="GM87" s="5">
        <f t="shared" ref="GM87:IX87" si="93">AVERAGE(GM44:GM69)</f>
        <v>9239.6153846153848</v>
      </c>
      <c r="GN87" s="5">
        <f t="shared" si="93"/>
        <v>9139.6153846153848</v>
      </c>
      <c r="GO87" s="5">
        <f t="shared" si="93"/>
        <v>9039.6153846153848</v>
      </c>
      <c r="GP87" s="5">
        <f t="shared" si="93"/>
        <v>9078.461538461539</v>
      </c>
      <c r="GQ87" s="5">
        <f t="shared" si="93"/>
        <v>9395.7692307692305</v>
      </c>
      <c r="GR87" s="5">
        <f t="shared" si="93"/>
        <v>9418.8461538461543</v>
      </c>
      <c r="GS87" s="5">
        <f t="shared" si="93"/>
        <v>9393.8461538461543</v>
      </c>
      <c r="GT87" s="5">
        <f t="shared" si="93"/>
        <v>9260.7692307692305</v>
      </c>
      <c r="GU87" s="5">
        <f t="shared" si="93"/>
        <v>9173.461538461539</v>
      </c>
      <c r="GV87" s="5">
        <f t="shared" si="93"/>
        <v>8907.6923076923085</v>
      </c>
      <c r="GW87" s="5">
        <f t="shared" si="93"/>
        <v>8638.0769230769238</v>
      </c>
      <c r="GX87" s="5">
        <f t="shared" si="93"/>
        <v>8621.538461538461</v>
      </c>
      <c r="GY87" s="5">
        <f t="shared" si="93"/>
        <v>8870.7692307692305</v>
      </c>
      <c r="GZ87" s="5">
        <f t="shared" si="93"/>
        <v>8868.8461538461543</v>
      </c>
      <c r="HA87" s="5">
        <f t="shared" si="93"/>
        <v>8796.9230769230762</v>
      </c>
      <c r="HB87" s="5">
        <f t="shared" si="93"/>
        <v>8708.461538461539</v>
      </c>
      <c r="HC87" s="5">
        <f t="shared" si="93"/>
        <v>8561.538461538461</v>
      </c>
      <c r="HD87" s="5">
        <f t="shared" si="93"/>
        <v>8366.9230769230762</v>
      </c>
      <c r="HE87" s="5">
        <f t="shared" si="93"/>
        <v>8024.6153846153848</v>
      </c>
      <c r="HF87" s="5">
        <f t="shared" si="93"/>
        <v>8009.6153846153848</v>
      </c>
      <c r="HG87" s="5">
        <f t="shared" si="93"/>
        <v>8268.8461538461543</v>
      </c>
      <c r="HH87" s="5">
        <f t="shared" si="93"/>
        <v>8453.461538461539</v>
      </c>
      <c r="HI87" s="5">
        <f t="shared" si="93"/>
        <v>8498.0769230769238</v>
      </c>
      <c r="HJ87" s="5">
        <f t="shared" si="93"/>
        <v>8371.538461538461</v>
      </c>
      <c r="HK87" s="5">
        <f t="shared" si="93"/>
        <v>8513.461538461539</v>
      </c>
      <c r="HL87" s="5">
        <f t="shared" si="93"/>
        <v>8498.0769230769238</v>
      </c>
      <c r="HM87" s="5">
        <f t="shared" si="93"/>
        <v>8465.7692307692305</v>
      </c>
      <c r="HN87" s="5">
        <f t="shared" si="93"/>
        <v>8410.7692307692305</v>
      </c>
      <c r="HO87" s="5">
        <f t="shared" si="93"/>
        <v>8301.1538461538457</v>
      </c>
      <c r="HP87" s="5">
        <f t="shared" si="93"/>
        <v>8370</v>
      </c>
      <c r="HQ87" s="5">
        <f t="shared" si="93"/>
        <v>8528.8461538461543</v>
      </c>
      <c r="HR87" s="5">
        <f t="shared" si="93"/>
        <v>8663.8461538461543</v>
      </c>
      <c r="HS87" s="5">
        <f t="shared" si="93"/>
        <v>8988.461538461539</v>
      </c>
      <c r="HT87" s="5">
        <f t="shared" si="93"/>
        <v>9173.0769230769238</v>
      </c>
      <c r="HU87" s="5">
        <f t="shared" si="93"/>
        <v>9246.538461538461</v>
      </c>
      <c r="HV87" s="5">
        <f t="shared" si="93"/>
        <v>9201.1538461538457</v>
      </c>
      <c r="HW87" s="5">
        <f t="shared" si="93"/>
        <v>9226.1538461538457</v>
      </c>
      <c r="HX87" s="5">
        <f t="shared" si="93"/>
        <v>9175</v>
      </c>
      <c r="HY87" s="5">
        <f t="shared" si="93"/>
        <v>9165.7692307692305</v>
      </c>
      <c r="HZ87" s="5">
        <f t="shared" si="93"/>
        <v>9032.3076923076915</v>
      </c>
      <c r="IA87" s="5">
        <f t="shared" si="93"/>
        <v>8881.538461538461</v>
      </c>
      <c r="IB87" s="5">
        <f t="shared" si="93"/>
        <v>8661.9230769230762</v>
      </c>
      <c r="IC87" s="5">
        <f t="shared" si="93"/>
        <v>8632.6923076923085</v>
      </c>
      <c r="ID87" s="5">
        <f t="shared" si="93"/>
        <v>8622.6923076923085</v>
      </c>
      <c r="IE87" s="5">
        <f t="shared" si="93"/>
        <v>8746.1538461538457</v>
      </c>
      <c r="IF87" s="5">
        <f t="shared" si="93"/>
        <v>8996.9230769230762</v>
      </c>
      <c r="IG87" s="5">
        <f t="shared" si="93"/>
        <v>9254.2307692307695</v>
      </c>
      <c r="IH87" s="5">
        <f t="shared" si="93"/>
        <v>9521.1538461538457</v>
      </c>
      <c r="II87" s="5">
        <f t="shared" si="93"/>
        <v>9881.538461538461</v>
      </c>
      <c r="IJ87" s="5">
        <f t="shared" si="93"/>
        <v>9996.1538461538457</v>
      </c>
      <c r="IK87" s="5">
        <f t="shared" si="93"/>
        <v>10114.23076923077</v>
      </c>
      <c r="IL87" s="5">
        <f t="shared" si="93"/>
        <v>10165.76923076923</v>
      </c>
      <c r="IM87" s="5">
        <f t="shared" si="93"/>
        <v>9990.3846153846152</v>
      </c>
      <c r="IN87" s="5">
        <f t="shared" si="93"/>
        <v>10030.384615384615</v>
      </c>
      <c r="IO87" s="5">
        <f t="shared" si="93"/>
        <v>10363.846153846154</v>
      </c>
      <c r="IP87" s="5">
        <f t="shared" si="93"/>
        <v>10213.846153846154</v>
      </c>
      <c r="IQ87" s="5">
        <f t="shared" si="93"/>
        <v>9976.9230769230762</v>
      </c>
      <c r="IR87" s="5">
        <f t="shared" si="93"/>
        <v>9874.6153846153848</v>
      </c>
      <c r="IS87" s="5">
        <f t="shared" si="93"/>
        <v>9766.538461538461</v>
      </c>
      <c r="IT87" s="5">
        <f t="shared" si="93"/>
        <v>9502.3076923076915</v>
      </c>
      <c r="IU87" s="5">
        <f t="shared" si="93"/>
        <v>9152.6923076923085</v>
      </c>
      <c r="IV87" s="5">
        <f t="shared" si="93"/>
        <v>9078.8461538461543</v>
      </c>
      <c r="IW87" s="5">
        <f t="shared" si="93"/>
        <v>9073.8461538461543</v>
      </c>
      <c r="IX87" s="5">
        <f t="shared" si="93"/>
        <v>9121.1538461538457</v>
      </c>
      <c r="IY87" s="5">
        <f t="shared" ref="IY87:LJ87" si="94">AVERAGE(IY44:IY69)</f>
        <v>9121.1538461538457</v>
      </c>
      <c r="IZ87" s="5">
        <f t="shared" si="94"/>
        <v>8995.3846153846152</v>
      </c>
      <c r="JA87" s="5">
        <f t="shared" si="94"/>
        <v>8820.3846153846152</v>
      </c>
      <c r="JB87" s="5">
        <f t="shared" si="94"/>
        <v>8842.3076923076915</v>
      </c>
      <c r="JC87" s="5">
        <f t="shared" si="94"/>
        <v>8661.1538461538457</v>
      </c>
      <c r="JD87" s="5">
        <f t="shared" si="94"/>
        <v>8541.9230769230762</v>
      </c>
      <c r="JE87" s="5">
        <f t="shared" si="94"/>
        <v>8614.2307692307695</v>
      </c>
      <c r="JF87" s="5">
        <f t="shared" si="94"/>
        <v>8555.7692307692305</v>
      </c>
      <c r="JG87" s="5">
        <f t="shared" si="94"/>
        <v>8320.3846153846152</v>
      </c>
      <c r="JH87" s="5">
        <f t="shared" si="94"/>
        <v>8165.3846153846152</v>
      </c>
      <c r="JI87" s="5">
        <f t="shared" si="94"/>
        <v>8017.3076923076924</v>
      </c>
      <c r="JJ87" s="5">
        <f t="shared" si="94"/>
        <v>8023.8461538461543</v>
      </c>
      <c r="JK87" s="5">
        <f t="shared" si="94"/>
        <v>7951.9230769230771</v>
      </c>
      <c r="JL87" s="5">
        <f t="shared" si="94"/>
        <v>7820</v>
      </c>
      <c r="JM87" s="5">
        <f t="shared" si="94"/>
        <v>7600</v>
      </c>
      <c r="JN87" s="5">
        <f t="shared" si="94"/>
        <v>7608.8461538461543</v>
      </c>
      <c r="JO87" s="5">
        <f t="shared" si="94"/>
        <v>7489.6153846153848</v>
      </c>
      <c r="JP87" s="5">
        <f t="shared" si="94"/>
        <v>7172.3076923076924</v>
      </c>
      <c r="JQ87" s="5">
        <f t="shared" si="94"/>
        <v>6958.0769230769229</v>
      </c>
      <c r="JR87" s="5">
        <f t="shared" si="94"/>
        <v>6988.8461538461543</v>
      </c>
      <c r="JS87" s="5">
        <f t="shared" si="94"/>
        <v>6808.0769230769229</v>
      </c>
      <c r="JT87" s="5">
        <f t="shared" si="94"/>
        <v>6832.6923076923076</v>
      </c>
      <c r="JU87" s="5">
        <f t="shared" si="94"/>
        <v>6674.2307692307695</v>
      </c>
      <c r="JV87" s="5">
        <f t="shared" si="94"/>
        <v>6533.4615384615381</v>
      </c>
      <c r="JW87" s="5">
        <f t="shared" si="94"/>
        <v>6615.3846153846152</v>
      </c>
      <c r="JX87" s="5">
        <f t="shared" si="94"/>
        <v>6610</v>
      </c>
      <c r="JY87" s="5">
        <f t="shared" si="94"/>
        <v>6350.3846153846152</v>
      </c>
      <c r="JZ87" s="5">
        <f t="shared" si="94"/>
        <v>6155</v>
      </c>
      <c r="KA87" s="5">
        <f t="shared" si="94"/>
        <v>5879.2307692307695</v>
      </c>
      <c r="KB87" s="5">
        <f t="shared" si="94"/>
        <v>5780.3846153846152</v>
      </c>
      <c r="KC87" s="5">
        <f t="shared" si="94"/>
        <v>5565</v>
      </c>
      <c r="KD87" s="5">
        <f t="shared" si="94"/>
        <v>5413.4615384615381</v>
      </c>
      <c r="KE87" s="5">
        <f t="shared" si="94"/>
        <v>5338.8461538461543</v>
      </c>
      <c r="KF87" s="5">
        <f t="shared" si="94"/>
        <v>5210.7692307692305</v>
      </c>
      <c r="KG87" s="5">
        <f t="shared" si="94"/>
        <v>5103.8461538461543</v>
      </c>
      <c r="KH87" s="5">
        <f t="shared" si="94"/>
        <v>5033.4615384615381</v>
      </c>
      <c r="KI87" s="5">
        <f t="shared" si="94"/>
        <v>4982.3076923076924</v>
      </c>
      <c r="KJ87" s="5">
        <f t="shared" si="94"/>
        <v>4810.3846153846152</v>
      </c>
      <c r="KK87" s="5">
        <f t="shared" si="94"/>
        <v>4708.0769230769229</v>
      </c>
      <c r="KL87" s="5">
        <f t="shared" si="94"/>
        <v>4525.3846153846152</v>
      </c>
      <c r="KM87" s="5">
        <f t="shared" si="94"/>
        <v>4505.3846153846152</v>
      </c>
      <c r="KN87" s="5">
        <f t="shared" si="94"/>
        <v>4435.3846153846152</v>
      </c>
      <c r="KO87" s="5">
        <f t="shared" si="94"/>
        <v>4442.3076923076924</v>
      </c>
      <c r="KP87" s="5">
        <f t="shared" si="94"/>
        <v>4263.4615384615381</v>
      </c>
      <c r="KQ87" s="5">
        <f t="shared" si="94"/>
        <v>4111.5384615384619</v>
      </c>
      <c r="KR87" s="5">
        <f t="shared" si="94"/>
        <v>4068.0769230769229</v>
      </c>
      <c r="KS87" s="5">
        <f t="shared" si="94"/>
        <v>3918.0769230769229</v>
      </c>
      <c r="KT87" s="5">
        <f t="shared" si="94"/>
        <v>3892.3076923076924</v>
      </c>
      <c r="KU87" s="5">
        <f t="shared" si="94"/>
        <v>3866.9230769230771</v>
      </c>
      <c r="KV87" s="5">
        <f t="shared" si="94"/>
        <v>3780</v>
      </c>
      <c r="KW87" s="5">
        <f t="shared" si="94"/>
        <v>3728.8461538461538</v>
      </c>
      <c r="KX87" s="5">
        <f t="shared" si="94"/>
        <v>3623.0769230769229</v>
      </c>
      <c r="KY87" s="5">
        <f t="shared" si="94"/>
        <v>3517.3076923076924</v>
      </c>
      <c r="KZ87" s="5">
        <f t="shared" si="94"/>
        <v>3425.3846153846152</v>
      </c>
      <c r="LA87" s="5">
        <f t="shared" si="94"/>
        <v>3361.5384615384614</v>
      </c>
      <c r="LB87" s="5">
        <f t="shared" si="94"/>
        <v>3270</v>
      </c>
      <c r="LC87" s="5">
        <f t="shared" si="94"/>
        <v>3178.0769230769229</v>
      </c>
      <c r="LD87" s="5">
        <f t="shared" si="94"/>
        <v>3127.6923076923076</v>
      </c>
      <c r="LE87" s="5">
        <f t="shared" si="94"/>
        <v>3073.8461538461538</v>
      </c>
      <c r="LF87" s="5">
        <f t="shared" si="94"/>
        <v>2985.3846153846152</v>
      </c>
      <c r="LG87" s="5">
        <f t="shared" si="94"/>
        <v>2947.6923076923076</v>
      </c>
      <c r="LH87" s="5">
        <f t="shared" si="94"/>
        <v>2908.0769230769229</v>
      </c>
      <c r="LI87" s="5">
        <f t="shared" si="94"/>
        <v>2856.9230769230771</v>
      </c>
      <c r="LJ87" s="5">
        <f t="shared" si="94"/>
        <v>2783.0769230769229</v>
      </c>
      <c r="LK87" s="5">
        <f t="shared" ref="LK87:NT87" si="95">AVERAGE(LK44:LK69)</f>
        <v>2726.1538461538462</v>
      </c>
      <c r="LL87" s="5">
        <f t="shared" si="95"/>
        <v>2684.2307692307691</v>
      </c>
      <c r="LM87" s="5">
        <f t="shared" si="95"/>
        <v>2683.8461538461538</v>
      </c>
      <c r="LN87" s="5">
        <f t="shared" si="95"/>
        <v>2708.8461538461538</v>
      </c>
      <c r="LO87" s="5">
        <f t="shared" si="95"/>
        <v>2700.7692307692309</v>
      </c>
      <c r="LP87" s="5">
        <f t="shared" si="95"/>
        <v>2633.0769230769229</v>
      </c>
      <c r="LQ87" s="5">
        <f t="shared" si="95"/>
        <v>2628.4615384615386</v>
      </c>
      <c r="LR87" s="5">
        <f t="shared" si="95"/>
        <v>2606.1538461538462</v>
      </c>
      <c r="LS87" s="5">
        <f t="shared" si="95"/>
        <v>2526.1538461538462</v>
      </c>
      <c r="LT87" s="5">
        <f t="shared" si="95"/>
        <v>2482.6923076923076</v>
      </c>
      <c r="LU87" s="5">
        <f t="shared" si="95"/>
        <v>2466.9230769230771</v>
      </c>
      <c r="LV87" s="5">
        <f t="shared" si="95"/>
        <v>2412.3076923076924</v>
      </c>
      <c r="LW87" s="5">
        <f t="shared" si="95"/>
        <v>2302.3076923076924</v>
      </c>
      <c r="LX87" s="5">
        <f t="shared" si="95"/>
        <v>2210</v>
      </c>
      <c r="LY87" s="5">
        <f t="shared" si="95"/>
        <v>2158.4615384615386</v>
      </c>
      <c r="LZ87" s="5">
        <f t="shared" si="95"/>
        <v>2148.8461538461538</v>
      </c>
      <c r="MA87" s="5">
        <f t="shared" si="95"/>
        <v>2111.1538461538462</v>
      </c>
      <c r="MB87" s="5">
        <f t="shared" si="95"/>
        <v>2092.3461538461538</v>
      </c>
      <c r="MC87" s="5">
        <f t="shared" si="95"/>
        <v>2035.1153846153845</v>
      </c>
      <c r="MD87" s="5">
        <f t="shared" si="95"/>
        <v>1971.6923076923076</v>
      </c>
      <c r="ME87" s="5">
        <f t="shared" si="95"/>
        <v>1954.7307692307693</v>
      </c>
      <c r="MF87" s="5">
        <f t="shared" si="95"/>
        <v>1959.2692307692307</v>
      </c>
      <c r="MG87" s="5">
        <f t="shared" si="95"/>
        <v>1945.4615384615386</v>
      </c>
      <c r="MH87" s="5">
        <f t="shared" si="95"/>
        <v>1894.1538461538462</v>
      </c>
      <c r="MI87" s="5">
        <f t="shared" si="95"/>
        <v>1881.1538461538462</v>
      </c>
      <c r="MJ87" s="5">
        <f t="shared" si="95"/>
        <v>1892.0769230769231</v>
      </c>
      <c r="MK87" s="5">
        <f t="shared" si="95"/>
        <v>1901.5769230769231</v>
      </c>
      <c r="ML87" s="5">
        <f t="shared" si="95"/>
        <v>1881.6923076923076</v>
      </c>
      <c r="MM87" s="5">
        <f t="shared" si="95"/>
        <v>1832.9230769230769</v>
      </c>
      <c r="MN87" s="5">
        <f t="shared" si="95"/>
        <v>1818.6923076923076</v>
      </c>
      <c r="MO87" s="5">
        <f t="shared" si="95"/>
        <v>1806.8461538461538</v>
      </c>
      <c r="MP87" s="5">
        <f t="shared" si="95"/>
        <v>1768.0769230769231</v>
      </c>
      <c r="MQ87" s="5">
        <f t="shared" si="95"/>
        <v>1754.2307692307693</v>
      </c>
      <c r="MR87" s="5">
        <f t="shared" si="95"/>
        <v>1730</v>
      </c>
      <c r="MS87" s="5">
        <f t="shared" si="95"/>
        <v>1733.0769230769231</v>
      </c>
      <c r="MT87" s="5">
        <f t="shared" si="95"/>
        <v>1714.6153846153845</v>
      </c>
      <c r="MU87" s="5">
        <f t="shared" si="95"/>
        <v>1718.4615384615386</v>
      </c>
      <c r="MV87" s="5">
        <f t="shared" si="95"/>
        <v>1679.2307692307693</v>
      </c>
      <c r="MW87" s="5">
        <f t="shared" si="95"/>
        <v>1635.3846153846155</v>
      </c>
      <c r="MX87" s="5">
        <f t="shared" si="95"/>
        <v>1673.0769230769231</v>
      </c>
      <c r="MY87" s="5">
        <f t="shared" si="95"/>
        <v>1675.3846153846155</v>
      </c>
      <c r="MZ87" s="5">
        <f t="shared" si="95"/>
        <v>1685.7692307692307</v>
      </c>
      <c r="NA87" s="5">
        <f t="shared" si="95"/>
        <v>1669.2692307692307</v>
      </c>
      <c r="NB87" s="5">
        <f t="shared" si="95"/>
        <v>1627</v>
      </c>
      <c r="NC87" s="5">
        <f t="shared" si="95"/>
        <v>1624.1538461538462</v>
      </c>
      <c r="ND87" s="5">
        <f t="shared" si="95"/>
        <v>1635.8846153846155</v>
      </c>
      <c r="NE87" s="5">
        <f t="shared" si="95"/>
        <v>1437.9230769230769</v>
      </c>
      <c r="NF87" s="5">
        <f t="shared" si="95"/>
        <v>1397.5</v>
      </c>
      <c r="NG87" s="5">
        <f t="shared" si="95"/>
        <v>1471.5769230769231</v>
      </c>
      <c r="NH87" s="5">
        <f t="shared" si="95"/>
        <v>2061.9230769230771</v>
      </c>
      <c r="NI87" s="5">
        <f t="shared" si="95"/>
        <v>4133.4615384615381</v>
      </c>
      <c r="NJ87" s="5">
        <f t="shared" si="95"/>
        <v>8490.3846153846152</v>
      </c>
      <c r="NK87" s="5">
        <f t="shared" si="95"/>
        <v>8896.1538461538457</v>
      </c>
      <c r="NL87" s="5">
        <f t="shared" si="95"/>
        <v>8915.3846153846152</v>
      </c>
      <c r="NM87" s="5">
        <f t="shared" si="95"/>
        <v>5473.8461538461543</v>
      </c>
      <c r="NN87" s="5">
        <f t="shared" si="95"/>
        <v>2940.3846153846152</v>
      </c>
      <c r="NO87" s="5">
        <f t="shared" si="95"/>
        <v>1838.0769230769231</v>
      </c>
      <c r="NP87" s="5">
        <f t="shared" si="95"/>
        <v>4074.1271315218205</v>
      </c>
      <c r="NQ87" s="5">
        <f t="shared" si="95"/>
        <v>15507.692307692309</v>
      </c>
      <c r="NR87" s="5">
        <f t="shared" si="95"/>
        <v>42595.230769230766</v>
      </c>
      <c r="NS87" s="5">
        <f t="shared" si="95"/>
        <v>1080.3076923076924</v>
      </c>
      <c r="NT87" s="5">
        <f t="shared" si="95"/>
        <v>42488.807692307695</v>
      </c>
      <c r="NU87" s="5"/>
      <c r="NV87" s="5"/>
      <c r="NW87" s="5"/>
      <c r="NX87" s="5"/>
      <c r="NY87" s="5"/>
      <c r="NZ87" s="5"/>
      <c r="OA87" s="5"/>
      <c r="OB87" s="5"/>
      <c r="OC87" s="5"/>
      <c r="OD87" s="5"/>
      <c r="OE87" s="5"/>
    </row>
    <row r="88" spans="1:395" customFormat="1" x14ac:dyDescent="0.15">
      <c r="A88" s="9" t="s">
        <v>48</v>
      </c>
      <c r="B88" s="5">
        <f>AVERAGE(B3:B55)</f>
        <v>1538.2549019607843</v>
      </c>
      <c r="C88" s="5">
        <f t="shared" ref="C88:BN88" si="96">AVERAGE(C3:C55)</f>
        <v>1532.2745098039215</v>
      </c>
      <c r="D88" s="5">
        <f t="shared" si="96"/>
        <v>1524.313725490196</v>
      </c>
      <c r="E88" s="5">
        <f t="shared" si="96"/>
        <v>1517.2549019607843</v>
      </c>
      <c r="F88" s="5">
        <f t="shared" si="96"/>
        <v>1497.2549019607843</v>
      </c>
      <c r="G88" s="5">
        <f t="shared" si="96"/>
        <v>1481.1764705882354</v>
      </c>
      <c r="H88" s="5">
        <f t="shared" si="96"/>
        <v>1464.0784313725489</v>
      </c>
      <c r="I88" s="5">
        <f t="shared" si="96"/>
        <v>1450.4313725490197</v>
      </c>
      <c r="J88" s="5">
        <f t="shared" si="96"/>
        <v>1438.4509803921569</v>
      </c>
      <c r="K88" s="5">
        <f t="shared" si="96"/>
        <v>1425.7254901960785</v>
      </c>
      <c r="L88" s="5">
        <f t="shared" si="96"/>
        <v>1412.9411764705883</v>
      </c>
      <c r="M88" s="5">
        <f t="shared" si="96"/>
        <v>1406.7058823529412</v>
      </c>
      <c r="N88" s="5">
        <f t="shared" si="96"/>
        <v>1399.9803921568628</v>
      </c>
      <c r="O88" s="5">
        <f t="shared" si="96"/>
        <v>1392.8627450980391</v>
      </c>
      <c r="P88" s="5">
        <f t="shared" si="96"/>
        <v>1381.1960784313726</v>
      </c>
      <c r="Q88" s="5">
        <f t="shared" si="96"/>
        <v>1394.4509803921569</v>
      </c>
      <c r="R88" s="5">
        <f t="shared" si="96"/>
        <v>1387.4117647058824</v>
      </c>
      <c r="S88" s="5">
        <f t="shared" si="96"/>
        <v>1378.2549019607843</v>
      </c>
      <c r="T88" s="5">
        <f t="shared" si="96"/>
        <v>1376.3921568627452</v>
      </c>
      <c r="U88" s="5">
        <f t="shared" si="96"/>
        <v>1362.4705882352941</v>
      </c>
      <c r="V88" s="5">
        <f t="shared" si="96"/>
        <v>1350.9215686274511</v>
      </c>
      <c r="W88" s="5">
        <f t="shared" si="96"/>
        <v>1339.1764705882354</v>
      </c>
      <c r="X88" s="5">
        <f t="shared" si="96"/>
        <v>1326.2549019607843</v>
      </c>
      <c r="Y88" s="5">
        <f t="shared" si="96"/>
        <v>1317.9019607843138</v>
      </c>
      <c r="Z88" s="5">
        <f t="shared" si="96"/>
        <v>1305.9803921568628</v>
      </c>
      <c r="AA88" s="5">
        <f t="shared" si="96"/>
        <v>1296.9607843137255</v>
      </c>
      <c r="AB88" s="5">
        <f t="shared" si="96"/>
        <v>1293.6274509803923</v>
      </c>
      <c r="AC88" s="5">
        <f t="shared" si="96"/>
        <v>1284.7647058823529</v>
      </c>
      <c r="AD88" s="5">
        <f t="shared" si="96"/>
        <v>1276.6274509803923</v>
      </c>
      <c r="AE88" s="5">
        <f t="shared" si="96"/>
        <v>1271.7647058823529</v>
      </c>
      <c r="AF88" s="5">
        <f t="shared" si="96"/>
        <v>1266.6274509803923</v>
      </c>
      <c r="AG88" s="5">
        <f t="shared" si="96"/>
        <v>1263.3921568627452</v>
      </c>
      <c r="AH88" s="5">
        <f t="shared" si="96"/>
        <v>1254.1372549019609</v>
      </c>
      <c r="AI88" s="5">
        <f t="shared" si="96"/>
        <v>1250.8235294117646</v>
      </c>
      <c r="AJ88" s="5">
        <f t="shared" si="96"/>
        <v>1250.0784313725489</v>
      </c>
      <c r="AK88" s="5">
        <f t="shared" si="96"/>
        <v>1240.4901960784314</v>
      </c>
      <c r="AL88" s="5">
        <f t="shared" si="96"/>
        <v>1233.8039215686274</v>
      </c>
      <c r="AM88" s="5">
        <f t="shared" si="96"/>
        <v>1223.3725490196077</v>
      </c>
      <c r="AN88" s="5">
        <f t="shared" si="96"/>
        <v>1216.5294117647059</v>
      </c>
      <c r="AO88" s="5">
        <f t="shared" si="96"/>
        <v>1212.5294117647059</v>
      </c>
      <c r="AP88" s="5">
        <f t="shared" si="96"/>
        <v>1208.5490196078431</v>
      </c>
      <c r="AQ88" s="5">
        <f t="shared" si="96"/>
        <v>1205.3529411764705</v>
      </c>
      <c r="AR88" s="5">
        <f t="shared" si="96"/>
        <v>1211.4901960784314</v>
      </c>
      <c r="AS88" s="5">
        <f t="shared" si="96"/>
        <v>1207.0980392156862</v>
      </c>
      <c r="AT88" s="5">
        <f t="shared" si="96"/>
        <v>1199.0392156862745</v>
      </c>
      <c r="AU88" s="5">
        <f t="shared" si="96"/>
        <v>1191.7843137254902</v>
      </c>
      <c r="AV88" s="5">
        <f t="shared" si="96"/>
        <v>1186.6666666666667</v>
      </c>
      <c r="AW88" s="5">
        <f t="shared" si="96"/>
        <v>1181.6470588235295</v>
      </c>
      <c r="AX88" s="5">
        <f t="shared" si="96"/>
        <v>1179</v>
      </c>
      <c r="AY88" s="5">
        <f t="shared" si="96"/>
        <v>1179.9803921568628</v>
      </c>
      <c r="AZ88" s="5">
        <f t="shared" si="96"/>
        <v>1175.9411764705883</v>
      </c>
      <c r="BA88" s="5">
        <f t="shared" si="96"/>
        <v>1174.9215686274511</v>
      </c>
      <c r="BB88" s="5">
        <f t="shared" si="96"/>
        <v>1171.6274509803923</v>
      </c>
      <c r="BC88" s="5">
        <f t="shared" si="96"/>
        <v>1169.5882352941176</v>
      </c>
      <c r="BD88" s="5">
        <f t="shared" si="96"/>
        <v>1166.7450980392157</v>
      </c>
      <c r="BE88" s="5">
        <f t="shared" si="96"/>
        <v>1160.9803921568628</v>
      </c>
      <c r="BF88" s="5">
        <f t="shared" si="96"/>
        <v>1157.0588235294117</v>
      </c>
      <c r="BG88" s="5">
        <f t="shared" si="96"/>
        <v>1143.4509803921569</v>
      </c>
      <c r="BH88" s="5">
        <f t="shared" si="96"/>
        <v>1140.2549019607843</v>
      </c>
      <c r="BI88" s="5">
        <f t="shared" si="96"/>
        <v>1134.8461538461538</v>
      </c>
      <c r="BJ88" s="5">
        <f t="shared" si="96"/>
        <v>1136.5490196078431</v>
      </c>
      <c r="BK88" s="5">
        <f t="shared" si="96"/>
        <v>1134.2941176470588</v>
      </c>
      <c r="BL88" s="5">
        <f t="shared" si="96"/>
        <v>1129.5490196078431</v>
      </c>
      <c r="BM88" s="5">
        <f t="shared" si="96"/>
        <v>1125.5294117647059</v>
      </c>
      <c r="BN88" s="5">
        <f t="shared" si="96"/>
        <v>1122.2549019607843</v>
      </c>
      <c r="BO88" s="5">
        <f t="shared" ref="BO88:DZ88" si="97">AVERAGE(BO3:BO55)</f>
        <v>1120.8431372549019</v>
      </c>
      <c r="BP88" s="5">
        <f t="shared" si="97"/>
        <v>1118.7647058823529</v>
      </c>
      <c r="BQ88" s="5">
        <f t="shared" si="97"/>
        <v>1110.686274509804</v>
      </c>
      <c r="BR88" s="5">
        <f t="shared" si="97"/>
        <v>1112.7058823529412</v>
      </c>
      <c r="BS88" s="5">
        <f t="shared" si="97"/>
        <v>1120.8235294117646</v>
      </c>
      <c r="BT88" s="5">
        <f t="shared" si="97"/>
        <v>1120.4705882352941</v>
      </c>
      <c r="BU88" s="5">
        <f t="shared" si="97"/>
        <v>1119.9411764705883</v>
      </c>
      <c r="BV88" s="5">
        <f t="shared" si="97"/>
        <v>1121.9019607843138</v>
      </c>
      <c r="BW88" s="5">
        <f t="shared" si="97"/>
        <v>1112.4313725490197</v>
      </c>
      <c r="BX88" s="5">
        <f t="shared" si="97"/>
        <v>1106.5098039215686</v>
      </c>
      <c r="BY88" s="5">
        <f t="shared" si="97"/>
        <v>1106.2549019607843</v>
      </c>
      <c r="BZ88" s="5">
        <f t="shared" si="97"/>
        <v>1105.6078431372548</v>
      </c>
      <c r="CA88" s="5">
        <f t="shared" si="97"/>
        <v>1108.7843137254902</v>
      </c>
      <c r="CB88" s="5">
        <f t="shared" si="97"/>
        <v>1114.6078431372548</v>
      </c>
      <c r="CC88" s="5">
        <f t="shared" si="97"/>
        <v>1118.1764705882354</v>
      </c>
      <c r="CD88" s="5">
        <f t="shared" si="97"/>
        <v>1116.4705882352941</v>
      </c>
      <c r="CE88" s="5">
        <f t="shared" si="97"/>
        <v>1113.3529411764705</v>
      </c>
      <c r="CF88" s="5">
        <f t="shared" si="97"/>
        <v>1114.2941176470588</v>
      </c>
      <c r="CG88" s="5">
        <f t="shared" si="97"/>
        <v>1114.4901960784314</v>
      </c>
      <c r="CH88" s="5">
        <f t="shared" si="97"/>
        <v>1124.6078431372548</v>
      </c>
      <c r="CI88" s="5">
        <f t="shared" si="97"/>
        <v>1134</v>
      </c>
      <c r="CJ88" s="5">
        <f t="shared" si="97"/>
        <v>1136.9803921568628</v>
      </c>
      <c r="CK88" s="5">
        <f t="shared" si="97"/>
        <v>1144.8431372549019</v>
      </c>
      <c r="CL88" s="5">
        <f t="shared" si="97"/>
        <v>1145.0392156862745</v>
      </c>
      <c r="CM88" s="5">
        <f t="shared" si="97"/>
        <v>1143.5686274509803</v>
      </c>
      <c r="CN88" s="5">
        <f t="shared" si="97"/>
        <v>1149.5686274509803</v>
      </c>
      <c r="CO88" s="5">
        <f t="shared" si="97"/>
        <v>1157.6274509803923</v>
      </c>
      <c r="CP88" s="5">
        <f t="shared" si="97"/>
        <v>1164.0588235294117</v>
      </c>
      <c r="CQ88" s="5">
        <f t="shared" si="97"/>
        <v>1176.9019607843138</v>
      </c>
      <c r="CR88" s="5">
        <f t="shared" si="97"/>
        <v>1185.313725490196</v>
      </c>
      <c r="CS88" s="5">
        <f t="shared" si="97"/>
        <v>1192.0196078431372</v>
      </c>
      <c r="CT88" s="5">
        <f t="shared" si="97"/>
        <v>1188.4901960784314</v>
      </c>
      <c r="CU88" s="5">
        <f t="shared" si="97"/>
        <v>1187.5490196078431</v>
      </c>
      <c r="CV88" s="5">
        <f t="shared" si="97"/>
        <v>1189.3725490196077</v>
      </c>
      <c r="CW88" s="5">
        <f t="shared" si="97"/>
        <v>1201.3529411764705</v>
      </c>
      <c r="CX88" s="5">
        <f t="shared" si="97"/>
        <v>1207.4705882352941</v>
      </c>
      <c r="CY88" s="5">
        <f t="shared" si="97"/>
        <v>1220.1568627450981</v>
      </c>
      <c r="CZ88" s="5">
        <f t="shared" si="97"/>
        <v>1222.8627450980391</v>
      </c>
      <c r="DA88" s="5">
        <f t="shared" si="97"/>
        <v>1233.5490196078431</v>
      </c>
      <c r="DB88" s="5">
        <f t="shared" si="97"/>
        <v>1246.5490196078431</v>
      </c>
      <c r="DC88" s="5">
        <f t="shared" si="97"/>
        <v>1252.9803921568628</v>
      </c>
      <c r="DD88" s="5">
        <f t="shared" si="97"/>
        <v>1266.3725490196077</v>
      </c>
      <c r="DE88" s="5">
        <f t="shared" si="97"/>
        <v>1277.4117647058824</v>
      </c>
      <c r="DF88" s="5">
        <f t="shared" si="97"/>
        <v>1279.0980392156862</v>
      </c>
      <c r="DG88" s="5">
        <f t="shared" si="97"/>
        <v>1283.0392156862745</v>
      </c>
      <c r="DH88" s="5">
        <f t="shared" si="97"/>
        <v>1297.6666666666667</v>
      </c>
      <c r="DI88" s="5">
        <f t="shared" si="97"/>
        <v>1315.5098039215686</v>
      </c>
      <c r="DJ88" s="5">
        <f t="shared" si="97"/>
        <v>1338.8627450980391</v>
      </c>
      <c r="DK88" s="5">
        <f t="shared" si="97"/>
        <v>1365.313725490196</v>
      </c>
      <c r="DL88" s="5">
        <f t="shared" si="97"/>
        <v>1388.1568627450981</v>
      </c>
      <c r="DM88" s="5">
        <f t="shared" si="97"/>
        <v>1406.5490196078431</v>
      </c>
      <c r="DN88" s="5">
        <f t="shared" si="97"/>
        <v>1424.4313725490197</v>
      </c>
      <c r="DO88" s="5">
        <f t="shared" si="97"/>
        <v>1447.6078431372548</v>
      </c>
      <c r="DP88" s="5">
        <f t="shared" si="97"/>
        <v>1468.4705882352941</v>
      </c>
      <c r="DQ88" s="5">
        <f t="shared" si="97"/>
        <v>1491.9607843137255</v>
      </c>
      <c r="DR88" s="5">
        <f t="shared" si="97"/>
        <v>1515.7843137254902</v>
      </c>
      <c r="DS88" s="5">
        <f t="shared" si="97"/>
        <v>1533.1372549019609</v>
      </c>
      <c r="DT88" s="5">
        <f t="shared" si="97"/>
        <v>1530.8627450980391</v>
      </c>
      <c r="DU88" s="5">
        <f t="shared" si="97"/>
        <v>1532.3725490196077</v>
      </c>
      <c r="DV88" s="5">
        <f t="shared" si="97"/>
        <v>1565.9411764705883</v>
      </c>
      <c r="DW88" s="5">
        <f t="shared" si="97"/>
        <v>1604.0980392156862</v>
      </c>
      <c r="DX88" s="5">
        <f t="shared" si="97"/>
        <v>1640.5882352941176</v>
      </c>
      <c r="DY88" s="5">
        <f t="shared" si="97"/>
        <v>1666</v>
      </c>
      <c r="DZ88" s="5">
        <f t="shared" si="97"/>
        <v>1692.0784313725489</v>
      </c>
      <c r="EA88" s="5">
        <f t="shared" ref="EA88:GL88" si="98">AVERAGE(EA3:EA55)</f>
        <v>1717.3921568627452</v>
      </c>
      <c r="EB88" s="5">
        <f t="shared" si="98"/>
        <v>1734.6470588235295</v>
      </c>
      <c r="EC88" s="5">
        <f t="shared" si="98"/>
        <v>1753.0588235294117</v>
      </c>
      <c r="ED88" s="5">
        <f t="shared" si="98"/>
        <v>1767.3529411764705</v>
      </c>
      <c r="EE88" s="5">
        <f t="shared" si="98"/>
        <v>1807.2549019607843</v>
      </c>
      <c r="EF88" s="5">
        <f t="shared" si="98"/>
        <v>1829.7058823529412</v>
      </c>
      <c r="EG88" s="5">
        <f t="shared" si="98"/>
        <v>1850.0784313725489</v>
      </c>
      <c r="EH88" s="5">
        <f t="shared" si="98"/>
        <v>1877</v>
      </c>
      <c r="EI88" s="5">
        <f t="shared" si="98"/>
        <v>1911.2941176470588</v>
      </c>
      <c r="EJ88" s="5">
        <f t="shared" si="98"/>
        <v>1933.1568627450981</v>
      </c>
      <c r="EK88" s="5">
        <f t="shared" si="98"/>
        <v>1952.6274509803923</v>
      </c>
      <c r="EL88" s="5">
        <f t="shared" si="98"/>
        <v>1975.2941176470588</v>
      </c>
      <c r="EM88" s="5">
        <f t="shared" si="98"/>
        <v>1998.0392156862745</v>
      </c>
      <c r="EN88" s="5">
        <f t="shared" si="98"/>
        <v>2056.6470588235293</v>
      </c>
      <c r="EO88" s="5">
        <f t="shared" si="98"/>
        <v>2088.1176470588234</v>
      </c>
      <c r="EP88" s="5">
        <f t="shared" si="98"/>
        <v>2120.7843137254904</v>
      </c>
      <c r="EQ88" s="5">
        <f t="shared" si="98"/>
        <v>2149.0196078431372</v>
      </c>
      <c r="ER88" s="5">
        <f t="shared" si="98"/>
        <v>2201.5686274509803</v>
      </c>
      <c r="ES88" s="5">
        <f t="shared" si="98"/>
        <v>2266.6666666666665</v>
      </c>
      <c r="ET88" s="5">
        <f t="shared" si="98"/>
        <v>2316.2745098039218</v>
      </c>
      <c r="EU88" s="5">
        <f t="shared" si="98"/>
        <v>2385.294117647059</v>
      </c>
      <c r="EV88" s="5">
        <f t="shared" si="98"/>
        <v>2430.7843137254904</v>
      </c>
      <c r="EW88" s="5">
        <f t="shared" si="98"/>
        <v>2478.4313725490197</v>
      </c>
      <c r="EX88" s="5">
        <f t="shared" si="98"/>
        <v>2541.9607843137255</v>
      </c>
      <c r="EY88" s="5">
        <f t="shared" si="98"/>
        <v>2620.2549019607845</v>
      </c>
      <c r="EZ88" s="5">
        <f t="shared" si="98"/>
        <v>2713.5294117647059</v>
      </c>
      <c r="FA88" s="5">
        <f t="shared" si="98"/>
        <v>2768.0392156862745</v>
      </c>
      <c r="FB88" s="5">
        <f t="shared" si="98"/>
        <v>2835.8823529411766</v>
      </c>
      <c r="FC88" s="5">
        <f t="shared" si="98"/>
        <v>2894.3137254901962</v>
      </c>
      <c r="FD88" s="5">
        <f t="shared" si="98"/>
        <v>2967.2549019607845</v>
      </c>
      <c r="FE88" s="5">
        <f t="shared" si="98"/>
        <v>3085.294117647059</v>
      </c>
      <c r="FF88" s="5">
        <f t="shared" si="98"/>
        <v>3149.8039215686276</v>
      </c>
      <c r="FG88" s="5">
        <f t="shared" si="98"/>
        <v>3225.294117647059</v>
      </c>
      <c r="FH88" s="5">
        <f t="shared" si="98"/>
        <v>3298.8235294117649</v>
      </c>
      <c r="FI88" s="5">
        <f t="shared" si="98"/>
        <v>3379.2156862745096</v>
      </c>
      <c r="FJ88" s="5">
        <f t="shared" si="98"/>
        <v>3463.5294117647059</v>
      </c>
      <c r="FK88" s="5">
        <f t="shared" si="98"/>
        <v>3576.4705882352941</v>
      </c>
      <c r="FL88" s="5">
        <f t="shared" si="98"/>
        <v>3750.7843137254904</v>
      </c>
      <c r="FM88" s="5">
        <f t="shared" si="98"/>
        <v>3968.4313725490197</v>
      </c>
      <c r="FN88" s="5">
        <f t="shared" si="98"/>
        <v>4114.1176470588234</v>
      </c>
      <c r="FO88" s="5">
        <f t="shared" si="98"/>
        <v>4267.8431372549021</v>
      </c>
      <c r="FP88" s="5">
        <f t="shared" si="98"/>
        <v>4526.8627450980393</v>
      </c>
      <c r="FQ88" s="5">
        <f t="shared" si="98"/>
        <v>4770.588235294118</v>
      </c>
      <c r="FR88" s="5">
        <f t="shared" si="98"/>
        <v>5105.8823529411766</v>
      </c>
      <c r="FS88" s="5">
        <f t="shared" si="98"/>
        <v>5454.7058823529414</v>
      </c>
      <c r="FT88" s="5">
        <f t="shared" si="98"/>
        <v>5511.5686274509808</v>
      </c>
      <c r="FU88" s="5">
        <f t="shared" si="98"/>
        <v>5507.6470588235297</v>
      </c>
      <c r="FV88" s="5">
        <f t="shared" si="98"/>
        <v>5644.7058823529414</v>
      </c>
      <c r="FW88" s="5">
        <f t="shared" si="98"/>
        <v>5903.7254901960787</v>
      </c>
      <c r="FX88" s="5">
        <f t="shared" si="98"/>
        <v>6144.5098039215691</v>
      </c>
      <c r="FY88" s="5">
        <f t="shared" si="98"/>
        <v>6414.1176470588234</v>
      </c>
      <c r="FZ88" s="5">
        <f t="shared" si="98"/>
        <v>6525.8823529411766</v>
      </c>
      <c r="GA88" s="5">
        <f t="shared" si="98"/>
        <v>6614.5098039215691</v>
      </c>
      <c r="GB88" s="5">
        <f t="shared" si="98"/>
        <v>6894.7058823529414</v>
      </c>
      <c r="GC88" s="5">
        <f t="shared" si="98"/>
        <v>7164.1176470588234</v>
      </c>
      <c r="GD88" s="5">
        <f t="shared" si="98"/>
        <v>7374.3137254901958</v>
      </c>
      <c r="GE88" s="5">
        <f t="shared" si="98"/>
        <v>7488.8235294117649</v>
      </c>
      <c r="GF88" s="5">
        <f t="shared" si="98"/>
        <v>7500.1960784313724</v>
      </c>
      <c r="GG88" s="5">
        <f t="shared" si="98"/>
        <v>7662.7450980392159</v>
      </c>
      <c r="GH88" s="5">
        <f t="shared" si="98"/>
        <v>7902.5490196078435</v>
      </c>
      <c r="GI88" s="5">
        <f t="shared" si="98"/>
        <v>8127.4509803921565</v>
      </c>
      <c r="GJ88" s="5">
        <f t="shared" si="98"/>
        <v>8368.823529411764</v>
      </c>
      <c r="GK88" s="5">
        <f t="shared" si="98"/>
        <v>8601.7647058823532</v>
      </c>
      <c r="GL88" s="5">
        <f t="shared" si="98"/>
        <v>8696.6666666666661</v>
      </c>
      <c r="GM88" s="5">
        <f t="shared" ref="GM88:IX88" si="99">AVERAGE(GM3:GM55)</f>
        <v>8772.9411764705874</v>
      </c>
      <c r="GN88" s="5">
        <f t="shared" si="99"/>
        <v>8633.7254901960787</v>
      </c>
      <c r="GO88" s="5">
        <f t="shared" si="99"/>
        <v>8509.8039215686276</v>
      </c>
      <c r="GP88" s="5">
        <f t="shared" si="99"/>
        <v>8695.6862745098042</v>
      </c>
      <c r="GQ88" s="5">
        <f t="shared" si="99"/>
        <v>9006.2745098039213</v>
      </c>
      <c r="GR88" s="5">
        <f t="shared" si="99"/>
        <v>8933.5294117647063</v>
      </c>
      <c r="GS88" s="5">
        <f t="shared" si="99"/>
        <v>8760.9803921568619</v>
      </c>
      <c r="GT88" s="5">
        <f t="shared" si="99"/>
        <v>8663.1372549019616</v>
      </c>
      <c r="GU88" s="5">
        <f t="shared" si="99"/>
        <v>8663.3333333333339</v>
      </c>
      <c r="GV88" s="5">
        <f t="shared" si="99"/>
        <v>8562.9411764705874</v>
      </c>
      <c r="GW88" s="5">
        <f t="shared" si="99"/>
        <v>8430.1960784313724</v>
      </c>
      <c r="GX88" s="5">
        <f t="shared" si="99"/>
        <v>8464.5098039215682</v>
      </c>
      <c r="GY88" s="5">
        <f t="shared" si="99"/>
        <v>8669.8039215686276</v>
      </c>
      <c r="GZ88" s="5">
        <f t="shared" si="99"/>
        <v>8738.4313725490192</v>
      </c>
      <c r="HA88" s="5">
        <f t="shared" si="99"/>
        <v>8705.4901960784318</v>
      </c>
      <c r="HB88" s="5">
        <f t="shared" si="99"/>
        <v>8694.1176470588234</v>
      </c>
      <c r="HC88" s="5">
        <f t="shared" si="99"/>
        <v>8725.4901960784318</v>
      </c>
      <c r="HD88" s="5">
        <f t="shared" si="99"/>
        <v>8670.7843137254895</v>
      </c>
      <c r="HE88" s="5">
        <f t="shared" si="99"/>
        <v>8717.8431372549021</v>
      </c>
      <c r="HF88" s="5">
        <f t="shared" si="99"/>
        <v>8863.7254901960787</v>
      </c>
      <c r="HG88" s="5">
        <f t="shared" si="99"/>
        <v>9076.2745098039213</v>
      </c>
      <c r="HH88" s="5">
        <f t="shared" si="99"/>
        <v>9211.9607843137255</v>
      </c>
      <c r="HI88" s="5">
        <f t="shared" si="99"/>
        <v>9258.0392156862745</v>
      </c>
      <c r="HJ88" s="5">
        <f t="shared" si="99"/>
        <v>9342.1568627450979</v>
      </c>
      <c r="HK88" s="5">
        <f t="shared" si="99"/>
        <v>9330.9803921568619</v>
      </c>
      <c r="HL88" s="5">
        <f t="shared" si="99"/>
        <v>9249.6078431372553</v>
      </c>
      <c r="HM88" s="5">
        <f t="shared" si="99"/>
        <v>9148.2352941176468</v>
      </c>
      <c r="HN88" s="5">
        <f t="shared" si="99"/>
        <v>9004.1176470588234</v>
      </c>
      <c r="HO88" s="5">
        <f t="shared" si="99"/>
        <v>8908.2352941176468</v>
      </c>
      <c r="HP88" s="5">
        <f t="shared" si="99"/>
        <v>8905.8823529411766</v>
      </c>
      <c r="HQ88" s="5">
        <f t="shared" si="99"/>
        <v>9040.1960784313724</v>
      </c>
      <c r="HR88" s="5">
        <f t="shared" si="99"/>
        <v>9124.1176470588234</v>
      </c>
      <c r="HS88" s="5">
        <f t="shared" si="99"/>
        <v>9157.4509803921574</v>
      </c>
      <c r="HT88" s="5">
        <f t="shared" si="99"/>
        <v>9136.8627450980384</v>
      </c>
      <c r="HU88" s="5">
        <f t="shared" si="99"/>
        <v>9012.1568627450979</v>
      </c>
      <c r="HV88" s="5">
        <f t="shared" si="99"/>
        <v>8908.6274509803916</v>
      </c>
      <c r="HW88" s="5">
        <f t="shared" si="99"/>
        <v>8994.3137254901958</v>
      </c>
      <c r="HX88" s="5">
        <f t="shared" si="99"/>
        <v>9214.1176470588234</v>
      </c>
      <c r="HY88" s="5">
        <f t="shared" si="99"/>
        <v>9349.2156862745105</v>
      </c>
      <c r="HZ88" s="5">
        <f t="shared" si="99"/>
        <v>9253.3333333333339</v>
      </c>
      <c r="IA88" s="5">
        <f t="shared" si="99"/>
        <v>9129.2156862745105</v>
      </c>
      <c r="IB88" s="5">
        <f t="shared" si="99"/>
        <v>8997.254901960785</v>
      </c>
      <c r="IC88" s="5">
        <f t="shared" si="99"/>
        <v>8906.4705882352937</v>
      </c>
      <c r="ID88" s="5">
        <f t="shared" si="99"/>
        <v>8930</v>
      </c>
      <c r="IE88" s="5">
        <f t="shared" si="99"/>
        <v>9074.7058823529405</v>
      </c>
      <c r="IF88" s="5">
        <f t="shared" si="99"/>
        <v>9240</v>
      </c>
      <c r="IG88" s="5">
        <f t="shared" si="99"/>
        <v>9362.5490196078426</v>
      </c>
      <c r="IH88" s="5">
        <f t="shared" si="99"/>
        <v>9526.2745098039213</v>
      </c>
      <c r="II88" s="5">
        <f t="shared" si="99"/>
        <v>9706.4705882352937</v>
      </c>
      <c r="IJ88" s="5">
        <f t="shared" si="99"/>
        <v>9742.745098039215</v>
      </c>
      <c r="IK88" s="5">
        <f t="shared" si="99"/>
        <v>9762.3529411764703</v>
      </c>
      <c r="IL88" s="5">
        <f t="shared" si="99"/>
        <v>9758.0392156862745</v>
      </c>
      <c r="IM88" s="5">
        <f t="shared" si="99"/>
        <v>9839.8039215686276</v>
      </c>
      <c r="IN88" s="5">
        <f t="shared" si="99"/>
        <v>9701.7647058823532</v>
      </c>
      <c r="IO88" s="5">
        <f t="shared" si="99"/>
        <v>9661.176470588236</v>
      </c>
      <c r="IP88" s="5">
        <f t="shared" si="99"/>
        <v>9555.0980392156871</v>
      </c>
      <c r="IQ88" s="5">
        <f t="shared" si="99"/>
        <v>9312.9411764705874</v>
      </c>
      <c r="IR88" s="5">
        <f t="shared" si="99"/>
        <v>9212.3529411764703</v>
      </c>
      <c r="IS88" s="5">
        <f t="shared" si="99"/>
        <v>9112.745098039215</v>
      </c>
      <c r="IT88" s="5">
        <f t="shared" si="99"/>
        <v>8942.9411764705874</v>
      </c>
      <c r="IU88" s="5">
        <f t="shared" si="99"/>
        <v>8741.176470588236</v>
      </c>
      <c r="IV88" s="5">
        <f t="shared" si="99"/>
        <v>8616.0784313725489</v>
      </c>
      <c r="IW88" s="5">
        <f t="shared" si="99"/>
        <v>8608.823529411764</v>
      </c>
      <c r="IX88" s="5">
        <f t="shared" si="99"/>
        <v>8653.3333333333339</v>
      </c>
      <c r="IY88" s="5">
        <f t="shared" ref="IY88:LJ88" si="100">AVERAGE(IY3:IY55)</f>
        <v>8654.1176470588234</v>
      </c>
      <c r="IZ88" s="5">
        <f t="shared" si="100"/>
        <v>8667.6470588235297</v>
      </c>
      <c r="JA88" s="5">
        <f t="shared" si="100"/>
        <v>8689.4117647058829</v>
      </c>
      <c r="JB88" s="5">
        <f t="shared" si="100"/>
        <v>8715.6862745098042</v>
      </c>
      <c r="JC88" s="5">
        <f t="shared" si="100"/>
        <v>8856.2745098039213</v>
      </c>
      <c r="JD88" s="5">
        <f t="shared" si="100"/>
        <v>9130.7843137254895</v>
      </c>
      <c r="JE88" s="5">
        <f t="shared" si="100"/>
        <v>9255.6862745098042</v>
      </c>
      <c r="JF88" s="5">
        <f t="shared" si="100"/>
        <v>9232.1568627450979</v>
      </c>
      <c r="JG88" s="5">
        <f t="shared" si="100"/>
        <v>8983.7254901960787</v>
      </c>
      <c r="JH88" s="5">
        <f t="shared" si="100"/>
        <v>8789.8039215686276</v>
      </c>
      <c r="JI88" s="5">
        <f t="shared" si="100"/>
        <v>8656.4705882352937</v>
      </c>
      <c r="JJ88" s="5">
        <f t="shared" si="100"/>
        <v>8518.2352941176468</v>
      </c>
      <c r="JK88" s="5">
        <f t="shared" si="100"/>
        <v>8368.2352941176468</v>
      </c>
      <c r="JL88" s="5">
        <f t="shared" si="100"/>
        <v>8190.1960784313724</v>
      </c>
      <c r="JM88" s="5">
        <f t="shared" si="100"/>
        <v>8008.6274509803925</v>
      </c>
      <c r="JN88" s="5">
        <f t="shared" si="100"/>
        <v>7920.1960784313724</v>
      </c>
      <c r="JO88" s="5">
        <f t="shared" si="100"/>
        <v>7732.1568627450979</v>
      </c>
      <c r="JP88" s="5">
        <f t="shared" si="100"/>
        <v>7606.666666666667</v>
      </c>
      <c r="JQ88" s="5">
        <f t="shared" si="100"/>
        <v>7520.7843137254904</v>
      </c>
      <c r="JR88" s="5">
        <f t="shared" si="100"/>
        <v>7441.3725490196075</v>
      </c>
      <c r="JS88" s="5">
        <f t="shared" si="100"/>
        <v>7308.6274509803925</v>
      </c>
      <c r="JT88" s="5">
        <f t="shared" si="100"/>
        <v>7262.3529411764703</v>
      </c>
      <c r="JU88" s="5">
        <f t="shared" si="100"/>
        <v>7227.8431372549021</v>
      </c>
      <c r="JV88" s="5">
        <f t="shared" si="100"/>
        <v>7137.4509803921565</v>
      </c>
      <c r="JW88" s="5">
        <f t="shared" si="100"/>
        <v>7084.9019607843138</v>
      </c>
      <c r="JX88" s="5">
        <f t="shared" si="100"/>
        <v>7062.9411764705883</v>
      </c>
      <c r="JY88" s="5">
        <f t="shared" si="100"/>
        <v>6891.9607843137255</v>
      </c>
      <c r="JZ88" s="5">
        <f t="shared" si="100"/>
        <v>6754.9019607843138</v>
      </c>
      <c r="KA88" s="5">
        <f t="shared" si="100"/>
        <v>6532.7450980392159</v>
      </c>
      <c r="KB88" s="5">
        <f t="shared" si="100"/>
        <v>6315.2941176470586</v>
      </c>
      <c r="KC88" s="5">
        <f t="shared" si="100"/>
        <v>6065.8823529411766</v>
      </c>
      <c r="KD88" s="5">
        <f t="shared" si="100"/>
        <v>5856.8627450980393</v>
      </c>
      <c r="KE88" s="5">
        <f t="shared" si="100"/>
        <v>5680.1960784313724</v>
      </c>
      <c r="KF88" s="5">
        <f t="shared" si="100"/>
        <v>5542.7450980392159</v>
      </c>
      <c r="KG88" s="5">
        <f t="shared" si="100"/>
        <v>5440.7843137254904</v>
      </c>
      <c r="KH88" s="5">
        <f t="shared" si="100"/>
        <v>5357.8431372549021</v>
      </c>
      <c r="KI88" s="5">
        <f t="shared" si="100"/>
        <v>5246.0784313725489</v>
      </c>
      <c r="KJ88" s="5">
        <f t="shared" si="100"/>
        <v>5076.666666666667</v>
      </c>
      <c r="KK88" s="5">
        <f t="shared" si="100"/>
        <v>4973.5294117647063</v>
      </c>
      <c r="KL88" s="5">
        <f t="shared" si="100"/>
        <v>4877.2549019607841</v>
      </c>
      <c r="KM88" s="5">
        <f t="shared" si="100"/>
        <v>4826.666666666667</v>
      </c>
      <c r="KN88" s="5">
        <f t="shared" si="100"/>
        <v>4690.7843137254904</v>
      </c>
      <c r="KO88" s="5">
        <f t="shared" si="100"/>
        <v>4642.3529411764703</v>
      </c>
      <c r="KP88" s="5">
        <f t="shared" si="100"/>
        <v>4509.6078431372553</v>
      </c>
      <c r="KQ88" s="5">
        <f t="shared" si="100"/>
        <v>4366.8627450980393</v>
      </c>
      <c r="KR88" s="5">
        <f t="shared" si="100"/>
        <v>4283.333333333333</v>
      </c>
      <c r="KS88" s="5">
        <f t="shared" si="100"/>
        <v>4131.9607843137255</v>
      </c>
      <c r="KT88" s="5">
        <f t="shared" si="100"/>
        <v>4016.2745098039218</v>
      </c>
      <c r="KU88" s="5">
        <f t="shared" si="100"/>
        <v>3924.705882352941</v>
      </c>
      <c r="KV88" s="5">
        <f t="shared" si="100"/>
        <v>3849.0196078431372</v>
      </c>
      <c r="KW88" s="5">
        <f t="shared" si="100"/>
        <v>3754.705882352941</v>
      </c>
      <c r="KX88" s="5">
        <f t="shared" si="100"/>
        <v>3666.4705882352941</v>
      </c>
      <c r="KY88" s="5">
        <f t="shared" si="100"/>
        <v>3574.5098039215686</v>
      </c>
      <c r="KZ88" s="5">
        <f t="shared" si="100"/>
        <v>3481.5686274509803</v>
      </c>
      <c r="LA88" s="5">
        <f t="shared" si="100"/>
        <v>3403.1372549019607</v>
      </c>
      <c r="LB88" s="5">
        <f t="shared" si="100"/>
        <v>3338.2352941176468</v>
      </c>
      <c r="LC88" s="5">
        <f t="shared" si="100"/>
        <v>3288.8235294117649</v>
      </c>
      <c r="LD88" s="5">
        <f t="shared" si="100"/>
        <v>3237.2549019607845</v>
      </c>
      <c r="LE88" s="5">
        <f t="shared" si="100"/>
        <v>3172.9411764705883</v>
      </c>
      <c r="LF88" s="5">
        <f t="shared" si="100"/>
        <v>3103.7254901960782</v>
      </c>
      <c r="LG88" s="5">
        <f t="shared" si="100"/>
        <v>3026.4705882352941</v>
      </c>
      <c r="LH88" s="5">
        <f t="shared" si="100"/>
        <v>2957.0588235294117</v>
      </c>
      <c r="LI88" s="5">
        <f t="shared" si="100"/>
        <v>2895.0980392156862</v>
      </c>
      <c r="LJ88" s="5">
        <f t="shared" si="100"/>
        <v>2825.8823529411766</v>
      </c>
      <c r="LK88" s="5">
        <f t="shared" ref="LK88:NT88" si="101">AVERAGE(LK3:LK55)</f>
        <v>2779.2156862745096</v>
      </c>
      <c r="LL88" s="5">
        <f t="shared" si="101"/>
        <v>2729.8039215686276</v>
      </c>
      <c r="LM88" s="5">
        <f t="shared" si="101"/>
        <v>2692.3529411764707</v>
      </c>
      <c r="LN88" s="5">
        <f t="shared" si="101"/>
        <v>2667.0588235294117</v>
      </c>
      <c r="LO88" s="5">
        <f t="shared" si="101"/>
        <v>2647.0588235294117</v>
      </c>
      <c r="LP88" s="5">
        <f t="shared" si="101"/>
        <v>2597.0588235294117</v>
      </c>
      <c r="LQ88" s="5">
        <f t="shared" si="101"/>
        <v>2553.3333333333335</v>
      </c>
      <c r="LR88" s="5">
        <f t="shared" si="101"/>
        <v>2510.7843137254904</v>
      </c>
      <c r="LS88" s="5">
        <f t="shared" si="101"/>
        <v>2470.5882352941176</v>
      </c>
      <c r="LT88" s="5">
        <f t="shared" si="101"/>
        <v>2445.4901960784314</v>
      </c>
      <c r="LU88" s="5">
        <f t="shared" si="101"/>
        <v>2403.7254901960782</v>
      </c>
      <c r="LV88" s="5">
        <f t="shared" si="101"/>
        <v>2351.9607843137255</v>
      </c>
      <c r="LW88" s="5">
        <f t="shared" si="101"/>
        <v>2283.7254901960782</v>
      </c>
      <c r="LX88" s="5">
        <f t="shared" si="101"/>
        <v>2232.3529411764707</v>
      </c>
      <c r="LY88" s="5">
        <f t="shared" si="101"/>
        <v>2198.4313725490197</v>
      </c>
      <c r="LZ88" s="5">
        <f t="shared" si="101"/>
        <v>2178.627450980392</v>
      </c>
      <c r="MA88" s="5">
        <f t="shared" si="101"/>
        <v>2153.9215686274511</v>
      </c>
      <c r="MB88" s="5">
        <f t="shared" si="101"/>
        <v>2122.7450980392155</v>
      </c>
      <c r="MC88" s="5">
        <f t="shared" si="101"/>
        <v>2079.2156862745096</v>
      </c>
      <c r="MD88" s="5">
        <f t="shared" si="101"/>
        <v>2045.0980392156862</v>
      </c>
      <c r="ME88" s="5">
        <f t="shared" si="101"/>
        <v>2019.8039215686274</v>
      </c>
      <c r="MF88" s="5">
        <f t="shared" si="101"/>
        <v>1990.1960784313726</v>
      </c>
      <c r="MG88" s="5">
        <f t="shared" si="101"/>
        <v>1962.3529411764705</v>
      </c>
      <c r="MH88" s="5">
        <f t="shared" si="101"/>
        <v>1935.686274509804</v>
      </c>
      <c r="MI88" s="5">
        <f t="shared" si="101"/>
        <v>1913.7254901960785</v>
      </c>
      <c r="MJ88" s="5">
        <f t="shared" si="101"/>
        <v>1898.0392156862745</v>
      </c>
      <c r="MK88" s="5">
        <f t="shared" si="101"/>
        <v>1878.2352941176471</v>
      </c>
      <c r="ML88" s="5">
        <f t="shared" si="101"/>
        <v>1856.0784313725489</v>
      </c>
      <c r="MM88" s="5">
        <f t="shared" si="101"/>
        <v>1828.8235294117646</v>
      </c>
      <c r="MN88" s="5">
        <f t="shared" si="101"/>
        <v>1802.7450980392157</v>
      </c>
      <c r="MO88" s="5">
        <f t="shared" si="101"/>
        <v>1781.3725490196077</v>
      </c>
      <c r="MP88" s="5">
        <f t="shared" si="101"/>
        <v>1757.8431372549019</v>
      </c>
      <c r="MQ88" s="5">
        <f t="shared" si="101"/>
        <v>1736.8627450980391</v>
      </c>
      <c r="MR88" s="5">
        <f t="shared" si="101"/>
        <v>1716.6666666666667</v>
      </c>
      <c r="MS88" s="5">
        <f t="shared" si="101"/>
        <v>1708.2352941176471</v>
      </c>
      <c r="MT88" s="5">
        <f t="shared" si="101"/>
        <v>1687.4509803921569</v>
      </c>
      <c r="MU88" s="5">
        <f t="shared" si="101"/>
        <v>1661.5686274509803</v>
      </c>
      <c r="MV88" s="5">
        <f t="shared" si="101"/>
        <v>1638.2352941176471</v>
      </c>
      <c r="MW88" s="5">
        <f t="shared" si="101"/>
        <v>1622.3529411764705</v>
      </c>
      <c r="MX88" s="5">
        <f t="shared" si="101"/>
        <v>1629.4117647058824</v>
      </c>
      <c r="MY88" s="5">
        <f t="shared" si="101"/>
        <v>1616.2745098039215</v>
      </c>
      <c r="MZ88" s="5">
        <f t="shared" si="101"/>
        <v>1599.4117647058824</v>
      </c>
      <c r="NA88" s="5">
        <f t="shared" si="101"/>
        <v>1578.2549019607843</v>
      </c>
      <c r="NB88" s="5">
        <f t="shared" si="101"/>
        <v>1550.8235294117646</v>
      </c>
      <c r="NC88" s="5">
        <f t="shared" si="101"/>
        <v>1530.7450980392157</v>
      </c>
      <c r="ND88" s="5">
        <f t="shared" si="101"/>
        <v>1390.6470588235295</v>
      </c>
      <c r="NE88" s="5">
        <f t="shared" si="101"/>
        <v>1198.1372549019609</v>
      </c>
      <c r="NF88" s="5">
        <f t="shared" si="101"/>
        <v>1122.4509803921569</v>
      </c>
      <c r="NG88" s="5">
        <f t="shared" si="101"/>
        <v>1286.2941176470588</v>
      </c>
      <c r="NH88" s="5">
        <f t="shared" si="101"/>
        <v>1915.4313725490197</v>
      </c>
      <c r="NI88" s="5">
        <f t="shared" si="101"/>
        <v>4225.2941176470586</v>
      </c>
      <c r="NJ88" s="5">
        <f t="shared" si="101"/>
        <v>8375.0980392156871</v>
      </c>
      <c r="NK88" s="5">
        <f t="shared" si="101"/>
        <v>9194.9019607843129</v>
      </c>
      <c r="NL88" s="5">
        <f t="shared" si="101"/>
        <v>8871.176470588236</v>
      </c>
      <c r="NM88" s="5">
        <f t="shared" si="101"/>
        <v>5862.7450980392159</v>
      </c>
      <c r="NN88" s="5">
        <f t="shared" si="101"/>
        <v>2961.9607843137255</v>
      </c>
      <c r="NO88" s="5">
        <f t="shared" si="101"/>
        <v>1827.8431372549019</v>
      </c>
      <c r="NP88" s="5">
        <f t="shared" si="101"/>
        <v>4036.9999296941628</v>
      </c>
      <c r="NQ88" s="5">
        <f t="shared" si="101"/>
        <v>15822.745098039215</v>
      </c>
      <c r="NR88" s="5">
        <f t="shared" si="101"/>
        <v>42597.098039215685</v>
      </c>
      <c r="NS88" s="5">
        <f t="shared" si="101"/>
        <v>1049.3921568627452</v>
      </c>
      <c r="NT88" s="5">
        <f t="shared" si="101"/>
        <v>42461.921568627447</v>
      </c>
      <c r="NU88" s="5"/>
      <c r="NV88" s="5"/>
      <c r="NW88" s="5"/>
      <c r="NX88" s="5"/>
      <c r="NY88" s="5"/>
      <c r="NZ88" s="5"/>
      <c r="OA88" s="5"/>
      <c r="OB88" s="5"/>
      <c r="OC88" s="5"/>
      <c r="OD88" s="5"/>
      <c r="OE88" s="5"/>
    </row>
    <row r="89" spans="1:395" customFormat="1" x14ac:dyDescent="0.15">
      <c r="A89" s="9" t="s">
        <v>49</v>
      </c>
      <c r="B89" s="5">
        <f>AVERAGE(B56:B69)</f>
        <v>1602.8571428571429</v>
      </c>
      <c r="C89" s="5">
        <f t="shared" ref="C89:BN89" si="102">AVERAGE(C56:C69)</f>
        <v>1680.7142857142858</v>
      </c>
      <c r="D89" s="5">
        <f t="shared" si="102"/>
        <v>1766.4285714285713</v>
      </c>
      <c r="E89" s="5">
        <f t="shared" si="102"/>
        <v>1784.2857142857142</v>
      </c>
      <c r="F89" s="5">
        <f t="shared" si="102"/>
        <v>1821.4285714285713</v>
      </c>
      <c r="G89" s="5">
        <f t="shared" si="102"/>
        <v>1869.2857142857142</v>
      </c>
      <c r="H89" s="5">
        <f t="shared" si="102"/>
        <v>1867.8571428571429</v>
      </c>
      <c r="I89" s="5">
        <f t="shared" si="102"/>
        <v>1879.2857142857142</v>
      </c>
      <c r="J89" s="5">
        <f t="shared" si="102"/>
        <v>1856.4285714285713</v>
      </c>
      <c r="K89" s="5">
        <f t="shared" si="102"/>
        <v>1841.4285714285713</v>
      </c>
      <c r="L89" s="5">
        <f t="shared" si="102"/>
        <v>1810.7142857142858</v>
      </c>
      <c r="M89" s="5">
        <f t="shared" si="102"/>
        <v>1822.1428571428571</v>
      </c>
      <c r="N89" s="5">
        <f t="shared" si="102"/>
        <v>1841.4285714285713</v>
      </c>
      <c r="O89" s="5">
        <f t="shared" si="102"/>
        <v>1784.2857142857142</v>
      </c>
      <c r="P89" s="5">
        <f t="shared" si="102"/>
        <v>1751.4285714285713</v>
      </c>
      <c r="Q89" s="5">
        <f t="shared" si="102"/>
        <v>1720.7142857142858</v>
      </c>
      <c r="R89" s="5">
        <f t="shared" si="102"/>
        <v>1653.5714285714287</v>
      </c>
      <c r="S89" s="5">
        <f t="shared" si="102"/>
        <v>1672.8571428571429</v>
      </c>
      <c r="T89" s="5">
        <f t="shared" si="102"/>
        <v>1680</v>
      </c>
      <c r="U89" s="5">
        <f t="shared" si="102"/>
        <v>1702.8571428571429</v>
      </c>
      <c r="V89" s="5">
        <f t="shared" si="102"/>
        <v>1687.8571428571429</v>
      </c>
      <c r="W89" s="5">
        <f t="shared" si="102"/>
        <v>1656.4285714285713</v>
      </c>
      <c r="X89" s="5">
        <f t="shared" si="102"/>
        <v>1661.4285714285713</v>
      </c>
      <c r="Y89" s="5">
        <f t="shared" si="102"/>
        <v>1699.2857142857142</v>
      </c>
      <c r="Z89" s="5">
        <f t="shared" si="102"/>
        <v>1709.2857142857142</v>
      </c>
      <c r="AA89" s="5">
        <f t="shared" si="102"/>
        <v>1705.7142857142858</v>
      </c>
      <c r="AB89" s="5">
        <f t="shared" si="102"/>
        <v>1732.1428571428571</v>
      </c>
      <c r="AC89" s="5">
        <f t="shared" si="102"/>
        <v>1672.8571428571429</v>
      </c>
      <c r="AD89" s="5">
        <f t="shared" si="102"/>
        <v>1630.7142857142858</v>
      </c>
      <c r="AE89" s="5">
        <f t="shared" si="102"/>
        <v>1617.8571428571429</v>
      </c>
      <c r="AF89" s="5">
        <f t="shared" si="102"/>
        <v>1610.7142857142858</v>
      </c>
      <c r="AG89" s="5">
        <f t="shared" si="102"/>
        <v>1632.1428571428571</v>
      </c>
      <c r="AH89" s="5">
        <f t="shared" si="102"/>
        <v>1630</v>
      </c>
      <c r="AI89" s="5">
        <f t="shared" si="102"/>
        <v>1627.0714285714287</v>
      </c>
      <c r="AJ89" s="5">
        <f t="shared" si="102"/>
        <v>1609.5714285714287</v>
      </c>
      <c r="AK89" s="5">
        <f t="shared" si="102"/>
        <v>1566.4285714285713</v>
      </c>
      <c r="AL89" s="5">
        <f t="shared" si="102"/>
        <v>1575.3571428571429</v>
      </c>
      <c r="AM89" s="5">
        <f t="shared" si="102"/>
        <v>1595.7142857142858</v>
      </c>
      <c r="AN89" s="5">
        <f t="shared" si="102"/>
        <v>1582.5</v>
      </c>
      <c r="AO89" s="5">
        <f t="shared" si="102"/>
        <v>1520.1428571428571</v>
      </c>
      <c r="AP89" s="5">
        <f t="shared" si="102"/>
        <v>1513</v>
      </c>
      <c r="AQ89" s="5">
        <f t="shared" si="102"/>
        <v>1547.2142857142858</v>
      </c>
      <c r="AR89" s="5">
        <f t="shared" si="102"/>
        <v>1533.3571428571429</v>
      </c>
      <c r="AS89" s="5">
        <f t="shared" si="102"/>
        <v>1530.9285714285713</v>
      </c>
      <c r="AT89" s="5">
        <f t="shared" si="102"/>
        <v>1522.2142857142858</v>
      </c>
      <c r="AU89" s="5">
        <f t="shared" si="102"/>
        <v>1539.2142857142858</v>
      </c>
      <c r="AV89" s="5">
        <f t="shared" si="102"/>
        <v>1561.5</v>
      </c>
      <c r="AW89" s="5">
        <f t="shared" si="102"/>
        <v>1559.5</v>
      </c>
      <c r="AX89" s="5">
        <f t="shared" si="102"/>
        <v>1521.5</v>
      </c>
      <c r="AY89" s="5">
        <f t="shared" si="102"/>
        <v>1507.8571428571429</v>
      </c>
      <c r="AZ89" s="5">
        <f t="shared" si="102"/>
        <v>1486.9285714285713</v>
      </c>
      <c r="BA89" s="5">
        <f t="shared" si="102"/>
        <v>1463.0714285714287</v>
      </c>
      <c r="BB89" s="5">
        <f t="shared" si="102"/>
        <v>1447.2857142857142</v>
      </c>
      <c r="BC89" s="5">
        <f t="shared" si="102"/>
        <v>1393.8571428571429</v>
      </c>
      <c r="BD89" s="5">
        <f t="shared" si="102"/>
        <v>1398.8571428571429</v>
      </c>
      <c r="BE89" s="5">
        <f t="shared" si="102"/>
        <v>1418.5714285714287</v>
      </c>
      <c r="BF89" s="5">
        <f t="shared" si="102"/>
        <v>1429.3571428571429</v>
      </c>
      <c r="BG89" s="5">
        <f t="shared" si="102"/>
        <v>1469.6428571428571</v>
      </c>
      <c r="BH89" s="5">
        <f t="shared" si="102"/>
        <v>1508.6428571428571</v>
      </c>
      <c r="BI89" s="5">
        <f t="shared" si="102"/>
        <v>1522.5</v>
      </c>
      <c r="BJ89" s="5">
        <f t="shared" si="102"/>
        <v>1532.1428571428571</v>
      </c>
      <c r="BK89" s="5">
        <f t="shared" si="102"/>
        <v>1519.2857142857142</v>
      </c>
      <c r="BL89" s="5">
        <f t="shared" si="102"/>
        <v>1513.5714285714287</v>
      </c>
      <c r="BM89" s="5">
        <f t="shared" si="102"/>
        <v>1507.8571428571429</v>
      </c>
      <c r="BN89" s="5">
        <f t="shared" si="102"/>
        <v>1536.4285714285713</v>
      </c>
      <c r="BO89" s="5">
        <f t="shared" ref="BO89:DZ89" si="103">AVERAGE(BO56:BO69)</f>
        <v>1533.5714285714287</v>
      </c>
      <c r="BP89" s="5">
        <f t="shared" si="103"/>
        <v>1525</v>
      </c>
      <c r="BQ89" s="5">
        <f t="shared" si="103"/>
        <v>1522.7142857142858</v>
      </c>
      <c r="BR89" s="5">
        <f t="shared" si="103"/>
        <v>1542.1428571428571</v>
      </c>
      <c r="BS89" s="5">
        <f t="shared" si="103"/>
        <v>1547.1428571428571</v>
      </c>
      <c r="BT89" s="5">
        <f t="shared" si="103"/>
        <v>1580</v>
      </c>
      <c r="BU89" s="5">
        <f t="shared" si="103"/>
        <v>1566.5</v>
      </c>
      <c r="BV89" s="5">
        <f t="shared" si="103"/>
        <v>1559.4285714285713</v>
      </c>
      <c r="BW89" s="5">
        <f t="shared" si="103"/>
        <v>1520.1428571428571</v>
      </c>
      <c r="BX89" s="5">
        <f t="shared" si="103"/>
        <v>1522.6428571428571</v>
      </c>
      <c r="BY89" s="5">
        <f t="shared" si="103"/>
        <v>1537.4285714285713</v>
      </c>
      <c r="BZ89" s="5">
        <f t="shared" si="103"/>
        <v>1545.3571428571429</v>
      </c>
      <c r="CA89" s="5">
        <f t="shared" si="103"/>
        <v>1530.2857142857142</v>
      </c>
      <c r="CB89" s="5">
        <f t="shared" si="103"/>
        <v>1498.8571428571429</v>
      </c>
      <c r="CC89" s="5">
        <f t="shared" si="103"/>
        <v>1526.6428571428571</v>
      </c>
      <c r="CD89" s="5">
        <f t="shared" si="103"/>
        <v>1525.2142857142858</v>
      </c>
      <c r="CE89" s="5">
        <f t="shared" si="103"/>
        <v>1504.6428571428571</v>
      </c>
      <c r="CF89" s="5">
        <f t="shared" si="103"/>
        <v>1534.2142857142858</v>
      </c>
      <c r="CG89" s="5">
        <f t="shared" si="103"/>
        <v>1519.2142857142858</v>
      </c>
      <c r="CH89" s="5">
        <f t="shared" si="103"/>
        <v>1505.1428571428571</v>
      </c>
      <c r="CI89" s="5">
        <f t="shared" si="103"/>
        <v>1565.8571428571429</v>
      </c>
      <c r="CJ89" s="5">
        <f t="shared" si="103"/>
        <v>1531.5714285714287</v>
      </c>
      <c r="CK89" s="5">
        <f t="shared" si="103"/>
        <v>1525.8571428571429</v>
      </c>
      <c r="CL89" s="5">
        <f t="shared" si="103"/>
        <v>1520</v>
      </c>
      <c r="CM89" s="5">
        <f t="shared" si="103"/>
        <v>1492.0714285714287</v>
      </c>
      <c r="CN89" s="5">
        <f t="shared" si="103"/>
        <v>1498.8571428571429</v>
      </c>
      <c r="CO89" s="5">
        <f t="shared" si="103"/>
        <v>1497</v>
      </c>
      <c r="CP89" s="5">
        <f t="shared" si="103"/>
        <v>1517</v>
      </c>
      <c r="CQ89" s="5">
        <f t="shared" si="103"/>
        <v>1468.7857142857142</v>
      </c>
      <c r="CR89" s="5">
        <f t="shared" si="103"/>
        <v>1491.1428571428571</v>
      </c>
      <c r="CS89" s="5">
        <f t="shared" si="103"/>
        <v>1480.6428571428571</v>
      </c>
      <c r="CT89" s="5">
        <f t="shared" si="103"/>
        <v>1461.7142857142858</v>
      </c>
      <c r="CU89" s="5">
        <f t="shared" si="103"/>
        <v>1462.2857142857142</v>
      </c>
      <c r="CV89" s="5">
        <f t="shared" si="103"/>
        <v>1455</v>
      </c>
      <c r="CW89" s="5">
        <f t="shared" si="103"/>
        <v>1541.5714285714287</v>
      </c>
      <c r="CX89" s="5">
        <f t="shared" si="103"/>
        <v>1560.7857142857142</v>
      </c>
      <c r="CY89" s="5">
        <f t="shared" si="103"/>
        <v>1545.7142857142858</v>
      </c>
      <c r="CZ89" s="5">
        <f t="shared" si="103"/>
        <v>1503.5714285714287</v>
      </c>
      <c r="DA89" s="5">
        <f t="shared" si="103"/>
        <v>1450</v>
      </c>
      <c r="DB89" s="5">
        <f t="shared" si="103"/>
        <v>1444.2857142857142</v>
      </c>
      <c r="DC89" s="5">
        <f t="shared" si="103"/>
        <v>1437.8571428571429</v>
      </c>
      <c r="DD89" s="5">
        <f t="shared" si="103"/>
        <v>1425.7142857142858</v>
      </c>
      <c r="DE89" s="5">
        <f t="shared" si="103"/>
        <v>1441.4285714285713</v>
      </c>
      <c r="DF89" s="5">
        <f t="shared" si="103"/>
        <v>1474.2857142857142</v>
      </c>
      <c r="DG89" s="5">
        <f t="shared" si="103"/>
        <v>1472.8571428571429</v>
      </c>
      <c r="DH89" s="5">
        <f t="shared" si="103"/>
        <v>1463.5714285714287</v>
      </c>
      <c r="DI89" s="5">
        <f t="shared" si="103"/>
        <v>1464.2857142857142</v>
      </c>
      <c r="DJ89" s="5">
        <f t="shared" si="103"/>
        <v>1482.0714285714287</v>
      </c>
      <c r="DK89" s="5">
        <f t="shared" si="103"/>
        <v>1484.0714285714287</v>
      </c>
      <c r="DL89" s="5">
        <f t="shared" si="103"/>
        <v>1474.2857142857142</v>
      </c>
      <c r="DM89" s="5">
        <f t="shared" si="103"/>
        <v>1492.1428571428571</v>
      </c>
      <c r="DN89" s="5">
        <f t="shared" si="103"/>
        <v>1568.5714285714287</v>
      </c>
      <c r="DO89" s="5">
        <f t="shared" si="103"/>
        <v>1707.8571428571429</v>
      </c>
      <c r="DP89" s="5">
        <f t="shared" si="103"/>
        <v>1857.8571428571429</v>
      </c>
      <c r="DQ89" s="5">
        <f t="shared" si="103"/>
        <v>1891.4285714285713</v>
      </c>
      <c r="DR89" s="5">
        <f t="shared" si="103"/>
        <v>1883.5714285714287</v>
      </c>
      <c r="DS89" s="5">
        <f t="shared" si="103"/>
        <v>1870</v>
      </c>
      <c r="DT89" s="5">
        <f t="shared" si="103"/>
        <v>1784.2857142857142</v>
      </c>
      <c r="DU89" s="5">
        <f t="shared" si="103"/>
        <v>1700</v>
      </c>
      <c r="DV89" s="5">
        <f t="shared" si="103"/>
        <v>1706.2857142857142</v>
      </c>
      <c r="DW89" s="5">
        <f t="shared" si="103"/>
        <v>1673.5714285714287</v>
      </c>
      <c r="DX89" s="5">
        <f t="shared" si="103"/>
        <v>1732.1428571428571</v>
      </c>
      <c r="DY89" s="5">
        <f t="shared" si="103"/>
        <v>1775.7142857142858</v>
      </c>
      <c r="DZ89" s="5">
        <f t="shared" si="103"/>
        <v>1857.8571428571429</v>
      </c>
      <c r="EA89" s="5">
        <f t="shared" ref="EA89:GL89" si="104">AVERAGE(EA56:EA69)</f>
        <v>1917.1428571428571</v>
      </c>
      <c r="EB89" s="5">
        <f t="shared" si="104"/>
        <v>1939.2857142857142</v>
      </c>
      <c r="EC89" s="5">
        <f t="shared" si="104"/>
        <v>1865.7142857142858</v>
      </c>
      <c r="ED89" s="5">
        <f t="shared" si="104"/>
        <v>1779.2857142857142</v>
      </c>
      <c r="EE89" s="5">
        <f t="shared" si="104"/>
        <v>1803.5714285714287</v>
      </c>
      <c r="EF89" s="5">
        <f t="shared" si="104"/>
        <v>1871.4285714285713</v>
      </c>
      <c r="EG89" s="5">
        <f t="shared" si="104"/>
        <v>1918.5714285714287</v>
      </c>
      <c r="EH89" s="5">
        <f t="shared" si="104"/>
        <v>1974.2857142857142</v>
      </c>
      <c r="EI89" s="5">
        <f t="shared" si="104"/>
        <v>2055.5714285714284</v>
      </c>
      <c r="EJ89" s="5">
        <f t="shared" si="104"/>
        <v>2178.0714285714284</v>
      </c>
      <c r="EK89" s="5">
        <f t="shared" si="104"/>
        <v>2180.7142857142858</v>
      </c>
      <c r="EL89" s="5">
        <f t="shared" si="104"/>
        <v>2213.5714285714284</v>
      </c>
      <c r="EM89" s="5">
        <f t="shared" si="104"/>
        <v>2219.2857142857142</v>
      </c>
      <c r="EN89" s="5">
        <f t="shared" si="104"/>
        <v>2229.2857142857142</v>
      </c>
      <c r="EO89" s="5">
        <f t="shared" si="104"/>
        <v>2312.1428571428573</v>
      </c>
      <c r="EP89" s="5">
        <f t="shared" si="104"/>
        <v>2345</v>
      </c>
      <c r="EQ89" s="5">
        <f t="shared" si="104"/>
        <v>2331.4285714285716</v>
      </c>
      <c r="ER89" s="5">
        <f t="shared" si="104"/>
        <v>2260.7142857142858</v>
      </c>
      <c r="ES89" s="5">
        <f t="shared" si="104"/>
        <v>2265</v>
      </c>
      <c r="ET89" s="5">
        <f t="shared" si="104"/>
        <v>2433.5714285714284</v>
      </c>
      <c r="EU89" s="5">
        <f t="shared" si="104"/>
        <v>2445.7142857142858</v>
      </c>
      <c r="EV89" s="5">
        <f t="shared" si="104"/>
        <v>2451.4285714285716</v>
      </c>
      <c r="EW89" s="5">
        <f t="shared" si="104"/>
        <v>2467.8571428571427</v>
      </c>
      <c r="EX89" s="5">
        <f t="shared" si="104"/>
        <v>2557.1428571428573</v>
      </c>
      <c r="EY89" s="5">
        <f t="shared" si="104"/>
        <v>2715.7142857142858</v>
      </c>
      <c r="EZ89" s="5">
        <f t="shared" si="104"/>
        <v>2860</v>
      </c>
      <c r="FA89" s="5">
        <f t="shared" si="104"/>
        <v>2819.2857142857142</v>
      </c>
      <c r="FB89" s="5">
        <f t="shared" si="104"/>
        <v>2826.4285714285716</v>
      </c>
      <c r="FC89" s="5">
        <f t="shared" si="104"/>
        <v>2925.7142857142858</v>
      </c>
      <c r="FD89" s="5">
        <f t="shared" si="104"/>
        <v>3013.5714285714284</v>
      </c>
      <c r="FE89" s="5">
        <f t="shared" si="104"/>
        <v>2937.1428571428573</v>
      </c>
      <c r="FF89" s="5">
        <f t="shared" si="104"/>
        <v>3010.7142857142858</v>
      </c>
      <c r="FG89" s="5">
        <f t="shared" si="104"/>
        <v>3043.5714285714284</v>
      </c>
      <c r="FH89" s="5">
        <f t="shared" si="104"/>
        <v>3143.5714285714284</v>
      </c>
      <c r="FI89" s="5">
        <f t="shared" si="104"/>
        <v>3187.1428571428573</v>
      </c>
      <c r="FJ89" s="5">
        <f t="shared" si="104"/>
        <v>3245</v>
      </c>
      <c r="FK89" s="5">
        <f t="shared" si="104"/>
        <v>3312.1428571428573</v>
      </c>
      <c r="FL89" s="5">
        <f t="shared" si="104"/>
        <v>3535</v>
      </c>
      <c r="FM89" s="5">
        <f t="shared" si="104"/>
        <v>3620.7142857142858</v>
      </c>
      <c r="FN89" s="5">
        <f t="shared" si="104"/>
        <v>3793.5714285714284</v>
      </c>
      <c r="FO89" s="5">
        <f t="shared" si="104"/>
        <v>3980.7142857142858</v>
      </c>
      <c r="FP89" s="5">
        <f t="shared" si="104"/>
        <v>4170</v>
      </c>
      <c r="FQ89" s="5">
        <f t="shared" si="104"/>
        <v>4250</v>
      </c>
      <c r="FR89" s="5">
        <f t="shared" si="104"/>
        <v>4143.5714285714284</v>
      </c>
      <c r="FS89" s="5">
        <f t="shared" si="104"/>
        <v>4171.4285714285716</v>
      </c>
      <c r="FT89" s="5">
        <f t="shared" si="104"/>
        <v>4337.1428571428569</v>
      </c>
      <c r="FU89" s="5">
        <f t="shared" si="104"/>
        <v>4545.7142857142853</v>
      </c>
      <c r="FV89" s="5">
        <f t="shared" si="104"/>
        <v>4861.4285714285716</v>
      </c>
      <c r="FW89" s="5">
        <f t="shared" si="104"/>
        <v>5146.4285714285716</v>
      </c>
      <c r="FX89" s="5">
        <f t="shared" si="104"/>
        <v>5172.8571428571431</v>
      </c>
      <c r="FY89" s="5">
        <f t="shared" si="104"/>
        <v>5486.4285714285716</v>
      </c>
      <c r="FZ89" s="5">
        <f t="shared" si="104"/>
        <v>5964.2857142857147</v>
      </c>
      <c r="GA89" s="5">
        <f t="shared" si="104"/>
        <v>6095</v>
      </c>
      <c r="GB89" s="5">
        <f t="shared" si="104"/>
        <v>6252.8571428571431</v>
      </c>
      <c r="GC89" s="5">
        <f t="shared" si="104"/>
        <v>6108.5714285714284</v>
      </c>
      <c r="GD89" s="5">
        <f t="shared" si="104"/>
        <v>5999.2857142857147</v>
      </c>
      <c r="GE89" s="5">
        <f t="shared" si="104"/>
        <v>5883.5714285714284</v>
      </c>
      <c r="GF89" s="5">
        <f t="shared" si="104"/>
        <v>6160</v>
      </c>
      <c r="GG89" s="5">
        <f t="shared" si="104"/>
        <v>6669.2857142857147</v>
      </c>
      <c r="GH89" s="5">
        <f t="shared" si="104"/>
        <v>6601.4285714285716</v>
      </c>
      <c r="GI89" s="5">
        <f t="shared" si="104"/>
        <v>6977.8571428571431</v>
      </c>
      <c r="GJ89" s="5">
        <f t="shared" si="104"/>
        <v>7334.2857142857147</v>
      </c>
      <c r="GK89" s="5">
        <f t="shared" si="104"/>
        <v>7408.5714285714284</v>
      </c>
      <c r="GL89" s="5">
        <f t="shared" si="104"/>
        <v>7392.1428571428569</v>
      </c>
      <c r="GM89" s="5">
        <f t="shared" ref="GM89:IX89" si="105">AVERAGE(GM56:GM69)</f>
        <v>7621.4285714285716</v>
      </c>
      <c r="GN89" s="5">
        <f t="shared" si="105"/>
        <v>7829.2857142857147</v>
      </c>
      <c r="GO89" s="5">
        <f t="shared" si="105"/>
        <v>8077.1428571428569</v>
      </c>
      <c r="GP89" s="5">
        <f t="shared" si="105"/>
        <v>8058.5714285714284</v>
      </c>
      <c r="GQ89" s="5">
        <f t="shared" si="105"/>
        <v>8487.1428571428569</v>
      </c>
      <c r="GR89" s="5">
        <f t="shared" si="105"/>
        <v>8711.4285714285706</v>
      </c>
      <c r="GS89" s="5">
        <f t="shared" si="105"/>
        <v>8877.1428571428569</v>
      </c>
      <c r="GT89" s="5">
        <f t="shared" si="105"/>
        <v>8897.8571428571431</v>
      </c>
      <c r="GU89" s="5">
        <f t="shared" si="105"/>
        <v>8855</v>
      </c>
      <c r="GV89" s="5">
        <f t="shared" si="105"/>
        <v>8726.4285714285706</v>
      </c>
      <c r="GW89" s="5">
        <f t="shared" si="105"/>
        <v>8578.5714285714294</v>
      </c>
      <c r="GX89" s="5">
        <f t="shared" si="105"/>
        <v>8588.5714285714294</v>
      </c>
      <c r="GY89" s="5">
        <f t="shared" si="105"/>
        <v>8760.7142857142862</v>
      </c>
      <c r="GZ89" s="5">
        <f t="shared" si="105"/>
        <v>8740</v>
      </c>
      <c r="HA89" s="5">
        <f t="shared" si="105"/>
        <v>8649.2857142857138</v>
      </c>
      <c r="HB89" s="5">
        <f t="shared" si="105"/>
        <v>8650.7142857142862</v>
      </c>
      <c r="HC89" s="5">
        <f t="shared" si="105"/>
        <v>8677.1428571428569</v>
      </c>
      <c r="HD89" s="5">
        <f t="shared" si="105"/>
        <v>8550.7142857142862</v>
      </c>
      <c r="HE89" s="5">
        <f t="shared" si="105"/>
        <v>8064.2857142857147</v>
      </c>
      <c r="HF89" s="5">
        <f t="shared" si="105"/>
        <v>7862.8571428571431</v>
      </c>
      <c r="HG89" s="5">
        <f t="shared" si="105"/>
        <v>7809.2857142857147</v>
      </c>
      <c r="HH89" s="5">
        <f t="shared" si="105"/>
        <v>7712.8571428571431</v>
      </c>
      <c r="HI89" s="5">
        <f t="shared" si="105"/>
        <v>7680</v>
      </c>
      <c r="HJ89" s="5">
        <f t="shared" si="105"/>
        <v>7490.7142857142853</v>
      </c>
      <c r="HK89" s="5">
        <f t="shared" si="105"/>
        <v>7656.4285714285716</v>
      </c>
      <c r="HL89" s="5">
        <f t="shared" si="105"/>
        <v>7685.7142857142853</v>
      </c>
      <c r="HM89" s="5">
        <f t="shared" si="105"/>
        <v>7775</v>
      </c>
      <c r="HN89" s="5">
        <f t="shared" si="105"/>
        <v>7815</v>
      </c>
      <c r="HO89" s="5">
        <f t="shared" si="105"/>
        <v>7715.7142857142853</v>
      </c>
      <c r="HP89" s="5">
        <f t="shared" si="105"/>
        <v>7654.2857142857147</v>
      </c>
      <c r="HQ89" s="5">
        <f t="shared" si="105"/>
        <v>7630</v>
      </c>
      <c r="HR89" s="5">
        <f t="shared" si="105"/>
        <v>7771.4285714285716</v>
      </c>
      <c r="HS89" s="5">
        <f t="shared" si="105"/>
        <v>8140</v>
      </c>
      <c r="HT89" s="5">
        <f t="shared" si="105"/>
        <v>8157.8571428571431</v>
      </c>
      <c r="HU89" s="5">
        <f t="shared" si="105"/>
        <v>8135</v>
      </c>
      <c r="HV89" s="5">
        <f t="shared" si="105"/>
        <v>7985</v>
      </c>
      <c r="HW89" s="5">
        <f t="shared" si="105"/>
        <v>7906.4285714285716</v>
      </c>
      <c r="HX89" s="5">
        <f t="shared" si="105"/>
        <v>7727.1428571428569</v>
      </c>
      <c r="HY89" s="5">
        <f t="shared" si="105"/>
        <v>7808.5714285714284</v>
      </c>
      <c r="HZ89" s="5">
        <f t="shared" si="105"/>
        <v>7760.7142857142853</v>
      </c>
      <c r="IA89" s="5">
        <f t="shared" si="105"/>
        <v>7707.1428571428569</v>
      </c>
      <c r="IB89" s="5">
        <f t="shared" si="105"/>
        <v>7527.8571428571431</v>
      </c>
      <c r="IC89" s="5">
        <f t="shared" si="105"/>
        <v>7620.7142857142853</v>
      </c>
      <c r="ID89" s="5">
        <f t="shared" si="105"/>
        <v>7705.7142857142853</v>
      </c>
      <c r="IE89" s="5">
        <f t="shared" si="105"/>
        <v>7890</v>
      </c>
      <c r="IF89" s="5">
        <f t="shared" si="105"/>
        <v>8155</v>
      </c>
      <c r="IG89" s="5">
        <f t="shared" si="105"/>
        <v>8420</v>
      </c>
      <c r="IH89" s="5">
        <f t="shared" si="105"/>
        <v>8670</v>
      </c>
      <c r="II89" s="5">
        <f t="shared" si="105"/>
        <v>9028.5714285714294</v>
      </c>
      <c r="IJ89" s="5">
        <f t="shared" si="105"/>
        <v>8920.7142857142862</v>
      </c>
      <c r="IK89" s="5">
        <f t="shared" si="105"/>
        <v>8930</v>
      </c>
      <c r="IL89" s="5">
        <f t="shared" si="105"/>
        <v>9124.2857142857138</v>
      </c>
      <c r="IM89" s="5">
        <f t="shared" si="105"/>
        <v>9010</v>
      </c>
      <c r="IN89" s="5">
        <f t="shared" si="105"/>
        <v>9016.4285714285706</v>
      </c>
      <c r="IO89" s="5">
        <f t="shared" si="105"/>
        <v>9314.2857142857138</v>
      </c>
      <c r="IP89" s="5">
        <f t="shared" si="105"/>
        <v>9179.2857142857138</v>
      </c>
      <c r="IQ89" s="5">
        <f t="shared" si="105"/>
        <v>9190.7142857142862</v>
      </c>
      <c r="IR89" s="5">
        <f t="shared" si="105"/>
        <v>9365</v>
      </c>
      <c r="IS89" s="5">
        <f t="shared" si="105"/>
        <v>9562.8571428571431</v>
      </c>
      <c r="IT89" s="5">
        <f t="shared" si="105"/>
        <v>9445</v>
      </c>
      <c r="IU89" s="5">
        <f t="shared" si="105"/>
        <v>9098.5714285714294</v>
      </c>
      <c r="IV89" s="5">
        <f t="shared" si="105"/>
        <v>9071.4285714285706</v>
      </c>
      <c r="IW89" s="5">
        <f t="shared" si="105"/>
        <v>8985</v>
      </c>
      <c r="IX89" s="5">
        <f t="shared" si="105"/>
        <v>8927.8571428571431</v>
      </c>
      <c r="IY89" s="5">
        <f t="shared" ref="IY89:LJ89" si="106">AVERAGE(IY56:IY69)</f>
        <v>9007.1428571428569</v>
      </c>
      <c r="IZ89" s="5">
        <f t="shared" si="106"/>
        <v>9135</v>
      </c>
      <c r="JA89" s="5">
        <f t="shared" si="106"/>
        <v>8950</v>
      </c>
      <c r="JB89" s="5">
        <f t="shared" si="106"/>
        <v>8986.4285714285706</v>
      </c>
      <c r="JC89" s="5">
        <f t="shared" si="106"/>
        <v>8786.4285714285706</v>
      </c>
      <c r="JD89" s="5">
        <f t="shared" si="106"/>
        <v>8490.7142857142862</v>
      </c>
      <c r="JE89" s="5">
        <f t="shared" si="106"/>
        <v>8351.4285714285706</v>
      </c>
      <c r="JF89" s="5">
        <f t="shared" si="106"/>
        <v>8090.7142857142853</v>
      </c>
      <c r="JG89" s="5">
        <f t="shared" si="106"/>
        <v>8030.7142857142853</v>
      </c>
      <c r="JH89" s="5">
        <f t="shared" si="106"/>
        <v>7972.8571428571431</v>
      </c>
      <c r="JI89" s="5">
        <f t="shared" si="106"/>
        <v>7712.1428571428569</v>
      </c>
      <c r="JJ89" s="5">
        <f t="shared" si="106"/>
        <v>7605.7142857142853</v>
      </c>
      <c r="JK89" s="5">
        <f t="shared" si="106"/>
        <v>7405.7142857142853</v>
      </c>
      <c r="JL89" s="5">
        <f t="shared" si="106"/>
        <v>7158.5714285714284</v>
      </c>
      <c r="JM89" s="5">
        <f t="shared" si="106"/>
        <v>6893.5714285714284</v>
      </c>
      <c r="JN89" s="5">
        <f t="shared" si="106"/>
        <v>7067.8571428571431</v>
      </c>
      <c r="JO89" s="5">
        <f t="shared" si="106"/>
        <v>7064.2857142857147</v>
      </c>
      <c r="JP89" s="5">
        <f t="shared" si="106"/>
        <v>6698.5714285714284</v>
      </c>
      <c r="JQ89" s="5">
        <f t="shared" si="106"/>
        <v>6448.5714285714284</v>
      </c>
      <c r="JR89" s="5">
        <f t="shared" si="106"/>
        <v>6491.4285714285716</v>
      </c>
      <c r="JS89" s="5">
        <f t="shared" si="106"/>
        <v>6375</v>
      </c>
      <c r="JT89" s="5">
        <f t="shared" si="106"/>
        <v>6477.8571428571431</v>
      </c>
      <c r="JU89" s="5">
        <f t="shared" si="106"/>
        <v>6275</v>
      </c>
      <c r="JV89" s="5">
        <f t="shared" si="106"/>
        <v>6208.5714285714284</v>
      </c>
      <c r="JW89" s="5">
        <f t="shared" si="106"/>
        <v>6350.7142857142853</v>
      </c>
      <c r="JX89" s="5">
        <f t="shared" si="106"/>
        <v>6311.4285714285716</v>
      </c>
      <c r="JY89" s="5">
        <f t="shared" si="106"/>
        <v>6079.2857142857147</v>
      </c>
      <c r="JZ89" s="5">
        <f t="shared" si="106"/>
        <v>5967.8571428571431</v>
      </c>
      <c r="KA89" s="5">
        <f t="shared" si="106"/>
        <v>5783.5714285714284</v>
      </c>
      <c r="KB89" s="5">
        <f t="shared" si="106"/>
        <v>5663.5714285714284</v>
      </c>
      <c r="KC89" s="5">
        <f t="shared" si="106"/>
        <v>5476.4285714285716</v>
      </c>
      <c r="KD89" s="5">
        <f t="shared" si="106"/>
        <v>5257.8571428571431</v>
      </c>
      <c r="KE89" s="5">
        <f t="shared" si="106"/>
        <v>5185.7142857142853</v>
      </c>
      <c r="KF89" s="5">
        <f t="shared" si="106"/>
        <v>5110</v>
      </c>
      <c r="KG89" s="5">
        <f t="shared" si="106"/>
        <v>5043.5714285714284</v>
      </c>
      <c r="KH89" s="5">
        <f t="shared" si="106"/>
        <v>4975.7142857142853</v>
      </c>
      <c r="KI89" s="5">
        <f t="shared" si="106"/>
        <v>4956.4285714285716</v>
      </c>
      <c r="KJ89" s="5">
        <f t="shared" si="106"/>
        <v>4867.8571428571431</v>
      </c>
      <c r="KK89" s="5">
        <f t="shared" si="106"/>
        <v>4672.8571428571431</v>
      </c>
      <c r="KL89" s="5">
        <f t="shared" si="106"/>
        <v>4507.1428571428569</v>
      </c>
      <c r="KM89" s="5">
        <f t="shared" si="106"/>
        <v>4397.8571428571431</v>
      </c>
      <c r="KN89" s="5">
        <f t="shared" si="106"/>
        <v>4334.2857142857147</v>
      </c>
      <c r="KO89" s="5">
        <f t="shared" si="106"/>
        <v>4245.7142857142853</v>
      </c>
      <c r="KP89" s="5">
        <f t="shared" si="106"/>
        <v>4040.7142857142858</v>
      </c>
      <c r="KQ89" s="5">
        <f t="shared" si="106"/>
        <v>3905</v>
      </c>
      <c r="KR89" s="5">
        <f t="shared" si="106"/>
        <v>3815.7142857142858</v>
      </c>
      <c r="KS89" s="5">
        <f t="shared" si="106"/>
        <v>3717.1428571428573</v>
      </c>
      <c r="KT89" s="5">
        <f t="shared" si="106"/>
        <v>3740</v>
      </c>
      <c r="KU89" s="5">
        <f t="shared" si="106"/>
        <v>3732.1428571428573</v>
      </c>
      <c r="KV89" s="5">
        <f t="shared" si="106"/>
        <v>3558.5714285714284</v>
      </c>
      <c r="KW89" s="5">
        <f t="shared" si="106"/>
        <v>3525</v>
      </c>
      <c r="KX89" s="5">
        <f t="shared" si="106"/>
        <v>3392.1428571428573</v>
      </c>
      <c r="KY89" s="5">
        <f t="shared" si="106"/>
        <v>3282.1428571428573</v>
      </c>
      <c r="KZ89" s="5">
        <f t="shared" si="106"/>
        <v>3227.1428571428573</v>
      </c>
      <c r="LA89" s="5">
        <f t="shared" si="106"/>
        <v>3177.1428571428573</v>
      </c>
      <c r="LB89" s="5">
        <f t="shared" si="106"/>
        <v>3091.4285714285716</v>
      </c>
      <c r="LC89" s="5">
        <f t="shared" si="106"/>
        <v>3016.4285714285716</v>
      </c>
      <c r="LD89" s="5">
        <f t="shared" si="106"/>
        <v>2980.7142857142858</v>
      </c>
      <c r="LE89" s="5">
        <f t="shared" si="106"/>
        <v>2951.4285714285716</v>
      </c>
      <c r="LF89" s="5">
        <f t="shared" si="106"/>
        <v>2857.8571428571427</v>
      </c>
      <c r="LG89" s="5">
        <f t="shared" si="106"/>
        <v>2860.7142857142858</v>
      </c>
      <c r="LH89" s="5">
        <f t="shared" si="106"/>
        <v>2837.1428571428573</v>
      </c>
      <c r="LI89" s="5">
        <f t="shared" si="106"/>
        <v>2784.2857142857142</v>
      </c>
      <c r="LJ89" s="5">
        <f t="shared" si="106"/>
        <v>2737.1428571428573</v>
      </c>
      <c r="LK89" s="5">
        <f t="shared" ref="LK89:NT89" si="107">AVERAGE(LK56:LK69)</f>
        <v>2655</v>
      </c>
      <c r="LL89" s="5">
        <f t="shared" si="107"/>
        <v>2610.7142857142858</v>
      </c>
      <c r="LM89" s="5">
        <f t="shared" si="107"/>
        <v>2602.8571428571427</v>
      </c>
      <c r="LN89" s="5">
        <f t="shared" si="107"/>
        <v>2624.2857142857142</v>
      </c>
      <c r="LO89" s="5">
        <f t="shared" si="107"/>
        <v>2567.8571428571427</v>
      </c>
      <c r="LP89" s="5">
        <f t="shared" si="107"/>
        <v>2495</v>
      </c>
      <c r="LQ89" s="5">
        <f t="shared" si="107"/>
        <v>2515.7142857142858</v>
      </c>
      <c r="LR89" s="5">
        <f t="shared" si="107"/>
        <v>2492.8571428571427</v>
      </c>
      <c r="LS89" s="5">
        <f t="shared" si="107"/>
        <v>2370.7142857142858</v>
      </c>
      <c r="LT89" s="5">
        <f t="shared" si="107"/>
        <v>2273.5714285714284</v>
      </c>
      <c r="LU89" s="5">
        <f t="shared" si="107"/>
        <v>2296.4285714285716</v>
      </c>
      <c r="LV89" s="5">
        <f t="shared" si="107"/>
        <v>2278.5714285714284</v>
      </c>
      <c r="LW89" s="5">
        <f t="shared" si="107"/>
        <v>2218.5714285714284</v>
      </c>
      <c r="LX89" s="5">
        <f t="shared" si="107"/>
        <v>2135</v>
      </c>
      <c r="LY89" s="5">
        <f t="shared" si="107"/>
        <v>2075</v>
      </c>
      <c r="LZ89" s="5">
        <f t="shared" si="107"/>
        <v>2054.2857142857142</v>
      </c>
      <c r="MA89" s="5">
        <f t="shared" si="107"/>
        <v>2006.4285714285713</v>
      </c>
      <c r="MB89" s="5">
        <f t="shared" si="107"/>
        <v>2005.7857142857142</v>
      </c>
      <c r="MC89" s="5">
        <f t="shared" si="107"/>
        <v>1965.9285714285713</v>
      </c>
      <c r="MD89" s="5">
        <f t="shared" si="107"/>
        <v>1867.4285714285713</v>
      </c>
      <c r="ME89" s="5">
        <f t="shared" si="107"/>
        <v>1831.6428571428571</v>
      </c>
      <c r="MF89" s="5">
        <f t="shared" si="107"/>
        <v>1865.7857142857142</v>
      </c>
      <c r="MG89" s="5">
        <f t="shared" si="107"/>
        <v>1860.1428571428571</v>
      </c>
      <c r="MH89" s="5">
        <f t="shared" si="107"/>
        <v>1782.7142857142858</v>
      </c>
      <c r="MI89" s="5">
        <f t="shared" si="107"/>
        <v>1778.5714285714287</v>
      </c>
      <c r="MJ89" s="5">
        <f t="shared" si="107"/>
        <v>1798.8571428571429</v>
      </c>
      <c r="MK89" s="5">
        <f t="shared" si="107"/>
        <v>1821.5</v>
      </c>
      <c r="ML89" s="5">
        <f t="shared" si="107"/>
        <v>1797.4285714285713</v>
      </c>
      <c r="MM89" s="5">
        <f t="shared" si="107"/>
        <v>1744.7142857142858</v>
      </c>
      <c r="MN89" s="5">
        <f t="shared" si="107"/>
        <v>1754.7142857142858</v>
      </c>
      <c r="MO89" s="5">
        <f t="shared" si="107"/>
        <v>1763.4285714285713</v>
      </c>
      <c r="MP89" s="5">
        <f t="shared" si="107"/>
        <v>1720</v>
      </c>
      <c r="MQ89" s="5">
        <f t="shared" si="107"/>
        <v>1710.7142857142858</v>
      </c>
      <c r="MR89" s="5">
        <f t="shared" si="107"/>
        <v>1682.8571428571429</v>
      </c>
      <c r="MS89" s="5">
        <f t="shared" si="107"/>
        <v>1662.8571428571429</v>
      </c>
      <c r="MT89" s="5">
        <f t="shared" si="107"/>
        <v>1650.7142857142858</v>
      </c>
      <c r="MU89" s="5">
        <f t="shared" si="107"/>
        <v>1702.1428571428571</v>
      </c>
      <c r="MV89" s="5">
        <f t="shared" si="107"/>
        <v>1661.4285714285713</v>
      </c>
      <c r="MW89" s="5">
        <f t="shared" si="107"/>
        <v>1591.4285714285713</v>
      </c>
      <c r="MX89" s="5">
        <f t="shared" si="107"/>
        <v>1582.8571428571429</v>
      </c>
      <c r="MY89" s="5">
        <f t="shared" si="107"/>
        <v>1587.1428571428571</v>
      </c>
      <c r="MZ89" s="5">
        <f t="shared" si="107"/>
        <v>1627.1428571428571</v>
      </c>
      <c r="NA89" s="5">
        <f t="shared" si="107"/>
        <v>1635.7142857142858</v>
      </c>
      <c r="NB89" s="5">
        <f t="shared" si="107"/>
        <v>1620</v>
      </c>
      <c r="NC89" s="5">
        <f t="shared" si="107"/>
        <v>1652.8571428571429</v>
      </c>
      <c r="ND89" s="5">
        <f t="shared" si="107"/>
        <v>1735</v>
      </c>
      <c r="NE89" s="5">
        <f t="shared" si="107"/>
        <v>1525.8571428571429</v>
      </c>
      <c r="NF89" s="5">
        <f t="shared" si="107"/>
        <v>1529.3571428571429</v>
      </c>
      <c r="NG89" s="5">
        <f t="shared" si="107"/>
        <v>1530.7142857142858</v>
      </c>
      <c r="NH89" s="5">
        <f t="shared" si="107"/>
        <v>2050.7142857142858</v>
      </c>
      <c r="NI89" s="5">
        <f t="shared" si="107"/>
        <v>3827.8571428571427</v>
      </c>
      <c r="NJ89" s="5">
        <f t="shared" si="107"/>
        <v>7810.7142857142853</v>
      </c>
      <c r="NK89" s="5">
        <f t="shared" si="107"/>
        <v>7952.8571428571431</v>
      </c>
      <c r="NL89" s="5">
        <f t="shared" si="107"/>
        <v>8533.5714285714294</v>
      </c>
      <c r="NM89" s="5">
        <f t="shared" si="107"/>
        <v>5270.7142857142853</v>
      </c>
      <c r="NN89" s="5">
        <f t="shared" si="107"/>
        <v>2805.7142857142858</v>
      </c>
      <c r="NO89" s="5">
        <f t="shared" si="107"/>
        <v>1770</v>
      </c>
      <c r="NP89" s="5">
        <f t="shared" si="107"/>
        <v>3875.2483788350282</v>
      </c>
      <c r="NQ89" s="5">
        <f t="shared" si="107"/>
        <v>14270</v>
      </c>
      <c r="NR89" s="5">
        <f t="shared" si="107"/>
        <v>42599.357142857145</v>
      </c>
      <c r="NS89" s="5">
        <f t="shared" si="107"/>
        <v>1084.2142857142858</v>
      </c>
      <c r="NT89" s="5">
        <f t="shared" si="107"/>
        <v>42480.642857142855</v>
      </c>
      <c r="NU89" s="5"/>
      <c r="NV89" s="5"/>
      <c r="NW89" s="5"/>
      <c r="NX89" s="5"/>
      <c r="NY89" s="5"/>
      <c r="NZ89" s="5"/>
      <c r="OA89" s="5"/>
      <c r="OB89" s="5"/>
      <c r="OC89" s="5"/>
      <c r="OD89" s="5"/>
      <c r="OE89" s="5"/>
    </row>
  </sheetData>
  <phoneticPr fontId="3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OG91"/>
  <sheetViews>
    <sheetView tabSelected="1" zoomScale="91" zoomScaleNormal="91" workbookViewId="0">
      <pane xSplit="1" ySplit="2" topLeftCell="NO3" activePane="bottomRight" state="frozen"/>
      <selection pane="topRight" activeCell="B1" sqref="B1"/>
      <selection pane="bottomLeft" activeCell="A3" sqref="A3"/>
      <selection pane="bottomRight" activeCell="OF5" sqref="OF5"/>
    </sheetView>
  </sheetViews>
  <sheetFormatPr defaultColWidth="8.75" defaultRowHeight="13.5" x14ac:dyDescent="0.15"/>
  <cols>
    <col min="1" max="367" width="8.75" style="1"/>
    <col min="368" max="368" width="9.375" style="1" bestFit="1" customWidth="1"/>
    <col min="369" max="379" width="8.75" style="1"/>
    <col min="380" max="380" width="9.375" style="1" bestFit="1" customWidth="1"/>
    <col min="381" max="381" width="8.75" style="1"/>
    <col min="382" max="382" width="9.625" style="1" customWidth="1"/>
    <col min="383" max="383" width="8.75" style="1"/>
    <col min="384" max="384" width="10.5" style="1" customWidth="1"/>
    <col min="385" max="385" width="9.375" style="1" bestFit="1" customWidth="1"/>
    <col min="386" max="387" width="8.75" style="1"/>
    <col min="388" max="388" width="9.375" style="1" bestFit="1" customWidth="1"/>
    <col min="389" max="389" width="8.75" style="1"/>
    <col min="390" max="390" width="9.375" style="1" bestFit="1" customWidth="1"/>
    <col min="391" max="391" width="8.75" style="1"/>
    <col min="392" max="392" width="9.375" style="1" bestFit="1" customWidth="1"/>
    <col min="393" max="393" width="8.75" style="1"/>
    <col min="394" max="395" width="9.375" style="1" bestFit="1" customWidth="1"/>
    <col min="396" max="396" width="8.875" style="1" bestFit="1" customWidth="1"/>
    <col min="397" max="16384" width="8.75" style="1"/>
  </cols>
  <sheetData>
    <row r="1" spans="1:397" x14ac:dyDescent="0.15">
      <c r="A1" s="2" t="s">
        <v>0</v>
      </c>
      <c r="B1" s="3">
        <v>42370</v>
      </c>
      <c r="C1" s="3">
        <v>42371</v>
      </c>
      <c r="D1" s="3">
        <v>42372</v>
      </c>
      <c r="E1" s="3">
        <v>42373</v>
      </c>
      <c r="F1" s="3">
        <v>42374</v>
      </c>
      <c r="G1" s="3">
        <v>42375</v>
      </c>
      <c r="H1" s="3">
        <v>42376</v>
      </c>
      <c r="I1" s="3">
        <v>42377</v>
      </c>
      <c r="J1" s="3">
        <v>42378</v>
      </c>
      <c r="K1" s="3">
        <v>42379</v>
      </c>
      <c r="L1" s="3">
        <v>42380</v>
      </c>
      <c r="M1" s="3">
        <v>42381</v>
      </c>
      <c r="N1" s="3">
        <v>42382</v>
      </c>
      <c r="O1" s="3">
        <v>42383</v>
      </c>
      <c r="P1" s="3">
        <v>42384</v>
      </c>
      <c r="Q1" s="3">
        <v>42385</v>
      </c>
      <c r="R1" s="3">
        <v>42386</v>
      </c>
      <c r="S1" s="3">
        <v>42387</v>
      </c>
      <c r="T1" s="3">
        <v>42388</v>
      </c>
      <c r="U1" s="3">
        <v>42389</v>
      </c>
      <c r="V1" s="3">
        <v>42390</v>
      </c>
      <c r="W1" s="3">
        <v>42391</v>
      </c>
      <c r="X1" s="3">
        <v>42392</v>
      </c>
      <c r="Y1" s="3">
        <v>42393</v>
      </c>
      <c r="Z1" s="3">
        <v>42394</v>
      </c>
      <c r="AA1" s="3">
        <v>42395</v>
      </c>
      <c r="AB1" s="3">
        <v>42396</v>
      </c>
      <c r="AC1" s="3">
        <v>42397</v>
      </c>
      <c r="AD1" s="3">
        <v>42398</v>
      </c>
      <c r="AE1" s="3">
        <v>42399</v>
      </c>
      <c r="AF1" s="3">
        <v>42400</v>
      </c>
      <c r="AG1" s="3">
        <v>42401</v>
      </c>
      <c r="AH1" s="3">
        <v>42402</v>
      </c>
      <c r="AI1" s="3">
        <v>42403</v>
      </c>
      <c r="AJ1" s="3">
        <v>42404</v>
      </c>
      <c r="AK1" s="3">
        <v>42405</v>
      </c>
      <c r="AL1" s="3">
        <v>42406</v>
      </c>
      <c r="AM1" s="3">
        <v>42407</v>
      </c>
      <c r="AN1" s="3">
        <v>42408</v>
      </c>
      <c r="AO1" s="3">
        <v>42409</v>
      </c>
      <c r="AP1" s="3">
        <v>42410</v>
      </c>
      <c r="AQ1" s="3">
        <v>42411</v>
      </c>
      <c r="AR1" s="3">
        <v>42412</v>
      </c>
      <c r="AS1" s="3">
        <v>42413</v>
      </c>
      <c r="AT1" s="3">
        <v>42414</v>
      </c>
      <c r="AU1" s="3">
        <v>42415</v>
      </c>
      <c r="AV1" s="3">
        <v>42416</v>
      </c>
      <c r="AW1" s="3">
        <v>42417</v>
      </c>
      <c r="AX1" s="3">
        <v>42418</v>
      </c>
      <c r="AY1" s="3">
        <v>42419</v>
      </c>
      <c r="AZ1" s="3">
        <v>42420</v>
      </c>
      <c r="BA1" s="3">
        <v>42421</v>
      </c>
      <c r="BB1" s="3">
        <v>42422</v>
      </c>
      <c r="BC1" s="3">
        <v>42423</v>
      </c>
      <c r="BD1" s="3">
        <v>42424</v>
      </c>
      <c r="BE1" s="3">
        <v>42425</v>
      </c>
      <c r="BF1" s="3">
        <v>42426</v>
      </c>
      <c r="BG1" s="3">
        <v>42427</v>
      </c>
      <c r="BH1" s="3">
        <v>42428</v>
      </c>
      <c r="BI1" s="3">
        <v>42429</v>
      </c>
      <c r="BJ1" s="3">
        <v>42430</v>
      </c>
      <c r="BK1" s="3">
        <v>42431</v>
      </c>
      <c r="BL1" s="3">
        <v>42432</v>
      </c>
      <c r="BM1" s="3">
        <v>42433</v>
      </c>
      <c r="BN1" s="3">
        <v>42434</v>
      </c>
      <c r="BO1" s="3">
        <v>42435</v>
      </c>
      <c r="BP1" s="3">
        <v>42436</v>
      </c>
      <c r="BQ1" s="3">
        <v>42437</v>
      </c>
      <c r="BR1" s="3">
        <v>42438</v>
      </c>
      <c r="BS1" s="3">
        <v>42439</v>
      </c>
      <c r="BT1" s="3">
        <v>42440</v>
      </c>
      <c r="BU1" s="3">
        <v>42441</v>
      </c>
      <c r="BV1" s="3">
        <v>42442</v>
      </c>
      <c r="BW1" s="3">
        <v>42443</v>
      </c>
      <c r="BX1" s="3">
        <v>42444</v>
      </c>
      <c r="BY1" s="3">
        <v>42445</v>
      </c>
      <c r="BZ1" s="3">
        <v>42446</v>
      </c>
      <c r="CA1" s="3">
        <v>42447</v>
      </c>
      <c r="CB1" s="3">
        <v>42448</v>
      </c>
      <c r="CC1" s="3">
        <v>42449</v>
      </c>
      <c r="CD1" s="3">
        <v>42450</v>
      </c>
      <c r="CE1" s="3">
        <v>42451</v>
      </c>
      <c r="CF1" s="3">
        <v>42452</v>
      </c>
      <c r="CG1" s="3">
        <v>42453</v>
      </c>
      <c r="CH1" s="3">
        <v>42454</v>
      </c>
      <c r="CI1" s="3">
        <v>42455</v>
      </c>
      <c r="CJ1" s="3">
        <v>42456</v>
      </c>
      <c r="CK1" s="3">
        <v>42457</v>
      </c>
      <c r="CL1" s="3">
        <v>42458</v>
      </c>
      <c r="CM1" s="3">
        <v>42459</v>
      </c>
      <c r="CN1" s="3">
        <v>42460</v>
      </c>
      <c r="CO1" s="3">
        <v>42461</v>
      </c>
      <c r="CP1" s="3">
        <v>42462</v>
      </c>
      <c r="CQ1" s="3">
        <v>42463</v>
      </c>
      <c r="CR1" s="3">
        <v>42464</v>
      </c>
      <c r="CS1" s="3">
        <v>42465</v>
      </c>
      <c r="CT1" s="3">
        <v>42466</v>
      </c>
      <c r="CU1" s="3">
        <v>42467</v>
      </c>
      <c r="CV1" s="3">
        <v>42468</v>
      </c>
      <c r="CW1" s="3">
        <v>42469</v>
      </c>
      <c r="CX1" s="3">
        <v>42470</v>
      </c>
      <c r="CY1" s="3">
        <v>42471</v>
      </c>
      <c r="CZ1" s="3">
        <v>42472</v>
      </c>
      <c r="DA1" s="3">
        <v>42473</v>
      </c>
      <c r="DB1" s="3">
        <v>42474</v>
      </c>
      <c r="DC1" s="3">
        <v>42475</v>
      </c>
      <c r="DD1" s="3">
        <v>42476</v>
      </c>
      <c r="DE1" s="3">
        <v>42477</v>
      </c>
      <c r="DF1" s="3">
        <v>42478</v>
      </c>
      <c r="DG1" s="3">
        <v>42479</v>
      </c>
      <c r="DH1" s="3">
        <v>42480</v>
      </c>
      <c r="DI1" s="3">
        <v>42481</v>
      </c>
      <c r="DJ1" s="3">
        <v>42482</v>
      </c>
      <c r="DK1" s="3">
        <v>42483</v>
      </c>
      <c r="DL1" s="3">
        <v>42484</v>
      </c>
      <c r="DM1" s="3">
        <v>42485</v>
      </c>
      <c r="DN1" s="3">
        <v>42486</v>
      </c>
      <c r="DO1" s="3">
        <v>42487</v>
      </c>
      <c r="DP1" s="3">
        <v>42488</v>
      </c>
      <c r="DQ1" s="3">
        <v>42489</v>
      </c>
      <c r="DR1" s="3">
        <v>42490</v>
      </c>
      <c r="DS1" s="3">
        <v>42491</v>
      </c>
      <c r="DT1" s="3">
        <v>42492</v>
      </c>
      <c r="DU1" s="3">
        <v>42493</v>
      </c>
      <c r="DV1" s="3">
        <v>42494</v>
      </c>
      <c r="DW1" s="3">
        <v>42495</v>
      </c>
      <c r="DX1" s="3">
        <v>42496</v>
      </c>
      <c r="DY1" s="3">
        <v>42497</v>
      </c>
      <c r="DZ1" s="3">
        <v>42498</v>
      </c>
      <c r="EA1" s="3">
        <v>42499</v>
      </c>
      <c r="EB1" s="3">
        <v>42500</v>
      </c>
      <c r="EC1" s="3">
        <v>42501</v>
      </c>
      <c r="ED1" s="3">
        <v>42502</v>
      </c>
      <c r="EE1" s="3">
        <v>42503</v>
      </c>
      <c r="EF1" s="3">
        <v>42504</v>
      </c>
      <c r="EG1" s="3">
        <v>42505</v>
      </c>
      <c r="EH1" s="3">
        <v>42506</v>
      </c>
      <c r="EI1" s="3">
        <v>42507</v>
      </c>
      <c r="EJ1" s="3">
        <v>42508</v>
      </c>
      <c r="EK1" s="3">
        <v>42509</v>
      </c>
      <c r="EL1" s="3">
        <v>42510</v>
      </c>
      <c r="EM1" s="3">
        <v>42511</v>
      </c>
      <c r="EN1" s="3">
        <v>42512</v>
      </c>
      <c r="EO1" s="3">
        <v>42513</v>
      </c>
      <c r="EP1" s="3">
        <v>42514</v>
      </c>
      <c r="EQ1" s="3">
        <v>42515</v>
      </c>
      <c r="ER1" s="3">
        <v>42516</v>
      </c>
      <c r="ES1" s="3">
        <v>42517</v>
      </c>
      <c r="ET1" s="3">
        <v>42518</v>
      </c>
      <c r="EU1" s="3">
        <v>42519</v>
      </c>
      <c r="EV1" s="3">
        <v>42520</v>
      </c>
      <c r="EW1" s="3">
        <v>42521</v>
      </c>
      <c r="EX1" s="3">
        <v>42522</v>
      </c>
      <c r="EY1" s="3">
        <v>42523</v>
      </c>
      <c r="EZ1" s="3">
        <v>42524</v>
      </c>
      <c r="FA1" s="3">
        <v>42525</v>
      </c>
      <c r="FB1" s="3">
        <v>42526</v>
      </c>
      <c r="FC1" s="3">
        <v>42527</v>
      </c>
      <c r="FD1" s="3">
        <v>42528</v>
      </c>
      <c r="FE1" s="3">
        <v>42529</v>
      </c>
      <c r="FF1" s="3">
        <v>42530</v>
      </c>
      <c r="FG1" s="3">
        <v>42531</v>
      </c>
      <c r="FH1" s="3">
        <v>42532</v>
      </c>
      <c r="FI1" s="3">
        <v>42533</v>
      </c>
      <c r="FJ1" s="3">
        <v>42534</v>
      </c>
      <c r="FK1" s="3">
        <v>42535</v>
      </c>
      <c r="FL1" s="3">
        <v>42536</v>
      </c>
      <c r="FM1" s="3">
        <v>42537</v>
      </c>
      <c r="FN1" s="3">
        <v>42538</v>
      </c>
      <c r="FO1" s="3">
        <v>42539</v>
      </c>
      <c r="FP1" s="3">
        <v>42540</v>
      </c>
      <c r="FQ1" s="3">
        <v>42541</v>
      </c>
      <c r="FR1" s="3">
        <v>42542</v>
      </c>
      <c r="FS1" s="3">
        <v>42543</v>
      </c>
      <c r="FT1" s="3">
        <v>42544</v>
      </c>
      <c r="FU1" s="3">
        <v>42545</v>
      </c>
      <c r="FV1" s="3">
        <v>42546</v>
      </c>
      <c r="FW1" s="3">
        <v>42547</v>
      </c>
      <c r="FX1" s="3">
        <v>42548</v>
      </c>
      <c r="FY1" s="3">
        <v>42549</v>
      </c>
      <c r="FZ1" s="3">
        <v>42550</v>
      </c>
      <c r="GA1" s="3">
        <v>42551</v>
      </c>
      <c r="GB1" s="3">
        <v>42552</v>
      </c>
      <c r="GC1" s="3">
        <v>42553</v>
      </c>
      <c r="GD1" s="3">
        <v>42554</v>
      </c>
      <c r="GE1" s="3">
        <v>42555</v>
      </c>
      <c r="GF1" s="3">
        <v>42556</v>
      </c>
      <c r="GG1" s="3">
        <v>42557</v>
      </c>
      <c r="GH1" s="3">
        <v>42558</v>
      </c>
      <c r="GI1" s="3">
        <v>42559</v>
      </c>
      <c r="GJ1" s="3">
        <v>42560</v>
      </c>
      <c r="GK1" s="3">
        <v>42561</v>
      </c>
      <c r="GL1" s="3">
        <v>42562</v>
      </c>
      <c r="GM1" s="3">
        <v>42563</v>
      </c>
      <c r="GN1" s="3">
        <v>42564</v>
      </c>
      <c r="GO1" s="3">
        <v>42565</v>
      </c>
      <c r="GP1" s="3">
        <v>42566</v>
      </c>
      <c r="GQ1" s="3">
        <v>42567</v>
      </c>
      <c r="GR1" s="3">
        <v>42568</v>
      </c>
      <c r="GS1" s="3">
        <v>42569</v>
      </c>
      <c r="GT1" s="3">
        <v>42570</v>
      </c>
      <c r="GU1" s="3">
        <v>42571</v>
      </c>
      <c r="GV1" s="3">
        <v>42572</v>
      </c>
      <c r="GW1" s="3">
        <v>42573</v>
      </c>
      <c r="GX1" s="3">
        <v>42574</v>
      </c>
      <c r="GY1" s="3">
        <v>42575</v>
      </c>
      <c r="GZ1" s="3">
        <v>42576</v>
      </c>
      <c r="HA1" s="3">
        <v>42577</v>
      </c>
      <c r="HB1" s="3">
        <v>42578</v>
      </c>
      <c r="HC1" s="3">
        <v>42579</v>
      </c>
      <c r="HD1" s="3">
        <v>42580</v>
      </c>
      <c r="HE1" s="3">
        <v>42581</v>
      </c>
      <c r="HF1" s="3">
        <v>42582</v>
      </c>
      <c r="HG1" s="3">
        <v>42583</v>
      </c>
      <c r="HH1" s="3">
        <v>42584</v>
      </c>
      <c r="HI1" s="3">
        <v>42585</v>
      </c>
      <c r="HJ1" s="3">
        <v>42586</v>
      </c>
      <c r="HK1" s="3">
        <v>42587</v>
      </c>
      <c r="HL1" s="3">
        <v>42588</v>
      </c>
      <c r="HM1" s="3">
        <v>42589</v>
      </c>
      <c r="HN1" s="3">
        <v>42590</v>
      </c>
      <c r="HO1" s="3">
        <v>42591</v>
      </c>
      <c r="HP1" s="3">
        <v>42592</v>
      </c>
      <c r="HQ1" s="3">
        <v>42593</v>
      </c>
      <c r="HR1" s="3">
        <v>42594</v>
      </c>
      <c r="HS1" s="3">
        <v>42595</v>
      </c>
      <c r="HT1" s="3">
        <v>42596</v>
      </c>
      <c r="HU1" s="3">
        <v>42597</v>
      </c>
      <c r="HV1" s="3">
        <v>42598</v>
      </c>
      <c r="HW1" s="3">
        <v>42599</v>
      </c>
      <c r="HX1" s="3">
        <v>42600</v>
      </c>
      <c r="HY1" s="3">
        <v>42601</v>
      </c>
      <c r="HZ1" s="3">
        <v>42602</v>
      </c>
      <c r="IA1" s="3">
        <v>42603</v>
      </c>
      <c r="IB1" s="3">
        <v>42604</v>
      </c>
      <c r="IC1" s="3">
        <v>42605</v>
      </c>
      <c r="ID1" s="3">
        <v>42606</v>
      </c>
      <c r="IE1" s="3">
        <v>42607</v>
      </c>
      <c r="IF1" s="3">
        <v>42608</v>
      </c>
      <c r="IG1" s="3">
        <v>42609</v>
      </c>
      <c r="IH1" s="3">
        <v>42610</v>
      </c>
      <c r="II1" s="3">
        <v>42611</v>
      </c>
      <c r="IJ1" s="3">
        <v>42612</v>
      </c>
      <c r="IK1" s="3">
        <v>42613</v>
      </c>
      <c r="IL1" s="3">
        <v>42614</v>
      </c>
      <c r="IM1" s="3">
        <v>42615</v>
      </c>
      <c r="IN1" s="3">
        <v>42616</v>
      </c>
      <c r="IO1" s="3">
        <v>42617</v>
      </c>
      <c r="IP1" s="3">
        <v>42618</v>
      </c>
      <c r="IQ1" s="3">
        <v>42619</v>
      </c>
      <c r="IR1" s="3">
        <v>42620</v>
      </c>
      <c r="IS1" s="3">
        <v>42621</v>
      </c>
      <c r="IT1" s="3">
        <v>42622</v>
      </c>
      <c r="IU1" s="3">
        <v>42623</v>
      </c>
      <c r="IV1" s="3">
        <v>42624</v>
      </c>
      <c r="IW1" s="3">
        <v>42625</v>
      </c>
      <c r="IX1" s="3">
        <v>42626</v>
      </c>
      <c r="IY1" s="3">
        <v>42627</v>
      </c>
      <c r="IZ1" s="3">
        <v>42628</v>
      </c>
      <c r="JA1" s="3">
        <v>42629</v>
      </c>
      <c r="JB1" s="3">
        <v>42630</v>
      </c>
      <c r="JC1" s="3">
        <v>42631</v>
      </c>
      <c r="JD1" s="3">
        <v>42632</v>
      </c>
      <c r="JE1" s="3">
        <v>42633</v>
      </c>
      <c r="JF1" s="3">
        <v>42634</v>
      </c>
      <c r="JG1" s="3">
        <v>42635</v>
      </c>
      <c r="JH1" s="3">
        <v>42636</v>
      </c>
      <c r="JI1" s="3">
        <v>42637</v>
      </c>
      <c r="JJ1" s="3">
        <v>42638</v>
      </c>
      <c r="JK1" s="3">
        <v>42639</v>
      </c>
      <c r="JL1" s="3">
        <v>42640</v>
      </c>
      <c r="JM1" s="3">
        <v>42641</v>
      </c>
      <c r="JN1" s="3">
        <v>42642</v>
      </c>
      <c r="JO1" s="3">
        <v>42643</v>
      </c>
      <c r="JP1" s="3">
        <v>42644</v>
      </c>
      <c r="JQ1" s="3">
        <v>42645</v>
      </c>
      <c r="JR1" s="3">
        <v>42646</v>
      </c>
      <c r="JS1" s="3">
        <v>42647</v>
      </c>
      <c r="JT1" s="3">
        <v>42648</v>
      </c>
      <c r="JU1" s="3">
        <v>42649</v>
      </c>
      <c r="JV1" s="3">
        <v>42650</v>
      </c>
      <c r="JW1" s="3">
        <v>42651</v>
      </c>
      <c r="JX1" s="3">
        <v>42652</v>
      </c>
      <c r="JY1" s="3">
        <v>42653</v>
      </c>
      <c r="JZ1" s="3">
        <v>42654</v>
      </c>
      <c r="KA1" s="3">
        <v>42655</v>
      </c>
      <c r="KB1" s="3">
        <v>42656</v>
      </c>
      <c r="KC1" s="3">
        <v>42657</v>
      </c>
      <c r="KD1" s="3">
        <v>42658</v>
      </c>
      <c r="KE1" s="3">
        <v>42659</v>
      </c>
      <c r="KF1" s="3">
        <v>42660</v>
      </c>
      <c r="KG1" s="3">
        <v>42661</v>
      </c>
      <c r="KH1" s="3">
        <v>42662</v>
      </c>
      <c r="KI1" s="3">
        <v>42663</v>
      </c>
      <c r="KJ1" s="3">
        <v>42664</v>
      </c>
      <c r="KK1" s="3">
        <v>42665</v>
      </c>
      <c r="KL1" s="3">
        <v>42666</v>
      </c>
      <c r="KM1" s="3">
        <v>42667</v>
      </c>
      <c r="KN1" s="3">
        <v>42668</v>
      </c>
      <c r="KO1" s="3">
        <v>42669</v>
      </c>
      <c r="KP1" s="3">
        <v>42670</v>
      </c>
      <c r="KQ1" s="3">
        <v>42671</v>
      </c>
      <c r="KR1" s="3">
        <v>42672</v>
      </c>
      <c r="KS1" s="3">
        <v>42673</v>
      </c>
      <c r="KT1" s="3">
        <v>42674</v>
      </c>
      <c r="KU1" s="3">
        <v>42675</v>
      </c>
      <c r="KV1" s="3">
        <v>42676</v>
      </c>
      <c r="KW1" s="3">
        <v>42677</v>
      </c>
      <c r="KX1" s="3">
        <v>42678</v>
      </c>
      <c r="KY1" s="3">
        <v>42679</v>
      </c>
      <c r="KZ1" s="3">
        <v>42680</v>
      </c>
      <c r="LA1" s="3">
        <v>42681</v>
      </c>
      <c r="LB1" s="3">
        <v>42682</v>
      </c>
      <c r="LC1" s="3">
        <v>42683</v>
      </c>
      <c r="LD1" s="3">
        <v>42684</v>
      </c>
      <c r="LE1" s="3">
        <v>42685</v>
      </c>
      <c r="LF1" s="3">
        <v>42686</v>
      </c>
      <c r="LG1" s="3">
        <v>42687</v>
      </c>
      <c r="LH1" s="3">
        <v>42688</v>
      </c>
      <c r="LI1" s="3">
        <v>42689</v>
      </c>
      <c r="LJ1" s="3">
        <v>42690</v>
      </c>
      <c r="LK1" s="3">
        <v>42691</v>
      </c>
      <c r="LL1" s="3">
        <v>42692</v>
      </c>
      <c r="LM1" s="3">
        <v>42693</v>
      </c>
      <c r="LN1" s="3">
        <v>42694</v>
      </c>
      <c r="LO1" s="3">
        <v>42695</v>
      </c>
      <c r="LP1" s="3">
        <v>42696</v>
      </c>
      <c r="LQ1" s="3">
        <v>42697</v>
      </c>
      <c r="LR1" s="3">
        <v>42698</v>
      </c>
      <c r="LS1" s="3">
        <v>42699</v>
      </c>
      <c r="LT1" s="3">
        <v>42700</v>
      </c>
      <c r="LU1" s="3">
        <v>42701</v>
      </c>
      <c r="LV1" s="3">
        <v>42702</v>
      </c>
      <c r="LW1" s="3">
        <v>42703</v>
      </c>
      <c r="LX1" s="3">
        <v>42704</v>
      </c>
      <c r="LY1" s="3">
        <v>42705</v>
      </c>
      <c r="LZ1" s="3">
        <v>42706</v>
      </c>
      <c r="MA1" s="3">
        <v>42707</v>
      </c>
      <c r="MB1" s="3">
        <v>42708</v>
      </c>
      <c r="MC1" s="3">
        <v>42709</v>
      </c>
      <c r="MD1" s="3">
        <v>42710</v>
      </c>
      <c r="ME1" s="3">
        <v>42711</v>
      </c>
      <c r="MF1" s="3">
        <v>42712</v>
      </c>
      <c r="MG1" s="3">
        <v>42713</v>
      </c>
      <c r="MH1" s="3">
        <v>42714</v>
      </c>
      <c r="MI1" s="3">
        <v>42715</v>
      </c>
      <c r="MJ1" s="3">
        <v>42716</v>
      </c>
      <c r="MK1" s="3">
        <v>42717</v>
      </c>
      <c r="ML1" s="3">
        <v>42718</v>
      </c>
      <c r="MM1" s="3">
        <v>42719</v>
      </c>
      <c r="MN1" s="3">
        <v>42720</v>
      </c>
      <c r="MO1" s="3">
        <v>42721</v>
      </c>
      <c r="MP1" s="3">
        <v>42722</v>
      </c>
      <c r="MQ1" s="3">
        <v>42723</v>
      </c>
      <c r="MR1" s="3">
        <v>42724</v>
      </c>
      <c r="MS1" s="3">
        <v>42725</v>
      </c>
      <c r="MT1" s="3">
        <v>42726</v>
      </c>
      <c r="MU1" s="3">
        <v>42727</v>
      </c>
      <c r="MV1" s="3">
        <v>42728</v>
      </c>
      <c r="MW1" s="3">
        <v>42729</v>
      </c>
      <c r="MX1" s="3">
        <v>42730</v>
      </c>
      <c r="MY1" s="3">
        <v>42731</v>
      </c>
      <c r="MZ1" s="3">
        <v>42732</v>
      </c>
      <c r="NA1" s="3">
        <v>42733</v>
      </c>
      <c r="NB1" s="3">
        <v>42734</v>
      </c>
      <c r="NC1" s="3">
        <v>42735</v>
      </c>
      <c r="ND1" s="2" t="s">
        <v>1</v>
      </c>
      <c r="NE1" s="2" t="s">
        <v>2</v>
      </c>
      <c r="NF1" s="2" t="s">
        <v>3</v>
      </c>
      <c r="NG1" s="2" t="s">
        <v>4</v>
      </c>
      <c r="NH1" s="2" t="s">
        <v>5</v>
      </c>
      <c r="NI1" s="2" t="s">
        <v>6</v>
      </c>
      <c r="NJ1" s="2" t="s">
        <v>7</v>
      </c>
      <c r="NK1" s="2" t="s">
        <v>8</v>
      </c>
      <c r="NL1" s="2" t="s">
        <v>9</v>
      </c>
      <c r="NM1" s="2" t="s">
        <v>10</v>
      </c>
      <c r="NN1" s="2" t="s">
        <v>11</v>
      </c>
      <c r="NO1" s="2" t="s">
        <v>12</v>
      </c>
      <c r="NP1" s="2" t="s">
        <v>18</v>
      </c>
      <c r="NQ1" s="2" t="s">
        <v>14</v>
      </c>
      <c r="NR1" s="8" t="s">
        <v>23</v>
      </c>
      <c r="NS1" s="2" t="s">
        <v>16</v>
      </c>
      <c r="NT1" s="8" t="s">
        <v>24</v>
      </c>
      <c r="NU1" s="8" t="s">
        <v>25</v>
      </c>
      <c r="NV1" s="2" t="s">
        <v>18</v>
      </c>
      <c r="NW1" s="20" t="s">
        <v>26</v>
      </c>
      <c r="NX1" s="20"/>
      <c r="NY1" s="20" t="s">
        <v>28</v>
      </c>
      <c r="NZ1" s="20"/>
      <c r="OA1" s="20" t="s">
        <v>29</v>
      </c>
      <c r="OB1" s="20"/>
      <c r="OC1" s="20" t="s">
        <v>30</v>
      </c>
      <c r="OD1" s="20"/>
      <c r="OE1" s="10" t="s">
        <v>21</v>
      </c>
      <c r="OF1" s="10" t="s">
        <v>22</v>
      </c>
      <c r="OG1" s="9" t="s">
        <v>33</v>
      </c>
    </row>
    <row r="2" spans="1:397" x14ac:dyDescent="0.15">
      <c r="A2" s="2"/>
      <c r="B2" s="3">
        <v>42370</v>
      </c>
      <c r="C2" s="3">
        <v>42371</v>
      </c>
      <c r="D2" s="3">
        <v>42372</v>
      </c>
      <c r="E2" s="3">
        <v>42373</v>
      </c>
      <c r="F2" s="3">
        <v>42374</v>
      </c>
      <c r="G2" s="3">
        <v>42375</v>
      </c>
      <c r="H2" s="3">
        <v>42376</v>
      </c>
      <c r="I2" s="3">
        <v>42377</v>
      </c>
      <c r="J2" s="3">
        <v>42378</v>
      </c>
      <c r="K2" s="3">
        <v>42379</v>
      </c>
      <c r="L2" s="3">
        <v>42380</v>
      </c>
      <c r="M2" s="3">
        <v>42381</v>
      </c>
      <c r="N2" s="3">
        <v>42382</v>
      </c>
      <c r="O2" s="3">
        <v>42383</v>
      </c>
      <c r="P2" s="3">
        <v>42384</v>
      </c>
      <c r="Q2" s="3">
        <v>42385</v>
      </c>
      <c r="R2" s="3">
        <v>42386</v>
      </c>
      <c r="S2" s="3">
        <v>42387</v>
      </c>
      <c r="T2" s="3">
        <v>42388</v>
      </c>
      <c r="U2" s="3">
        <v>42389</v>
      </c>
      <c r="V2" s="3">
        <v>42390</v>
      </c>
      <c r="W2" s="3">
        <v>42391</v>
      </c>
      <c r="X2" s="3">
        <v>42392</v>
      </c>
      <c r="Y2" s="3">
        <v>42393</v>
      </c>
      <c r="Z2" s="3">
        <v>42394</v>
      </c>
      <c r="AA2" s="3">
        <v>42395</v>
      </c>
      <c r="AB2" s="3">
        <v>42396</v>
      </c>
      <c r="AC2" s="3">
        <v>42397</v>
      </c>
      <c r="AD2" s="3">
        <v>42398</v>
      </c>
      <c r="AE2" s="3">
        <v>42399</v>
      </c>
      <c r="AF2" s="3">
        <v>42400</v>
      </c>
      <c r="AG2" s="3">
        <v>42401</v>
      </c>
      <c r="AH2" s="3">
        <v>42402</v>
      </c>
      <c r="AI2" s="3">
        <v>42403</v>
      </c>
      <c r="AJ2" s="3">
        <v>42404</v>
      </c>
      <c r="AK2" s="3">
        <v>42405</v>
      </c>
      <c r="AL2" s="3">
        <v>42406</v>
      </c>
      <c r="AM2" s="3">
        <v>42407</v>
      </c>
      <c r="AN2" s="3">
        <v>42408</v>
      </c>
      <c r="AO2" s="3">
        <v>42409</v>
      </c>
      <c r="AP2" s="3">
        <v>42410</v>
      </c>
      <c r="AQ2" s="3">
        <v>42411</v>
      </c>
      <c r="AR2" s="3">
        <v>42412</v>
      </c>
      <c r="AS2" s="3">
        <v>42413</v>
      </c>
      <c r="AT2" s="3">
        <v>42414</v>
      </c>
      <c r="AU2" s="3">
        <v>42415</v>
      </c>
      <c r="AV2" s="3">
        <v>42416</v>
      </c>
      <c r="AW2" s="3">
        <v>42417</v>
      </c>
      <c r="AX2" s="3">
        <v>42418</v>
      </c>
      <c r="AY2" s="3">
        <v>42419</v>
      </c>
      <c r="AZ2" s="3">
        <v>42420</v>
      </c>
      <c r="BA2" s="3">
        <v>42421</v>
      </c>
      <c r="BB2" s="3">
        <v>42422</v>
      </c>
      <c r="BC2" s="3">
        <v>42423</v>
      </c>
      <c r="BD2" s="3">
        <v>42424</v>
      </c>
      <c r="BE2" s="3">
        <v>42425</v>
      </c>
      <c r="BF2" s="3">
        <v>42426</v>
      </c>
      <c r="BG2" s="3">
        <v>42427</v>
      </c>
      <c r="BH2" s="3">
        <v>42428</v>
      </c>
      <c r="BI2" s="3">
        <v>42430</v>
      </c>
      <c r="BJ2" s="3">
        <v>42431</v>
      </c>
      <c r="BK2" s="3">
        <v>42432</v>
      </c>
      <c r="BL2" s="3">
        <v>42433</v>
      </c>
      <c r="BM2" s="3">
        <v>42434</v>
      </c>
      <c r="BN2" s="3">
        <v>42435</v>
      </c>
      <c r="BO2" s="3">
        <v>42436</v>
      </c>
      <c r="BP2" s="3">
        <v>42437</v>
      </c>
      <c r="BQ2" s="3">
        <v>42438</v>
      </c>
      <c r="BR2" s="3">
        <v>42439</v>
      </c>
      <c r="BS2" s="3">
        <v>42440</v>
      </c>
      <c r="BT2" s="3">
        <v>42441</v>
      </c>
      <c r="BU2" s="3">
        <v>42442</v>
      </c>
      <c r="BV2" s="3">
        <v>42443</v>
      </c>
      <c r="BW2" s="3">
        <v>42444</v>
      </c>
      <c r="BX2" s="3">
        <v>42445</v>
      </c>
      <c r="BY2" s="3">
        <v>42446</v>
      </c>
      <c r="BZ2" s="3">
        <v>42447</v>
      </c>
      <c r="CA2" s="3">
        <v>42448</v>
      </c>
      <c r="CB2" s="3">
        <v>42449</v>
      </c>
      <c r="CC2" s="3">
        <v>42450</v>
      </c>
      <c r="CD2" s="3">
        <v>42451</v>
      </c>
      <c r="CE2" s="3">
        <v>42452</v>
      </c>
      <c r="CF2" s="3">
        <v>42453</v>
      </c>
      <c r="CG2" s="3">
        <v>42454</v>
      </c>
      <c r="CH2" s="3">
        <v>42455</v>
      </c>
      <c r="CI2" s="3">
        <v>42456</v>
      </c>
      <c r="CJ2" s="3">
        <v>42457</v>
      </c>
      <c r="CK2" s="3">
        <v>42458</v>
      </c>
      <c r="CL2" s="3">
        <v>42459</v>
      </c>
      <c r="CM2" s="3">
        <v>42460</v>
      </c>
      <c r="CN2" s="3">
        <v>42461</v>
      </c>
      <c r="CO2" s="3">
        <v>42462</v>
      </c>
      <c r="CP2" s="3">
        <v>42463</v>
      </c>
      <c r="CQ2" s="3">
        <v>42464</v>
      </c>
      <c r="CR2" s="3">
        <v>42465</v>
      </c>
      <c r="CS2" s="3">
        <v>42466</v>
      </c>
      <c r="CT2" s="3">
        <v>42467</v>
      </c>
      <c r="CU2" s="3">
        <v>42468</v>
      </c>
      <c r="CV2" s="3">
        <v>42469</v>
      </c>
      <c r="CW2" s="3">
        <v>42470</v>
      </c>
      <c r="CX2" s="3">
        <v>42471</v>
      </c>
      <c r="CY2" s="3">
        <v>42472</v>
      </c>
      <c r="CZ2" s="3">
        <v>42473</v>
      </c>
      <c r="DA2" s="3">
        <v>42474</v>
      </c>
      <c r="DB2" s="3">
        <v>42475</v>
      </c>
      <c r="DC2" s="3">
        <v>42476</v>
      </c>
      <c r="DD2" s="3">
        <v>42477</v>
      </c>
      <c r="DE2" s="3">
        <v>42478</v>
      </c>
      <c r="DF2" s="3">
        <v>42479</v>
      </c>
      <c r="DG2" s="3">
        <v>42480</v>
      </c>
      <c r="DH2" s="3">
        <v>42481</v>
      </c>
      <c r="DI2" s="3">
        <v>42482</v>
      </c>
      <c r="DJ2" s="3">
        <v>42483</v>
      </c>
      <c r="DK2" s="3">
        <v>42484</v>
      </c>
      <c r="DL2" s="3">
        <v>42485</v>
      </c>
      <c r="DM2" s="3">
        <v>42486</v>
      </c>
      <c r="DN2" s="3">
        <v>42487</v>
      </c>
      <c r="DO2" s="3">
        <v>42488</v>
      </c>
      <c r="DP2" s="3">
        <v>42489</v>
      </c>
      <c r="DQ2" s="3">
        <v>42490</v>
      </c>
      <c r="DR2" s="3">
        <v>42491</v>
      </c>
      <c r="DS2" s="3">
        <v>42492</v>
      </c>
      <c r="DT2" s="3">
        <v>42493</v>
      </c>
      <c r="DU2" s="3">
        <v>42494</v>
      </c>
      <c r="DV2" s="3">
        <v>42495</v>
      </c>
      <c r="DW2" s="3">
        <v>42496</v>
      </c>
      <c r="DX2" s="3">
        <v>42497</v>
      </c>
      <c r="DY2" s="3">
        <v>42498</v>
      </c>
      <c r="DZ2" s="3">
        <v>42499</v>
      </c>
      <c r="EA2" s="3">
        <v>42500</v>
      </c>
      <c r="EB2" s="3">
        <v>42501</v>
      </c>
      <c r="EC2" s="3">
        <v>42502</v>
      </c>
      <c r="ED2" s="3">
        <v>42503</v>
      </c>
      <c r="EE2" s="3">
        <v>42504</v>
      </c>
      <c r="EF2" s="3">
        <v>42505</v>
      </c>
      <c r="EG2" s="3">
        <v>42506</v>
      </c>
      <c r="EH2" s="3">
        <v>42507</v>
      </c>
      <c r="EI2" s="3">
        <v>42508</v>
      </c>
      <c r="EJ2" s="3">
        <v>42509</v>
      </c>
      <c r="EK2" s="3">
        <v>42510</v>
      </c>
      <c r="EL2" s="3">
        <v>42511</v>
      </c>
      <c r="EM2" s="3">
        <v>42512</v>
      </c>
      <c r="EN2" s="3">
        <v>42513</v>
      </c>
      <c r="EO2" s="3">
        <v>42514</v>
      </c>
      <c r="EP2" s="3">
        <v>42515</v>
      </c>
      <c r="EQ2" s="3">
        <v>42516</v>
      </c>
      <c r="ER2" s="3">
        <v>42517</v>
      </c>
      <c r="ES2" s="3">
        <v>42518</v>
      </c>
      <c r="ET2" s="3">
        <v>42519</v>
      </c>
      <c r="EU2" s="3">
        <v>42520</v>
      </c>
      <c r="EV2" s="3">
        <v>42521</v>
      </c>
      <c r="EW2" s="3">
        <v>42522</v>
      </c>
      <c r="EX2" s="3">
        <v>42523</v>
      </c>
      <c r="EY2" s="3">
        <v>42524</v>
      </c>
      <c r="EZ2" s="3">
        <v>42525</v>
      </c>
      <c r="FA2" s="3">
        <v>42526</v>
      </c>
      <c r="FB2" s="3">
        <v>42527</v>
      </c>
      <c r="FC2" s="3">
        <v>42528</v>
      </c>
      <c r="FD2" s="3">
        <v>42529</v>
      </c>
      <c r="FE2" s="3">
        <v>42530</v>
      </c>
      <c r="FF2" s="3">
        <v>42531</v>
      </c>
      <c r="FG2" s="3">
        <v>42532</v>
      </c>
      <c r="FH2" s="3">
        <v>42533</v>
      </c>
      <c r="FI2" s="3">
        <v>42534</v>
      </c>
      <c r="FJ2" s="3">
        <v>42535</v>
      </c>
      <c r="FK2" s="3">
        <v>42536</v>
      </c>
      <c r="FL2" s="3">
        <v>42537</v>
      </c>
      <c r="FM2" s="3">
        <v>42538</v>
      </c>
      <c r="FN2" s="3">
        <v>42539</v>
      </c>
      <c r="FO2" s="3">
        <v>42540</v>
      </c>
      <c r="FP2" s="3">
        <v>42541</v>
      </c>
      <c r="FQ2" s="3">
        <v>42542</v>
      </c>
      <c r="FR2" s="3">
        <v>42543</v>
      </c>
      <c r="FS2" s="3">
        <v>42544</v>
      </c>
      <c r="FT2" s="3">
        <v>42545</v>
      </c>
      <c r="FU2" s="3">
        <v>42546</v>
      </c>
      <c r="FV2" s="3">
        <v>42547</v>
      </c>
      <c r="FW2" s="3">
        <v>42548</v>
      </c>
      <c r="FX2" s="3">
        <v>42549</v>
      </c>
      <c r="FY2" s="3">
        <v>42550</v>
      </c>
      <c r="FZ2" s="3">
        <v>42551</v>
      </c>
      <c r="GA2" s="3">
        <v>42552</v>
      </c>
      <c r="GB2" s="3">
        <v>42553</v>
      </c>
      <c r="GC2" s="3">
        <v>42554</v>
      </c>
      <c r="GD2" s="3">
        <v>42555</v>
      </c>
      <c r="GE2" s="3">
        <v>42556</v>
      </c>
      <c r="GF2" s="3">
        <v>42557</v>
      </c>
      <c r="GG2" s="3">
        <v>42558</v>
      </c>
      <c r="GH2" s="3">
        <v>42559</v>
      </c>
      <c r="GI2" s="3">
        <v>42560</v>
      </c>
      <c r="GJ2" s="3">
        <v>42561</v>
      </c>
      <c r="GK2" s="3">
        <v>42562</v>
      </c>
      <c r="GL2" s="3">
        <v>42563</v>
      </c>
      <c r="GM2" s="3">
        <v>42564</v>
      </c>
      <c r="GN2" s="3">
        <v>42565</v>
      </c>
      <c r="GO2" s="3">
        <v>42566</v>
      </c>
      <c r="GP2" s="3">
        <v>42567</v>
      </c>
      <c r="GQ2" s="3">
        <v>42568</v>
      </c>
      <c r="GR2" s="3">
        <v>42569</v>
      </c>
      <c r="GS2" s="3">
        <v>42570</v>
      </c>
      <c r="GT2" s="3">
        <v>42571</v>
      </c>
      <c r="GU2" s="3">
        <v>42572</v>
      </c>
      <c r="GV2" s="3">
        <v>42573</v>
      </c>
      <c r="GW2" s="3">
        <v>42574</v>
      </c>
      <c r="GX2" s="3">
        <v>42575</v>
      </c>
      <c r="GY2" s="3">
        <v>42576</v>
      </c>
      <c r="GZ2" s="3">
        <v>42577</v>
      </c>
      <c r="HA2" s="3">
        <v>42578</v>
      </c>
      <c r="HB2" s="3">
        <v>42579</v>
      </c>
      <c r="HC2" s="3">
        <v>42580</v>
      </c>
      <c r="HD2" s="3">
        <v>42581</v>
      </c>
      <c r="HE2" s="3">
        <v>42582</v>
      </c>
      <c r="HF2" s="3">
        <v>42583</v>
      </c>
      <c r="HG2" s="3">
        <v>42584</v>
      </c>
      <c r="HH2" s="3">
        <v>42585</v>
      </c>
      <c r="HI2" s="3">
        <v>42586</v>
      </c>
      <c r="HJ2" s="3">
        <v>42587</v>
      </c>
      <c r="HK2" s="3">
        <v>42588</v>
      </c>
      <c r="HL2" s="3">
        <v>42589</v>
      </c>
      <c r="HM2" s="3">
        <v>42590</v>
      </c>
      <c r="HN2" s="3">
        <v>42591</v>
      </c>
      <c r="HO2" s="3">
        <v>42592</v>
      </c>
      <c r="HP2" s="3">
        <v>42593</v>
      </c>
      <c r="HQ2" s="3">
        <v>42594</v>
      </c>
      <c r="HR2" s="3">
        <v>42595</v>
      </c>
      <c r="HS2" s="3">
        <v>42596</v>
      </c>
      <c r="HT2" s="3">
        <v>42597</v>
      </c>
      <c r="HU2" s="3">
        <v>42598</v>
      </c>
      <c r="HV2" s="3">
        <v>42599</v>
      </c>
      <c r="HW2" s="3">
        <v>42600</v>
      </c>
      <c r="HX2" s="3">
        <v>42601</v>
      </c>
      <c r="HY2" s="3">
        <v>42602</v>
      </c>
      <c r="HZ2" s="3">
        <v>42603</v>
      </c>
      <c r="IA2" s="3">
        <v>42604</v>
      </c>
      <c r="IB2" s="3">
        <v>42605</v>
      </c>
      <c r="IC2" s="3">
        <v>42606</v>
      </c>
      <c r="ID2" s="3">
        <v>42607</v>
      </c>
      <c r="IE2" s="3">
        <v>42608</v>
      </c>
      <c r="IF2" s="3">
        <v>42609</v>
      </c>
      <c r="IG2" s="3">
        <v>42610</v>
      </c>
      <c r="IH2" s="3">
        <v>42611</v>
      </c>
      <c r="II2" s="3">
        <v>42612</v>
      </c>
      <c r="IJ2" s="3">
        <v>42613</v>
      </c>
      <c r="IK2" s="3">
        <v>42614</v>
      </c>
      <c r="IL2" s="3">
        <v>42615</v>
      </c>
      <c r="IM2" s="3">
        <v>42616</v>
      </c>
      <c r="IN2" s="3">
        <v>42617</v>
      </c>
      <c r="IO2" s="3">
        <v>42618</v>
      </c>
      <c r="IP2" s="3">
        <v>42619</v>
      </c>
      <c r="IQ2" s="3">
        <v>42620</v>
      </c>
      <c r="IR2" s="3">
        <v>42621</v>
      </c>
      <c r="IS2" s="3">
        <v>42622</v>
      </c>
      <c r="IT2" s="3">
        <v>42623</v>
      </c>
      <c r="IU2" s="3">
        <v>42624</v>
      </c>
      <c r="IV2" s="3">
        <v>42625</v>
      </c>
      <c r="IW2" s="3">
        <v>42626</v>
      </c>
      <c r="IX2" s="3">
        <v>42627</v>
      </c>
      <c r="IY2" s="3">
        <v>42628</v>
      </c>
      <c r="IZ2" s="3">
        <v>42629</v>
      </c>
      <c r="JA2" s="3">
        <v>42630</v>
      </c>
      <c r="JB2" s="3">
        <v>42631</v>
      </c>
      <c r="JC2" s="3">
        <v>42632</v>
      </c>
      <c r="JD2" s="3">
        <v>42633</v>
      </c>
      <c r="JE2" s="3">
        <v>42634</v>
      </c>
      <c r="JF2" s="3">
        <v>42635</v>
      </c>
      <c r="JG2" s="3">
        <v>42636</v>
      </c>
      <c r="JH2" s="3">
        <v>42637</v>
      </c>
      <c r="JI2" s="3">
        <v>42638</v>
      </c>
      <c r="JJ2" s="3">
        <v>42639</v>
      </c>
      <c r="JK2" s="3">
        <v>42640</v>
      </c>
      <c r="JL2" s="3">
        <v>42641</v>
      </c>
      <c r="JM2" s="3">
        <v>42642</v>
      </c>
      <c r="JN2" s="3">
        <v>42643</v>
      </c>
      <c r="JO2" s="3">
        <v>42644</v>
      </c>
      <c r="JP2" s="3">
        <v>42645</v>
      </c>
      <c r="JQ2" s="3">
        <v>42646</v>
      </c>
      <c r="JR2" s="3">
        <v>42647</v>
      </c>
      <c r="JS2" s="3">
        <v>42648</v>
      </c>
      <c r="JT2" s="3">
        <v>42649</v>
      </c>
      <c r="JU2" s="3">
        <v>42650</v>
      </c>
      <c r="JV2" s="3">
        <v>42651</v>
      </c>
      <c r="JW2" s="3">
        <v>42652</v>
      </c>
      <c r="JX2" s="3">
        <v>42653</v>
      </c>
      <c r="JY2" s="3">
        <v>42654</v>
      </c>
      <c r="JZ2" s="3">
        <v>42655</v>
      </c>
      <c r="KA2" s="3">
        <v>42656</v>
      </c>
      <c r="KB2" s="3">
        <v>42657</v>
      </c>
      <c r="KC2" s="3">
        <v>42658</v>
      </c>
      <c r="KD2" s="3">
        <v>42659</v>
      </c>
      <c r="KE2" s="3">
        <v>42660</v>
      </c>
      <c r="KF2" s="3">
        <v>42661</v>
      </c>
      <c r="KG2" s="3">
        <v>42662</v>
      </c>
      <c r="KH2" s="3">
        <v>42663</v>
      </c>
      <c r="KI2" s="3">
        <v>42664</v>
      </c>
      <c r="KJ2" s="3">
        <v>42665</v>
      </c>
      <c r="KK2" s="3">
        <v>42666</v>
      </c>
      <c r="KL2" s="3">
        <v>42667</v>
      </c>
      <c r="KM2" s="3">
        <v>42668</v>
      </c>
      <c r="KN2" s="3">
        <v>42669</v>
      </c>
      <c r="KO2" s="3">
        <v>42670</v>
      </c>
      <c r="KP2" s="3">
        <v>42671</v>
      </c>
      <c r="KQ2" s="3">
        <v>42672</v>
      </c>
      <c r="KR2" s="3">
        <v>42673</v>
      </c>
      <c r="KS2" s="3">
        <v>42674</v>
      </c>
      <c r="KT2" s="3">
        <v>42675</v>
      </c>
      <c r="KU2" s="3">
        <v>42676</v>
      </c>
      <c r="KV2" s="3">
        <v>42677</v>
      </c>
      <c r="KW2" s="3">
        <v>42678</v>
      </c>
      <c r="KX2" s="3">
        <v>42679</v>
      </c>
      <c r="KY2" s="3">
        <v>42680</v>
      </c>
      <c r="KZ2" s="3">
        <v>42681</v>
      </c>
      <c r="LA2" s="3">
        <v>42682</v>
      </c>
      <c r="LB2" s="3">
        <v>42683</v>
      </c>
      <c r="LC2" s="3">
        <v>42684</v>
      </c>
      <c r="LD2" s="3">
        <v>42685</v>
      </c>
      <c r="LE2" s="3">
        <v>42686</v>
      </c>
      <c r="LF2" s="3">
        <v>42687</v>
      </c>
      <c r="LG2" s="3">
        <v>42688</v>
      </c>
      <c r="LH2" s="3">
        <v>42689</v>
      </c>
      <c r="LI2" s="3">
        <v>42690</v>
      </c>
      <c r="LJ2" s="3">
        <v>42691</v>
      </c>
      <c r="LK2" s="3">
        <v>42692</v>
      </c>
      <c r="LL2" s="3">
        <v>42693</v>
      </c>
      <c r="LM2" s="3">
        <v>42694</v>
      </c>
      <c r="LN2" s="3">
        <v>42695</v>
      </c>
      <c r="LO2" s="3">
        <v>42696</v>
      </c>
      <c r="LP2" s="3">
        <v>42697</v>
      </c>
      <c r="LQ2" s="3">
        <v>42698</v>
      </c>
      <c r="LR2" s="3">
        <v>42699</v>
      </c>
      <c r="LS2" s="3">
        <v>42700</v>
      </c>
      <c r="LT2" s="3">
        <v>42701</v>
      </c>
      <c r="LU2" s="3">
        <v>42702</v>
      </c>
      <c r="LV2" s="3">
        <v>42703</v>
      </c>
      <c r="LW2" s="3">
        <v>42704</v>
      </c>
      <c r="LX2" s="3">
        <v>42705</v>
      </c>
      <c r="LY2" s="3">
        <v>42706</v>
      </c>
      <c r="LZ2" s="3">
        <v>42707</v>
      </c>
      <c r="MA2" s="3">
        <v>42708</v>
      </c>
      <c r="MB2" s="3">
        <v>42709</v>
      </c>
      <c r="MC2" s="3">
        <v>42710</v>
      </c>
      <c r="MD2" s="3">
        <v>42711</v>
      </c>
      <c r="ME2" s="3">
        <v>42712</v>
      </c>
      <c r="MF2" s="3">
        <v>42713</v>
      </c>
      <c r="MG2" s="3">
        <v>42714</v>
      </c>
      <c r="MH2" s="3">
        <v>42715</v>
      </c>
      <c r="MI2" s="3">
        <v>42716</v>
      </c>
      <c r="MJ2" s="3">
        <v>42717</v>
      </c>
      <c r="MK2" s="3">
        <v>42718</v>
      </c>
      <c r="ML2" s="3">
        <v>42719</v>
      </c>
      <c r="MM2" s="3">
        <v>42720</v>
      </c>
      <c r="MN2" s="3">
        <v>42721</v>
      </c>
      <c r="MO2" s="3">
        <v>42722</v>
      </c>
      <c r="MP2" s="3">
        <v>42723</v>
      </c>
      <c r="MQ2" s="3">
        <v>42724</v>
      </c>
      <c r="MR2" s="3">
        <v>42725</v>
      </c>
      <c r="MS2" s="3">
        <v>42726</v>
      </c>
      <c r="MT2" s="3">
        <v>42727</v>
      </c>
      <c r="MU2" s="3">
        <v>42728</v>
      </c>
      <c r="MV2" s="3">
        <v>42729</v>
      </c>
      <c r="MW2" s="3">
        <v>42730</v>
      </c>
      <c r="MX2" s="3">
        <v>42731</v>
      </c>
      <c r="MY2" s="3">
        <v>42732</v>
      </c>
      <c r="MZ2" s="3">
        <v>42733</v>
      </c>
      <c r="NA2" s="3">
        <v>42734</v>
      </c>
      <c r="NB2" s="3">
        <v>42735</v>
      </c>
      <c r="NC2" s="2"/>
      <c r="ND2" s="2"/>
      <c r="NE2" s="2"/>
      <c r="NF2" s="2"/>
      <c r="NG2" s="2"/>
      <c r="NH2" s="2"/>
      <c r="NI2" s="2"/>
      <c r="NJ2" s="2"/>
      <c r="NK2" s="2"/>
      <c r="NL2" s="2"/>
      <c r="NM2" s="2"/>
      <c r="NN2" s="2"/>
      <c r="NO2" s="2"/>
      <c r="NP2" s="8" t="s">
        <v>19</v>
      </c>
      <c r="NQ2" s="2"/>
      <c r="NR2" s="4"/>
      <c r="NS2" s="2"/>
      <c r="NT2" s="4"/>
      <c r="NU2" s="4"/>
      <c r="NV2" s="9" t="s">
        <v>20</v>
      </c>
      <c r="NW2" s="9" t="s">
        <v>31</v>
      </c>
      <c r="NX2" s="9" t="s">
        <v>27</v>
      </c>
      <c r="NY2" s="9" t="s">
        <v>32</v>
      </c>
      <c r="NZ2" s="9" t="s">
        <v>27</v>
      </c>
      <c r="OA2" s="9"/>
      <c r="OB2" s="9" t="s">
        <v>27</v>
      </c>
      <c r="OC2" s="9"/>
      <c r="OD2" s="9" t="s">
        <v>27</v>
      </c>
      <c r="OE2" s="9" t="s">
        <v>35</v>
      </c>
      <c r="OF2" s="1" t="s">
        <v>34</v>
      </c>
      <c r="OG2" s="1">
        <v>428000</v>
      </c>
    </row>
    <row r="3" spans="1:397" x14ac:dyDescent="0.15">
      <c r="A3" s="2">
        <v>1950</v>
      </c>
      <c r="B3" s="6"/>
      <c r="C3" s="6"/>
      <c r="D3" s="6"/>
      <c r="E3" s="6"/>
      <c r="F3" s="6"/>
      <c r="G3" s="6"/>
      <c r="H3" s="6"/>
      <c r="I3" s="6"/>
      <c r="J3" s="6"/>
      <c r="K3" s="6"/>
      <c r="L3" s="6"/>
      <c r="M3" s="6"/>
      <c r="N3" s="6"/>
      <c r="O3" s="6"/>
      <c r="P3" s="6"/>
      <c r="Q3" s="6"/>
      <c r="R3" s="6"/>
      <c r="S3" s="6"/>
      <c r="T3" s="6"/>
      <c r="U3" s="6"/>
      <c r="V3" s="6"/>
      <c r="W3" s="6"/>
      <c r="X3" s="6"/>
      <c r="Y3" s="6"/>
      <c r="Z3" s="6"/>
      <c r="AA3" s="6"/>
      <c r="AB3" s="6"/>
      <c r="AC3" s="6"/>
      <c r="AD3" s="6"/>
      <c r="AE3" s="6"/>
      <c r="AF3" s="6"/>
      <c r="AG3" s="6"/>
      <c r="AH3" s="6"/>
      <c r="AI3" s="6"/>
      <c r="AJ3" s="6"/>
      <c r="AK3" s="6"/>
      <c r="AL3" s="6"/>
      <c r="AM3" s="6"/>
      <c r="AN3" s="6"/>
      <c r="AO3" s="6"/>
      <c r="AP3" s="6"/>
      <c r="AQ3" s="6"/>
      <c r="AR3" s="6"/>
      <c r="AS3" s="6"/>
      <c r="AT3" s="6"/>
      <c r="AU3" s="6"/>
      <c r="AV3" s="6"/>
      <c r="AW3" s="6"/>
      <c r="AX3" s="6"/>
      <c r="AY3" s="6"/>
      <c r="AZ3" s="6"/>
      <c r="BA3" s="6"/>
      <c r="BB3" s="6"/>
      <c r="BC3" s="6"/>
      <c r="BD3" s="6"/>
      <c r="BE3" s="6"/>
      <c r="BF3" s="6"/>
      <c r="BG3" s="6"/>
      <c r="BH3" s="6"/>
      <c r="BI3" s="6"/>
      <c r="BJ3" s="6"/>
      <c r="BK3" s="6"/>
      <c r="BL3" s="6"/>
      <c r="BM3" s="6"/>
      <c r="BN3" s="6"/>
      <c r="BO3" s="6"/>
      <c r="BP3" s="6"/>
      <c r="BQ3" s="6"/>
      <c r="BR3" s="6"/>
      <c r="BS3" s="6"/>
      <c r="BT3" s="6"/>
      <c r="BU3" s="6"/>
      <c r="BV3" s="6"/>
      <c r="BW3" s="6"/>
      <c r="BX3" s="6"/>
      <c r="BY3" s="6"/>
      <c r="BZ3" s="6"/>
      <c r="CA3" s="6"/>
      <c r="CB3" s="6"/>
      <c r="CC3" s="6"/>
      <c r="CD3" s="6"/>
      <c r="CE3" s="6"/>
      <c r="CF3" s="6"/>
      <c r="CG3" s="6"/>
      <c r="CH3" s="6"/>
      <c r="CI3" s="6"/>
      <c r="CJ3" s="6"/>
      <c r="CK3" s="6"/>
      <c r="CL3" s="6"/>
      <c r="CM3" s="6"/>
      <c r="CN3" s="6"/>
      <c r="CO3" s="6"/>
      <c r="CP3" s="6"/>
      <c r="CQ3" s="6"/>
      <c r="CR3" s="6"/>
      <c r="CS3" s="6"/>
      <c r="CT3" s="6"/>
      <c r="CU3" s="6"/>
      <c r="CV3" s="6"/>
      <c r="CW3" s="6"/>
      <c r="CX3" s="6"/>
      <c r="CY3" s="6"/>
      <c r="CZ3" s="6"/>
      <c r="DA3" s="6"/>
      <c r="DB3" s="6"/>
      <c r="DC3" s="6"/>
      <c r="DD3" s="6"/>
      <c r="DE3" s="6"/>
      <c r="DF3" s="6"/>
      <c r="DG3" s="6"/>
      <c r="DH3" s="6"/>
      <c r="DI3" s="6"/>
      <c r="DJ3" s="6"/>
      <c r="DK3" s="6"/>
      <c r="DL3" s="6"/>
      <c r="DM3" s="6"/>
      <c r="DN3" s="6"/>
      <c r="DO3" s="6"/>
      <c r="DP3" s="6"/>
      <c r="DQ3" s="6"/>
      <c r="DR3" s="6"/>
      <c r="DS3" s="6"/>
      <c r="DT3" s="6"/>
      <c r="DU3" s="6"/>
      <c r="DV3" s="6"/>
      <c r="DW3" s="6"/>
      <c r="DX3" s="6"/>
      <c r="DY3" s="6"/>
      <c r="DZ3" s="6"/>
      <c r="EA3" s="6"/>
      <c r="EB3" s="6"/>
      <c r="EC3" s="6"/>
      <c r="ED3" s="6"/>
      <c r="EE3" s="6"/>
      <c r="EF3" s="6"/>
      <c r="EG3" s="6"/>
      <c r="EH3" s="6"/>
      <c r="EI3" s="6"/>
      <c r="EJ3" s="6"/>
      <c r="EK3" s="6"/>
      <c r="EL3" s="6"/>
      <c r="EM3" s="6"/>
      <c r="EN3" s="6"/>
      <c r="EO3" s="6"/>
      <c r="EP3" s="6"/>
      <c r="EQ3" s="6"/>
      <c r="ER3" s="6"/>
      <c r="ES3" s="6"/>
      <c r="ET3" s="6"/>
      <c r="EU3" s="6"/>
      <c r="EV3" s="6"/>
      <c r="EW3" s="6"/>
      <c r="EX3" s="6"/>
      <c r="EY3" s="6"/>
      <c r="EZ3" s="6"/>
      <c r="FA3" s="6"/>
      <c r="FB3" s="6"/>
      <c r="FC3" s="6"/>
      <c r="FD3" s="6"/>
      <c r="FE3" s="6"/>
      <c r="FF3" s="6"/>
      <c r="FG3" s="6"/>
      <c r="FH3" s="6"/>
      <c r="FI3" s="6"/>
      <c r="FJ3" s="6"/>
      <c r="FK3" s="6"/>
      <c r="FL3" s="6"/>
      <c r="FM3" s="6"/>
      <c r="FN3" s="6"/>
      <c r="FO3" s="6"/>
      <c r="FP3" s="6"/>
      <c r="FQ3" s="6"/>
      <c r="FR3" s="6"/>
      <c r="FS3" s="6"/>
      <c r="FT3" s="6"/>
      <c r="FU3" s="6"/>
      <c r="FV3" s="6"/>
      <c r="FW3" s="6"/>
      <c r="FX3" s="6"/>
      <c r="FY3" s="6"/>
      <c r="FZ3" s="6"/>
      <c r="GA3" s="6"/>
      <c r="GB3" s="6"/>
      <c r="GC3" s="6"/>
      <c r="GD3" s="6"/>
      <c r="GE3" s="6"/>
      <c r="GF3" s="6"/>
      <c r="GG3" s="6"/>
      <c r="GH3" s="6"/>
      <c r="GI3" s="6"/>
      <c r="GJ3" s="6"/>
      <c r="GK3" s="6"/>
      <c r="GL3" s="6"/>
      <c r="GM3" s="6"/>
      <c r="GN3" s="6"/>
      <c r="GO3" s="6"/>
      <c r="GP3" s="6"/>
      <c r="GQ3" s="6"/>
      <c r="GR3" s="6"/>
      <c r="GS3" s="6"/>
      <c r="GT3" s="6"/>
      <c r="GU3" s="6"/>
      <c r="GV3" s="6"/>
      <c r="GW3" s="6"/>
      <c r="GX3" s="6"/>
      <c r="GY3" s="6"/>
      <c r="GZ3" s="6"/>
      <c r="HA3" s="6"/>
      <c r="HB3" s="6"/>
      <c r="HC3" s="6"/>
      <c r="HD3" s="6"/>
      <c r="HE3" s="6"/>
      <c r="HF3" s="6"/>
      <c r="HG3" s="6"/>
      <c r="HH3" s="6"/>
      <c r="HI3" s="6"/>
      <c r="HJ3" s="6"/>
      <c r="HK3" s="6"/>
      <c r="HL3" s="6"/>
      <c r="HM3" s="6"/>
      <c r="HN3" s="6"/>
      <c r="HO3" s="6"/>
      <c r="HP3" s="6"/>
      <c r="HQ3" s="6"/>
      <c r="HR3" s="6"/>
      <c r="HS3" s="6"/>
      <c r="HT3" s="6"/>
      <c r="HU3" s="6"/>
      <c r="HV3" s="6"/>
      <c r="HW3" s="6"/>
      <c r="HX3" s="6"/>
      <c r="HY3" s="6"/>
      <c r="HZ3" s="6"/>
      <c r="IA3" s="6"/>
      <c r="IB3" s="6"/>
      <c r="IC3" s="6"/>
      <c r="ID3" s="6"/>
      <c r="IE3" s="6"/>
      <c r="IF3" s="6"/>
      <c r="IG3" s="6"/>
      <c r="IH3" s="6"/>
      <c r="II3" s="6"/>
      <c r="IJ3" s="6"/>
      <c r="IK3" s="6"/>
      <c r="IL3" s="6"/>
      <c r="IM3" s="6"/>
      <c r="IN3" s="6"/>
      <c r="IO3" s="6"/>
      <c r="IP3" s="6"/>
      <c r="IQ3" s="6"/>
      <c r="IR3" s="6"/>
      <c r="IS3" s="6"/>
      <c r="IT3" s="6"/>
      <c r="IU3" s="6"/>
      <c r="IV3" s="6"/>
      <c r="IW3" s="6"/>
      <c r="IX3" s="6"/>
      <c r="IY3" s="6"/>
      <c r="IZ3" s="6"/>
      <c r="JA3" s="6"/>
      <c r="JB3" s="6"/>
      <c r="JC3" s="6"/>
      <c r="JD3" s="6"/>
      <c r="JE3" s="6"/>
      <c r="JF3" s="6"/>
      <c r="JG3" s="6"/>
      <c r="JH3" s="6"/>
      <c r="JI3" s="6"/>
      <c r="JJ3" s="6"/>
      <c r="JK3" s="6"/>
      <c r="JL3" s="6"/>
      <c r="JM3" s="6"/>
      <c r="JN3" s="6"/>
      <c r="JO3" s="6"/>
      <c r="JP3" s="6"/>
      <c r="JQ3" s="6"/>
      <c r="JR3" s="6"/>
      <c r="JS3" s="6"/>
      <c r="JT3" s="6"/>
      <c r="JU3" s="6"/>
      <c r="JV3" s="6"/>
      <c r="JW3" s="6"/>
      <c r="JX3" s="6"/>
      <c r="JY3" s="6"/>
      <c r="JZ3" s="6"/>
      <c r="KA3" s="6"/>
      <c r="KB3" s="6"/>
      <c r="KC3" s="6"/>
      <c r="KD3" s="6"/>
      <c r="KE3" s="6"/>
      <c r="KF3" s="6"/>
      <c r="KG3" s="6"/>
      <c r="KH3" s="6"/>
      <c r="KI3" s="6"/>
      <c r="KJ3" s="6"/>
      <c r="KK3" s="6"/>
      <c r="KL3" s="6"/>
      <c r="KM3" s="6"/>
      <c r="KN3" s="6"/>
      <c r="KO3" s="6"/>
      <c r="KP3" s="6"/>
      <c r="KQ3" s="6"/>
      <c r="KR3" s="6"/>
      <c r="KS3" s="6"/>
      <c r="KT3" s="6"/>
      <c r="KU3" s="6"/>
      <c r="KV3" s="6"/>
      <c r="KW3" s="6"/>
      <c r="KX3" s="6"/>
      <c r="KY3" s="6"/>
      <c r="KZ3" s="6"/>
      <c r="LA3" s="6"/>
      <c r="LB3" s="6"/>
      <c r="LC3" s="6"/>
      <c r="LD3" s="6"/>
      <c r="LE3" s="6"/>
      <c r="LF3" s="6"/>
      <c r="LG3" s="6"/>
      <c r="LH3" s="6"/>
      <c r="LI3" s="6"/>
      <c r="LJ3" s="6"/>
      <c r="LK3" s="6"/>
      <c r="LL3" s="6"/>
      <c r="LM3" s="6"/>
      <c r="LN3" s="6"/>
      <c r="LO3" s="6"/>
      <c r="LP3" s="6"/>
      <c r="LQ3" s="6"/>
      <c r="LR3" s="6"/>
      <c r="LS3" s="6"/>
      <c r="LT3" s="6"/>
      <c r="LU3" s="6"/>
      <c r="LV3" s="6"/>
      <c r="LW3" s="6"/>
      <c r="LX3" s="6"/>
      <c r="LY3" s="6"/>
      <c r="LZ3" s="6"/>
      <c r="MA3" s="6"/>
      <c r="MB3" s="6"/>
      <c r="MC3" s="6"/>
      <c r="MD3" s="6"/>
      <c r="ME3" s="6"/>
      <c r="MF3" s="6"/>
      <c r="MG3" s="6"/>
      <c r="MH3" s="6"/>
      <c r="MI3" s="6"/>
      <c r="MJ3" s="6"/>
      <c r="MK3" s="6"/>
      <c r="ML3" s="6"/>
      <c r="MM3" s="6"/>
      <c r="MN3" s="6"/>
      <c r="MO3" s="6"/>
      <c r="MP3" s="6"/>
      <c r="MQ3" s="6"/>
      <c r="MR3" s="6"/>
      <c r="MS3" s="6"/>
      <c r="MT3" s="6"/>
      <c r="MU3" s="6"/>
      <c r="MV3" s="6"/>
      <c r="MW3" s="6"/>
      <c r="MX3" s="6"/>
      <c r="MY3" s="6"/>
      <c r="MZ3" s="6"/>
      <c r="NA3" s="6"/>
      <c r="NB3" s="6"/>
      <c r="NC3" s="6"/>
      <c r="ND3" s="6"/>
      <c r="NE3" s="6"/>
      <c r="NF3" s="6"/>
      <c r="NG3" s="6"/>
      <c r="NH3" s="6"/>
      <c r="NI3" s="6"/>
      <c r="NJ3" s="6"/>
      <c r="NK3" s="6"/>
      <c r="NL3" s="6"/>
      <c r="NM3" s="6"/>
      <c r="NN3" s="6"/>
      <c r="NO3" s="6"/>
      <c r="NP3" s="14"/>
      <c r="NQ3" s="6"/>
      <c r="NR3" s="4"/>
      <c r="NS3" s="6"/>
      <c r="NT3" s="4"/>
      <c r="NU3" s="7"/>
      <c r="NW3" s="13"/>
      <c r="NX3" s="12"/>
      <c r="NY3" s="13"/>
      <c r="NZ3" s="12"/>
      <c r="OA3" s="13"/>
      <c r="OB3" s="12"/>
      <c r="OC3" s="13"/>
      <c r="OD3" s="12"/>
      <c r="OE3" s="12"/>
      <c r="OF3" s="12"/>
    </row>
    <row r="4" spans="1:397" x14ac:dyDescent="0.15">
      <c r="A4" s="2">
        <v>1951</v>
      </c>
      <c r="B4" s="6"/>
      <c r="C4" s="6"/>
      <c r="D4" s="6"/>
      <c r="E4" s="6"/>
      <c r="F4" s="6"/>
      <c r="G4" s="6"/>
      <c r="H4" s="6"/>
      <c r="I4" s="6"/>
      <c r="J4" s="6"/>
      <c r="K4" s="6"/>
      <c r="L4" s="6"/>
      <c r="M4" s="6"/>
      <c r="N4" s="6"/>
      <c r="O4" s="6"/>
      <c r="P4" s="6"/>
      <c r="Q4" s="6"/>
      <c r="R4" s="6"/>
      <c r="S4" s="6"/>
      <c r="T4" s="6"/>
      <c r="U4" s="6"/>
      <c r="V4" s="6"/>
      <c r="W4" s="6"/>
      <c r="X4" s="6"/>
      <c r="Y4" s="6"/>
      <c r="Z4" s="6"/>
      <c r="AA4" s="6"/>
      <c r="AB4" s="6"/>
      <c r="AC4" s="6"/>
      <c r="AD4" s="6"/>
      <c r="AE4" s="6"/>
      <c r="AF4" s="6"/>
      <c r="AG4" s="6"/>
      <c r="AH4" s="6"/>
      <c r="AI4" s="6"/>
      <c r="AJ4" s="6"/>
      <c r="AK4" s="6"/>
      <c r="AL4" s="6"/>
      <c r="AM4" s="6"/>
      <c r="AN4" s="6"/>
      <c r="AO4" s="6"/>
      <c r="AP4" s="6"/>
      <c r="AQ4" s="6"/>
      <c r="AR4" s="6"/>
      <c r="AS4" s="6"/>
      <c r="AT4" s="6"/>
      <c r="AU4" s="6"/>
      <c r="AV4" s="6"/>
      <c r="AW4" s="6"/>
      <c r="AX4" s="6"/>
      <c r="AY4" s="6"/>
      <c r="AZ4" s="6"/>
      <c r="BA4" s="6"/>
      <c r="BB4" s="6"/>
      <c r="BC4" s="6"/>
      <c r="BD4" s="6"/>
      <c r="BE4" s="6"/>
      <c r="BF4" s="6"/>
      <c r="BG4" s="6"/>
      <c r="BH4" s="6"/>
      <c r="BI4" s="6"/>
      <c r="BJ4" s="6"/>
      <c r="BK4" s="6"/>
      <c r="BL4" s="6"/>
      <c r="BM4" s="6"/>
      <c r="BN4" s="6"/>
      <c r="BO4" s="6"/>
      <c r="BP4" s="6"/>
      <c r="BQ4" s="6"/>
      <c r="BR4" s="6"/>
      <c r="BS4" s="6"/>
      <c r="BT4" s="6"/>
      <c r="BU4" s="6"/>
      <c r="BV4" s="6"/>
      <c r="BW4" s="6"/>
      <c r="BX4" s="6"/>
      <c r="BY4" s="6"/>
      <c r="BZ4" s="6"/>
      <c r="CA4" s="6"/>
      <c r="CB4" s="6"/>
      <c r="CC4" s="6"/>
      <c r="CD4" s="6"/>
      <c r="CE4" s="6"/>
      <c r="CF4" s="6"/>
      <c r="CG4" s="6"/>
      <c r="CH4" s="6"/>
      <c r="CI4" s="6"/>
      <c r="CJ4" s="6"/>
      <c r="CK4" s="6"/>
      <c r="CL4" s="6"/>
      <c r="CM4" s="6"/>
      <c r="CN4" s="6"/>
      <c r="CO4" s="6"/>
      <c r="CP4" s="6"/>
      <c r="CQ4" s="6"/>
      <c r="CR4" s="6"/>
      <c r="CS4" s="6"/>
      <c r="CT4" s="6"/>
      <c r="CU4" s="6"/>
      <c r="CV4" s="6"/>
      <c r="CW4" s="6"/>
      <c r="CX4" s="6"/>
      <c r="CY4" s="6"/>
      <c r="CZ4" s="6"/>
      <c r="DA4" s="6"/>
      <c r="DB4" s="6"/>
      <c r="DC4" s="6"/>
      <c r="DD4" s="6"/>
      <c r="DE4" s="6"/>
      <c r="DF4" s="6"/>
      <c r="DG4" s="6"/>
      <c r="DH4" s="6"/>
      <c r="DI4" s="6"/>
      <c r="DJ4" s="6"/>
      <c r="DK4" s="6"/>
      <c r="DL4" s="6"/>
      <c r="DM4" s="6"/>
      <c r="DN4" s="6"/>
      <c r="DO4" s="6"/>
      <c r="DP4" s="6"/>
      <c r="DQ4" s="6"/>
      <c r="DR4" s="6"/>
      <c r="DS4" s="6"/>
      <c r="DT4" s="6"/>
      <c r="DU4" s="6"/>
      <c r="DV4" s="6"/>
      <c r="DW4" s="6"/>
      <c r="DX4" s="6"/>
      <c r="DY4" s="6"/>
      <c r="DZ4" s="6"/>
      <c r="EA4" s="6"/>
      <c r="EB4" s="6"/>
      <c r="EC4" s="6"/>
      <c r="ED4" s="6"/>
      <c r="EE4" s="6"/>
      <c r="EF4" s="6"/>
      <c r="EG4" s="6"/>
      <c r="EH4" s="6"/>
      <c r="EI4" s="6"/>
      <c r="EJ4" s="6"/>
      <c r="EK4" s="6"/>
      <c r="EL4" s="6"/>
      <c r="EM4" s="6"/>
      <c r="EN4" s="6"/>
      <c r="EO4" s="6"/>
      <c r="EP4" s="6"/>
      <c r="EQ4" s="6"/>
      <c r="ER4" s="6"/>
      <c r="ES4" s="6"/>
      <c r="ET4" s="6"/>
      <c r="EU4" s="6"/>
      <c r="EV4" s="6"/>
      <c r="EW4" s="6"/>
      <c r="EX4" s="6"/>
      <c r="EY4" s="6"/>
      <c r="EZ4" s="6"/>
      <c r="FA4" s="6"/>
      <c r="FB4" s="6"/>
      <c r="FC4" s="6"/>
      <c r="FD4" s="6"/>
      <c r="FE4" s="6"/>
      <c r="FF4" s="6"/>
      <c r="FG4" s="6"/>
      <c r="FH4" s="6"/>
      <c r="FI4" s="6"/>
      <c r="FJ4" s="6"/>
      <c r="FK4" s="6"/>
      <c r="FL4" s="6"/>
      <c r="FM4" s="6"/>
      <c r="FN4" s="6"/>
      <c r="FO4" s="6"/>
      <c r="FP4" s="6"/>
      <c r="FQ4" s="6"/>
      <c r="FR4" s="6"/>
      <c r="FS4" s="6"/>
      <c r="FT4" s="6"/>
      <c r="FU4" s="6"/>
      <c r="FV4" s="6"/>
      <c r="FW4" s="6"/>
      <c r="FX4" s="6"/>
      <c r="FY4" s="6"/>
      <c r="FZ4" s="6"/>
      <c r="GA4" s="6"/>
      <c r="GB4" s="6"/>
      <c r="GC4" s="6"/>
      <c r="GD4" s="6"/>
      <c r="GE4" s="6"/>
      <c r="GF4" s="6"/>
      <c r="GG4" s="6"/>
      <c r="GH4" s="6"/>
      <c r="GI4" s="6"/>
      <c r="GJ4" s="6"/>
      <c r="GK4" s="6"/>
      <c r="GL4" s="6"/>
      <c r="GM4" s="6"/>
      <c r="GN4" s="6"/>
      <c r="GO4" s="6"/>
      <c r="GP4" s="6"/>
      <c r="GQ4" s="6"/>
      <c r="GR4" s="6"/>
      <c r="GS4" s="6"/>
      <c r="GT4" s="6"/>
      <c r="GU4" s="6"/>
      <c r="GV4" s="6"/>
      <c r="GW4" s="6"/>
      <c r="GX4" s="6"/>
      <c r="GY4" s="6"/>
      <c r="GZ4" s="6"/>
      <c r="HA4" s="6"/>
      <c r="HB4" s="6"/>
      <c r="HC4" s="6"/>
      <c r="HD4" s="6"/>
      <c r="HE4" s="6"/>
      <c r="HF4" s="6"/>
      <c r="HG4" s="6"/>
      <c r="HH4" s="6"/>
      <c r="HI4" s="6"/>
      <c r="HJ4" s="6"/>
      <c r="HK4" s="6"/>
      <c r="HL4" s="6"/>
      <c r="HM4" s="6"/>
      <c r="HN4" s="6"/>
      <c r="HO4" s="6"/>
      <c r="HP4" s="6"/>
      <c r="HQ4" s="6"/>
      <c r="HR4" s="6"/>
      <c r="HS4" s="6"/>
      <c r="HT4" s="6"/>
      <c r="HU4" s="6"/>
      <c r="HV4" s="6"/>
      <c r="HW4" s="6"/>
      <c r="HX4" s="6"/>
      <c r="HY4" s="6"/>
      <c r="HZ4" s="6"/>
      <c r="IA4" s="6"/>
      <c r="IB4" s="6"/>
      <c r="IC4" s="6"/>
      <c r="ID4" s="6"/>
      <c r="IE4" s="6"/>
      <c r="IF4" s="6"/>
      <c r="IG4" s="6"/>
      <c r="IH4" s="6"/>
      <c r="II4" s="6"/>
      <c r="IJ4" s="6"/>
      <c r="IK4" s="6"/>
      <c r="IL4" s="6"/>
      <c r="IM4" s="6"/>
      <c r="IN4" s="6"/>
      <c r="IO4" s="6"/>
      <c r="IP4" s="6"/>
      <c r="IQ4" s="6"/>
      <c r="IR4" s="6"/>
      <c r="IS4" s="6"/>
      <c r="IT4" s="6"/>
      <c r="IU4" s="6"/>
      <c r="IV4" s="6"/>
      <c r="IW4" s="6"/>
      <c r="IX4" s="6"/>
      <c r="IY4" s="6"/>
      <c r="IZ4" s="6"/>
      <c r="JA4" s="6"/>
      <c r="JB4" s="6"/>
      <c r="JC4" s="6"/>
      <c r="JD4" s="6"/>
      <c r="JE4" s="6"/>
      <c r="JF4" s="6"/>
      <c r="JG4" s="6"/>
      <c r="JH4" s="6"/>
      <c r="JI4" s="6"/>
      <c r="JJ4" s="6"/>
      <c r="JK4" s="6"/>
      <c r="JL4" s="6"/>
      <c r="JM4" s="6"/>
      <c r="JN4" s="6"/>
      <c r="JO4" s="6"/>
      <c r="JP4" s="6"/>
      <c r="JQ4" s="6"/>
      <c r="JR4" s="6"/>
      <c r="JS4" s="6"/>
      <c r="JT4" s="6"/>
      <c r="JU4" s="6"/>
      <c r="JV4" s="6"/>
      <c r="JW4" s="6"/>
      <c r="JX4" s="6"/>
      <c r="JY4" s="6"/>
      <c r="JZ4" s="6"/>
      <c r="KA4" s="6"/>
      <c r="KB4" s="6"/>
      <c r="KC4" s="6"/>
      <c r="KD4" s="6"/>
      <c r="KE4" s="6"/>
      <c r="KF4" s="6"/>
      <c r="KG4" s="6"/>
      <c r="KH4" s="6"/>
      <c r="KI4" s="6"/>
      <c r="KJ4" s="6"/>
      <c r="KK4" s="6"/>
      <c r="KL4" s="6"/>
      <c r="KM4" s="6"/>
      <c r="KN4" s="6"/>
      <c r="KO4" s="6"/>
      <c r="KP4" s="6"/>
      <c r="KQ4" s="6"/>
      <c r="KR4" s="6"/>
      <c r="KS4" s="6"/>
      <c r="KT4" s="6"/>
      <c r="KU4" s="6"/>
      <c r="KV4" s="6"/>
      <c r="KW4" s="6"/>
      <c r="KX4" s="6"/>
      <c r="KY4" s="6"/>
      <c r="KZ4" s="6"/>
      <c r="LA4" s="6"/>
      <c r="LB4" s="6"/>
      <c r="LC4" s="6"/>
      <c r="LD4" s="6"/>
      <c r="LE4" s="6"/>
      <c r="LF4" s="6"/>
      <c r="LG4" s="6"/>
      <c r="LH4" s="6"/>
      <c r="LI4" s="6"/>
      <c r="LJ4" s="6"/>
      <c r="LK4" s="6"/>
      <c r="LL4" s="6"/>
      <c r="LM4" s="6"/>
      <c r="LN4" s="6"/>
      <c r="LO4" s="6"/>
      <c r="LP4" s="6"/>
      <c r="LQ4" s="6"/>
      <c r="LR4" s="6"/>
      <c r="LS4" s="6"/>
      <c r="LT4" s="6"/>
      <c r="LU4" s="6"/>
      <c r="LV4" s="6"/>
      <c r="LW4" s="6"/>
      <c r="LX4" s="6"/>
      <c r="LY4" s="6"/>
      <c r="LZ4" s="6"/>
      <c r="MA4" s="6"/>
      <c r="MB4" s="6"/>
      <c r="MC4" s="6"/>
      <c r="MD4" s="6"/>
      <c r="ME4" s="6"/>
      <c r="MF4" s="6"/>
      <c r="MG4" s="6"/>
      <c r="MH4" s="6"/>
      <c r="MI4" s="6"/>
      <c r="MJ4" s="6"/>
      <c r="MK4" s="6"/>
      <c r="ML4" s="6"/>
      <c r="MM4" s="6"/>
      <c r="MN4" s="6"/>
      <c r="MO4" s="6"/>
      <c r="MP4" s="6"/>
      <c r="MQ4" s="6"/>
      <c r="MR4" s="6"/>
      <c r="MS4" s="6"/>
      <c r="MT4" s="6"/>
      <c r="MU4" s="6"/>
      <c r="MV4" s="6"/>
      <c r="MW4" s="6"/>
      <c r="MX4" s="6"/>
      <c r="MY4" s="6"/>
      <c r="MZ4" s="6"/>
      <c r="NA4" s="6"/>
      <c r="NB4" s="6"/>
      <c r="NC4" s="6"/>
      <c r="ND4" s="6"/>
      <c r="NE4" s="6"/>
      <c r="NF4" s="6"/>
      <c r="NG4" s="6"/>
      <c r="NH4" s="6"/>
      <c r="NI4" s="6"/>
      <c r="NJ4" s="6"/>
      <c r="NK4" s="6"/>
      <c r="NL4" s="6"/>
      <c r="NM4" s="6"/>
      <c r="NN4" s="6"/>
      <c r="NO4" s="6"/>
      <c r="NP4" s="14"/>
      <c r="NQ4" s="6"/>
      <c r="NR4" s="4"/>
      <c r="NS4" s="6"/>
      <c r="NT4" s="4"/>
      <c r="NU4" s="7"/>
      <c r="NW4" s="13"/>
      <c r="NX4" s="12"/>
      <c r="NY4" s="13"/>
      <c r="NZ4" s="12"/>
      <c r="OA4" s="13"/>
      <c r="OB4" s="12"/>
      <c r="OC4" s="13"/>
      <c r="OD4" s="12"/>
      <c r="OE4" s="12"/>
      <c r="OF4" s="12"/>
    </row>
    <row r="5" spans="1:397" x14ac:dyDescent="0.15">
      <c r="A5" s="2">
        <v>1952</v>
      </c>
      <c r="B5" s="6">
        <f>日流量!B5*24*3600/100000000</f>
        <v>1.3824000000000001</v>
      </c>
      <c r="C5" s="6">
        <f>日流量!C5*24*3600/100000000</f>
        <v>1.3824000000000001</v>
      </c>
      <c r="D5" s="6">
        <f>日流量!D5*24*3600/100000000</f>
        <v>1.3824000000000001</v>
      </c>
      <c r="E5" s="6">
        <f>日流量!E5*24*3600/100000000</f>
        <v>1.3824000000000001</v>
      </c>
      <c r="F5" s="6">
        <f>日流量!F5*24*3600/100000000</f>
        <v>1.3824000000000001</v>
      </c>
      <c r="G5" s="6">
        <f>日流量!G5*24*3600/100000000</f>
        <v>1.3737600000000001</v>
      </c>
      <c r="H5" s="6">
        <f>日流量!H5*24*3600/100000000</f>
        <v>1.3737600000000001</v>
      </c>
      <c r="I5" s="6">
        <f>日流量!I5*24*3600/100000000</f>
        <v>1.3651199999999999</v>
      </c>
      <c r="J5" s="6">
        <f>日流量!J5*24*3600/100000000</f>
        <v>1.3478399999999999</v>
      </c>
      <c r="K5" s="6">
        <f>日流量!K5*24*3600/100000000</f>
        <v>1.3391999999999999</v>
      </c>
      <c r="L5" s="6">
        <f>日流量!L5*24*3600/100000000</f>
        <v>1.33056</v>
      </c>
      <c r="M5" s="6">
        <f>日流量!M5*24*3600/100000000</f>
        <v>1.33056</v>
      </c>
      <c r="N5" s="6">
        <f>日流量!N5*24*3600/100000000</f>
        <v>1.31328</v>
      </c>
      <c r="O5" s="6">
        <f>日流量!O5*24*3600/100000000</f>
        <v>1.30464</v>
      </c>
      <c r="P5" s="6">
        <f>日流量!P5*24*3600/100000000</f>
        <v>1.2873600000000001</v>
      </c>
      <c r="Q5" s="6">
        <f>日流量!Q5*24*3600/100000000</f>
        <v>1.2787200000000001</v>
      </c>
      <c r="R5" s="6">
        <f>日流量!R5*24*3600/100000000</f>
        <v>1.2787200000000001</v>
      </c>
      <c r="S5" s="6">
        <f>日流量!S5*24*3600/100000000</f>
        <v>1.2700800000000001</v>
      </c>
      <c r="T5" s="6">
        <f>日流量!T5*24*3600/100000000</f>
        <v>1.2614399999999999</v>
      </c>
      <c r="U5" s="6">
        <f>日流量!U5*24*3600/100000000</f>
        <v>1.2527999999999999</v>
      </c>
      <c r="V5" s="6">
        <f>日流量!V5*24*3600/100000000</f>
        <v>1.2527999999999999</v>
      </c>
      <c r="W5" s="6">
        <f>日流量!W5*24*3600/100000000</f>
        <v>1.23552</v>
      </c>
      <c r="X5" s="6">
        <f>日流量!X5*24*3600/100000000</f>
        <v>1.23552</v>
      </c>
      <c r="Y5" s="6">
        <f>日流量!Y5*24*3600/100000000</f>
        <v>1.21824</v>
      </c>
      <c r="Z5" s="6">
        <f>日流量!Z5*24*3600/100000000</f>
        <v>1.2096</v>
      </c>
      <c r="AA5" s="6">
        <f>日流量!AA5*24*3600/100000000</f>
        <v>1.20096</v>
      </c>
      <c r="AB5" s="6">
        <f>日流量!AB5*24*3600/100000000</f>
        <v>1.20096</v>
      </c>
      <c r="AC5" s="6">
        <f>日流量!AC5*24*3600/100000000</f>
        <v>1.20096</v>
      </c>
      <c r="AD5" s="6">
        <f>日流量!AD5*24*3600/100000000</f>
        <v>1.20096</v>
      </c>
      <c r="AE5" s="6">
        <f>日流量!AE5*24*3600/100000000</f>
        <v>1.19232</v>
      </c>
      <c r="AF5" s="6">
        <f>日流量!AF5*24*3600/100000000</f>
        <v>1.19232</v>
      </c>
      <c r="AG5" s="6">
        <f>日流量!AG5*24*3600/100000000</f>
        <v>1.19232</v>
      </c>
      <c r="AH5" s="6">
        <f>日流量!AH5*24*3600/100000000</f>
        <v>1.1836800000000001</v>
      </c>
      <c r="AI5" s="6">
        <f>日流量!AI5*24*3600/100000000</f>
        <v>1.1836800000000001</v>
      </c>
      <c r="AJ5" s="6">
        <f>日流量!AJ5*24*3600/100000000</f>
        <v>1.1836800000000001</v>
      </c>
      <c r="AK5" s="6">
        <f>日流量!AK5*24*3600/100000000</f>
        <v>1.1836800000000001</v>
      </c>
      <c r="AL5" s="6">
        <f>日流量!AL5*24*3600/100000000</f>
        <v>1.1750400000000001</v>
      </c>
      <c r="AM5" s="6">
        <f>日流量!AM5*24*3600/100000000</f>
        <v>1.1750400000000001</v>
      </c>
      <c r="AN5" s="6">
        <f>日流量!AN5*24*3600/100000000</f>
        <v>1.1750400000000001</v>
      </c>
      <c r="AO5" s="6">
        <f>日流量!AO5*24*3600/100000000</f>
        <v>1.1664000000000001</v>
      </c>
      <c r="AP5" s="6">
        <f>日流量!AP5*24*3600/100000000</f>
        <v>1.1664000000000001</v>
      </c>
      <c r="AQ5" s="6">
        <f>日流量!AQ5*24*3600/100000000</f>
        <v>1.1577599999999999</v>
      </c>
      <c r="AR5" s="6">
        <f>日流量!AR5*24*3600/100000000</f>
        <v>1.1577599999999999</v>
      </c>
      <c r="AS5" s="6">
        <f>日流量!AS5*24*3600/100000000</f>
        <v>1.1577599999999999</v>
      </c>
      <c r="AT5" s="6">
        <f>日流量!AT5*24*3600/100000000</f>
        <v>1.1491199999999999</v>
      </c>
      <c r="AU5" s="6">
        <f>日流量!AU5*24*3600/100000000</f>
        <v>1.1491199999999999</v>
      </c>
      <c r="AV5" s="6">
        <f>日流量!AV5*24*3600/100000000</f>
        <v>1.1404799999999999</v>
      </c>
      <c r="AW5" s="6">
        <f>日流量!AW5*24*3600/100000000</f>
        <v>1.13184</v>
      </c>
      <c r="AX5" s="6">
        <f>日流量!AX5*24*3600/100000000</f>
        <v>1.13184</v>
      </c>
      <c r="AY5" s="6">
        <f>日流量!AY5*24*3600/100000000</f>
        <v>1.13184</v>
      </c>
      <c r="AZ5" s="6">
        <f>日流量!AZ5*24*3600/100000000</f>
        <v>1.13184</v>
      </c>
      <c r="BA5" s="6">
        <f>日流量!BA5*24*3600/100000000</f>
        <v>1.13184</v>
      </c>
      <c r="BB5" s="6">
        <f>日流量!BB5*24*3600/100000000</f>
        <v>1.1232</v>
      </c>
      <c r="BC5" s="6">
        <f>日流量!BC5*24*3600/100000000</f>
        <v>1.1232</v>
      </c>
      <c r="BD5" s="6">
        <f>日流量!BD5*24*3600/100000000</f>
        <v>1.13184</v>
      </c>
      <c r="BE5" s="6">
        <f>日流量!BE5*24*3600/100000000</f>
        <v>1.1404799999999999</v>
      </c>
      <c r="BF5" s="6">
        <f>日流量!BF5*24*3600/100000000</f>
        <v>1.13184</v>
      </c>
      <c r="BG5" s="6">
        <f>日流量!BG5*24*3600/100000000</f>
        <v>1.13184</v>
      </c>
      <c r="BH5" s="6">
        <f>日流量!BH5*24*3600/100000000</f>
        <v>1.13184</v>
      </c>
      <c r="BI5" s="6">
        <f>日流量!BI5*24*3600/100000000</f>
        <v>1.1232</v>
      </c>
      <c r="BJ5" s="6">
        <f>日流量!BJ5*24*3600/100000000</f>
        <v>1.1232</v>
      </c>
      <c r="BK5" s="6">
        <f>日流量!BK5*24*3600/100000000</f>
        <v>1.11456</v>
      </c>
      <c r="BL5" s="6">
        <f>日流量!BL5*24*3600/100000000</f>
        <v>1.10592</v>
      </c>
      <c r="BM5" s="6">
        <f>日流量!BM5*24*3600/100000000</f>
        <v>1.10592</v>
      </c>
      <c r="BN5" s="6">
        <f>日流量!BN5*24*3600/100000000</f>
        <v>1.10592</v>
      </c>
      <c r="BO5" s="6">
        <f>日流量!BO5*24*3600/100000000</f>
        <v>1.09728</v>
      </c>
      <c r="BP5" s="6">
        <f>日流量!BP5*24*3600/100000000</f>
        <v>1.09728</v>
      </c>
      <c r="BQ5" s="6">
        <f>日流量!BQ5*24*3600/100000000</f>
        <v>1.09728</v>
      </c>
      <c r="BR5" s="6">
        <f>日流量!BR5*24*3600/100000000</f>
        <v>1.0886400000000001</v>
      </c>
      <c r="BS5" s="6">
        <f>日流量!BS5*24*3600/100000000</f>
        <v>1.0886400000000001</v>
      </c>
      <c r="BT5" s="6">
        <f>日流量!BT5*24*3600/100000000</f>
        <v>1.08</v>
      </c>
      <c r="BU5" s="6">
        <f>日流量!BU5*24*3600/100000000</f>
        <v>1.08</v>
      </c>
      <c r="BV5" s="6">
        <f>日流量!BV5*24*3600/100000000</f>
        <v>1.08</v>
      </c>
      <c r="BW5" s="6">
        <f>日流量!BW5*24*3600/100000000</f>
        <v>1.0713600000000001</v>
      </c>
      <c r="BX5" s="6">
        <f>日流量!BX5*24*3600/100000000</f>
        <v>1.0713600000000001</v>
      </c>
      <c r="BY5" s="6">
        <f>日流量!BY5*24*3600/100000000</f>
        <v>1.0713600000000001</v>
      </c>
      <c r="BZ5" s="6">
        <f>日流量!BZ5*24*3600/100000000</f>
        <v>1.0627200000000001</v>
      </c>
      <c r="CA5" s="6">
        <f>日流量!CA5*24*3600/100000000</f>
        <v>1.0540799999999999</v>
      </c>
      <c r="CB5" s="6">
        <f>日流量!CB5*24*3600/100000000</f>
        <v>1.0540799999999999</v>
      </c>
      <c r="CC5" s="6">
        <f>日流量!CC5*24*3600/100000000</f>
        <v>1.0540799999999999</v>
      </c>
      <c r="CD5" s="6">
        <f>日流量!CD5*24*3600/100000000</f>
        <v>1.0540799999999999</v>
      </c>
      <c r="CE5" s="6">
        <f>日流量!CE5*24*3600/100000000</f>
        <v>1.0454399999999999</v>
      </c>
      <c r="CF5" s="6">
        <f>日流量!CF5*24*3600/100000000</f>
        <v>1.0454399999999999</v>
      </c>
      <c r="CG5" s="6">
        <f>日流量!CG5*24*3600/100000000</f>
        <v>1.0367999999999999</v>
      </c>
      <c r="CH5" s="6">
        <f>日流量!CH5*24*3600/100000000</f>
        <v>1.02816</v>
      </c>
      <c r="CI5" s="6">
        <f>日流量!CI5*24*3600/100000000</f>
        <v>1.02816</v>
      </c>
      <c r="CJ5" s="6">
        <f>日流量!CJ5*24*3600/100000000</f>
        <v>1.02816</v>
      </c>
      <c r="CK5" s="6">
        <f>日流量!CK5*24*3600/100000000</f>
        <v>1.02816</v>
      </c>
      <c r="CL5" s="6">
        <f>日流量!CL5*24*3600/100000000</f>
        <v>1.01952</v>
      </c>
      <c r="CM5" s="6">
        <f>日流量!CM5*24*3600/100000000</f>
        <v>1.01952</v>
      </c>
      <c r="CN5" s="6">
        <f>日流量!CN5*24*3600/100000000</f>
        <v>1.01952</v>
      </c>
      <c r="CO5" s="6">
        <f>日流量!CO5*24*3600/100000000</f>
        <v>1.0367999999999999</v>
      </c>
      <c r="CP5" s="6">
        <f>日流量!CP5*24*3600/100000000</f>
        <v>1.0454399999999999</v>
      </c>
      <c r="CQ5" s="6">
        <f>日流量!CQ5*24*3600/100000000</f>
        <v>1.0454399999999999</v>
      </c>
      <c r="CR5" s="6">
        <f>日流量!CR5*24*3600/100000000</f>
        <v>1.0627200000000001</v>
      </c>
      <c r="CS5" s="6">
        <f>日流量!CS5*24*3600/100000000</f>
        <v>1.0713600000000001</v>
      </c>
      <c r="CT5" s="6">
        <f>日流量!CT5*24*3600/100000000</f>
        <v>1.0713600000000001</v>
      </c>
      <c r="CU5" s="6">
        <f>日流量!CU5*24*3600/100000000</f>
        <v>1.0713600000000001</v>
      </c>
      <c r="CV5" s="6">
        <f>日流量!CV5*24*3600/100000000</f>
        <v>1.08</v>
      </c>
      <c r="CW5" s="6">
        <f>日流量!CW5*24*3600/100000000</f>
        <v>1.08</v>
      </c>
      <c r="CX5" s="6">
        <f>日流量!CX5*24*3600/100000000</f>
        <v>1.0713600000000001</v>
      </c>
      <c r="CY5" s="6">
        <f>日流量!CY5*24*3600/100000000</f>
        <v>1.0713600000000001</v>
      </c>
      <c r="CZ5" s="6">
        <f>日流量!CZ5*24*3600/100000000</f>
        <v>1.08</v>
      </c>
      <c r="DA5" s="6">
        <f>日流量!DA5*24*3600/100000000</f>
        <v>1.0886400000000001</v>
      </c>
      <c r="DB5" s="6">
        <f>日流量!DB5*24*3600/100000000</f>
        <v>1.10592</v>
      </c>
      <c r="DC5" s="6">
        <f>日流量!DC5*24*3600/100000000</f>
        <v>1.1232</v>
      </c>
      <c r="DD5" s="6">
        <f>日流量!DD5*24*3600/100000000</f>
        <v>1.1232</v>
      </c>
      <c r="DE5" s="6">
        <f>日流量!DE5*24*3600/100000000</f>
        <v>1.13184</v>
      </c>
      <c r="DF5" s="6">
        <f>日流量!DF5*24*3600/100000000</f>
        <v>1.1232</v>
      </c>
      <c r="DG5" s="6">
        <f>日流量!DG5*24*3600/100000000</f>
        <v>1.09728</v>
      </c>
      <c r="DH5" s="6">
        <f>日流量!DH5*24*3600/100000000</f>
        <v>1.08</v>
      </c>
      <c r="DI5" s="6">
        <f>日流量!DI5*24*3600/100000000</f>
        <v>1.09728</v>
      </c>
      <c r="DJ5" s="6">
        <f>日流量!DJ5*24*3600/100000000</f>
        <v>1.1232</v>
      </c>
      <c r="DK5" s="6">
        <f>日流量!DK5*24*3600/100000000</f>
        <v>1.1577599999999999</v>
      </c>
      <c r="DL5" s="6">
        <f>日流量!DL5*24*3600/100000000</f>
        <v>1.20096</v>
      </c>
      <c r="DM5" s="6">
        <f>日流量!DM5*24*3600/100000000</f>
        <v>1.2787200000000001</v>
      </c>
      <c r="DN5" s="6">
        <f>日流量!DN5*24*3600/100000000</f>
        <v>1.2787200000000001</v>
      </c>
      <c r="DO5" s="6">
        <f>日流量!DO5*24*3600/100000000</f>
        <v>1.4688000000000001</v>
      </c>
      <c r="DP5" s="6">
        <f>日流量!DP5*24*3600/100000000</f>
        <v>1.52064</v>
      </c>
      <c r="DQ5" s="6">
        <f>日流量!DQ5*24*3600/100000000</f>
        <v>1.52064</v>
      </c>
      <c r="DR5" s="6">
        <f>日流量!DR5*24*3600/100000000</f>
        <v>1.4688000000000001</v>
      </c>
      <c r="DS5" s="6">
        <f>日流量!DS5*24*3600/100000000</f>
        <v>1.41696</v>
      </c>
      <c r="DT5" s="6">
        <f>日流量!DT5*24*3600/100000000</f>
        <v>1.40832</v>
      </c>
      <c r="DU5" s="6">
        <f>日流量!DU5*24*3600/100000000</f>
        <v>1.41696</v>
      </c>
      <c r="DV5" s="6">
        <f>日流量!DV5*24*3600/100000000</f>
        <v>1.4515199999999999</v>
      </c>
      <c r="DW5" s="6">
        <f>日流量!DW5*24*3600/100000000</f>
        <v>1.4774400000000001</v>
      </c>
      <c r="DX5" s="6">
        <f>日流量!DX5*24*3600/100000000</f>
        <v>1.52928</v>
      </c>
      <c r="DY5" s="6">
        <f>日流量!DY5*24*3600/100000000</f>
        <v>1.4688000000000001</v>
      </c>
      <c r="DZ5" s="6">
        <f>日流量!DZ5*24*3600/100000000</f>
        <v>1.50336</v>
      </c>
      <c r="EA5" s="6">
        <f>日流量!EA5*24*3600/100000000</f>
        <v>1.4774400000000001</v>
      </c>
      <c r="EB5" s="6">
        <f>日流量!EB5*24*3600/100000000</f>
        <v>1.4428799999999999</v>
      </c>
      <c r="EC5" s="6">
        <f>日流量!EC5*24*3600/100000000</f>
        <v>1.40832</v>
      </c>
      <c r="ED5" s="6">
        <f>日流量!ED5*24*3600/100000000</f>
        <v>1.3824000000000001</v>
      </c>
      <c r="EE5" s="6">
        <f>日流量!EE5*24*3600/100000000</f>
        <v>1.3737600000000001</v>
      </c>
      <c r="EF5" s="6">
        <f>日流量!EF5*24*3600/100000000</f>
        <v>1.3651199999999999</v>
      </c>
      <c r="EG5" s="6">
        <f>日流量!EG5*24*3600/100000000</f>
        <v>1.3910400000000001</v>
      </c>
      <c r="EH5" s="6">
        <f>日流量!EH5*24*3600/100000000</f>
        <v>1.43424</v>
      </c>
      <c r="EI5" s="6">
        <f>日流量!EI5*24*3600/100000000</f>
        <v>1.4515199999999999</v>
      </c>
      <c r="EJ5" s="6">
        <f>日流量!EJ5*24*3600/100000000</f>
        <v>1.4515199999999999</v>
      </c>
      <c r="EK5" s="6">
        <f>日流量!EK5*24*3600/100000000</f>
        <v>1.43424</v>
      </c>
      <c r="EL5" s="6">
        <f>日流量!EL5*24*3600/100000000</f>
        <v>1.4256</v>
      </c>
      <c r="EM5" s="6">
        <f>日流量!EM5*24*3600/100000000</f>
        <v>1.40832</v>
      </c>
      <c r="EN5" s="6">
        <f>日流量!EN5*24*3600/100000000</f>
        <v>1.4256</v>
      </c>
      <c r="EO5" s="6">
        <f>日流量!EO5*24*3600/100000000</f>
        <v>1.4860800000000001</v>
      </c>
      <c r="EP5" s="6">
        <f>日流量!EP5*24*3600/100000000</f>
        <v>1.52064</v>
      </c>
      <c r="EQ5" s="6">
        <f>日流量!EQ5*24*3600/100000000</f>
        <v>1.52928</v>
      </c>
      <c r="ER5" s="6">
        <f>日流量!ER5*24*3600/100000000</f>
        <v>1.5551999999999999</v>
      </c>
      <c r="ES5" s="6">
        <f>日流量!ES5*24*3600/100000000</f>
        <v>1.5984</v>
      </c>
      <c r="ET5" s="6">
        <f>日流量!ET5*24*3600/100000000</f>
        <v>1.62432</v>
      </c>
      <c r="EU5" s="6">
        <f>日流量!EU5*24*3600/100000000</f>
        <v>1.728</v>
      </c>
      <c r="EV5" s="6">
        <f>日流量!EV5*24*3600/100000000</f>
        <v>1.7712000000000001</v>
      </c>
      <c r="EW5" s="6">
        <f>日流量!EW5*24*3600/100000000</f>
        <v>1.84032</v>
      </c>
      <c r="EX5" s="6">
        <f>日流量!EX5*24*3600/100000000</f>
        <v>2.0563199999999999</v>
      </c>
      <c r="EY5" s="6">
        <f>日流量!EY5*24*3600/100000000</f>
        <v>2.0995200000000001</v>
      </c>
      <c r="EZ5" s="6">
        <f>日流量!EZ5*24*3600/100000000</f>
        <v>2.22912</v>
      </c>
      <c r="FA5" s="6">
        <f>日流量!FA5*24*3600/100000000</f>
        <v>2.4537599999999999</v>
      </c>
      <c r="FB5" s="6">
        <f>日流量!FB5*24*3600/100000000</f>
        <v>2.6870400000000001</v>
      </c>
      <c r="FC5" s="6">
        <f>日流量!FC5*24*3600/100000000</f>
        <v>2.8512</v>
      </c>
      <c r="FD5" s="6">
        <f>日流量!FD5*24*3600/100000000</f>
        <v>3.0758399999999999</v>
      </c>
      <c r="FE5" s="6">
        <f>日流量!FE5*24*3600/100000000</f>
        <v>3.2227199999999998</v>
      </c>
      <c r="FF5" s="6">
        <f>日流量!FF5*24*3600/100000000</f>
        <v>3.456</v>
      </c>
      <c r="FG5" s="6">
        <f>日流量!FG5*24*3600/100000000</f>
        <v>3.4127999999999998</v>
      </c>
      <c r="FH5" s="6">
        <f>日流量!FH5*24*3600/100000000</f>
        <v>3.0844800000000001</v>
      </c>
      <c r="FI5" s="6">
        <f>日流量!FI5*24*3600/100000000</f>
        <v>2.9894400000000001</v>
      </c>
      <c r="FJ5" s="6">
        <f>日流量!FJ5*24*3600/100000000</f>
        <v>3.0585599999999999</v>
      </c>
      <c r="FK5" s="6">
        <f>日流量!FK5*24*3600/100000000</f>
        <v>3.5078399999999998</v>
      </c>
      <c r="FL5" s="6">
        <f>日流量!FL5*24*3600/100000000</f>
        <v>3.3350399999999998</v>
      </c>
      <c r="FM5" s="6">
        <f>日流量!FM5*24*3600/100000000</f>
        <v>3.1968000000000001</v>
      </c>
      <c r="FN5" s="6">
        <f>日流量!FN5*24*3600/100000000</f>
        <v>3.1276799999999998</v>
      </c>
      <c r="FO5" s="6">
        <f>日流量!FO5*24*3600/100000000</f>
        <v>3.0153599999999998</v>
      </c>
      <c r="FP5" s="6">
        <f>日流量!FP5*24*3600/100000000</f>
        <v>2.7216</v>
      </c>
      <c r="FQ5" s="6">
        <f>日流量!FQ5*24*3600/100000000</f>
        <v>2.7648000000000001</v>
      </c>
      <c r="FR5" s="6">
        <f>日流量!FR5*24*3600/100000000</f>
        <v>3.72384</v>
      </c>
      <c r="FS5" s="6">
        <f>日流量!FS5*24*3600/100000000</f>
        <v>4.3545600000000002</v>
      </c>
      <c r="FT5" s="6">
        <f>日流量!FT5*24*3600/100000000</f>
        <v>4.4236800000000001</v>
      </c>
      <c r="FU5" s="6">
        <f>日流量!FU5*24*3600/100000000</f>
        <v>4.7606400000000004</v>
      </c>
      <c r="FV5" s="6">
        <f>日流量!FV5*24*3600/100000000</f>
        <v>4.5446400000000002</v>
      </c>
      <c r="FW5" s="6">
        <f>日流量!FW5*24*3600/100000000</f>
        <v>4.6396800000000002</v>
      </c>
      <c r="FX5" s="6">
        <f>日流量!FX5*24*3600/100000000</f>
        <v>4.2595200000000002</v>
      </c>
      <c r="FY5" s="6">
        <f>日流量!FY5*24*3600/100000000</f>
        <v>4.0175999999999998</v>
      </c>
      <c r="FZ5" s="6">
        <f>日流量!FZ5*24*3600/100000000</f>
        <v>3.7756799999999999</v>
      </c>
      <c r="GA5" s="6">
        <f>日流量!GA5*24*3600/100000000</f>
        <v>3.5769600000000001</v>
      </c>
      <c r="GB5" s="6">
        <f>日流量!GB5*24*3600/100000000</f>
        <v>3.5251199999999998</v>
      </c>
      <c r="GC5" s="6">
        <f>日流量!GC5*24*3600/100000000</f>
        <v>3.74112</v>
      </c>
      <c r="GD5" s="6">
        <f>日流量!GD5*24*3600/100000000</f>
        <v>4.0262399999999996</v>
      </c>
      <c r="GE5" s="6">
        <f>日流量!GE5*24*3600/100000000</f>
        <v>4.1126399999999999</v>
      </c>
      <c r="GF5" s="6">
        <f>日流量!GF5*24*3600/100000000</f>
        <v>3.9830399999999999</v>
      </c>
      <c r="GG5" s="6">
        <f>日流量!GG5*24*3600/100000000</f>
        <v>3.8966400000000001</v>
      </c>
      <c r="GH5" s="6">
        <f>日流量!GH5*24*3600/100000000</f>
        <v>3.8707199999999999</v>
      </c>
      <c r="GI5" s="6">
        <f>日流量!GI5*24*3600/100000000</f>
        <v>3.8448000000000002</v>
      </c>
      <c r="GJ5" s="6">
        <f>日流量!GJ5*24*3600/100000000</f>
        <v>4.0608000000000004</v>
      </c>
      <c r="GK5" s="6">
        <f>日流量!GK5*24*3600/100000000</f>
        <v>4.6310399999999996</v>
      </c>
      <c r="GL5" s="6">
        <f>日流量!GL5*24*3600/100000000</f>
        <v>5.1753600000000004</v>
      </c>
      <c r="GM5" s="6">
        <f>日流量!GM5*24*3600/100000000</f>
        <v>5.9270399999999999</v>
      </c>
      <c r="GN5" s="6">
        <f>日流量!GN5*24*3600/100000000</f>
        <v>6.5491200000000003</v>
      </c>
      <c r="GO5" s="6">
        <f>日流量!GO5*24*3600/100000000</f>
        <v>7.5081600000000002</v>
      </c>
      <c r="GP5" s="6">
        <f>日流量!GP5*24*3600/100000000</f>
        <v>7.4476800000000001</v>
      </c>
      <c r="GQ5" s="6">
        <f>日流量!GQ5*24*3600/100000000</f>
        <v>7.6204799999999997</v>
      </c>
      <c r="GR5" s="6">
        <f>日流量!GR5*24*3600/100000000</f>
        <v>7.2057599999999997</v>
      </c>
      <c r="GS5" s="6">
        <f>日流量!GS5*24*3600/100000000</f>
        <v>6.4713599999999998</v>
      </c>
      <c r="GT5" s="6">
        <f>日流量!GT5*24*3600/100000000</f>
        <v>5.9443200000000003</v>
      </c>
      <c r="GU5" s="6">
        <f>日流量!GU5*24*3600/100000000</f>
        <v>5.5123199999999999</v>
      </c>
      <c r="GV5" s="6">
        <f>日流量!GV5*24*3600/100000000</f>
        <v>5.1148800000000003</v>
      </c>
      <c r="GW5" s="6">
        <f>日流量!GW5*24*3600/100000000</f>
        <v>4.8384</v>
      </c>
      <c r="GX5" s="6">
        <f>日流量!GX5*24*3600/100000000</f>
        <v>4.8038400000000001</v>
      </c>
      <c r="GY5" s="6">
        <f>日流量!GY5*24*3600/100000000</f>
        <v>4.7088000000000001</v>
      </c>
      <c r="GZ5" s="6">
        <f>日流量!GZ5*24*3600/100000000</f>
        <v>4.7260799999999996</v>
      </c>
      <c r="HA5" s="6">
        <f>日流量!HA5*24*3600/100000000</f>
        <v>4.3632</v>
      </c>
      <c r="HB5" s="6">
        <f>日流量!HB5*24*3600/100000000</f>
        <v>4.2163199999999996</v>
      </c>
      <c r="HC5" s="6">
        <f>日流量!HC5*24*3600/100000000</f>
        <v>4.1558400000000004</v>
      </c>
      <c r="HD5" s="6">
        <f>日流量!HD5*24*3600/100000000</f>
        <v>4.2076799999999999</v>
      </c>
      <c r="HE5" s="6">
        <f>日流量!HE5*24*3600/100000000</f>
        <v>4.1817599999999997</v>
      </c>
      <c r="HF5" s="6">
        <f>日流量!HF5*24*3600/100000000</f>
        <v>4.0953600000000003</v>
      </c>
      <c r="HG5" s="6">
        <f>日流量!HG5*24*3600/100000000</f>
        <v>4.0780799999999999</v>
      </c>
      <c r="HH5" s="6">
        <f>日流量!HH5*24*3600/100000000</f>
        <v>4.1644800000000002</v>
      </c>
      <c r="HI5" s="6">
        <f>日流量!HI5*24*3600/100000000</f>
        <v>4.0608000000000004</v>
      </c>
      <c r="HJ5" s="6">
        <f>日流量!HJ5*24*3600/100000000</f>
        <v>3.9571200000000002</v>
      </c>
      <c r="HK5" s="6">
        <f>日流量!HK5*24*3600/100000000</f>
        <v>3.8448000000000002</v>
      </c>
      <c r="HL5" s="6">
        <f>日流量!HL5*24*3600/100000000</f>
        <v>3.7756799999999999</v>
      </c>
      <c r="HM5" s="6">
        <f>日流量!HM5*24*3600/100000000</f>
        <v>4.04352</v>
      </c>
      <c r="HN5" s="6">
        <f>日流量!HN5*24*3600/100000000</f>
        <v>4.0089600000000001</v>
      </c>
      <c r="HO5" s="6">
        <f>日流量!HO5*24*3600/100000000</f>
        <v>3.9312</v>
      </c>
      <c r="HP5" s="6">
        <f>日流量!HP5*24*3600/100000000</f>
        <v>4.0867199999999997</v>
      </c>
      <c r="HQ5" s="6">
        <f>日流量!HQ5*24*3600/100000000</f>
        <v>5.2012799999999997</v>
      </c>
      <c r="HR5" s="6">
        <f>日流量!HR5*24*3600/100000000</f>
        <v>5.5900800000000004</v>
      </c>
      <c r="HS5" s="6">
        <f>日流量!HS5*24*3600/100000000</f>
        <v>5.7542400000000002</v>
      </c>
      <c r="HT5" s="6">
        <f>日流量!HT5*24*3600/100000000</f>
        <v>5.7715199999999998</v>
      </c>
      <c r="HU5" s="6">
        <f>日流量!HU5*24*3600/100000000</f>
        <v>5.9270399999999999</v>
      </c>
      <c r="HV5" s="6">
        <f>日流量!HV5*24*3600/100000000</f>
        <v>6.3590400000000002</v>
      </c>
      <c r="HW5" s="6">
        <f>日流量!HW5*24*3600/100000000</f>
        <v>7.80192</v>
      </c>
      <c r="HX5" s="6">
        <f>日流量!HX5*24*3600/100000000</f>
        <v>11.664</v>
      </c>
      <c r="HY5" s="6">
        <f>日流量!HY5*24*3600/100000000</f>
        <v>13.9968</v>
      </c>
      <c r="HZ5" s="6">
        <f>日流量!HZ5*24*3600/100000000</f>
        <v>11.491199999999999</v>
      </c>
      <c r="IA5" s="6">
        <f>日流量!IA5*24*3600/100000000</f>
        <v>8.8992000000000004</v>
      </c>
      <c r="IB5" s="6">
        <f>日流量!IB5*24*3600/100000000</f>
        <v>8.0006400000000006</v>
      </c>
      <c r="IC5" s="6">
        <f>日流量!IC5*24*3600/100000000</f>
        <v>7.3785600000000002</v>
      </c>
      <c r="ID5" s="6">
        <f>日流量!ID5*24*3600/100000000</f>
        <v>8.1043199999999995</v>
      </c>
      <c r="IE5" s="6">
        <f>日流量!IE5*24*3600/100000000</f>
        <v>8.0956799999999998</v>
      </c>
      <c r="IF5" s="6">
        <f>日流量!IF5*24*3600/100000000</f>
        <v>7.5081600000000002</v>
      </c>
      <c r="IG5" s="6">
        <f>日流量!IG5*24*3600/100000000</f>
        <v>7.19712</v>
      </c>
      <c r="IH5" s="6">
        <f>日流量!IH5*24*3600/100000000</f>
        <v>7.5859199999999998</v>
      </c>
      <c r="II5" s="6">
        <f>日流量!II5*24*3600/100000000</f>
        <v>9.3312000000000008</v>
      </c>
      <c r="IJ5" s="6">
        <f>日流量!IJ5*24*3600/100000000</f>
        <v>9.5039999999999996</v>
      </c>
      <c r="IK5" s="6">
        <f>日流量!IK5*24*3600/100000000</f>
        <v>10.022399999999999</v>
      </c>
      <c r="IL5" s="6">
        <f>日流量!IL5*24*3600/100000000</f>
        <v>10.8</v>
      </c>
      <c r="IM5" s="6">
        <f>日流量!IM5*24*3600/100000000</f>
        <v>12.268800000000001</v>
      </c>
      <c r="IN5" s="6">
        <f>日流量!IN5*24*3600/100000000</f>
        <v>11.5776</v>
      </c>
      <c r="IO5" s="6">
        <f>日流量!IO5*24*3600/100000000</f>
        <v>10.8864</v>
      </c>
      <c r="IP5" s="6">
        <f>日流量!IP5*24*3600/100000000</f>
        <v>11.664</v>
      </c>
      <c r="IQ5" s="6">
        <f>日流量!IQ5*24*3600/100000000</f>
        <v>11.059200000000001</v>
      </c>
      <c r="IR5" s="6">
        <f>日流量!IR5*24*3600/100000000</f>
        <v>10.6272</v>
      </c>
      <c r="IS5" s="6">
        <f>日流量!IS5*24*3600/100000000</f>
        <v>10.7136</v>
      </c>
      <c r="IT5" s="6">
        <f>日流量!IT5*24*3600/100000000</f>
        <v>10.8</v>
      </c>
      <c r="IU5" s="6">
        <f>日流量!IU5*24*3600/100000000</f>
        <v>10.022399999999999</v>
      </c>
      <c r="IV5" s="6">
        <f>日流量!IV5*24*3600/100000000</f>
        <v>9.4176000000000002</v>
      </c>
      <c r="IW5" s="6">
        <f>日流量!IW5*24*3600/100000000</f>
        <v>8.8127999999999993</v>
      </c>
      <c r="IX5" s="6">
        <f>日流量!IX5*24*3600/100000000</f>
        <v>8.6227199999999993</v>
      </c>
      <c r="IY5" s="6">
        <f>日流量!IY5*24*3600/100000000</f>
        <v>8.0179200000000002</v>
      </c>
      <c r="IZ5" s="6">
        <f>日流量!IZ5*24*3600/100000000</f>
        <v>7.4476800000000001</v>
      </c>
      <c r="JA5" s="6">
        <f>日流量!JA5*24*3600/100000000</f>
        <v>7.0761599999999998</v>
      </c>
      <c r="JB5" s="6">
        <f>日流量!JB5*24*3600/100000000</f>
        <v>7.1107199999999997</v>
      </c>
      <c r="JC5" s="6">
        <f>日流量!JC5*24*3600/100000000</f>
        <v>7.8710399999999998</v>
      </c>
      <c r="JD5" s="6">
        <f>日流量!JD5*24*3600/100000000</f>
        <v>8.5535999999999994</v>
      </c>
      <c r="JE5" s="6">
        <f>日流量!JE5*24*3600/100000000</f>
        <v>10.281599999999999</v>
      </c>
      <c r="JF5" s="6">
        <f>日流量!JF5*24*3600/100000000</f>
        <v>10.540800000000001</v>
      </c>
      <c r="JG5" s="6">
        <f>日流量!JG5*24*3600/100000000</f>
        <v>9.9359999999999999</v>
      </c>
      <c r="JH5" s="6">
        <f>日流量!JH5*24*3600/100000000</f>
        <v>8.8992000000000004</v>
      </c>
      <c r="JI5" s="6">
        <f>日流量!JI5*24*3600/100000000</f>
        <v>7.9660799999999998</v>
      </c>
      <c r="JJ5" s="6">
        <f>日流量!JJ5*24*3600/100000000</f>
        <v>7.3094400000000004</v>
      </c>
      <c r="JK5" s="6">
        <f>日流量!JK5*24*3600/100000000</f>
        <v>7.2230400000000001</v>
      </c>
      <c r="JL5" s="6">
        <f>日流量!JL5*24*3600/100000000</f>
        <v>7.0070399999999999</v>
      </c>
      <c r="JM5" s="6">
        <f>日流量!JM5*24*3600/100000000</f>
        <v>6.5750400000000004</v>
      </c>
      <c r="JN5" s="6">
        <f>日流量!JN5*24*3600/100000000</f>
        <v>6.2812799999999998</v>
      </c>
      <c r="JO5" s="6">
        <f>日流量!JO5*24*3600/100000000</f>
        <v>6.2294400000000003</v>
      </c>
      <c r="JP5" s="6">
        <f>日流量!JP5*24*3600/100000000</f>
        <v>6.3417599999999998</v>
      </c>
      <c r="JQ5" s="6">
        <f>日流量!JQ5*24*3600/100000000</f>
        <v>6.6787200000000002</v>
      </c>
      <c r="JR5" s="6">
        <f>日流量!JR5*24*3600/100000000</f>
        <v>6.6787200000000002</v>
      </c>
      <c r="JS5" s="6">
        <f>日流量!JS5*24*3600/100000000</f>
        <v>6.7132800000000001</v>
      </c>
      <c r="JT5" s="6">
        <f>日流量!JT5*24*3600/100000000</f>
        <v>6.6787200000000002</v>
      </c>
      <c r="JU5" s="6">
        <f>日流量!JU5*24*3600/100000000</f>
        <v>6.5145600000000004</v>
      </c>
      <c r="JV5" s="6">
        <f>日流量!JV5*24*3600/100000000</f>
        <v>6.3244800000000003</v>
      </c>
      <c r="JW5" s="6">
        <f>日流量!JW5*24*3600/100000000</f>
        <v>6.1516799999999998</v>
      </c>
      <c r="JX5" s="6">
        <f>日流量!JX5*24*3600/100000000</f>
        <v>5.98752</v>
      </c>
      <c r="JY5" s="6">
        <f>日流量!JY5*24*3600/100000000</f>
        <v>5.8838400000000002</v>
      </c>
      <c r="JZ5" s="6">
        <f>日流量!JZ5*24*3600/100000000</f>
        <v>6.7737600000000002</v>
      </c>
      <c r="KA5" s="6">
        <f>日流量!KA5*24*3600/100000000</f>
        <v>8.5363199999999999</v>
      </c>
      <c r="KB5" s="6">
        <f>日流量!KB5*24*3600/100000000</f>
        <v>9.5039999999999996</v>
      </c>
      <c r="KC5" s="6">
        <f>日流量!KC5*24*3600/100000000</f>
        <v>9.3312000000000008</v>
      </c>
      <c r="KD5" s="6">
        <f>日流量!KD5*24*3600/100000000</f>
        <v>8.3980800000000002</v>
      </c>
      <c r="KE5" s="6">
        <f>日流量!KE5*24*3600/100000000</f>
        <v>7.7241600000000004</v>
      </c>
      <c r="KF5" s="6">
        <f>日流量!KF5*24*3600/100000000</f>
        <v>7.3007999999999997</v>
      </c>
      <c r="KG5" s="6">
        <f>日流量!KG5*24*3600/100000000</f>
        <v>6.9984000000000002</v>
      </c>
      <c r="KH5" s="6">
        <f>日流量!KH5*24*3600/100000000</f>
        <v>6.7219199999999999</v>
      </c>
      <c r="KI5" s="6">
        <f>日流量!KI5*24*3600/100000000</f>
        <v>6.46272</v>
      </c>
      <c r="KJ5" s="6">
        <f>日流量!KJ5*24*3600/100000000</f>
        <v>6.2207999999999997</v>
      </c>
      <c r="KK5" s="6">
        <f>日流量!KK5*24*3600/100000000</f>
        <v>6.0566399999999998</v>
      </c>
      <c r="KL5" s="6">
        <f>日流量!KL5*24*3600/100000000</f>
        <v>6.0134400000000001</v>
      </c>
      <c r="KM5" s="6">
        <f>日流量!KM5*24*3600/100000000</f>
        <v>5.9270399999999999</v>
      </c>
      <c r="KN5" s="6">
        <f>日流量!KN5*24*3600/100000000</f>
        <v>5.7283200000000001</v>
      </c>
      <c r="KO5" s="6">
        <f>日流量!KO5*24*3600/100000000</f>
        <v>5.7283200000000001</v>
      </c>
      <c r="KP5" s="6">
        <f>日流量!KP5*24*3600/100000000</f>
        <v>5.8838400000000002</v>
      </c>
      <c r="KQ5" s="6">
        <f>日流量!KQ5*24*3600/100000000</f>
        <v>6.048</v>
      </c>
      <c r="KR5" s="6">
        <f>日流量!KR5*24*3600/100000000</f>
        <v>6.2035200000000001</v>
      </c>
      <c r="KS5" s="6">
        <f>日流量!KS5*24*3600/100000000</f>
        <v>6.0566399999999998</v>
      </c>
      <c r="KT5" s="6">
        <f>日流量!KT5*24*3600/100000000</f>
        <v>5.7801600000000004</v>
      </c>
      <c r="KU5" s="6">
        <f>日流量!KU5*24*3600/100000000</f>
        <v>5.4604799999999996</v>
      </c>
      <c r="KV5" s="6">
        <f>日流量!KV5*24*3600/100000000</f>
        <v>5.1667199999999998</v>
      </c>
      <c r="KW5" s="6">
        <f>日流量!KW5*24*3600/100000000</f>
        <v>4.9248000000000003</v>
      </c>
      <c r="KX5" s="6">
        <f>日流量!KX5*24*3600/100000000</f>
        <v>4.7347200000000003</v>
      </c>
      <c r="KY5" s="6">
        <f>日流量!KY5*24*3600/100000000</f>
        <v>4.55328</v>
      </c>
      <c r="KZ5" s="6">
        <f>日流量!KZ5*24*3600/100000000</f>
        <v>4.4063999999999997</v>
      </c>
      <c r="LA5" s="6">
        <f>日流量!LA5*24*3600/100000000</f>
        <v>4.2854400000000004</v>
      </c>
      <c r="LB5" s="6">
        <f>日流量!LB5*24*3600/100000000</f>
        <v>4.1817599999999997</v>
      </c>
      <c r="LC5" s="6">
        <f>日流量!LC5*24*3600/100000000</f>
        <v>4.1126399999999999</v>
      </c>
      <c r="LD5" s="6">
        <f>日流量!LD5*24*3600/100000000</f>
        <v>4.0262399999999996</v>
      </c>
      <c r="LE5" s="6">
        <f>日流量!LE5*24*3600/100000000</f>
        <v>3.9052799999999999</v>
      </c>
      <c r="LF5" s="6">
        <f>日流量!LF5*24*3600/100000000</f>
        <v>3.8188800000000001</v>
      </c>
      <c r="LG5" s="6">
        <f>日流量!LG5*24*3600/100000000</f>
        <v>3.7151999999999998</v>
      </c>
      <c r="LH5" s="6">
        <f>日流量!LH5*24*3600/100000000</f>
        <v>3.6374399999999998</v>
      </c>
      <c r="LI5" s="6">
        <f>日流量!LI5*24*3600/100000000</f>
        <v>3.55104</v>
      </c>
      <c r="LJ5" s="6">
        <f>日流量!LJ5*24*3600/100000000</f>
        <v>3.4646400000000002</v>
      </c>
      <c r="LK5" s="6">
        <f>日流量!LK5*24*3600/100000000</f>
        <v>3.3609599999999999</v>
      </c>
      <c r="LL5" s="6">
        <f>日流量!LL5*24*3600/100000000</f>
        <v>3.23136</v>
      </c>
      <c r="LM5" s="6">
        <f>日流量!LM5*24*3600/100000000</f>
        <v>3.1536</v>
      </c>
      <c r="LN5" s="6">
        <f>日流量!LN5*24*3600/100000000</f>
        <v>3.0758399999999999</v>
      </c>
      <c r="LO5" s="6">
        <f>日流量!LO5*24*3600/100000000</f>
        <v>3.0153599999999998</v>
      </c>
      <c r="LP5" s="6">
        <f>日流量!LP5*24*3600/100000000</f>
        <v>2.9721600000000001</v>
      </c>
      <c r="LQ5" s="6">
        <f>日流量!LQ5*24*3600/100000000</f>
        <v>2.91168</v>
      </c>
      <c r="LR5" s="6">
        <f>日流量!LR5*24*3600/100000000</f>
        <v>2.8598400000000002</v>
      </c>
      <c r="LS5" s="6">
        <f>日流量!LS5*24*3600/100000000</f>
        <v>2.7820800000000001</v>
      </c>
      <c r="LT5" s="6">
        <f>日流量!LT5*24*3600/100000000</f>
        <v>2.7216</v>
      </c>
      <c r="LU5" s="6">
        <f>日流量!LU5*24*3600/100000000</f>
        <v>2.6524800000000002</v>
      </c>
      <c r="LV5" s="6">
        <f>日流量!LV5*24*3600/100000000</f>
        <v>2.5920000000000001</v>
      </c>
      <c r="LW5" s="6">
        <f>日流量!LW5*24*3600/100000000</f>
        <v>2.5228799999999998</v>
      </c>
      <c r="LX5" s="6">
        <f>日流量!LX5*24*3600/100000000</f>
        <v>2.4710399999999999</v>
      </c>
      <c r="LY5" s="6">
        <f>日流量!LY5*24*3600/100000000</f>
        <v>2.4192</v>
      </c>
      <c r="LZ5" s="6">
        <f>日流量!LZ5*24*3600/100000000</f>
        <v>2.3759999999999999</v>
      </c>
      <c r="MA5" s="6">
        <f>日流量!MA5*24*3600/100000000</f>
        <v>2.32416</v>
      </c>
      <c r="MB5" s="6">
        <f>日流量!MB5*24*3600/100000000</f>
        <v>2.2723200000000001</v>
      </c>
      <c r="MC5" s="6">
        <f>日流量!MC5*24*3600/100000000</f>
        <v>2.2377600000000002</v>
      </c>
      <c r="MD5" s="6">
        <f>日流量!MD5*24*3600/100000000</f>
        <v>2.2031999999999998</v>
      </c>
      <c r="ME5" s="6">
        <f>日流量!ME5*24*3600/100000000</f>
        <v>2.16</v>
      </c>
      <c r="MF5" s="6">
        <f>日流量!MF5*24*3600/100000000</f>
        <v>2.1254400000000002</v>
      </c>
      <c r="MG5" s="6">
        <f>日流量!MG5*24*3600/100000000</f>
        <v>2.0822400000000001</v>
      </c>
      <c r="MH5" s="6">
        <f>日流量!MH5*24*3600/100000000</f>
        <v>2.0563199999999999</v>
      </c>
      <c r="MI5" s="6">
        <f>日流量!MI5*24*3600/100000000</f>
        <v>2.03904</v>
      </c>
      <c r="MJ5" s="6">
        <f>日流量!MJ5*24*3600/100000000</f>
        <v>2.00448</v>
      </c>
      <c r="MK5" s="6">
        <f>日流量!MK5*24*3600/100000000</f>
        <v>1.9699199999999999</v>
      </c>
      <c r="ML5" s="6">
        <f>日流量!ML5*24*3600/100000000</f>
        <v>1.92672</v>
      </c>
      <c r="MM5" s="6">
        <f>日流量!MM5*24*3600/100000000</f>
        <v>1.8748800000000001</v>
      </c>
      <c r="MN5" s="6">
        <f>日流量!MN5*24*3600/100000000</f>
        <v>1.83168</v>
      </c>
      <c r="MO5" s="6">
        <f>日流量!MO5*24*3600/100000000</f>
        <v>1.7884800000000001</v>
      </c>
      <c r="MP5" s="6">
        <f>日流量!MP5*24*3600/100000000</f>
        <v>1.7539199999999999</v>
      </c>
      <c r="MQ5" s="6">
        <f>日流量!MQ5*24*3600/100000000</f>
        <v>1.73664</v>
      </c>
      <c r="MR5" s="6">
        <f>日流量!MR5*24*3600/100000000</f>
        <v>1.73664</v>
      </c>
      <c r="MS5" s="6">
        <f>日流量!MS5*24*3600/100000000</f>
        <v>1.728</v>
      </c>
      <c r="MT5" s="6">
        <f>日流量!MT5*24*3600/100000000</f>
        <v>1.71936</v>
      </c>
      <c r="MU5" s="6">
        <f>日流量!MU5*24*3600/100000000</f>
        <v>1.6934400000000001</v>
      </c>
      <c r="MV5" s="6">
        <f>日流量!MV5*24*3600/100000000</f>
        <v>1.6848000000000001</v>
      </c>
      <c r="MW5" s="6">
        <f>日流量!MW5*24*3600/100000000</f>
        <v>1.6675199999999999</v>
      </c>
      <c r="MX5" s="6">
        <f>日流量!MX5*24*3600/100000000</f>
        <v>1.6502399999999999</v>
      </c>
      <c r="MY5" s="6">
        <f>日流量!MY5*24*3600/100000000</f>
        <v>1.63296</v>
      </c>
      <c r="MZ5" s="6">
        <f>日流量!MZ5*24*3600/100000000</f>
        <v>1.62432</v>
      </c>
      <c r="NA5" s="6">
        <f>日流量!NA5*24*3600/100000000</f>
        <v>1.60704</v>
      </c>
      <c r="NB5" s="6">
        <f>日流量!NB5*24*3600/100000000</f>
        <v>1.5897600000000001</v>
      </c>
      <c r="NC5" s="6">
        <f>日流量!NC5*24*3600/100000000</f>
        <v>1.5811200000000001</v>
      </c>
      <c r="ND5" s="6">
        <f>日流量!ND5*24*3600*31/100000000</f>
        <v>39.908160000000002</v>
      </c>
      <c r="NE5" s="6">
        <f>日流量!NE5*24*3600*29/100000000</f>
        <v>33.324480000000001</v>
      </c>
      <c r="NF5" s="6">
        <f>日流量!NF5*24*3600*31/100000000</f>
        <v>32.944319999999998</v>
      </c>
      <c r="NG5" s="6">
        <f>日流量!NG5*24*3600*30/100000000</f>
        <v>34.732799999999997</v>
      </c>
      <c r="NH5" s="6">
        <f>日流量!NH5*24*3600*31/100000000</f>
        <v>46.068480000000001</v>
      </c>
      <c r="NI5" s="6">
        <f>日流量!NI5*24*3600*30/100000000</f>
        <v>100.3104</v>
      </c>
      <c r="NJ5" s="6">
        <f>日流量!NJ5*24*3600*31/100000000</f>
        <v>154.54367999999999</v>
      </c>
      <c r="NK5" s="6">
        <f>日流量!NK5*24*3600*31/100000000</f>
        <v>211.05792</v>
      </c>
      <c r="NL5" s="6">
        <f>日流量!NL5*24*3600*30/100000000</f>
        <v>272.16000000000003</v>
      </c>
      <c r="NM5" s="6">
        <f>日流量!NM5*24*3600*31/100000000</f>
        <v>207.30815999999999</v>
      </c>
      <c r="NN5" s="6">
        <f>日流量!NN5*24*3600*30/100000000</f>
        <v>108.3456</v>
      </c>
      <c r="NO5" s="6">
        <f>日流量!NO5*24*3600*31/100000000</f>
        <v>59.192639999999997</v>
      </c>
      <c r="NP5" s="14">
        <f>SUM(ND5:NO5)</f>
        <v>1299.8966400000002</v>
      </c>
      <c r="NQ5" s="6">
        <f>日流量!NQ5*24*3600/100000000</f>
        <v>13.9968</v>
      </c>
      <c r="NR5" s="4">
        <f>日流量!NR5</f>
        <v>42601</v>
      </c>
      <c r="NS5" s="6">
        <f>日流量!NS5*24*3600/100000000</f>
        <v>1.01952</v>
      </c>
      <c r="NT5" s="4">
        <f>日流量!NT5</f>
        <v>42458</v>
      </c>
      <c r="NU5" s="7">
        <f>日流量!NP5</f>
        <v>4110.1366120218581</v>
      </c>
      <c r="NW5" s="13">
        <f t="shared" ref="NW5:NW67" si="0">SUM(NH5:NM5)</f>
        <v>991.44864000000007</v>
      </c>
      <c r="NX5" s="12">
        <f t="shared" ref="NX5:NX67" si="1">NW5/NP5*100</f>
        <v>76.271344158563252</v>
      </c>
      <c r="NY5" s="13">
        <f t="shared" ref="NY5:NY67" si="2">SUM(NI5:NL5)</f>
        <v>738.07200000000012</v>
      </c>
      <c r="NZ5" s="12">
        <f t="shared" ref="NZ5:NZ67" si="3">NY5/NP5*100</f>
        <v>56.779283620580792</v>
      </c>
      <c r="OA5" s="13">
        <f t="shared" ref="OA5:OA67" si="4">NP5-NW5</f>
        <v>308.44800000000009</v>
      </c>
      <c r="OB5" s="12">
        <f t="shared" ref="OB5:OB67" si="5">OA5/NP5*100</f>
        <v>23.728655841436751</v>
      </c>
      <c r="OC5" s="13">
        <f t="shared" ref="OC5:OC67" si="6">MAX(ND5:NO5)</f>
        <v>272.16000000000003</v>
      </c>
      <c r="OD5" s="12">
        <f t="shared" ref="OD5:OD67" si="7">OC5/NP5*100</f>
        <v>20.937049271855955</v>
      </c>
      <c r="OE5" s="12">
        <f t="shared" ref="OE5:OE67" si="8">NP5*100000000/$OG$2/1000000*1000</f>
        <v>303.7141682242991</v>
      </c>
      <c r="OF5" s="12">
        <f t="shared" ref="OF5:OF67" si="9">NP5*100000000/$OG$2/24/3600/365*1000</f>
        <v>9.6307130969146097</v>
      </c>
    </row>
    <row r="6" spans="1:397" x14ac:dyDescent="0.15">
      <c r="A6" s="2">
        <v>1953</v>
      </c>
      <c r="B6" s="6">
        <f>日流量!B6*24*3600/100000000</f>
        <v>1.5551999999999999</v>
      </c>
      <c r="C6" s="6">
        <f>日流量!C6*24*3600/100000000</f>
        <v>1.53792</v>
      </c>
      <c r="D6" s="6">
        <f>日流量!D6*24*3600/100000000</f>
        <v>1.512</v>
      </c>
      <c r="E6" s="6">
        <f>日流量!E6*24*3600/100000000</f>
        <v>1.49472</v>
      </c>
      <c r="F6" s="6">
        <f>日流量!F6*24*3600/100000000</f>
        <v>1.4688000000000001</v>
      </c>
      <c r="G6" s="6">
        <f>日流量!G6*24*3600/100000000</f>
        <v>1.4428799999999999</v>
      </c>
      <c r="H6" s="6">
        <f>日流量!H6*24*3600/100000000</f>
        <v>1.4256</v>
      </c>
      <c r="I6" s="6">
        <f>日流量!I6*24*3600/100000000</f>
        <v>1.39968</v>
      </c>
      <c r="J6" s="6">
        <f>日流量!J6*24*3600/100000000</f>
        <v>1.4515199999999999</v>
      </c>
      <c r="K6" s="6">
        <f>日流量!K6*24*3600/100000000</f>
        <v>1.43424</v>
      </c>
      <c r="L6" s="6">
        <f>日流量!L6*24*3600/100000000</f>
        <v>1.40832</v>
      </c>
      <c r="M6" s="6">
        <f>日流量!M6*24*3600/100000000</f>
        <v>1.3910400000000001</v>
      </c>
      <c r="N6" s="6">
        <f>日流量!N6*24*3600/100000000</f>
        <v>1.3824000000000001</v>
      </c>
      <c r="O6" s="6">
        <f>日流量!O6*24*3600/100000000</f>
        <v>1.3651199999999999</v>
      </c>
      <c r="P6" s="6">
        <f>日流量!P6*24*3600/100000000</f>
        <v>1.3564799999999999</v>
      </c>
      <c r="Q6" s="6">
        <f>日流量!Q6*24*3600/100000000</f>
        <v>1.33056</v>
      </c>
      <c r="R6" s="6">
        <f>日流量!R6*24*3600/100000000</f>
        <v>1.33056</v>
      </c>
      <c r="S6" s="6">
        <f>日流量!S6*24*3600/100000000</f>
        <v>1.296</v>
      </c>
      <c r="T6" s="6">
        <f>日流量!T6*24*3600/100000000</f>
        <v>1.30464</v>
      </c>
      <c r="U6" s="6">
        <f>日流量!U6*24*3600/100000000</f>
        <v>1.2873600000000001</v>
      </c>
      <c r="V6" s="6">
        <f>日流量!V6*24*3600/100000000</f>
        <v>1.2873600000000001</v>
      </c>
      <c r="W6" s="6">
        <f>日流量!W6*24*3600/100000000</f>
        <v>1.2787200000000001</v>
      </c>
      <c r="X6" s="6">
        <f>日流量!X6*24*3600/100000000</f>
        <v>1.2614399999999999</v>
      </c>
      <c r="Y6" s="6">
        <f>日流量!Y6*24*3600/100000000</f>
        <v>1.2527999999999999</v>
      </c>
      <c r="Z6" s="6">
        <f>日流量!Z6*24*3600/100000000</f>
        <v>1.2441599999999999</v>
      </c>
      <c r="AA6" s="6">
        <f>日流量!AA6*24*3600/100000000</f>
        <v>1.2614399999999999</v>
      </c>
      <c r="AB6" s="6">
        <f>日流量!AB6*24*3600/100000000</f>
        <v>1.2527999999999999</v>
      </c>
      <c r="AC6" s="6">
        <f>日流量!AC6*24*3600/100000000</f>
        <v>1.2527999999999999</v>
      </c>
      <c r="AD6" s="6">
        <f>日流量!AD6*24*3600/100000000</f>
        <v>1.2441599999999999</v>
      </c>
      <c r="AE6" s="6">
        <f>日流量!AE6*24*3600/100000000</f>
        <v>1.22688</v>
      </c>
      <c r="AF6" s="6">
        <f>日流量!AF6*24*3600/100000000</f>
        <v>1.20096</v>
      </c>
      <c r="AG6" s="6">
        <f>日流量!AG6*24*3600/100000000</f>
        <v>1.1836800000000001</v>
      </c>
      <c r="AH6" s="6">
        <f>日流量!AH6*24*3600/100000000</f>
        <v>1.1750400000000001</v>
      </c>
      <c r="AI6" s="6">
        <f>日流量!AI6*24*3600/100000000</f>
        <v>1.1750400000000001</v>
      </c>
      <c r="AJ6" s="6">
        <f>日流量!AJ6*24*3600/100000000</f>
        <v>1.1664000000000001</v>
      </c>
      <c r="AK6" s="6">
        <f>日流量!AK6*24*3600/100000000</f>
        <v>1.1577599999999999</v>
      </c>
      <c r="AL6" s="6">
        <f>日流量!AL6*24*3600/100000000</f>
        <v>1.1577599999999999</v>
      </c>
      <c r="AM6" s="6">
        <f>日流量!AM6*24*3600/100000000</f>
        <v>1.1491199999999999</v>
      </c>
      <c r="AN6" s="6">
        <f>日流量!AN6*24*3600/100000000</f>
        <v>1.1491199999999999</v>
      </c>
      <c r="AO6" s="6">
        <f>日流量!AO6*24*3600/100000000</f>
        <v>1.13184</v>
      </c>
      <c r="AP6" s="6">
        <f>日流量!AP6*24*3600/100000000</f>
        <v>1.1232</v>
      </c>
      <c r="AQ6" s="6">
        <f>日流量!AQ6*24*3600/100000000</f>
        <v>1.1232</v>
      </c>
      <c r="AR6" s="6">
        <f>日流量!AR6*24*3600/100000000</f>
        <v>1.11456</v>
      </c>
      <c r="AS6" s="6">
        <f>日流量!AS6*24*3600/100000000</f>
        <v>1.10592</v>
      </c>
      <c r="AT6" s="6">
        <f>日流量!AT6*24*3600/100000000</f>
        <v>1.09728</v>
      </c>
      <c r="AU6" s="6">
        <f>日流量!AU6*24*3600/100000000</f>
        <v>1.09728</v>
      </c>
      <c r="AV6" s="6">
        <f>日流量!AV6*24*3600/100000000</f>
        <v>1.09728</v>
      </c>
      <c r="AW6" s="6">
        <f>日流量!AW6*24*3600/100000000</f>
        <v>1.09728</v>
      </c>
      <c r="AX6" s="6">
        <f>日流量!AX6*24*3600/100000000</f>
        <v>1.09728</v>
      </c>
      <c r="AY6" s="6">
        <f>日流量!AY6*24*3600/100000000</f>
        <v>1.09728</v>
      </c>
      <c r="AZ6" s="6">
        <f>日流量!AZ6*24*3600/100000000</f>
        <v>1.09728</v>
      </c>
      <c r="BA6" s="6">
        <f>日流量!BA6*24*3600/100000000</f>
        <v>1.09728</v>
      </c>
      <c r="BB6" s="6">
        <f>日流量!BB6*24*3600/100000000</f>
        <v>1.13184</v>
      </c>
      <c r="BC6" s="6">
        <f>日流量!BC6*24*3600/100000000</f>
        <v>1.1491199999999999</v>
      </c>
      <c r="BD6" s="6">
        <f>日流量!BD6*24*3600/100000000</f>
        <v>1.1491199999999999</v>
      </c>
      <c r="BE6" s="6">
        <f>日流量!BE6*24*3600/100000000</f>
        <v>1.13184</v>
      </c>
      <c r="BF6" s="6">
        <f>日流量!BF6*24*3600/100000000</f>
        <v>1.1232</v>
      </c>
      <c r="BG6" s="6">
        <f>日流量!BG6*24*3600/100000000</f>
        <v>1.13184</v>
      </c>
      <c r="BH6" s="6">
        <f>日流量!BH6*24*3600/100000000</f>
        <v>1.1750400000000001</v>
      </c>
      <c r="BI6" s="6"/>
      <c r="BJ6" s="6">
        <f>日流量!BJ6*24*3600/100000000</f>
        <v>1.19232</v>
      </c>
      <c r="BK6" s="6">
        <f>日流量!BK6*24*3600/100000000</f>
        <v>1.1836800000000001</v>
      </c>
      <c r="BL6" s="6">
        <f>日流量!BL6*24*3600/100000000</f>
        <v>1.1750400000000001</v>
      </c>
      <c r="BM6" s="6">
        <f>日流量!BM6*24*3600/100000000</f>
        <v>1.1664000000000001</v>
      </c>
      <c r="BN6" s="6">
        <f>日流量!BN6*24*3600/100000000</f>
        <v>1.1577599999999999</v>
      </c>
      <c r="BO6" s="6">
        <f>日流量!BO6*24*3600/100000000</f>
        <v>1.1750400000000001</v>
      </c>
      <c r="BP6" s="6">
        <f>日流量!BP6*24*3600/100000000</f>
        <v>1.20096</v>
      </c>
      <c r="BQ6" s="6">
        <f>日流量!BQ6*24*3600/100000000</f>
        <v>1.2096</v>
      </c>
      <c r="BR6" s="6">
        <f>日流量!BR6*24*3600/100000000</f>
        <v>1.20096</v>
      </c>
      <c r="BS6" s="6">
        <f>日流量!BS6*24*3600/100000000</f>
        <v>1.1750400000000001</v>
      </c>
      <c r="BT6" s="6">
        <f>日流量!BT6*24*3600/100000000</f>
        <v>1.1577599999999999</v>
      </c>
      <c r="BU6" s="6">
        <f>日流量!BU6*24*3600/100000000</f>
        <v>1.1491199999999999</v>
      </c>
      <c r="BV6" s="6">
        <f>日流量!BV6*24*3600/100000000</f>
        <v>1.1491199999999999</v>
      </c>
      <c r="BW6" s="6">
        <f>日流量!BW6*24*3600/100000000</f>
        <v>1.1491199999999999</v>
      </c>
      <c r="BX6" s="6">
        <f>日流量!BX6*24*3600/100000000</f>
        <v>1.1491199999999999</v>
      </c>
      <c r="BY6" s="6">
        <f>日流量!BY6*24*3600/100000000</f>
        <v>1.1491199999999999</v>
      </c>
      <c r="BZ6" s="6">
        <f>日流量!BZ6*24*3600/100000000</f>
        <v>1.1491199999999999</v>
      </c>
      <c r="CA6" s="6">
        <f>日流量!CA6*24*3600/100000000</f>
        <v>1.13184</v>
      </c>
      <c r="CB6" s="6">
        <f>日流量!CB6*24*3600/100000000</f>
        <v>1.13184</v>
      </c>
      <c r="CC6" s="6">
        <f>日流量!CC6*24*3600/100000000</f>
        <v>1.1232</v>
      </c>
      <c r="CD6" s="6">
        <f>日流量!CD6*24*3600/100000000</f>
        <v>1.11456</v>
      </c>
      <c r="CE6" s="6">
        <f>日流量!CE6*24*3600/100000000</f>
        <v>1.10592</v>
      </c>
      <c r="CF6" s="6">
        <f>日流量!CF6*24*3600/100000000</f>
        <v>1.11456</v>
      </c>
      <c r="CG6" s="6">
        <f>日流量!CG6*24*3600/100000000</f>
        <v>1.13184</v>
      </c>
      <c r="CH6" s="6">
        <f>日流量!CH6*24*3600/100000000</f>
        <v>1.1664000000000001</v>
      </c>
      <c r="CI6" s="6">
        <f>日流量!CI6*24*3600/100000000</f>
        <v>1.1750400000000001</v>
      </c>
      <c r="CJ6" s="6">
        <f>日流量!CJ6*24*3600/100000000</f>
        <v>1.1491199999999999</v>
      </c>
      <c r="CK6" s="6">
        <f>日流量!CK6*24*3600/100000000</f>
        <v>1.13184</v>
      </c>
      <c r="CL6" s="6">
        <f>日流量!CL6*24*3600/100000000</f>
        <v>1.13184</v>
      </c>
      <c r="CM6" s="6">
        <f>日流量!CM6*24*3600/100000000</f>
        <v>1.1491199999999999</v>
      </c>
      <c r="CN6" s="6">
        <f>日流量!CN6*24*3600/100000000</f>
        <v>1.1577599999999999</v>
      </c>
      <c r="CO6" s="6">
        <f>日流量!CO6*24*3600/100000000</f>
        <v>1.1750400000000001</v>
      </c>
      <c r="CP6" s="6">
        <f>日流量!CP6*24*3600/100000000</f>
        <v>1.20096</v>
      </c>
      <c r="CQ6" s="6">
        <f>日流量!CQ6*24*3600/100000000</f>
        <v>1.23552</v>
      </c>
      <c r="CR6" s="6">
        <f>日流量!CR6*24*3600/100000000</f>
        <v>1.2787200000000001</v>
      </c>
      <c r="CS6" s="6">
        <f>日流量!CS6*24*3600/100000000</f>
        <v>1.31328</v>
      </c>
      <c r="CT6" s="6">
        <f>日流量!CT6*24*3600/100000000</f>
        <v>1.31328</v>
      </c>
      <c r="CU6" s="6">
        <f>日流量!CU6*24*3600/100000000</f>
        <v>1.30464</v>
      </c>
      <c r="CV6" s="6">
        <f>日流量!CV6*24*3600/100000000</f>
        <v>1.2873600000000001</v>
      </c>
      <c r="CW6" s="6">
        <f>日流量!CW6*24*3600/100000000</f>
        <v>1.2614399999999999</v>
      </c>
      <c r="CX6" s="6">
        <f>日流量!CX6*24*3600/100000000</f>
        <v>1.23552</v>
      </c>
      <c r="CY6" s="6">
        <f>日流量!CY6*24*3600/100000000</f>
        <v>1.22688</v>
      </c>
      <c r="CZ6" s="6">
        <f>日流量!CZ6*24*3600/100000000</f>
        <v>1.22688</v>
      </c>
      <c r="DA6" s="6">
        <f>日流量!DA6*24*3600/100000000</f>
        <v>1.22688</v>
      </c>
      <c r="DB6" s="6">
        <f>日流量!DB6*24*3600/100000000</f>
        <v>1.22688</v>
      </c>
      <c r="DC6" s="6">
        <f>日流量!DC6*24*3600/100000000</f>
        <v>1.22688</v>
      </c>
      <c r="DD6" s="6">
        <f>日流量!DD6*24*3600/100000000</f>
        <v>1.23552</v>
      </c>
      <c r="DE6" s="6">
        <f>日流量!DE6*24*3600/100000000</f>
        <v>1.23552</v>
      </c>
      <c r="DF6" s="6">
        <f>日流量!DF6*24*3600/100000000</f>
        <v>1.22688</v>
      </c>
      <c r="DG6" s="6">
        <f>日流量!DG6*24*3600/100000000</f>
        <v>1.22688</v>
      </c>
      <c r="DH6" s="6">
        <f>日流量!DH6*24*3600/100000000</f>
        <v>1.2614399999999999</v>
      </c>
      <c r="DI6" s="6">
        <f>日流量!DI6*24*3600/100000000</f>
        <v>1.2873600000000001</v>
      </c>
      <c r="DJ6" s="6">
        <f>日流量!DJ6*24*3600/100000000</f>
        <v>1.30464</v>
      </c>
      <c r="DK6" s="6">
        <f>日流量!DK6*24*3600/100000000</f>
        <v>1.31328</v>
      </c>
      <c r="DL6" s="6">
        <f>日流量!DL6*24*3600/100000000</f>
        <v>1.30464</v>
      </c>
      <c r="DM6" s="6">
        <f>日流量!DM6*24*3600/100000000</f>
        <v>1.30464</v>
      </c>
      <c r="DN6" s="6">
        <f>日流量!DN6*24*3600/100000000</f>
        <v>1.30464</v>
      </c>
      <c r="DO6" s="6">
        <f>日流量!DO6*24*3600/100000000</f>
        <v>1.31328</v>
      </c>
      <c r="DP6" s="6">
        <f>日流量!DP6*24*3600/100000000</f>
        <v>1.32192</v>
      </c>
      <c r="DQ6" s="6">
        <f>日流量!DQ6*24*3600/100000000</f>
        <v>1.30464</v>
      </c>
      <c r="DR6" s="6">
        <f>日流量!DR6*24*3600/100000000</f>
        <v>1.2787200000000001</v>
      </c>
      <c r="DS6" s="6">
        <f>日流量!DS6*24*3600/100000000</f>
        <v>1.2614399999999999</v>
      </c>
      <c r="DT6" s="6">
        <f>日流量!DT6*24*3600/100000000</f>
        <v>1.2527999999999999</v>
      </c>
      <c r="DU6" s="6">
        <f>日流量!DU6*24*3600/100000000</f>
        <v>1.2527999999999999</v>
      </c>
      <c r="DV6" s="6">
        <f>日流量!DV6*24*3600/100000000</f>
        <v>1.2787200000000001</v>
      </c>
      <c r="DW6" s="6">
        <f>日流量!DW6*24*3600/100000000</f>
        <v>1.30464</v>
      </c>
      <c r="DX6" s="6">
        <f>日流量!DX6*24*3600/100000000</f>
        <v>1.3391999999999999</v>
      </c>
      <c r="DY6" s="6">
        <f>日流量!DY6*24*3600/100000000</f>
        <v>1.40832</v>
      </c>
      <c r="DZ6" s="6">
        <f>日流量!DZ6*24*3600/100000000</f>
        <v>1.4774400000000001</v>
      </c>
      <c r="EA6" s="6">
        <f>日流量!EA6*24*3600/100000000</f>
        <v>1.5897600000000001</v>
      </c>
      <c r="EB6" s="6">
        <f>日流量!EB6*24*3600/100000000</f>
        <v>1.60704</v>
      </c>
      <c r="EC6" s="6">
        <f>日流量!EC6*24*3600/100000000</f>
        <v>1.52064</v>
      </c>
      <c r="ED6" s="6">
        <f>日流量!ED6*24*3600/100000000</f>
        <v>1.4774400000000001</v>
      </c>
      <c r="EE6" s="6">
        <f>日流量!EE6*24*3600/100000000</f>
        <v>1.49472</v>
      </c>
      <c r="EF6" s="6">
        <f>日流量!EF6*24*3600/100000000</f>
        <v>1.5897600000000001</v>
      </c>
      <c r="EG6" s="6">
        <f>日流量!EG6*24*3600/100000000</f>
        <v>1.6848000000000001</v>
      </c>
      <c r="EH6" s="6">
        <f>日流量!EH6*24*3600/100000000</f>
        <v>1.73664</v>
      </c>
      <c r="EI6" s="6">
        <f>日流量!EI6*24*3600/100000000</f>
        <v>1.80576</v>
      </c>
      <c r="EJ6" s="6">
        <f>日流量!EJ6*24*3600/100000000</f>
        <v>1.9785600000000001</v>
      </c>
      <c r="EK6" s="6">
        <f>日流量!EK6*24*3600/100000000</f>
        <v>2.1254400000000002</v>
      </c>
      <c r="EL6" s="6">
        <f>日流量!EL6*24*3600/100000000</f>
        <v>2.21184</v>
      </c>
      <c r="EM6" s="6">
        <f>日流量!EM6*24*3600/100000000</f>
        <v>2.1772800000000001</v>
      </c>
      <c r="EN6" s="6">
        <f>日流量!EN6*24*3600/100000000</f>
        <v>2.0908799999999998</v>
      </c>
      <c r="EO6" s="6">
        <f>日流量!EO6*24*3600/100000000</f>
        <v>1.9958400000000001</v>
      </c>
      <c r="EP6" s="6">
        <f>日流量!EP6*24*3600/100000000</f>
        <v>1.93536</v>
      </c>
      <c r="EQ6" s="6">
        <f>日流量!EQ6*24*3600/100000000</f>
        <v>1.90944</v>
      </c>
      <c r="ER6" s="6">
        <f>日流量!ER6*24*3600/100000000</f>
        <v>1.91808</v>
      </c>
      <c r="ES6" s="6">
        <f>日流量!ES6*24*3600/100000000</f>
        <v>1.9526399999999999</v>
      </c>
      <c r="ET6" s="6">
        <f>日流量!ET6*24*3600/100000000</f>
        <v>1.9872000000000001</v>
      </c>
      <c r="EU6" s="6">
        <f>日流量!EU6*24*3600/100000000</f>
        <v>2.0735999999999999</v>
      </c>
      <c r="EV6" s="6">
        <f>日流量!EV6*24*3600/100000000</f>
        <v>2.0995200000000001</v>
      </c>
      <c r="EW6" s="6">
        <f>日流量!EW6*24*3600/100000000</f>
        <v>2.0304000000000002</v>
      </c>
      <c r="EX6" s="6">
        <f>日流量!EX6*24*3600/100000000</f>
        <v>1.9526399999999999</v>
      </c>
      <c r="EY6" s="6">
        <f>日流量!EY6*24*3600/100000000</f>
        <v>2.0304000000000002</v>
      </c>
      <c r="EZ6" s="6">
        <f>日流量!EZ6*24*3600/100000000</f>
        <v>2.2031999999999998</v>
      </c>
      <c r="FA6" s="6">
        <f>日流量!FA6*24*3600/100000000</f>
        <v>2.2464</v>
      </c>
      <c r="FB6" s="6">
        <f>日流量!FB6*24*3600/100000000</f>
        <v>2.30688</v>
      </c>
      <c r="FC6" s="6">
        <f>日流量!FC6*24*3600/100000000</f>
        <v>2.2809599999999999</v>
      </c>
      <c r="FD6" s="6">
        <f>日流量!FD6*24*3600/100000000</f>
        <v>2.32416</v>
      </c>
      <c r="FE6" s="6">
        <f>日流量!FE6*24*3600/100000000</f>
        <v>2.34144</v>
      </c>
      <c r="FF6" s="6">
        <f>日流量!FF6*24*3600/100000000</f>
        <v>2.2896000000000001</v>
      </c>
      <c r="FG6" s="6">
        <f>日流量!FG6*24*3600/100000000</f>
        <v>2.22912</v>
      </c>
      <c r="FH6" s="6">
        <f>日流量!FH6*24*3600/100000000</f>
        <v>2.2896000000000001</v>
      </c>
      <c r="FI6" s="6">
        <f>日流量!FI6*24*3600/100000000</f>
        <v>2.4710399999999999</v>
      </c>
      <c r="FJ6" s="6">
        <f>日流量!FJ6*24*3600/100000000</f>
        <v>2.60928</v>
      </c>
      <c r="FK6" s="6">
        <f>日流量!FK6*24*3600/100000000</f>
        <v>2.8512</v>
      </c>
      <c r="FL6" s="6">
        <f>日流量!FL6*24*3600/100000000</f>
        <v>3.0585599999999999</v>
      </c>
      <c r="FM6" s="6">
        <f>日流量!FM6*24*3600/100000000</f>
        <v>3.1622400000000002</v>
      </c>
      <c r="FN6" s="6">
        <f>日流量!FN6*24*3600/100000000</f>
        <v>2.9721600000000001</v>
      </c>
      <c r="FO6" s="6">
        <f>日流量!FO6*24*3600/100000000</f>
        <v>2.7648000000000001</v>
      </c>
      <c r="FP6" s="6">
        <f>日流量!FP6*24*3600/100000000</f>
        <v>2.6611199999999999</v>
      </c>
      <c r="FQ6" s="6">
        <f>日流量!FQ6*24*3600/100000000</f>
        <v>2.7734399999999999</v>
      </c>
      <c r="FR6" s="6">
        <f>日流量!FR6*24*3600/100000000</f>
        <v>3.024</v>
      </c>
      <c r="FS6" s="6">
        <f>日流量!FS6*24*3600/100000000</f>
        <v>3.1622400000000002</v>
      </c>
      <c r="FT6" s="6">
        <f>日流量!FT6*24*3600/100000000</f>
        <v>3.2831999999999999</v>
      </c>
      <c r="FU6" s="6">
        <f>日流量!FU6*24*3600/100000000</f>
        <v>3.3955199999999999</v>
      </c>
      <c r="FV6" s="6">
        <f>日流量!FV6*24*3600/100000000</f>
        <v>3.5251199999999998</v>
      </c>
      <c r="FW6" s="6">
        <f>日流量!FW6*24*3600/100000000</f>
        <v>3.4992000000000001</v>
      </c>
      <c r="FX6" s="6">
        <f>日流量!FX6*24*3600/100000000</f>
        <v>3.7670400000000002</v>
      </c>
      <c r="FY6" s="6">
        <f>日流量!FY6*24*3600/100000000</f>
        <v>4.4236800000000001</v>
      </c>
      <c r="FZ6" s="6">
        <f>日流量!FZ6*24*3600/100000000</f>
        <v>4.6828799999999999</v>
      </c>
      <c r="GA6" s="6">
        <f>日流量!GA6*24*3600/100000000</f>
        <v>4.8902400000000004</v>
      </c>
      <c r="GB6" s="6">
        <f>日流量!GB6*24*3600/100000000</f>
        <v>5.5209599999999996</v>
      </c>
      <c r="GC6" s="6">
        <f>日流量!GC6*24*3600/100000000</f>
        <v>7.5081600000000002</v>
      </c>
      <c r="GD6" s="6">
        <f>日流量!GD6*24*3600/100000000</f>
        <v>8.0697600000000005</v>
      </c>
      <c r="GE6" s="6">
        <f>日流量!GE6*24*3600/100000000</f>
        <v>8.9855999999999998</v>
      </c>
      <c r="GF6" s="6">
        <f>日流量!GF6*24*3600/100000000</f>
        <v>10.368</v>
      </c>
      <c r="GG6" s="6">
        <f>日流量!GG6*24*3600/100000000</f>
        <v>10.1088</v>
      </c>
      <c r="GH6" s="6">
        <f>日流量!GH6*24*3600/100000000</f>
        <v>10.8864</v>
      </c>
      <c r="GI6" s="6">
        <f>日流量!GI6*24*3600/100000000</f>
        <v>11.491199999999999</v>
      </c>
      <c r="GJ6" s="6">
        <f>日流量!GJ6*24*3600/100000000</f>
        <v>11.3184</v>
      </c>
      <c r="GK6" s="6">
        <f>日流量!GK6*24*3600/100000000</f>
        <v>10.1088</v>
      </c>
      <c r="GL6" s="6">
        <f>日流量!GL6*24*3600/100000000</f>
        <v>8.8127999999999993</v>
      </c>
      <c r="GM6" s="6">
        <f>日流量!GM6*24*3600/100000000</f>
        <v>7.9488000000000003</v>
      </c>
      <c r="GN6" s="6">
        <f>日流量!GN6*24*3600/100000000</f>
        <v>7.2748799999999996</v>
      </c>
      <c r="GO6" s="6">
        <f>日流量!GO6*24*3600/100000000</f>
        <v>6.5318399999999999</v>
      </c>
      <c r="GP6" s="6">
        <f>日流量!GP6*24*3600/100000000</f>
        <v>5.9270399999999999</v>
      </c>
      <c r="GQ6" s="6">
        <f>日流量!GQ6*24*3600/100000000</f>
        <v>5.5382400000000001</v>
      </c>
      <c r="GR6" s="6">
        <f>日流量!GR6*24*3600/100000000</f>
        <v>5.2876799999999999</v>
      </c>
      <c r="GS6" s="6">
        <f>日流量!GS6*24*3600/100000000</f>
        <v>5.2271999999999998</v>
      </c>
      <c r="GT6" s="6">
        <f>日流量!GT6*24*3600/100000000</f>
        <v>5.2012799999999997</v>
      </c>
      <c r="GU6" s="6">
        <f>日流量!GU6*24*3600/100000000</f>
        <v>5.4345600000000003</v>
      </c>
      <c r="GV6" s="6">
        <f>日流量!GV6*24*3600/100000000</f>
        <v>6.3590400000000002</v>
      </c>
      <c r="GW6" s="6">
        <f>日流量!GW6*24*3600/100000000</f>
        <v>6.9465599999999998</v>
      </c>
      <c r="GX6" s="6">
        <f>日流量!GX6*24*3600/100000000</f>
        <v>8.7263999999999999</v>
      </c>
      <c r="GY6" s="6">
        <f>日流量!GY6*24*3600/100000000</f>
        <v>12.182399999999999</v>
      </c>
      <c r="GZ6" s="6">
        <f>日流量!GZ6*24*3600/100000000</f>
        <v>14.688000000000001</v>
      </c>
      <c r="HA6" s="6">
        <f>日流量!HA6*24*3600/100000000</f>
        <v>13.5648</v>
      </c>
      <c r="HB6" s="6">
        <f>日流量!HB6*24*3600/100000000</f>
        <v>11.9232</v>
      </c>
      <c r="HC6" s="6">
        <f>日流量!HC6*24*3600/100000000</f>
        <v>9.8496000000000006</v>
      </c>
      <c r="HD6" s="6">
        <f>日流量!HD6*24*3600/100000000</f>
        <v>9.4176000000000002</v>
      </c>
      <c r="HE6" s="6">
        <f>日流量!HE6*24*3600/100000000</f>
        <v>9.4176000000000002</v>
      </c>
      <c r="HF6" s="6">
        <f>日流量!HF6*24*3600/100000000</f>
        <v>8.5190400000000004</v>
      </c>
      <c r="HG6" s="6">
        <f>日流量!HG6*24*3600/100000000</f>
        <v>7.9833600000000002</v>
      </c>
      <c r="HH6" s="6">
        <f>日流量!HH6*24*3600/100000000</f>
        <v>7.7155199999999997</v>
      </c>
      <c r="HI6" s="6">
        <f>日流量!HI6*24*3600/100000000</f>
        <v>7.3785600000000002</v>
      </c>
      <c r="HJ6" s="6">
        <f>日流量!HJ6*24*3600/100000000</f>
        <v>7.1452799999999996</v>
      </c>
      <c r="HK6" s="6">
        <f>日流量!HK6*24*3600/100000000</f>
        <v>7.7414399999999999</v>
      </c>
      <c r="HL6" s="6">
        <f>日流量!HL6*24*3600/100000000</f>
        <v>8.0265599999999999</v>
      </c>
      <c r="HM6" s="6">
        <f>日流量!HM6*24*3600/100000000</f>
        <v>7.5167999999999999</v>
      </c>
      <c r="HN6" s="6">
        <f>日流量!HN6*24*3600/100000000</f>
        <v>6.97248</v>
      </c>
      <c r="HO6" s="6">
        <f>日流量!HO6*24*3600/100000000</f>
        <v>6.6096000000000004</v>
      </c>
      <c r="HP6" s="6">
        <f>日流量!HP6*24*3600/100000000</f>
        <v>6.4886400000000002</v>
      </c>
      <c r="HQ6" s="6">
        <f>日流量!HQ6*24*3600/100000000</f>
        <v>6.2467199999999998</v>
      </c>
      <c r="HR6" s="6">
        <f>日流量!HR6*24*3600/100000000</f>
        <v>5.9356799999999996</v>
      </c>
      <c r="HS6" s="6">
        <f>日流量!HS6*24*3600/100000000</f>
        <v>5.6419199999999998</v>
      </c>
      <c r="HT6" s="6">
        <f>日流量!HT6*24*3600/100000000</f>
        <v>5.3049600000000003</v>
      </c>
      <c r="HU6" s="6">
        <f>日流量!HU6*24*3600/100000000</f>
        <v>5.0371199999999998</v>
      </c>
      <c r="HV6" s="6">
        <f>日流量!HV6*24*3600/100000000</f>
        <v>4.8297600000000003</v>
      </c>
      <c r="HW6" s="6">
        <f>日流量!HW6*24*3600/100000000</f>
        <v>4.64832</v>
      </c>
      <c r="HX6" s="6">
        <f>日流量!HX6*24*3600/100000000</f>
        <v>4.4841600000000001</v>
      </c>
      <c r="HY6" s="6">
        <f>日流量!HY6*24*3600/100000000</f>
        <v>4.32864</v>
      </c>
      <c r="HZ6" s="6">
        <f>日流量!HZ6*24*3600/100000000</f>
        <v>4.2336</v>
      </c>
      <c r="IA6" s="6">
        <f>日流量!IA6*24*3600/100000000</f>
        <v>4.2940800000000001</v>
      </c>
      <c r="IB6" s="6">
        <f>日流量!IB6*24*3600/100000000</f>
        <v>4.2767999999999997</v>
      </c>
      <c r="IC6" s="6">
        <f>日流量!IC6*24*3600/100000000</f>
        <v>4.3459199999999996</v>
      </c>
      <c r="ID6" s="6">
        <f>日流量!ID6*24*3600/100000000</f>
        <v>4.5792000000000002</v>
      </c>
      <c r="IE6" s="6">
        <f>日流量!IE6*24*3600/100000000</f>
        <v>4.6569599999999998</v>
      </c>
      <c r="IF6" s="6">
        <f>日流量!IF6*24*3600/100000000</f>
        <v>4.6396800000000002</v>
      </c>
      <c r="IG6" s="6">
        <f>日流量!IG6*24*3600/100000000</f>
        <v>4.6310399999999996</v>
      </c>
      <c r="IH6" s="6">
        <f>日流量!IH6*24*3600/100000000</f>
        <v>4.6310399999999996</v>
      </c>
      <c r="II6" s="6">
        <f>日流量!II6*24*3600/100000000</f>
        <v>4.7001600000000003</v>
      </c>
      <c r="IJ6" s="6">
        <f>日流量!IJ6*24*3600/100000000</f>
        <v>5.0371199999999998</v>
      </c>
      <c r="IK6" s="6">
        <f>日流量!IK6*24*3600/100000000</f>
        <v>5.2444800000000003</v>
      </c>
      <c r="IL6" s="6">
        <f>日流量!IL6*24*3600/100000000</f>
        <v>5.4</v>
      </c>
      <c r="IM6" s="6">
        <f>日流量!IM6*24*3600/100000000</f>
        <v>5.5728</v>
      </c>
      <c r="IN6" s="6">
        <f>日流量!IN6*24*3600/100000000</f>
        <v>5.4691200000000002</v>
      </c>
      <c r="IO6" s="6">
        <f>日流量!IO6*24*3600/100000000</f>
        <v>5.5641600000000002</v>
      </c>
      <c r="IP6" s="6">
        <f>日流量!IP6*24*3600/100000000</f>
        <v>5.95296</v>
      </c>
      <c r="IQ6" s="6">
        <f>日流量!IQ6*24*3600/100000000</f>
        <v>6.2294400000000003</v>
      </c>
      <c r="IR6" s="6">
        <f>日流量!IR6*24*3600/100000000</f>
        <v>6.2121599999999999</v>
      </c>
      <c r="IS6" s="6">
        <f>日流量!IS6*24*3600/100000000</f>
        <v>6.8515199999999998</v>
      </c>
      <c r="IT6" s="6">
        <f>日流量!IT6*24*3600/100000000</f>
        <v>6.9551999999999996</v>
      </c>
      <c r="IU6" s="6">
        <f>日流量!IU6*24*3600/100000000</f>
        <v>7.1884800000000002</v>
      </c>
      <c r="IV6" s="6">
        <f>日流量!IV6*24*3600/100000000</f>
        <v>7.57728</v>
      </c>
      <c r="IW6" s="6">
        <f>日流量!IW6*24*3600/100000000</f>
        <v>7.5513599999999999</v>
      </c>
      <c r="IX6" s="6">
        <f>日流量!IX6*24*3600/100000000</f>
        <v>7.76736</v>
      </c>
      <c r="IY6" s="6">
        <f>日流量!IY6*24*3600/100000000</f>
        <v>8.5017600000000009</v>
      </c>
      <c r="IZ6" s="6">
        <f>日流量!IZ6*24*3600/100000000</f>
        <v>8.64</v>
      </c>
      <c r="JA6" s="6">
        <f>日流量!JA6*24*3600/100000000</f>
        <v>8.1820799999999991</v>
      </c>
      <c r="JB6" s="6">
        <f>日流量!JB6*24*3600/100000000</f>
        <v>7.5427200000000001</v>
      </c>
      <c r="JC6" s="6">
        <f>日流量!JC6*24*3600/100000000</f>
        <v>7.3180800000000001</v>
      </c>
      <c r="JD6" s="6">
        <f>日流量!JD6*24*3600/100000000</f>
        <v>7.4390400000000003</v>
      </c>
      <c r="JE6" s="6">
        <f>日流量!JE6*24*3600/100000000</f>
        <v>7.3872</v>
      </c>
      <c r="JF6" s="6">
        <f>日流量!JF6*24*3600/100000000</f>
        <v>7.29216</v>
      </c>
      <c r="JG6" s="6">
        <f>日流量!JG6*24*3600/100000000</f>
        <v>7.7932800000000002</v>
      </c>
      <c r="JH6" s="6">
        <f>日流量!JH6*24*3600/100000000</f>
        <v>8.5535999999999994</v>
      </c>
      <c r="JI6" s="6">
        <f>日流量!JI6*24*3600/100000000</f>
        <v>8.5449599999999997</v>
      </c>
      <c r="JJ6" s="6">
        <f>日流量!JJ6*24*3600/100000000</f>
        <v>7.8883200000000002</v>
      </c>
      <c r="JK6" s="6">
        <f>日流量!JK6*24*3600/100000000</f>
        <v>7.3094400000000004</v>
      </c>
      <c r="JL6" s="6">
        <f>日流量!JL6*24*3600/100000000</f>
        <v>7.0588800000000003</v>
      </c>
      <c r="JM6" s="6">
        <f>日流量!JM6*24*3600/100000000</f>
        <v>6.97248</v>
      </c>
      <c r="JN6" s="6">
        <f>日流量!JN6*24*3600/100000000</f>
        <v>7.3526400000000001</v>
      </c>
      <c r="JO6" s="6">
        <f>日流量!JO6*24*3600/100000000</f>
        <v>7.5081600000000002</v>
      </c>
      <c r="JP6" s="6">
        <f>日流量!JP6*24*3600/100000000</f>
        <v>7.8192000000000004</v>
      </c>
      <c r="JQ6" s="6">
        <f>日流量!JQ6*24*3600/100000000</f>
        <v>8.9855999999999998</v>
      </c>
      <c r="JR6" s="6">
        <f>日流量!JR6*24*3600/100000000</f>
        <v>9.0719999999999992</v>
      </c>
      <c r="JS6" s="6">
        <f>日流量!JS6*24*3600/100000000</f>
        <v>8.4585600000000003</v>
      </c>
      <c r="JT6" s="6">
        <f>日流量!JT6*24*3600/100000000</f>
        <v>8.0006400000000006</v>
      </c>
      <c r="JU6" s="6">
        <f>日流量!JU6*24*3600/100000000</f>
        <v>7.5859199999999998</v>
      </c>
      <c r="JV6" s="6">
        <f>日流量!JV6*24*3600/100000000</f>
        <v>7.06752</v>
      </c>
      <c r="JW6" s="6">
        <f>日流量!JW6*24*3600/100000000</f>
        <v>6.59232</v>
      </c>
      <c r="JX6" s="6">
        <f>日流量!JX6*24*3600/100000000</f>
        <v>7.0934400000000002</v>
      </c>
      <c r="JY6" s="6">
        <f>日流量!JY6*24*3600/100000000</f>
        <v>6.0307199999999996</v>
      </c>
      <c r="JZ6" s="6">
        <f>日流量!JZ6*24*3600/100000000</f>
        <v>5.8060799999999997</v>
      </c>
      <c r="KA6" s="6">
        <f>日流量!KA6*24*3600/100000000</f>
        <v>5.5296000000000003</v>
      </c>
      <c r="KB6" s="6">
        <f>日流量!KB6*24*3600/100000000</f>
        <v>5.2963199999999997</v>
      </c>
      <c r="KC6" s="6">
        <f>日流量!KC6*24*3600/100000000</f>
        <v>5.0975999999999999</v>
      </c>
      <c r="KD6" s="6">
        <f>日流量!KD6*24*3600/100000000</f>
        <v>4.8902400000000004</v>
      </c>
      <c r="KE6" s="6">
        <f>日流量!KE6*24*3600/100000000</f>
        <v>4.74336</v>
      </c>
      <c r="KF6" s="6">
        <f>日流量!KF6*24*3600/100000000</f>
        <v>4.6223999999999998</v>
      </c>
      <c r="KG6" s="6">
        <f>日流量!KG6*24*3600/100000000</f>
        <v>4.4755200000000004</v>
      </c>
      <c r="KH6" s="6">
        <f>日流量!KH6*24*3600/100000000</f>
        <v>4.3372799999999998</v>
      </c>
      <c r="KI6" s="6">
        <f>日流量!KI6*24*3600/100000000</f>
        <v>4.1817599999999997</v>
      </c>
      <c r="KJ6" s="6">
        <f>日流量!KJ6*24*3600/100000000</f>
        <v>4.0521599999999998</v>
      </c>
      <c r="KK6" s="6">
        <f>日流量!KK6*24*3600/100000000</f>
        <v>3.9398399999999998</v>
      </c>
      <c r="KL6" s="6">
        <f>日流量!KL6*24*3600/100000000</f>
        <v>3.8275199999999998</v>
      </c>
      <c r="KM6" s="6">
        <f>日流量!KM6*24*3600/100000000</f>
        <v>3.7151999999999998</v>
      </c>
      <c r="KN6" s="6">
        <f>日流量!KN6*24*3600/100000000</f>
        <v>3.6547200000000002</v>
      </c>
      <c r="KO6" s="6">
        <f>日流量!KO6*24*3600/100000000</f>
        <v>3.64608</v>
      </c>
      <c r="KP6" s="6">
        <f>日流量!KP6*24*3600/100000000</f>
        <v>3.6547200000000002</v>
      </c>
      <c r="KQ6" s="6">
        <f>日流量!KQ6*24*3600/100000000</f>
        <v>3.5164800000000001</v>
      </c>
      <c r="KR6" s="6">
        <f>日流量!KR6*24*3600/100000000</f>
        <v>3.4127999999999998</v>
      </c>
      <c r="KS6" s="6">
        <f>日流量!KS6*24*3600/100000000</f>
        <v>3.2918400000000001</v>
      </c>
      <c r="KT6" s="6">
        <f>日流量!KT6*24*3600/100000000</f>
        <v>3.2054399999999998</v>
      </c>
      <c r="KU6" s="6">
        <f>日流量!KU6*24*3600/100000000</f>
        <v>3.11904</v>
      </c>
      <c r="KV6" s="6">
        <f>日流量!KV6*24*3600/100000000</f>
        <v>3.04128</v>
      </c>
      <c r="KW6" s="6">
        <f>日流量!KW6*24*3600/100000000</f>
        <v>2.9980799999999999</v>
      </c>
      <c r="KX6" s="6">
        <f>日流量!KX6*24*3600/100000000</f>
        <v>2.9376000000000002</v>
      </c>
      <c r="KY6" s="6">
        <f>日流量!KY6*24*3600/100000000</f>
        <v>2.8771200000000001</v>
      </c>
      <c r="KZ6" s="6">
        <f>日流量!KZ6*24*3600/100000000</f>
        <v>2.8252799999999998</v>
      </c>
      <c r="LA6" s="6">
        <f>日流量!LA6*24*3600/100000000</f>
        <v>2.7475200000000002</v>
      </c>
      <c r="LB6" s="6">
        <f>日流量!LB6*24*3600/100000000</f>
        <v>2.6870400000000001</v>
      </c>
      <c r="LC6" s="6">
        <f>日流量!LC6*24*3600/100000000</f>
        <v>2.62656</v>
      </c>
      <c r="LD6" s="6">
        <f>日流量!LD6*24*3600/100000000</f>
        <v>2.5488</v>
      </c>
      <c r="LE6" s="6">
        <f>日流量!LE6*24*3600/100000000</f>
        <v>2.4883199999999999</v>
      </c>
      <c r="LF6" s="6">
        <f>日流量!LF6*24*3600/100000000</f>
        <v>2.43648</v>
      </c>
      <c r="LG6" s="6">
        <f>日流量!LG6*24*3600/100000000</f>
        <v>2.3759999999999999</v>
      </c>
      <c r="LH6" s="6">
        <f>日流量!LH6*24*3600/100000000</f>
        <v>2.32416</v>
      </c>
      <c r="LI6" s="6">
        <f>日流量!LI6*24*3600/100000000</f>
        <v>2.2723200000000001</v>
      </c>
      <c r="LJ6" s="6">
        <f>日流量!LJ6*24*3600/100000000</f>
        <v>2.22912</v>
      </c>
      <c r="LK6" s="6">
        <f>日流量!LK6*24*3600/100000000</f>
        <v>2.2031999999999998</v>
      </c>
      <c r="LL6" s="6">
        <f>日流量!LL6*24*3600/100000000</f>
        <v>2.1686399999999999</v>
      </c>
      <c r="LM6" s="6">
        <f>日流量!LM6*24*3600/100000000</f>
        <v>2.1427200000000002</v>
      </c>
      <c r="LN6" s="6">
        <f>日流量!LN6*24*3600/100000000</f>
        <v>2.1168</v>
      </c>
      <c r="LO6" s="6">
        <f>日流量!LO6*24*3600/100000000</f>
        <v>2.1081599999999998</v>
      </c>
      <c r="LP6" s="6">
        <f>日流量!LP6*24*3600/100000000</f>
        <v>2.0908799999999998</v>
      </c>
      <c r="LQ6" s="6">
        <f>日流量!LQ6*24*3600/100000000</f>
        <v>2.0649600000000001</v>
      </c>
      <c r="LR6" s="6">
        <f>日流量!LR6*24*3600/100000000</f>
        <v>2.02176</v>
      </c>
      <c r="LS6" s="6">
        <f>日流量!LS6*24*3600/100000000</f>
        <v>1.9699199999999999</v>
      </c>
      <c r="LT6" s="6">
        <f>日流量!LT6*24*3600/100000000</f>
        <v>1.91808</v>
      </c>
      <c r="LU6" s="6">
        <f>日流量!LU6*24*3600/100000000</f>
        <v>1.8921600000000001</v>
      </c>
      <c r="LV6" s="6">
        <f>日流量!LV6*24*3600/100000000</f>
        <v>1.8575999999999999</v>
      </c>
      <c r="LW6" s="6">
        <f>日流量!LW6*24*3600/100000000</f>
        <v>1.83168</v>
      </c>
      <c r="LX6" s="6">
        <f>日流量!LX6*24*3600/100000000</f>
        <v>1.7971200000000001</v>
      </c>
      <c r="LY6" s="6">
        <f>日流量!LY6*24*3600/100000000</f>
        <v>1.7712000000000001</v>
      </c>
      <c r="LZ6" s="6">
        <f>日流量!LZ6*24*3600/100000000</f>
        <v>1.7452799999999999</v>
      </c>
      <c r="MA6" s="6">
        <f>日流量!MA6*24*3600/100000000</f>
        <v>1.728</v>
      </c>
      <c r="MB6" s="6">
        <f>日流量!MB6*24*3600/100000000</f>
        <v>1.71072</v>
      </c>
      <c r="MC6" s="6">
        <f>日流量!MC6*24*3600/100000000</f>
        <v>1.6934400000000001</v>
      </c>
      <c r="MD6" s="6">
        <f>日流量!MD6*24*3600/100000000</f>
        <v>1.6761600000000001</v>
      </c>
      <c r="ME6" s="6">
        <f>日流量!ME6*24*3600/100000000</f>
        <v>1.6588799999999999</v>
      </c>
      <c r="MF6" s="6">
        <f>日流量!MF6*24*3600/100000000</f>
        <v>1.6502399999999999</v>
      </c>
      <c r="MG6" s="6">
        <f>日流量!MG6*24*3600/100000000</f>
        <v>1.62432</v>
      </c>
      <c r="MH6" s="6">
        <f>日流量!MH6*24*3600/100000000</f>
        <v>1.60704</v>
      </c>
      <c r="MI6" s="6">
        <f>日流量!MI6*24*3600/100000000</f>
        <v>1.5897600000000001</v>
      </c>
      <c r="MJ6" s="6">
        <f>日流量!MJ6*24*3600/100000000</f>
        <v>1.5724800000000001</v>
      </c>
      <c r="MK6" s="6">
        <f>日流量!MK6*24*3600/100000000</f>
        <v>1.5551999999999999</v>
      </c>
      <c r="ML6" s="6">
        <f>日流量!ML6*24*3600/100000000</f>
        <v>1.512</v>
      </c>
      <c r="MM6" s="6">
        <f>日流量!MM6*24*3600/100000000</f>
        <v>1.512</v>
      </c>
      <c r="MN6" s="6">
        <f>日流量!MN6*24*3600/100000000</f>
        <v>1.4688000000000001</v>
      </c>
      <c r="MO6" s="6">
        <f>日流量!MO6*24*3600/100000000</f>
        <v>1.43424</v>
      </c>
      <c r="MP6" s="6">
        <f>日流量!MP6*24*3600/100000000</f>
        <v>1.4256</v>
      </c>
      <c r="MQ6" s="6">
        <f>日流量!MQ6*24*3600/100000000</f>
        <v>1.41696</v>
      </c>
      <c r="MR6" s="6">
        <f>日流量!MR6*24*3600/100000000</f>
        <v>1.40832</v>
      </c>
      <c r="MS6" s="6">
        <f>日流量!MS6*24*3600/100000000</f>
        <v>1.3910400000000001</v>
      </c>
      <c r="MT6" s="6">
        <f>日流量!MT6*24*3600/100000000</f>
        <v>1.3737600000000001</v>
      </c>
      <c r="MU6" s="6">
        <f>日流量!MU6*24*3600/100000000</f>
        <v>1.3651199999999999</v>
      </c>
      <c r="MV6" s="6">
        <f>日流量!MV6*24*3600/100000000</f>
        <v>1.3564799999999999</v>
      </c>
      <c r="MW6" s="6">
        <f>日流量!MW6*24*3600/100000000</f>
        <v>1.33056</v>
      </c>
      <c r="MX6" s="6">
        <f>日流量!MX6*24*3600/100000000</f>
        <v>1.31328</v>
      </c>
      <c r="MY6" s="6">
        <f>日流量!MY6*24*3600/100000000</f>
        <v>1.296</v>
      </c>
      <c r="MZ6" s="6">
        <f>日流量!MZ6*24*3600/100000000</f>
        <v>1.2700800000000001</v>
      </c>
      <c r="NA6" s="6">
        <f>日流量!NA6*24*3600/100000000</f>
        <v>1.23552</v>
      </c>
      <c r="NB6" s="6">
        <f>日流量!NB6*24*3600/100000000</f>
        <v>1.2096</v>
      </c>
      <c r="NC6" s="6"/>
      <c r="ND6" s="6">
        <f>日流量!ND6*24*3600*31/100000000</f>
        <v>42.050879999999999</v>
      </c>
      <c r="NE6" s="6">
        <f>日流量!NE6*24*3600*28/100000000</f>
        <v>31.691520000000001</v>
      </c>
      <c r="NF6" s="6">
        <f>日流量!NF6*24*3600*31/100000000</f>
        <v>35.890560000000001</v>
      </c>
      <c r="NG6" s="6">
        <f>日流量!NG6*24*3600*30/100000000</f>
        <v>37.843200000000003</v>
      </c>
      <c r="NH6" s="6">
        <f>日流量!NH6*24*3600*31/100000000</f>
        <v>53.567999999999998</v>
      </c>
      <c r="NI6" s="6">
        <f>日流量!NI6*24*3600*30/100000000</f>
        <v>87.6096</v>
      </c>
      <c r="NJ6" s="6">
        <f>日流量!NJ6*24*3600*31/100000000</f>
        <v>270.51839999999999</v>
      </c>
      <c r="NK6" s="6">
        <f>日流量!NK6*24*3600*31/100000000</f>
        <v>175.43520000000001</v>
      </c>
      <c r="NL6" s="6">
        <f>日流量!NL6*24*3600*30/100000000</f>
        <v>215.65440000000001</v>
      </c>
      <c r="NM6" s="6">
        <f>日流量!NM6*24*3600*31/100000000</f>
        <v>164.7216</v>
      </c>
      <c r="NN6" s="6">
        <f>日流量!NN6*24*3600*30/100000000</f>
        <v>70.761600000000001</v>
      </c>
      <c r="NO6" s="6">
        <f>日流量!NO6*24*3600*31/100000000</f>
        <v>46.068480000000001</v>
      </c>
      <c r="NP6" s="14">
        <f>SUM(ND6:NO6)</f>
        <v>1231.8134399999999</v>
      </c>
      <c r="NQ6" s="6">
        <f>日流量!NQ6*24*3600/100000000</f>
        <v>14.688000000000001</v>
      </c>
      <c r="NR6" s="4">
        <f>日流量!NR6</f>
        <v>42576</v>
      </c>
      <c r="NS6" s="6">
        <f>日流量!NS6*24*3600/100000000</f>
        <v>1.09728</v>
      </c>
      <c r="NT6" s="4">
        <f>日流量!NT6</f>
        <v>42414</v>
      </c>
      <c r="NU6" s="7">
        <f>日流量!NP6</f>
        <v>3903.0958904109589</v>
      </c>
      <c r="NW6" s="13">
        <f t="shared" si="0"/>
        <v>967.50720000000001</v>
      </c>
      <c r="NX6" s="12">
        <f t="shared" si="1"/>
        <v>78.543322274515859</v>
      </c>
      <c r="NY6" s="13">
        <f t="shared" si="2"/>
        <v>749.21760000000006</v>
      </c>
      <c r="NZ6" s="12">
        <f t="shared" si="3"/>
        <v>60.822327121223822</v>
      </c>
      <c r="OA6" s="13">
        <f t="shared" si="4"/>
        <v>264.30623999999989</v>
      </c>
      <c r="OB6" s="12">
        <f t="shared" si="5"/>
        <v>21.456677725484138</v>
      </c>
      <c r="OC6" s="13">
        <f t="shared" si="6"/>
        <v>270.51839999999999</v>
      </c>
      <c r="OD6" s="12">
        <f t="shared" si="7"/>
        <v>21.960987858680937</v>
      </c>
      <c r="OE6" s="12">
        <f t="shared" si="8"/>
        <v>287.80687850467285</v>
      </c>
      <c r="OF6" s="12">
        <f t="shared" si="9"/>
        <v>9.1262962488797825</v>
      </c>
    </row>
    <row r="7" spans="1:397" x14ac:dyDescent="0.15">
      <c r="A7" s="2">
        <v>1954</v>
      </c>
      <c r="B7" s="6">
        <f>日流量!B7*24*3600/100000000</f>
        <v>1.20096</v>
      </c>
      <c r="C7" s="6">
        <f>日流量!C7*24*3600/100000000</f>
        <v>1.20096</v>
      </c>
      <c r="D7" s="6">
        <f>日流量!D7*24*3600/100000000</f>
        <v>1.20096</v>
      </c>
      <c r="E7" s="6">
        <f>日流量!E7*24*3600/100000000</f>
        <v>1.20096</v>
      </c>
      <c r="F7" s="6">
        <f>日流量!F7*24*3600/100000000</f>
        <v>1.20096</v>
      </c>
      <c r="G7" s="6">
        <f>日流量!G7*24*3600/100000000</f>
        <v>1.20096</v>
      </c>
      <c r="H7" s="6">
        <f>日流量!H7*24*3600/100000000</f>
        <v>1.20096</v>
      </c>
      <c r="I7" s="6">
        <f>日流量!I7*24*3600/100000000</f>
        <v>1.1836800000000001</v>
      </c>
      <c r="J7" s="6">
        <f>日流量!J7*24*3600/100000000</f>
        <v>1.1664000000000001</v>
      </c>
      <c r="K7" s="6">
        <f>日流量!K7*24*3600/100000000</f>
        <v>1.1491199999999999</v>
      </c>
      <c r="L7" s="6">
        <f>日流量!L7*24*3600/100000000</f>
        <v>1.1491199999999999</v>
      </c>
      <c r="M7" s="6">
        <f>日流量!M7*24*3600/100000000</f>
        <v>1.13184</v>
      </c>
      <c r="N7" s="6">
        <f>日流量!N7*24*3600/100000000</f>
        <v>1.1232</v>
      </c>
      <c r="O7" s="6">
        <f>日流量!O7*24*3600/100000000</f>
        <v>1.10592</v>
      </c>
      <c r="P7" s="6">
        <f>日流量!P7*24*3600/100000000</f>
        <v>1.10592</v>
      </c>
      <c r="Q7" s="6">
        <f>日流量!Q7*24*3600/100000000</f>
        <v>1.10592</v>
      </c>
      <c r="R7" s="6">
        <f>日流量!R7*24*3600/100000000</f>
        <v>1.10592</v>
      </c>
      <c r="S7" s="6">
        <f>日流量!S7*24*3600/100000000</f>
        <v>1.10592</v>
      </c>
      <c r="T7" s="6">
        <f>日流量!T7*24*3600/100000000</f>
        <v>1.10592</v>
      </c>
      <c r="U7" s="6">
        <f>日流量!U7*24*3600/100000000</f>
        <v>1.09728</v>
      </c>
      <c r="V7" s="6">
        <f>日流量!V7*24*3600/100000000</f>
        <v>1.0713600000000001</v>
      </c>
      <c r="W7" s="6">
        <f>日流量!W7*24*3600/100000000</f>
        <v>1.0540799999999999</v>
      </c>
      <c r="X7" s="6">
        <f>日流量!X7*24*3600/100000000</f>
        <v>1.02816</v>
      </c>
      <c r="Y7" s="6">
        <f>日流量!Y7*24*3600/100000000</f>
        <v>1.01952</v>
      </c>
      <c r="Z7" s="6">
        <f>日流量!Z7*24*3600/100000000</f>
        <v>1.01952</v>
      </c>
      <c r="AA7" s="6">
        <f>日流量!AA7*24*3600/100000000</f>
        <v>1.01952</v>
      </c>
      <c r="AB7" s="6">
        <f>日流量!AB7*24*3600/100000000</f>
        <v>1.01952</v>
      </c>
      <c r="AC7" s="6">
        <f>日流量!AC7*24*3600/100000000</f>
        <v>1.00224</v>
      </c>
      <c r="AD7" s="6">
        <f>日流量!AD7*24*3600/100000000</f>
        <v>1.00224</v>
      </c>
      <c r="AE7" s="6">
        <f>日流量!AE7*24*3600/100000000</f>
        <v>1.00224</v>
      </c>
      <c r="AF7" s="6">
        <f>日流量!AF7*24*3600/100000000</f>
        <v>0.98495999999999995</v>
      </c>
      <c r="AG7" s="6">
        <f>日流量!AG7*24*3600/100000000</f>
        <v>0.97631999999999997</v>
      </c>
      <c r="AH7" s="6">
        <f>日流量!AH7*24*3600/100000000</f>
        <v>0.97631999999999997</v>
      </c>
      <c r="AI7" s="6">
        <f>日流量!AI7*24*3600/100000000</f>
        <v>0.97631999999999997</v>
      </c>
      <c r="AJ7" s="6">
        <f>日流量!AJ7*24*3600/100000000</f>
        <v>0.97631999999999997</v>
      </c>
      <c r="AK7" s="6">
        <f>日流量!AK7*24*3600/100000000</f>
        <v>0.96767999999999998</v>
      </c>
      <c r="AL7" s="6">
        <f>日流量!AL7*24*3600/100000000</f>
        <v>0.96767999999999998</v>
      </c>
      <c r="AM7" s="6">
        <f>日流量!AM7*24*3600/100000000</f>
        <v>0.96767999999999998</v>
      </c>
      <c r="AN7" s="6">
        <f>日流量!AN7*24*3600/100000000</f>
        <v>0.95904</v>
      </c>
      <c r="AO7" s="6">
        <f>日流量!AO7*24*3600/100000000</f>
        <v>0.95904</v>
      </c>
      <c r="AP7" s="6">
        <f>日流量!AP7*24*3600/100000000</f>
        <v>0.97631999999999997</v>
      </c>
      <c r="AQ7" s="6">
        <f>日流量!AQ7*24*3600/100000000</f>
        <v>0.97631999999999997</v>
      </c>
      <c r="AR7" s="6">
        <f>日流量!AR7*24*3600/100000000</f>
        <v>0.97631999999999997</v>
      </c>
      <c r="AS7" s="6">
        <f>日流量!AS7*24*3600/100000000</f>
        <v>0.97631999999999997</v>
      </c>
      <c r="AT7" s="6">
        <f>日流量!AT7*24*3600/100000000</f>
        <v>0.97631999999999997</v>
      </c>
      <c r="AU7" s="6">
        <f>日流量!AU7*24*3600/100000000</f>
        <v>0.96767999999999998</v>
      </c>
      <c r="AV7" s="6">
        <f>日流量!AV7*24*3600/100000000</f>
        <v>0.95904</v>
      </c>
      <c r="AW7" s="6">
        <f>日流量!AW7*24*3600/100000000</f>
        <v>0.95904</v>
      </c>
      <c r="AX7" s="6">
        <f>日流量!AX7*24*3600/100000000</f>
        <v>0.95040000000000002</v>
      </c>
      <c r="AY7" s="6">
        <f>日流量!AY7*24*3600/100000000</f>
        <v>0.96767999999999998</v>
      </c>
      <c r="AZ7" s="6">
        <f>日流量!AZ7*24*3600/100000000</f>
        <v>0.97631999999999997</v>
      </c>
      <c r="BA7" s="6">
        <f>日流量!BA7*24*3600/100000000</f>
        <v>0.98495999999999995</v>
      </c>
      <c r="BB7" s="6">
        <f>日流量!BB7*24*3600/100000000</f>
        <v>0.97631999999999997</v>
      </c>
      <c r="BC7" s="6">
        <f>日流量!BC7*24*3600/100000000</f>
        <v>0.96767999999999998</v>
      </c>
      <c r="BD7" s="6">
        <f>日流量!BD7*24*3600/100000000</f>
        <v>0.95040000000000002</v>
      </c>
      <c r="BE7" s="6">
        <f>日流量!BE7*24*3600/100000000</f>
        <v>0.95040000000000002</v>
      </c>
      <c r="BF7" s="6">
        <f>日流量!BF7*24*3600/100000000</f>
        <v>0.95040000000000002</v>
      </c>
      <c r="BG7" s="6">
        <f>日流量!BG7*24*3600/100000000</f>
        <v>0.95040000000000002</v>
      </c>
      <c r="BH7" s="6">
        <f>日流量!BH7*24*3600/100000000</f>
        <v>0.95040000000000002</v>
      </c>
      <c r="BI7" s="6"/>
      <c r="BJ7" s="6">
        <f>日流量!BJ7*24*3600/100000000</f>
        <v>0.95040000000000002</v>
      </c>
      <c r="BK7" s="6">
        <f>日流量!BK7*24*3600/100000000</f>
        <v>0.95040000000000002</v>
      </c>
      <c r="BL7" s="6">
        <f>日流量!BL7*24*3600/100000000</f>
        <v>0.94176000000000004</v>
      </c>
      <c r="BM7" s="6">
        <f>日流量!BM7*24*3600/100000000</f>
        <v>0.92447999999999997</v>
      </c>
      <c r="BN7" s="6">
        <f>日流量!BN7*24*3600/100000000</f>
        <v>0.92447999999999997</v>
      </c>
      <c r="BO7" s="6">
        <f>日流量!BO7*24*3600/100000000</f>
        <v>0.91583999999999999</v>
      </c>
      <c r="BP7" s="6">
        <f>日流量!BP7*24*3600/100000000</f>
        <v>0.90720000000000001</v>
      </c>
      <c r="BQ7" s="6">
        <f>日流量!BQ7*24*3600/100000000</f>
        <v>0.89856000000000003</v>
      </c>
      <c r="BR7" s="6">
        <f>日流量!BR7*24*3600/100000000</f>
        <v>0.89856000000000003</v>
      </c>
      <c r="BS7" s="6">
        <f>日流量!BS7*24*3600/100000000</f>
        <v>0.90720000000000001</v>
      </c>
      <c r="BT7" s="6">
        <f>日流量!BT7*24*3600/100000000</f>
        <v>0.90720000000000001</v>
      </c>
      <c r="BU7" s="6">
        <f>日流量!BU7*24*3600/100000000</f>
        <v>0.91583999999999999</v>
      </c>
      <c r="BV7" s="6">
        <f>日流量!BV7*24*3600/100000000</f>
        <v>0.91583999999999999</v>
      </c>
      <c r="BW7" s="6">
        <f>日流量!BW7*24*3600/100000000</f>
        <v>0.91583999999999999</v>
      </c>
      <c r="BX7" s="6">
        <f>日流量!BX7*24*3600/100000000</f>
        <v>0.91583999999999999</v>
      </c>
      <c r="BY7" s="6">
        <f>日流量!BY7*24*3600/100000000</f>
        <v>0.92447999999999997</v>
      </c>
      <c r="BZ7" s="6">
        <f>日流量!BZ7*24*3600/100000000</f>
        <v>0.92447999999999997</v>
      </c>
      <c r="CA7" s="6">
        <f>日流量!CA7*24*3600/100000000</f>
        <v>0.92447999999999997</v>
      </c>
      <c r="CB7" s="6">
        <f>日流量!CB7*24*3600/100000000</f>
        <v>0.92447999999999997</v>
      </c>
      <c r="CC7" s="6">
        <f>日流量!CC7*24*3600/100000000</f>
        <v>0.91583999999999999</v>
      </c>
      <c r="CD7" s="6">
        <f>日流量!CD7*24*3600/100000000</f>
        <v>0.91583999999999999</v>
      </c>
      <c r="CE7" s="6">
        <f>日流量!CE7*24*3600/100000000</f>
        <v>0.89856000000000003</v>
      </c>
      <c r="CF7" s="6">
        <f>日流量!CF7*24*3600/100000000</f>
        <v>0.89856000000000003</v>
      </c>
      <c r="CG7" s="6">
        <f>日流量!CG7*24*3600/100000000</f>
        <v>0.89856000000000003</v>
      </c>
      <c r="CH7" s="6">
        <f>日流量!CH7*24*3600/100000000</f>
        <v>0.90720000000000001</v>
      </c>
      <c r="CI7" s="6">
        <f>日流量!CI7*24*3600/100000000</f>
        <v>0.90720000000000001</v>
      </c>
      <c r="CJ7" s="6">
        <f>日流量!CJ7*24*3600/100000000</f>
        <v>0.89856000000000003</v>
      </c>
      <c r="CK7" s="6">
        <f>日流量!CK7*24*3600/100000000</f>
        <v>0.88992000000000004</v>
      </c>
      <c r="CL7" s="6">
        <f>日流量!CL7*24*3600/100000000</f>
        <v>0.88992000000000004</v>
      </c>
      <c r="CM7" s="6">
        <f>日流量!CM7*24*3600/100000000</f>
        <v>0.91583999999999999</v>
      </c>
      <c r="CN7" s="6">
        <f>日流量!CN7*24*3600/100000000</f>
        <v>0.95040000000000002</v>
      </c>
      <c r="CO7" s="6">
        <f>日流量!CO7*24*3600/100000000</f>
        <v>0.97631999999999997</v>
      </c>
      <c r="CP7" s="6">
        <f>日流量!CP7*24*3600/100000000</f>
        <v>0.99360000000000004</v>
      </c>
      <c r="CQ7" s="6">
        <f>日流量!CQ7*24*3600/100000000</f>
        <v>0.97631999999999997</v>
      </c>
      <c r="CR7" s="6">
        <f>日流量!CR7*24*3600/100000000</f>
        <v>0.95904</v>
      </c>
      <c r="CS7" s="6">
        <f>日流量!CS7*24*3600/100000000</f>
        <v>0.94176000000000004</v>
      </c>
      <c r="CT7" s="6">
        <f>日流量!CT7*24*3600/100000000</f>
        <v>0.94176000000000004</v>
      </c>
      <c r="CU7" s="6">
        <f>日流量!CU7*24*3600/100000000</f>
        <v>0.96767999999999998</v>
      </c>
      <c r="CV7" s="6">
        <f>日流量!CV7*24*3600/100000000</f>
        <v>0.98495999999999995</v>
      </c>
      <c r="CW7" s="6">
        <f>日流量!CW7*24*3600/100000000</f>
        <v>1.00224</v>
      </c>
      <c r="CX7" s="6">
        <f>日流量!CX7*24*3600/100000000</f>
        <v>0.98495999999999995</v>
      </c>
      <c r="CY7" s="6">
        <f>日流量!CY7*24*3600/100000000</f>
        <v>0.97631999999999997</v>
      </c>
      <c r="CZ7" s="6">
        <f>日流量!CZ7*24*3600/100000000</f>
        <v>1.00224</v>
      </c>
      <c r="DA7" s="6">
        <f>日流量!DA7*24*3600/100000000</f>
        <v>1.01088</v>
      </c>
      <c r="DB7" s="6">
        <f>日流量!DB7*24*3600/100000000</f>
        <v>1.01952</v>
      </c>
      <c r="DC7" s="6">
        <f>日流量!DC7*24*3600/100000000</f>
        <v>1.00224</v>
      </c>
      <c r="DD7" s="6">
        <f>日流量!DD7*24*3600/100000000</f>
        <v>0.99360000000000004</v>
      </c>
      <c r="DE7" s="6">
        <f>日流量!DE7*24*3600/100000000</f>
        <v>0.99360000000000004</v>
      </c>
      <c r="DF7" s="6">
        <f>日流量!DF7*24*3600/100000000</f>
        <v>1.01952</v>
      </c>
      <c r="DG7" s="6">
        <f>日流量!DG7*24*3600/100000000</f>
        <v>1.0454399999999999</v>
      </c>
      <c r="DH7" s="6">
        <f>日流量!DH7*24*3600/100000000</f>
        <v>1.0627200000000001</v>
      </c>
      <c r="DI7" s="6">
        <f>日流量!DI7*24*3600/100000000</f>
        <v>1.08</v>
      </c>
      <c r="DJ7" s="6">
        <f>日流量!DJ7*24*3600/100000000</f>
        <v>1.0886400000000001</v>
      </c>
      <c r="DK7" s="6">
        <f>日流量!DK7*24*3600/100000000</f>
        <v>1.08</v>
      </c>
      <c r="DL7" s="6">
        <f>日流量!DL7*24*3600/100000000</f>
        <v>1.08</v>
      </c>
      <c r="DM7" s="6">
        <f>日流量!DM7*24*3600/100000000</f>
        <v>1.08</v>
      </c>
      <c r="DN7" s="6">
        <f>日流量!DN7*24*3600/100000000</f>
        <v>1.08</v>
      </c>
      <c r="DO7" s="6">
        <f>日流量!DO7*24*3600/100000000</f>
        <v>1.0886400000000001</v>
      </c>
      <c r="DP7" s="6">
        <f>日流量!DP7*24*3600/100000000</f>
        <v>1.09728</v>
      </c>
      <c r="DQ7" s="6">
        <f>日流量!DQ7*24*3600/100000000</f>
        <v>1.1232</v>
      </c>
      <c r="DR7" s="6">
        <f>日流量!DR7*24*3600/100000000</f>
        <v>1.1491199999999999</v>
      </c>
      <c r="DS7" s="6">
        <f>日流量!DS7*24*3600/100000000</f>
        <v>1.22688</v>
      </c>
      <c r="DT7" s="6">
        <f>日流量!DT7*24*3600/100000000</f>
        <v>1.2787200000000001</v>
      </c>
      <c r="DU7" s="6">
        <f>日流量!DU7*24*3600/100000000</f>
        <v>1.33056</v>
      </c>
      <c r="DV7" s="6">
        <f>日流量!DV7*24*3600/100000000</f>
        <v>1.3391999999999999</v>
      </c>
      <c r="DW7" s="6">
        <f>日流量!DW7*24*3600/100000000</f>
        <v>1.32192</v>
      </c>
      <c r="DX7" s="6">
        <f>日流量!DX7*24*3600/100000000</f>
        <v>1.31328</v>
      </c>
      <c r="DY7" s="6">
        <f>日流量!DY7*24*3600/100000000</f>
        <v>1.30464</v>
      </c>
      <c r="DZ7" s="6">
        <f>日流量!DZ7*24*3600/100000000</f>
        <v>1.2873600000000001</v>
      </c>
      <c r="EA7" s="6">
        <f>日流量!EA7*24*3600/100000000</f>
        <v>1.2873600000000001</v>
      </c>
      <c r="EB7" s="6">
        <f>日流量!EB7*24*3600/100000000</f>
        <v>1.296</v>
      </c>
      <c r="EC7" s="6">
        <f>日流量!EC7*24*3600/100000000</f>
        <v>1.30464</v>
      </c>
      <c r="ED7" s="6">
        <f>日流量!ED7*24*3600/100000000</f>
        <v>1.30464</v>
      </c>
      <c r="EE7" s="6">
        <f>日流量!EE7*24*3600/100000000</f>
        <v>1.32192</v>
      </c>
      <c r="EF7" s="6">
        <f>日流量!EF7*24*3600/100000000</f>
        <v>1.3478399999999999</v>
      </c>
      <c r="EG7" s="6">
        <f>日流量!EG7*24*3600/100000000</f>
        <v>1.3391999999999999</v>
      </c>
      <c r="EH7" s="6">
        <f>日流量!EH7*24*3600/100000000</f>
        <v>1.33056</v>
      </c>
      <c r="EI7" s="6">
        <f>日流量!EI7*24*3600/100000000</f>
        <v>1.30464</v>
      </c>
      <c r="EJ7" s="6">
        <f>日流量!EJ7*24*3600/100000000</f>
        <v>1.2873600000000001</v>
      </c>
      <c r="EK7" s="6">
        <f>日流量!EK7*24*3600/100000000</f>
        <v>1.2873600000000001</v>
      </c>
      <c r="EL7" s="6">
        <f>日流量!EL7*24*3600/100000000</f>
        <v>1.2787200000000001</v>
      </c>
      <c r="EM7" s="6">
        <f>日流量!EM7*24*3600/100000000</f>
        <v>1.2614399999999999</v>
      </c>
      <c r="EN7" s="6">
        <f>日流量!EN7*24*3600/100000000</f>
        <v>1.2527999999999999</v>
      </c>
      <c r="EO7" s="6">
        <f>日流量!EO7*24*3600/100000000</f>
        <v>1.2441599999999999</v>
      </c>
      <c r="EP7" s="6">
        <f>日流量!EP7*24*3600/100000000</f>
        <v>1.22688</v>
      </c>
      <c r="EQ7" s="6">
        <f>日流量!EQ7*24*3600/100000000</f>
        <v>1.19232</v>
      </c>
      <c r="ER7" s="6">
        <f>日流量!ER7*24*3600/100000000</f>
        <v>1.1836800000000001</v>
      </c>
      <c r="ES7" s="6">
        <f>日流量!ES7*24*3600/100000000</f>
        <v>1.1750400000000001</v>
      </c>
      <c r="ET7" s="6">
        <f>日流量!ET7*24*3600/100000000</f>
        <v>1.2096</v>
      </c>
      <c r="EU7" s="6">
        <f>日流量!EU7*24*3600/100000000</f>
        <v>1.32192</v>
      </c>
      <c r="EV7" s="6">
        <f>日流量!EV7*24*3600/100000000</f>
        <v>1.4860800000000001</v>
      </c>
      <c r="EW7" s="6">
        <f>日流量!EW7*24*3600/100000000</f>
        <v>1.5811200000000001</v>
      </c>
      <c r="EX7" s="6">
        <f>日流量!EX7*24*3600/100000000</f>
        <v>1.6588799999999999</v>
      </c>
      <c r="EY7" s="6">
        <f>日流量!EY7*24*3600/100000000</f>
        <v>1.7539199999999999</v>
      </c>
      <c r="EZ7" s="6">
        <f>日流量!EZ7*24*3600/100000000</f>
        <v>1.7712000000000001</v>
      </c>
      <c r="FA7" s="6">
        <f>日流量!FA7*24*3600/100000000</f>
        <v>1.7539199999999999</v>
      </c>
      <c r="FB7" s="6">
        <f>日流量!FB7*24*3600/100000000</f>
        <v>1.7539199999999999</v>
      </c>
      <c r="FC7" s="6">
        <f>日流量!FC7*24*3600/100000000</f>
        <v>1.7884800000000001</v>
      </c>
      <c r="FD7" s="6">
        <f>日流量!FD7*24*3600/100000000</f>
        <v>1.6502399999999999</v>
      </c>
      <c r="FE7" s="6">
        <f>日流量!FE7*24*3600/100000000</f>
        <v>1.5984</v>
      </c>
      <c r="FF7" s="6">
        <f>日流量!FF7*24*3600/100000000</f>
        <v>1.6934400000000001</v>
      </c>
      <c r="FG7" s="6">
        <f>日流量!FG7*24*3600/100000000</f>
        <v>1.7712000000000001</v>
      </c>
      <c r="FH7" s="6">
        <f>日流量!FH7*24*3600/100000000</f>
        <v>1.7539199999999999</v>
      </c>
      <c r="FI7" s="6">
        <f>日流量!FI7*24*3600/100000000</f>
        <v>1.8921600000000001</v>
      </c>
      <c r="FJ7" s="6">
        <f>日流量!FJ7*24*3600/100000000</f>
        <v>2.2636799999999999</v>
      </c>
      <c r="FK7" s="6">
        <f>日流量!FK7*24*3600/100000000</f>
        <v>2.9203199999999998</v>
      </c>
      <c r="FL7" s="6">
        <f>日流量!FL7*24*3600/100000000</f>
        <v>3.43872</v>
      </c>
      <c r="FM7" s="6">
        <f>日流量!FM7*24*3600/100000000</f>
        <v>3.7584</v>
      </c>
      <c r="FN7" s="6">
        <f>日流量!FN7*24*3600/100000000</f>
        <v>3.7584</v>
      </c>
      <c r="FO7" s="6">
        <f>日流量!FO7*24*3600/100000000</f>
        <v>3.5683199999999999</v>
      </c>
      <c r="FP7" s="6">
        <f>日流量!FP7*24*3600/100000000</f>
        <v>3.3523200000000002</v>
      </c>
      <c r="FQ7" s="6">
        <f>日流量!FQ7*24*3600/100000000</f>
        <v>3.5251199999999998</v>
      </c>
      <c r="FR7" s="6">
        <f>日流量!FR7*24*3600/100000000</f>
        <v>3.8966400000000001</v>
      </c>
      <c r="FS7" s="6">
        <f>日流量!FS7*24*3600/100000000</f>
        <v>4.0348800000000002</v>
      </c>
      <c r="FT7" s="6">
        <f>日流量!FT7*24*3600/100000000</f>
        <v>3.9398399999999998</v>
      </c>
      <c r="FU7" s="6">
        <f>日流量!FU7*24*3600/100000000</f>
        <v>4.3718399999999997</v>
      </c>
      <c r="FV7" s="6">
        <f>日流量!FV7*24*3600/100000000</f>
        <v>5.15808</v>
      </c>
      <c r="FW7" s="6">
        <f>日流量!FW7*24*3600/100000000</f>
        <v>5.3654400000000004</v>
      </c>
      <c r="FX7" s="6">
        <f>日流量!FX7*24*3600/100000000</f>
        <v>5.6851200000000004</v>
      </c>
      <c r="FY7" s="6">
        <f>日流量!FY7*24*3600/100000000</f>
        <v>6.1171199999999999</v>
      </c>
      <c r="FZ7" s="6">
        <f>日流量!FZ7*24*3600/100000000</f>
        <v>5.4863999999999997</v>
      </c>
      <c r="GA7" s="6">
        <f>日流量!GA7*24*3600/100000000</f>
        <v>5.06304</v>
      </c>
      <c r="GB7" s="6">
        <f>日流量!GB7*24*3600/100000000</f>
        <v>5.0716799999999997</v>
      </c>
      <c r="GC7" s="6">
        <f>日流量!GC7*24*3600/100000000</f>
        <v>5.6851200000000004</v>
      </c>
      <c r="GD7" s="6">
        <f>日流量!GD7*24*3600/100000000</f>
        <v>6.4108799999999997</v>
      </c>
      <c r="GE7" s="6">
        <f>日流量!GE7*24*3600/100000000</f>
        <v>8.1129599999999993</v>
      </c>
      <c r="GF7" s="6">
        <f>日流量!GF7*24*3600/100000000</f>
        <v>8.8992000000000004</v>
      </c>
      <c r="GG7" s="6">
        <f>日流量!GG7*24*3600/100000000</f>
        <v>8.5449599999999997</v>
      </c>
      <c r="GH7" s="6">
        <f>日流量!GH7*24*3600/100000000</f>
        <v>8.1907200000000007</v>
      </c>
      <c r="GI7" s="6">
        <f>日流量!GI7*24*3600/100000000</f>
        <v>8.8127999999999993</v>
      </c>
      <c r="GJ7" s="6">
        <f>日流量!GJ7*24*3600/100000000</f>
        <v>8.3116800000000008</v>
      </c>
      <c r="GK7" s="6">
        <f>日流量!GK7*24*3600/100000000</f>
        <v>7.3353599999999997</v>
      </c>
      <c r="GL7" s="6">
        <f>日流量!GL7*24*3600/100000000</f>
        <v>6.8255999999999997</v>
      </c>
      <c r="GM7" s="6">
        <f>日流量!GM7*24*3600/100000000</f>
        <v>6.7392000000000003</v>
      </c>
      <c r="GN7" s="6">
        <f>日流量!GN7*24*3600/100000000</f>
        <v>7.0070399999999999</v>
      </c>
      <c r="GO7" s="6">
        <f>日流量!GO7*24*3600/100000000</f>
        <v>7.70688</v>
      </c>
      <c r="GP7" s="6">
        <f>日流量!GP7*24*3600/100000000</f>
        <v>8.7263999999999999</v>
      </c>
      <c r="GQ7" s="6">
        <f>日流量!GQ7*24*3600/100000000</f>
        <v>8.8127999999999993</v>
      </c>
      <c r="GR7" s="6">
        <f>日流量!GR7*24*3600/100000000</f>
        <v>8.1129599999999993</v>
      </c>
      <c r="GS7" s="6">
        <f>日流量!GS7*24*3600/100000000</f>
        <v>7.6291200000000003</v>
      </c>
      <c r="GT7" s="6">
        <f>日流量!GT7*24*3600/100000000</f>
        <v>7.7328000000000001</v>
      </c>
      <c r="GU7" s="6">
        <f>日流量!GU7*24*3600/100000000</f>
        <v>7.8710399999999998</v>
      </c>
      <c r="GV7" s="6">
        <f>日流量!GV7*24*3600/100000000</f>
        <v>9.4176000000000002</v>
      </c>
      <c r="GW7" s="6">
        <f>日流量!GW7*24*3600/100000000</f>
        <v>9.9359999999999999</v>
      </c>
      <c r="GX7" s="6">
        <f>日流量!GX7*24*3600/100000000</f>
        <v>11.059200000000001</v>
      </c>
      <c r="GY7" s="6">
        <f>日流量!GY7*24*3600/100000000</f>
        <v>12.528</v>
      </c>
      <c r="GZ7" s="6">
        <f>日流量!GZ7*24*3600/100000000</f>
        <v>13.9968</v>
      </c>
      <c r="HA7" s="6">
        <f>日流量!HA7*24*3600/100000000</f>
        <v>15.0336</v>
      </c>
      <c r="HB7" s="6">
        <f>日流量!HB7*24*3600/100000000</f>
        <v>15.12</v>
      </c>
      <c r="HC7" s="6">
        <f>日流量!HC7*24*3600/100000000</f>
        <v>16.416</v>
      </c>
      <c r="HD7" s="6">
        <f>日流量!HD7*24*3600/100000000</f>
        <v>16.502400000000002</v>
      </c>
      <c r="HE7" s="6">
        <f>日流量!HE7*24*3600/100000000</f>
        <v>16.588799999999999</v>
      </c>
      <c r="HF7" s="6">
        <f>日流量!HF7*24*3600/100000000</f>
        <v>17.1936</v>
      </c>
      <c r="HG7" s="6">
        <f>日流量!HG7*24*3600/100000000</f>
        <v>16.243200000000002</v>
      </c>
      <c r="HH7" s="6">
        <f>日流量!HH7*24*3600/100000000</f>
        <v>15.984</v>
      </c>
      <c r="HI7" s="6">
        <f>日流量!HI7*24*3600/100000000</f>
        <v>15.984</v>
      </c>
      <c r="HJ7" s="6">
        <f>日流量!HJ7*24*3600/100000000</f>
        <v>16.9344</v>
      </c>
      <c r="HK7" s="6">
        <f>日流量!HK7*24*3600/100000000</f>
        <v>16.1568</v>
      </c>
      <c r="HL7" s="6">
        <f>日流量!HL7*24*3600/100000000</f>
        <v>14.601599999999999</v>
      </c>
      <c r="HM7" s="6">
        <f>日流量!HM7*24*3600/100000000</f>
        <v>13.391999999999999</v>
      </c>
      <c r="HN7" s="6">
        <f>日流量!HN7*24*3600/100000000</f>
        <v>12.009600000000001</v>
      </c>
      <c r="HO7" s="6">
        <f>日流量!HO7*24*3600/100000000</f>
        <v>10.6272</v>
      </c>
      <c r="HP7" s="6">
        <f>日流量!HP7*24*3600/100000000</f>
        <v>9.5904000000000007</v>
      </c>
      <c r="HQ7" s="6">
        <f>日流量!HQ7*24*3600/100000000</f>
        <v>9.3312000000000008</v>
      </c>
      <c r="HR7" s="6">
        <f>日流量!HR7*24*3600/100000000</f>
        <v>10.022399999999999</v>
      </c>
      <c r="HS7" s="6">
        <f>日流量!HS7*24*3600/100000000</f>
        <v>11.3184</v>
      </c>
      <c r="HT7" s="6">
        <f>日流量!HT7*24*3600/100000000</f>
        <v>11.9232</v>
      </c>
      <c r="HU7" s="6">
        <f>日流量!HU7*24*3600/100000000</f>
        <v>12.3552</v>
      </c>
      <c r="HV7" s="6">
        <f>日流量!HV7*24*3600/100000000</f>
        <v>13.219200000000001</v>
      </c>
      <c r="HW7" s="6">
        <f>日流量!HW7*24*3600/100000000</f>
        <v>14.169600000000001</v>
      </c>
      <c r="HX7" s="6">
        <f>日流量!HX7*24*3600/100000000</f>
        <v>13.910399999999999</v>
      </c>
      <c r="HY7" s="6">
        <f>日流量!HY7*24*3600/100000000</f>
        <v>14.0832</v>
      </c>
      <c r="HZ7" s="6">
        <f>日流量!HZ7*24*3600/100000000</f>
        <v>13.478400000000001</v>
      </c>
      <c r="IA7" s="6">
        <f>日流量!IA7*24*3600/100000000</f>
        <v>12.96</v>
      </c>
      <c r="IB7" s="6">
        <f>日流量!IB7*24*3600/100000000</f>
        <v>13.0464</v>
      </c>
      <c r="IC7" s="6">
        <f>日流量!IC7*24*3600/100000000</f>
        <v>12.96</v>
      </c>
      <c r="ID7" s="6">
        <f>日流量!ID7*24*3600/100000000</f>
        <v>13.651199999999999</v>
      </c>
      <c r="IE7" s="6">
        <f>日流量!IE7*24*3600/100000000</f>
        <v>16.070399999999999</v>
      </c>
      <c r="IF7" s="6">
        <f>日流量!IF7*24*3600/100000000</f>
        <v>20.1312</v>
      </c>
      <c r="IG7" s="6">
        <f>日流量!IG7*24*3600/100000000</f>
        <v>19.007999999999999</v>
      </c>
      <c r="IH7" s="6">
        <f>日流量!IH7*24*3600/100000000</f>
        <v>18.230399999999999</v>
      </c>
      <c r="II7" s="6">
        <f>日流量!II7*24*3600/100000000</f>
        <v>17.107199999999999</v>
      </c>
      <c r="IJ7" s="6">
        <f>日流量!IJ7*24*3600/100000000</f>
        <v>15.0336</v>
      </c>
      <c r="IK7" s="6">
        <f>日流量!IK7*24*3600/100000000</f>
        <v>13.0464</v>
      </c>
      <c r="IL7" s="6">
        <f>日流量!IL7*24*3600/100000000</f>
        <v>11.664</v>
      </c>
      <c r="IM7" s="6">
        <f>日流量!IM7*24*3600/100000000</f>
        <v>10.6272</v>
      </c>
      <c r="IN7" s="6">
        <f>日流量!IN7*24*3600/100000000</f>
        <v>9.6768000000000001</v>
      </c>
      <c r="IO7" s="6">
        <f>日流量!IO7*24*3600/100000000</f>
        <v>8.9855999999999998</v>
      </c>
      <c r="IP7" s="6">
        <f>日流量!IP7*24*3600/100000000</f>
        <v>8.8127999999999993</v>
      </c>
      <c r="IQ7" s="6">
        <f>日流量!IQ7*24*3600/100000000</f>
        <v>8.3030399999999993</v>
      </c>
      <c r="IR7" s="6">
        <f>日流量!IR7*24*3600/100000000</f>
        <v>7.9833600000000002</v>
      </c>
      <c r="IS7" s="6">
        <f>日流量!IS7*24*3600/100000000</f>
        <v>8.0524799999999992</v>
      </c>
      <c r="IT7" s="6">
        <f>日流量!IT7*24*3600/100000000</f>
        <v>7.8796799999999996</v>
      </c>
      <c r="IU7" s="6">
        <f>日流量!IU7*24*3600/100000000</f>
        <v>7.8192000000000004</v>
      </c>
      <c r="IV7" s="6">
        <f>日流量!IV7*24*3600/100000000</f>
        <v>7.8105599999999997</v>
      </c>
      <c r="IW7" s="6">
        <f>日流量!IW7*24*3600/100000000</f>
        <v>8.2166399999999999</v>
      </c>
      <c r="IX7" s="6">
        <f>日流量!IX7*24*3600/100000000</f>
        <v>9.5904000000000007</v>
      </c>
      <c r="IY7" s="6">
        <f>日流量!IY7*24*3600/100000000</f>
        <v>10.368</v>
      </c>
      <c r="IZ7" s="6">
        <f>日流量!IZ7*24*3600/100000000</f>
        <v>11.1456</v>
      </c>
      <c r="JA7" s="6">
        <f>日流量!JA7*24*3600/100000000</f>
        <v>10.7136</v>
      </c>
      <c r="JB7" s="6">
        <f>日流量!JB7*24*3600/100000000</f>
        <v>10.1952</v>
      </c>
      <c r="JC7" s="6">
        <f>日流量!JC7*24*3600/100000000</f>
        <v>11.750400000000001</v>
      </c>
      <c r="JD7" s="6">
        <f>日流量!JD7*24*3600/100000000</f>
        <v>10.6272</v>
      </c>
      <c r="JE7" s="6">
        <f>日流量!JE7*24*3600/100000000</f>
        <v>9.9359999999999999</v>
      </c>
      <c r="JF7" s="6">
        <f>日流量!JF7*24*3600/100000000</f>
        <v>9.6768000000000001</v>
      </c>
      <c r="JG7" s="6">
        <f>日流量!JG7*24*3600/100000000</f>
        <v>9.7631999999999994</v>
      </c>
      <c r="JH7" s="6">
        <f>日流量!JH7*24*3600/100000000</f>
        <v>10.4544</v>
      </c>
      <c r="JI7" s="6">
        <f>日流量!JI7*24*3600/100000000</f>
        <v>11.3184</v>
      </c>
      <c r="JJ7" s="6">
        <f>日流量!JJ7*24*3600/100000000</f>
        <v>11.491199999999999</v>
      </c>
      <c r="JK7" s="6">
        <f>日流量!JK7*24*3600/100000000</f>
        <v>11.1456</v>
      </c>
      <c r="JL7" s="6">
        <f>日流量!JL7*24*3600/100000000</f>
        <v>10.4544</v>
      </c>
      <c r="JM7" s="6">
        <f>日流量!JM7*24*3600/100000000</f>
        <v>9.8496000000000006</v>
      </c>
      <c r="JN7" s="6">
        <f>日流量!JN7*24*3600/100000000</f>
        <v>9.4176000000000002</v>
      </c>
      <c r="JO7" s="6">
        <f>日流量!JO7*24*3600/100000000</f>
        <v>9.1584000000000003</v>
      </c>
      <c r="JP7" s="6">
        <f>日流量!JP7*24*3600/100000000</f>
        <v>8.8992000000000004</v>
      </c>
      <c r="JQ7" s="6">
        <f>日流量!JQ7*24*3600/100000000</f>
        <v>8.7263999999999999</v>
      </c>
      <c r="JR7" s="6">
        <f>日流量!JR7*24*3600/100000000</f>
        <v>8.5017600000000009</v>
      </c>
      <c r="JS7" s="6">
        <f>日流量!JS7*24*3600/100000000</f>
        <v>8.4412800000000008</v>
      </c>
      <c r="JT7" s="6">
        <f>日流量!JT7*24*3600/100000000</f>
        <v>8.3548799999999996</v>
      </c>
      <c r="JU7" s="6">
        <f>日流量!JU7*24*3600/100000000</f>
        <v>8.08704</v>
      </c>
      <c r="JV7" s="6">
        <f>日流量!JV7*24*3600/100000000</f>
        <v>7.7932800000000002</v>
      </c>
      <c r="JW7" s="6">
        <f>日流量!JW7*24*3600/100000000</f>
        <v>7.5513599999999999</v>
      </c>
      <c r="JX7" s="6">
        <f>日流量!JX7*24*3600/100000000</f>
        <v>7.5686400000000003</v>
      </c>
      <c r="JY7" s="6">
        <f>日流量!JY7*24*3600/100000000</f>
        <v>7.2316799999999999</v>
      </c>
      <c r="JZ7" s="6">
        <f>日流量!JZ7*24*3600/100000000</f>
        <v>8.9855999999999998</v>
      </c>
      <c r="KA7" s="6">
        <f>日流量!KA7*24*3600/100000000</f>
        <v>8.8992000000000004</v>
      </c>
      <c r="KB7" s="6">
        <f>日流量!KB7*24*3600/100000000</f>
        <v>8.3548799999999996</v>
      </c>
      <c r="KC7" s="6">
        <f>日流量!KC7*24*3600/100000000</f>
        <v>8.0092800000000004</v>
      </c>
      <c r="KD7" s="6">
        <f>日流量!KD7*24*3600/100000000</f>
        <v>7.7932800000000002</v>
      </c>
      <c r="KE7" s="6">
        <f>日流量!KE7*24*3600/100000000</f>
        <v>7.4908799999999998</v>
      </c>
      <c r="KF7" s="6">
        <f>日流量!KF7*24*3600/100000000</f>
        <v>7.1711999999999998</v>
      </c>
      <c r="KG7" s="6">
        <f>日流量!KG7*24*3600/100000000</f>
        <v>6.9292800000000003</v>
      </c>
      <c r="KH7" s="6">
        <f>日流量!KH7*24*3600/100000000</f>
        <v>6.7305599999999997</v>
      </c>
      <c r="KI7" s="6">
        <f>日流量!KI7*24*3600/100000000</f>
        <v>6.5491200000000003</v>
      </c>
      <c r="KJ7" s="6">
        <f>日流量!KJ7*24*3600/100000000</f>
        <v>6.4281600000000001</v>
      </c>
      <c r="KK7" s="6">
        <f>日流量!KK7*24*3600/100000000</f>
        <v>6.2207999999999997</v>
      </c>
      <c r="KL7" s="6">
        <f>日流量!KL7*24*3600/100000000</f>
        <v>6.0652799999999996</v>
      </c>
      <c r="KM7" s="6">
        <f>日流量!KM7*24*3600/100000000</f>
        <v>5.9356799999999996</v>
      </c>
      <c r="KN7" s="6">
        <f>日流量!KN7*24*3600/100000000</f>
        <v>5.8060799999999997</v>
      </c>
      <c r="KO7" s="6">
        <f>日流量!KO7*24*3600/100000000</f>
        <v>5.6764799999999997</v>
      </c>
      <c r="KP7" s="6">
        <f>日流量!KP7*24*3600/100000000</f>
        <v>5.5123199999999999</v>
      </c>
      <c r="KQ7" s="6">
        <f>日流量!KQ7*24*3600/100000000</f>
        <v>5.4259199999999996</v>
      </c>
      <c r="KR7" s="6">
        <f>日流量!KR7*24*3600/100000000</f>
        <v>5.2790400000000002</v>
      </c>
      <c r="KS7" s="6">
        <f>日流量!KS7*24*3600/100000000</f>
        <v>5.1753600000000004</v>
      </c>
      <c r="KT7" s="6">
        <f>日流量!KT7*24*3600/100000000</f>
        <v>5.0371199999999998</v>
      </c>
      <c r="KU7" s="6">
        <f>日流量!KU7*24*3600/100000000</f>
        <v>4.8815999999999997</v>
      </c>
      <c r="KV7" s="6">
        <f>日流量!KV7*24*3600/100000000</f>
        <v>4.7347200000000003</v>
      </c>
      <c r="KW7" s="6">
        <f>日流量!KW7*24*3600/100000000</f>
        <v>4.5878399999999999</v>
      </c>
      <c r="KX7" s="6">
        <f>日流量!KX7*24*3600/100000000</f>
        <v>4.4927999999999999</v>
      </c>
      <c r="KY7" s="6">
        <f>日流量!KY7*24*3600/100000000</f>
        <v>4.3718399999999997</v>
      </c>
      <c r="KZ7" s="6">
        <f>日流量!KZ7*24*3600/100000000</f>
        <v>4.2508800000000004</v>
      </c>
      <c r="LA7" s="6">
        <f>日流量!LA7*24*3600/100000000</f>
        <v>4.1471999999999998</v>
      </c>
      <c r="LB7" s="6">
        <f>日流量!LB7*24*3600/100000000</f>
        <v>4.0348800000000002</v>
      </c>
      <c r="LC7" s="6">
        <f>日流量!LC7*24*3600/100000000</f>
        <v>3.9312</v>
      </c>
      <c r="LD7" s="6">
        <f>日流量!LD7*24*3600/100000000</f>
        <v>3.8448000000000002</v>
      </c>
      <c r="LE7" s="6">
        <f>日流量!LE7*24*3600/100000000</f>
        <v>3.74112</v>
      </c>
      <c r="LF7" s="6">
        <f>日流量!LF7*24*3600/100000000</f>
        <v>3.6633599999999999</v>
      </c>
      <c r="LG7" s="6">
        <f>日流量!LG7*24*3600/100000000</f>
        <v>3.5855999999999999</v>
      </c>
      <c r="LH7" s="6">
        <f>日流量!LH7*24*3600/100000000</f>
        <v>3.5078399999999998</v>
      </c>
      <c r="LI7" s="6">
        <f>日流量!LI7*24*3600/100000000</f>
        <v>3.4300799999999998</v>
      </c>
      <c r="LJ7" s="6">
        <f>日流量!LJ7*24*3600/100000000</f>
        <v>3.3696000000000002</v>
      </c>
      <c r="LK7" s="6">
        <f>日流量!LK7*24*3600/100000000</f>
        <v>3.2659199999999999</v>
      </c>
      <c r="LL7" s="6">
        <f>日流量!LL7*24*3600/100000000</f>
        <v>3.2054399999999998</v>
      </c>
      <c r="LM7" s="6">
        <f>日流量!LM7*24*3600/100000000</f>
        <v>3.1708799999999999</v>
      </c>
      <c r="LN7" s="6">
        <f>日流量!LN7*24*3600/100000000</f>
        <v>3.1103999999999998</v>
      </c>
      <c r="LO7" s="6">
        <f>日流量!LO7*24*3600/100000000</f>
        <v>3.0326399999999998</v>
      </c>
      <c r="LP7" s="6">
        <f>日流量!LP7*24*3600/100000000</f>
        <v>2.9548800000000002</v>
      </c>
      <c r="LQ7" s="6">
        <f>日流量!LQ7*24*3600/100000000</f>
        <v>2.8857599999999999</v>
      </c>
      <c r="LR7" s="6">
        <f>日流量!LR7*24*3600/100000000</f>
        <v>2.8252799999999998</v>
      </c>
      <c r="LS7" s="6">
        <f>日流量!LS7*24*3600/100000000</f>
        <v>2.7648000000000001</v>
      </c>
      <c r="LT7" s="6">
        <f>日流量!LT7*24*3600/100000000</f>
        <v>2.7043200000000001</v>
      </c>
      <c r="LU7" s="6">
        <f>日流量!LU7*24*3600/100000000</f>
        <v>2.6524800000000002</v>
      </c>
      <c r="LV7" s="6">
        <f>日流量!LV7*24*3600/100000000</f>
        <v>2.5747200000000001</v>
      </c>
      <c r="LW7" s="6">
        <f>日流量!LW7*24*3600/100000000</f>
        <v>2.5228799999999998</v>
      </c>
      <c r="LX7" s="6">
        <f>日流量!LX7*24*3600/100000000</f>
        <v>2.4710399999999999</v>
      </c>
      <c r="LY7" s="6">
        <f>日流量!LY7*24*3600/100000000</f>
        <v>2.43648</v>
      </c>
      <c r="LZ7" s="6">
        <f>日流量!LZ7*24*3600/100000000</f>
        <v>2.3932799999999999</v>
      </c>
      <c r="MA7" s="6">
        <f>日流量!MA7*24*3600/100000000</f>
        <v>2.3759999999999999</v>
      </c>
      <c r="MB7" s="6">
        <f>日流量!MB7*24*3600/100000000</f>
        <v>2.3328000000000002</v>
      </c>
      <c r="MC7" s="6">
        <f>日流量!MC7*24*3600/100000000</f>
        <v>2.2809599999999999</v>
      </c>
      <c r="MD7" s="6">
        <f>日流量!MD7*24*3600/100000000</f>
        <v>2.22912</v>
      </c>
      <c r="ME7" s="6">
        <f>日流量!ME7*24*3600/100000000</f>
        <v>2.1945600000000001</v>
      </c>
      <c r="MF7" s="6">
        <f>日流量!MF7*24*3600/100000000</f>
        <v>2.1686399999999999</v>
      </c>
      <c r="MG7" s="6">
        <f>日流量!MG7*24*3600/100000000</f>
        <v>2.13408</v>
      </c>
      <c r="MH7" s="6">
        <f>日流量!MH7*24*3600/100000000</f>
        <v>2.0995200000000001</v>
      </c>
      <c r="MI7" s="6">
        <f>日流量!MI7*24*3600/100000000</f>
        <v>2.0563199999999999</v>
      </c>
      <c r="MJ7" s="6">
        <f>日流量!MJ7*24*3600/100000000</f>
        <v>2.0476800000000002</v>
      </c>
      <c r="MK7" s="6">
        <f>日流量!MK7*24*3600/100000000</f>
        <v>2.00448</v>
      </c>
      <c r="ML7" s="6">
        <f>日流量!ML7*24*3600/100000000</f>
        <v>1.9612799999999999</v>
      </c>
      <c r="MM7" s="6">
        <f>日流量!MM7*24*3600/100000000</f>
        <v>1.91808</v>
      </c>
      <c r="MN7" s="6">
        <f>日流量!MN7*24*3600/100000000</f>
        <v>1.8921600000000001</v>
      </c>
      <c r="MO7" s="6">
        <f>日流量!MO7*24*3600/100000000</f>
        <v>1.8489599999999999</v>
      </c>
      <c r="MP7" s="6">
        <f>日流量!MP7*24*3600/100000000</f>
        <v>1.82304</v>
      </c>
      <c r="MQ7" s="6">
        <f>日流量!MQ7*24*3600/100000000</f>
        <v>1.7798400000000001</v>
      </c>
      <c r="MR7" s="6">
        <f>日流量!MR7*24*3600/100000000</f>
        <v>1.7452799999999999</v>
      </c>
      <c r="MS7" s="6">
        <f>日流量!MS7*24*3600/100000000</f>
        <v>1.73664</v>
      </c>
      <c r="MT7" s="6">
        <f>日流量!MT7*24*3600/100000000</f>
        <v>1.73664</v>
      </c>
      <c r="MU7" s="6">
        <f>日流量!MU7*24*3600/100000000</f>
        <v>1.73664</v>
      </c>
      <c r="MV7" s="6">
        <f>日流量!MV7*24*3600/100000000</f>
        <v>1.728</v>
      </c>
      <c r="MW7" s="6">
        <f>日流量!MW7*24*3600/100000000</f>
        <v>1.728</v>
      </c>
      <c r="MX7" s="6">
        <f>日流量!MX7*24*3600/100000000</f>
        <v>1.71072</v>
      </c>
      <c r="MY7" s="6">
        <f>日流量!MY7*24*3600/100000000</f>
        <v>1.6934400000000001</v>
      </c>
      <c r="MZ7" s="6">
        <f>日流量!MZ7*24*3600/100000000</f>
        <v>1.6761600000000001</v>
      </c>
      <c r="NA7" s="6">
        <f>日流量!NA7*24*3600/100000000</f>
        <v>1.6588799999999999</v>
      </c>
      <c r="NB7" s="6">
        <f>日流量!NB7*24*3600/100000000</f>
        <v>1.6502399999999999</v>
      </c>
      <c r="NC7" s="6"/>
      <c r="ND7" s="6">
        <f>日流量!ND7*24*3600*31/100000000</f>
        <v>34.283520000000003</v>
      </c>
      <c r="NE7" s="6">
        <f>日流量!NE7*24*3600*28/100000000</f>
        <v>27.095040000000001</v>
      </c>
      <c r="NF7" s="6">
        <f>日流量!NF7*24*3600*31/100000000</f>
        <v>28.39104</v>
      </c>
      <c r="NG7" s="6">
        <f>日流量!NG7*24*3600*30/100000000</f>
        <v>30.844799999999999</v>
      </c>
      <c r="NH7" s="6">
        <f>日流量!NH7*24*3600*31/100000000</f>
        <v>40.176000000000002</v>
      </c>
      <c r="NI7" s="6">
        <f>日流量!NI7*24*3600*30/100000000</f>
        <v>96.422399999999996</v>
      </c>
      <c r="NJ7" s="6">
        <f>日流量!NJ7*24*3600*31/100000000</f>
        <v>305.33760000000001</v>
      </c>
      <c r="NK7" s="6">
        <f>日流量!NK7*24*3600*31/100000000</f>
        <v>436.57920000000001</v>
      </c>
      <c r="NL7" s="6">
        <f>日流量!NL7*24*3600*30/100000000</f>
        <v>292.89600000000002</v>
      </c>
      <c r="NM7" s="6">
        <f>日流量!NM7*24*3600*31/100000000</f>
        <v>221.50368</v>
      </c>
      <c r="NN7" s="6">
        <f>日流量!NN7*24*3600*30/100000000</f>
        <v>104.71680000000001</v>
      </c>
      <c r="NO7" s="6">
        <f>日流量!NO7*24*3600*31/100000000</f>
        <v>60.531840000000003</v>
      </c>
      <c r="NP7" s="14">
        <f t="shared" ref="NP7:NP69" si="10">SUM(ND7:NO7)</f>
        <v>1678.7779200000002</v>
      </c>
      <c r="NQ7" s="6">
        <f>日流量!NQ7*24*3600/100000000</f>
        <v>20.1312</v>
      </c>
      <c r="NR7" s="4">
        <f>日流量!NR7</f>
        <v>42608</v>
      </c>
      <c r="NS7" s="6">
        <f>日流量!NS7*24*3600/100000000</f>
        <v>0.88992000000000004</v>
      </c>
      <c r="NT7" s="4">
        <f>日流量!NT7</f>
        <v>42457</v>
      </c>
      <c r="NU7" s="7">
        <f>日流量!NP7</f>
        <v>5323.6164383561645</v>
      </c>
      <c r="NW7" s="13">
        <f t="shared" si="0"/>
        <v>1392.91488</v>
      </c>
      <c r="NX7" s="12">
        <f t="shared" si="1"/>
        <v>82.971956171546495</v>
      </c>
      <c r="NY7" s="13">
        <f t="shared" si="2"/>
        <v>1131.2352000000001</v>
      </c>
      <c r="NZ7" s="12">
        <f t="shared" si="3"/>
        <v>67.384445942677146</v>
      </c>
      <c r="OA7" s="13">
        <f t="shared" si="4"/>
        <v>285.86304000000018</v>
      </c>
      <c r="OB7" s="12">
        <f t="shared" si="5"/>
        <v>17.028043828453505</v>
      </c>
      <c r="OC7" s="13">
        <f t="shared" si="6"/>
        <v>436.57920000000001</v>
      </c>
      <c r="OD7" s="12">
        <f t="shared" si="7"/>
        <v>26.005774486240558</v>
      </c>
      <c r="OE7" s="12">
        <f t="shared" si="8"/>
        <v>392.23783177570107</v>
      </c>
      <c r="OF7" s="12">
        <f t="shared" si="9"/>
        <v>12.437780053770325</v>
      </c>
    </row>
    <row r="8" spans="1:397" x14ac:dyDescent="0.15">
      <c r="A8" s="2">
        <v>1955</v>
      </c>
      <c r="B8" s="6">
        <f>日流量!B8*24*3600/100000000</f>
        <v>1.6415999999999999</v>
      </c>
      <c r="C8" s="6">
        <f>日流量!C8*24*3600/100000000</f>
        <v>1.62432</v>
      </c>
      <c r="D8" s="6">
        <f>日流量!D8*24*3600/100000000</f>
        <v>1.60704</v>
      </c>
      <c r="E8" s="6">
        <f>日流量!E8*24*3600/100000000</f>
        <v>1.5811200000000001</v>
      </c>
      <c r="F8" s="6">
        <f>日流量!F8*24*3600/100000000</f>
        <v>1.5638399999999999</v>
      </c>
      <c r="G8" s="6">
        <f>日流量!G8*24*3600/100000000</f>
        <v>1.5465599999999999</v>
      </c>
      <c r="H8" s="6">
        <f>日流量!H8*24*3600/100000000</f>
        <v>1.53792</v>
      </c>
      <c r="I8" s="6">
        <f>日流量!I8*24*3600/100000000</f>
        <v>1.53792</v>
      </c>
      <c r="J8" s="6">
        <f>日流量!J8*24*3600/100000000</f>
        <v>1.52064</v>
      </c>
      <c r="K8" s="6">
        <f>日流量!K8*24*3600/100000000</f>
        <v>1.50336</v>
      </c>
      <c r="L8" s="6">
        <f>日流量!L8*24*3600/100000000</f>
        <v>1.49472</v>
      </c>
      <c r="M8" s="6">
        <f>日流量!M8*24*3600/100000000</f>
        <v>1.49472</v>
      </c>
      <c r="N8" s="6">
        <f>日流量!N8*24*3600/100000000</f>
        <v>1.49472</v>
      </c>
      <c r="O8" s="6">
        <f>日流量!O8*24*3600/100000000</f>
        <v>1.4860800000000001</v>
      </c>
      <c r="P8" s="6">
        <f>日流量!P8*24*3600/100000000</f>
        <v>1.4774400000000001</v>
      </c>
      <c r="Q8" s="6">
        <f>日流量!Q8*24*3600/100000000</f>
        <v>1.4601599999999999</v>
      </c>
      <c r="R8" s="6">
        <f>日流量!R8*24*3600/100000000</f>
        <v>1.4515199999999999</v>
      </c>
      <c r="S8" s="6">
        <f>日流量!S8*24*3600/100000000</f>
        <v>1.4428799999999999</v>
      </c>
      <c r="T8" s="6">
        <f>日流量!T8*24*3600/100000000</f>
        <v>1.4428799999999999</v>
      </c>
      <c r="U8" s="6">
        <f>日流量!U8*24*3600/100000000</f>
        <v>1.49472</v>
      </c>
      <c r="V8" s="6">
        <f>日流量!V8*24*3600/100000000</f>
        <v>1.4860800000000001</v>
      </c>
      <c r="W8" s="6">
        <f>日流量!W8*24*3600/100000000</f>
        <v>1.4860800000000001</v>
      </c>
      <c r="X8" s="6">
        <f>日流量!X8*24*3600/100000000</f>
        <v>1.4774400000000001</v>
      </c>
      <c r="Y8" s="6">
        <f>日流量!Y8*24*3600/100000000</f>
        <v>1.4774400000000001</v>
      </c>
      <c r="Z8" s="6">
        <f>日流量!Z8*24*3600/100000000</f>
        <v>1.4515199999999999</v>
      </c>
      <c r="AA8" s="6">
        <f>日流量!AA8*24*3600/100000000</f>
        <v>1.43424</v>
      </c>
      <c r="AB8" s="6">
        <f>日流量!AB8*24*3600/100000000</f>
        <v>1.40832</v>
      </c>
      <c r="AC8" s="6">
        <f>日流量!AC8*24*3600/100000000</f>
        <v>1.39968</v>
      </c>
      <c r="AD8" s="6">
        <f>日流量!AD8*24*3600/100000000</f>
        <v>1.3824000000000001</v>
      </c>
      <c r="AE8" s="6">
        <f>日流量!AE8*24*3600/100000000</f>
        <v>1.3824000000000001</v>
      </c>
      <c r="AF8" s="6">
        <f>日流量!AF8*24*3600/100000000</f>
        <v>1.3824000000000001</v>
      </c>
      <c r="AG8" s="6">
        <f>日流量!AG8*24*3600/100000000</f>
        <v>1.3737600000000001</v>
      </c>
      <c r="AH8" s="6">
        <f>日流量!AH8*24*3600/100000000</f>
        <v>1.3651199999999999</v>
      </c>
      <c r="AI8" s="6">
        <f>日流量!AI8*24*3600/100000000</f>
        <v>1.3564799999999999</v>
      </c>
      <c r="AJ8" s="6">
        <f>日流量!AJ8*24*3600/100000000</f>
        <v>1.3478399999999999</v>
      </c>
      <c r="AK8" s="6">
        <f>日流量!AK8*24*3600/100000000</f>
        <v>1.3391999999999999</v>
      </c>
      <c r="AL8" s="6">
        <f>日流量!AL8*24*3600/100000000</f>
        <v>1.3391999999999999</v>
      </c>
      <c r="AM8" s="6">
        <f>日流量!AM8*24*3600/100000000</f>
        <v>1.3391999999999999</v>
      </c>
      <c r="AN8" s="6">
        <f>日流量!AN8*24*3600/100000000</f>
        <v>1.33056</v>
      </c>
      <c r="AO8" s="6">
        <f>日流量!AO8*24*3600/100000000</f>
        <v>1.33056</v>
      </c>
      <c r="AP8" s="6">
        <f>日流量!AP8*24*3600/100000000</f>
        <v>1.31328</v>
      </c>
      <c r="AQ8" s="6">
        <f>日流量!AQ8*24*3600/100000000</f>
        <v>1.31328</v>
      </c>
      <c r="AR8" s="6">
        <f>日流量!AR8*24*3600/100000000</f>
        <v>1.31328</v>
      </c>
      <c r="AS8" s="6">
        <f>日流量!AS8*24*3600/100000000</f>
        <v>1.30464</v>
      </c>
      <c r="AT8" s="6">
        <f>日流量!AT8*24*3600/100000000</f>
        <v>1.296</v>
      </c>
      <c r="AU8" s="6">
        <f>日流量!AU8*24*3600/100000000</f>
        <v>1.2873600000000001</v>
      </c>
      <c r="AV8" s="6">
        <f>日流量!AV8*24*3600/100000000</f>
        <v>1.2873600000000001</v>
      </c>
      <c r="AW8" s="6">
        <f>日流量!AW8*24*3600/100000000</f>
        <v>1.2873600000000001</v>
      </c>
      <c r="AX8" s="6">
        <f>日流量!AX8*24*3600/100000000</f>
        <v>1.2787200000000001</v>
      </c>
      <c r="AY8" s="6">
        <f>日流量!AY8*24*3600/100000000</f>
        <v>1.2700800000000001</v>
      </c>
      <c r="AZ8" s="6">
        <f>日流量!AZ8*24*3600/100000000</f>
        <v>1.2614399999999999</v>
      </c>
      <c r="BA8" s="6">
        <f>日流量!BA8*24*3600/100000000</f>
        <v>1.2614399999999999</v>
      </c>
      <c r="BB8" s="6">
        <f>日流量!BB8*24*3600/100000000</f>
        <v>1.2527999999999999</v>
      </c>
      <c r="BC8" s="6">
        <f>日流量!BC8*24*3600/100000000</f>
        <v>1.2527999999999999</v>
      </c>
      <c r="BD8" s="6">
        <f>日流量!BD8*24*3600/100000000</f>
        <v>1.2527999999999999</v>
      </c>
      <c r="BE8" s="6">
        <f>日流量!BE8*24*3600/100000000</f>
        <v>1.2527999999999999</v>
      </c>
      <c r="BF8" s="6">
        <f>日流量!BF8*24*3600/100000000</f>
        <v>1.2441599999999999</v>
      </c>
      <c r="BG8" s="6">
        <f>日流量!BG8*24*3600/100000000</f>
        <v>1.23552</v>
      </c>
      <c r="BH8" s="6">
        <f>日流量!BH8*24*3600/100000000</f>
        <v>1.22688</v>
      </c>
      <c r="BI8" s="6"/>
      <c r="BJ8" s="6">
        <f>日流量!BJ8*24*3600/100000000</f>
        <v>1.22688</v>
      </c>
      <c r="BK8" s="6">
        <f>日流量!BK8*24*3600/100000000</f>
        <v>1.22688</v>
      </c>
      <c r="BL8" s="6">
        <f>日流量!BL8*24*3600/100000000</f>
        <v>1.2096</v>
      </c>
      <c r="BM8" s="6">
        <f>日流量!BM8*24*3600/100000000</f>
        <v>1.2096</v>
      </c>
      <c r="BN8" s="6">
        <f>日流量!BN8*24*3600/100000000</f>
        <v>1.20096</v>
      </c>
      <c r="BO8" s="6">
        <f>日流量!BO8*24*3600/100000000</f>
        <v>1.20096</v>
      </c>
      <c r="BP8" s="6">
        <f>日流量!BP8*24*3600/100000000</f>
        <v>1.20096</v>
      </c>
      <c r="BQ8" s="6">
        <f>日流量!BQ8*24*3600/100000000</f>
        <v>1.20096</v>
      </c>
      <c r="BR8" s="6">
        <f>日流量!BR8*24*3600/100000000</f>
        <v>1.20096</v>
      </c>
      <c r="BS8" s="6">
        <f>日流量!BS8*24*3600/100000000</f>
        <v>1.2096</v>
      </c>
      <c r="BT8" s="6">
        <f>日流量!BT8*24*3600/100000000</f>
        <v>1.2096</v>
      </c>
      <c r="BU8" s="6">
        <f>日流量!BU8*24*3600/100000000</f>
        <v>1.2096</v>
      </c>
      <c r="BV8" s="6">
        <f>日流量!BV8*24*3600/100000000</f>
        <v>1.2096</v>
      </c>
      <c r="BW8" s="6">
        <f>日流量!BW8*24*3600/100000000</f>
        <v>1.20096</v>
      </c>
      <c r="BX8" s="6">
        <f>日流量!BX8*24*3600/100000000</f>
        <v>1.20096</v>
      </c>
      <c r="BY8" s="6">
        <f>日流量!BY8*24*3600/100000000</f>
        <v>1.20096</v>
      </c>
      <c r="BZ8" s="6">
        <f>日流量!BZ8*24*3600/100000000</f>
        <v>1.20096</v>
      </c>
      <c r="CA8" s="6">
        <f>日流量!CA8*24*3600/100000000</f>
        <v>1.20096</v>
      </c>
      <c r="CB8" s="6">
        <f>日流量!CB8*24*3600/100000000</f>
        <v>1.21824</v>
      </c>
      <c r="CC8" s="6">
        <f>日流量!CC8*24*3600/100000000</f>
        <v>1.21824</v>
      </c>
      <c r="CD8" s="6">
        <f>日流量!CD8*24*3600/100000000</f>
        <v>1.22688</v>
      </c>
      <c r="CE8" s="6">
        <f>日流量!CE8*24*3600/100000000</f>
        <v>1.23552</v>
      </c>
      <c r="CF8" s="6">
        <f>日流量!CF8*24*3600/100000000</f>
        <v>1.2873600000000001</v>
      </c>
      <c r="CG8" s="6">
        <f>日流量!CG8*24*3600/100000000</f>
        <v>1.3564799999999999</v>
      </c>
      <c r="CH8" s="6">
        <f>日流量!CH8*24*3600/100000000</f>
        <v>1.3564799999999999</v>
      </c>
      <c r="CI8" s="6">
        <f>日流量!CI8*24*3600/100000000</f>
        <v>1.3824000000000001</v>
      </c>
      <c r="CJ8" s="6">
        <f>日流量!CJ8*24*3600/100000000</f>
        <v>1.3564799999999999</v>
      </c>
      <c r="CK8" s="6">
        <f>日流量!CK8*24*3600/100000000</f>
        <v>1.33056</v>
      </c>
      <c r="CL8" s="6">
        <f>日流量!CL8*24*3600/100000000</f>
        <v>1.32192</v>
      </c>
      <c r="CM8" s="6">
        <f>日流量!CM8*24*3600/100000000</f>
        <v>1.32192</v>
      </c>
      <c r="CN8" s="6">
        <f>日流量!CN8*24*3600/100000000</f>
        <v>1.33056</v>
      </c>
      <c r="CO8" s="6">
        <f>日流量!CO8*24*3600/100000000</f>
        <v>1.33056</v>
      </c>
      <c r="CP8" s="6">
        <f>日流量!CP8*24*3600/100000000</f>
        <v>1.31328</v>
      </c>
      <c r="CQ8" s="6">
        <f>日流量!CQ8*24*3600/100000000</f>
        <v>1.30464</v>
      </c>
      <c r="CR8" s="6">
        <f>日流量!CR8*24*3600/100000000</f>
        <v>1.2787200000000001</v>
      </c>
      <c r="CS8" s="6">
        <f>日流量!CS8*24*3600/100000000</f>
        <v>1.2614399999999999</v>
      </c>
      <c r="CT8" s="6">
        <f>日流量!CT8*24*3600/100000000</f>
        <v>1.2527999999999999</v>
      </c>
      <c r="CU8" s="6">
        <f>日流量!CU8*24*3600/100000000</f>
        <v>1.2527999999999999</v>
      </c>
      <c r="CV8" s="6">
        <f>日流量!CV8*24*3600/100000000</f>
        <v>1.2527999999999999</v>
      </c>
      <c r="CW8" s="6">
        <f>日流量!CW8*24*3600/100000000</f>
        <v>1.2527999999999999</v>
      </c>
      <c r="CX8" s="6">
        <f>日流量!CX8*24*3600/100000000</f>
        <v>1.2527999999999999</v>
      </c>
      <c r="CY8" s="6">
        <f>日流量!CY8*24*3600/100000000</f>
        <v>1.23552</v>
      </c>
      <c r="CZ8" s="6">
        <f>日流量!CZ8*24*3600/100000000</f>
        <v>1.2096</v>
      </c>
      <c r="DA8" s="6">
        <f>日流量!DA8*24*3600/100000000</f>
        <v>1.20096</v>
      </c>
      <c r="DB8" s="6">
        <f>日流量!DB8*24*3600/100000000</f>
        <v>1.1836800000000001</v>
      </c>
      <c r="DC8" s="6">
        <f>日流量!DC8*24*3600/100000000</f>
        <v>1.1750400000000001</v>
      </c>
      <c r="DD8" s="6">
        <f>日流量!DD8*24*3600/100000000</f>
        <v>1.1836800000000001</v>
      </c>
      <c r="DE8" s="6">
        <f>日流量!DE8*24*3600/100000000</f>
        <v>1.23552</v>
      </c>
      <c r="DF8" s="6">
        <f>日流量!DF8*24*3600/100000000</f>
        <v>1.3737600000000001</v>
      </c>
      <c r="DG8" s="6">
        <f>日流量!DG8*24*3600/100000000</f>
        <v>1.50336</v>
      </c>
      <c r="DH8" s="6">
        <f>日流量!DH8*24*3600/100000000</f>
        <v>1.6502399999999999</v>
      </c>
      <c r="DI8" s="6">
        <f>日流量!DI8*24*3600/100000000</f>
        <v>1.8144</v>
      </c>
      <c r="DJ8" s="6">
        <f>日流量!DJ8*24*3600/100000000</f>
        <v>1.90944</v>
      </c>
      <c r="DK8" s="6">
        <f>日流量!DK8*24*3600/100000000</f>
        <v>1.9785600000000001</v>
      </c>
      <c r="DL8" s="6">
        <f>日流量!DL8*24*3600/100000000</f>
        <v>1.9526399999999999</v>
      </c>
      <c r="DM8" s="6">
        <f>日流量!DM8*24*3600/100000000</f>
        <v>1.8575999999999999</v>
      </c>
      <c r="DN8" s="6">
        <f>日流量!DN8*24*3600/100000000</f>
        <v>1.7539199999999999</v>
      </c>
      <c r="DO8" s="6">
        <f>日流量!DO8*24*3600/100000000</f>
        <v>1.6588799999999999</v>
      </c>
      <c r="DP8" s="6">
        <f>日流量!DP8*24*3600/100000000</f>
        <v>1.5638399999999999</v>
      </c>
      <c r="DQ8" s="6">
        <f>日流量!DQ8*24*3600/100000000</f>
        <v>1.4774400000000001</v>
      </c>
      <c r="DR8" s="6">
        <f>日流量!DR8*24*3600/100000000</f>
        <v>1.39968</v>
      </c>
      <c r="DS8" s="6">
        <f>日流量!DS8*24*3600/100000000</f>
        <v>1.3564799999999999</v>
      </c>
      <c r="DT8" s="6">
        <f>日流量!DT8*24*3600/100000000</f>
        <v>1.33056</v>
      </c>
      <c r="DU8" s="6">
        <f>日流量!DU8*24*3600/100000000</f>
        <v>1.31328</v>
      </c>
      <c r="DV8" s="6">
        <f>日流量!DV8*24*3600/100000000</f>
        <v>1.31328</v>
      </c>
      <c r="DW8" s="6">
        <f>日流量!DW8*24*3600/100000000</f>
        <v>1.31328</v>
      </c>
      <c r="DX8" s="6">
        <f>日流量!DX8*24*3600/100000000</f>
        <v>1.30464</v>
      </c>
      <c r="DY8" s="6">
        <f>日流量!DY8*24*3600/100000000</f>
        <v>1.296</v>
      </c>
      <c r="DZ8" s="6">
        <f>日流量!DZ8*24*3600/100000000</f>
        <v>1.296</v>
      </c>
      <c r="EA8" s="6">
        <f>日流量!EA8*24*3600/100000000</f>
        <v>1.2787200000000001</v>
      </c>
      <c r="EB8" s="6">
        <f>日流量!EB8*24*3600/100000000</f>
        <v>1.30464</v>
      </c>
      <c r="EC8" s="6">
        <f>日流量!EC8*24*3600/100000000</f>
        <v>1.3391999999999999</v>
      </c>
      <c r="ED8" s="6">
        <f>日流量!ED8*24*3600/100000000</f>
        <v>1.3651199999999999</v>
      </c>
      <c r="EE8" s="6">
        <f>日流量!EE8*24*3600/100000000</f>
        <v>1.39968</v>
      </c>
      <c r="EF8" s="6">
        <f>日流量!EF8*24*3600/100000000</f>
        <v>1.4601599999999999</v>
      </c>
      <c r="EG8" s="6">
        <f>日流量!EG8*24*3600/100000000</f>
        <v>1.5638399999999999</v>
      </c>
      <c r="EH8" s="6">
        <f>日流量!EH8*24*3600/100000000</f>
        <v>1.6588799999999999</v>
      </c>
      <c r="EI8" s="6">
        <f>日流量!EI8*24*3600/100000000</f>
        <v>1.728</v>
      </c>
      <c r="EJ8" s="6">
        <f>日流量!EJ8*24*3600/100000000</f>
        <v>1.7712000000000001</v>
      </c>
      <c r="EK8" s="6">
        <f>日流量!EK8*24*3600/100000000</f>
        <v>1.82304</v>
      </c>
      <c r="EL8" s="6">
        <f>日流量!EL8*24*3600/100000000</f>
        <v>1.8748800000000001</v>
      </c>
      <c r="EM8" s="6">
        <f>日流量!EM8*24*3600/100000000</f>
        <v>1.83168</v>
      </c>
      <c r="EN8" s="6">
        <f>日流量!EN8*24*3600/100000000</f>
        <v>1.7625599999999999</v>
      </c>
      <c r="EO8" s="6">
        <f>日流量!EO8*24*3600/100000000</f>
        <v>1.71936</v>
      </c>
      <c r="EP8" s="6">
        <f>日流量!EP8*24*3600/100000000</f>
        <v>1.728</v>
      </c>
      <c r="EQ8" s="6">
        <f>日流量!EQ8*24*3600/100000000</f>
        <v>1.7452799999999999</v>
      </c>
      <c r="ER8" s="6">
        <f>日流量!ER8*24*3600/100000000</f>
        <v>1.7971200000000001</v>
      </c>
      <c r="ES8" s="6">
        <f>日流量!ES8*24*3600/100000000</f>
        <v>1.93536</v>
      </c>
      <c r="ET8" s="6">
        <f>日流量!ET8*24*3600/100000000</f>
        <v>2.02176</v>
      </c>
      <c r="EU8" s="6">
        <f>日流量!EU8*24*3600/100000000</f>
        <v>2.1513599999999999</v>
      </c>
      <c r="EV8" s="6">
        <f>日流量!EV8*24*3600/100000000</f>
        <v>2.1859199999999999</v>
      </c>
      <c r="EW8" s="6">
        <f>日流量!EW8*24*3600/100000000</f>
        <v>2.1427200000000002</v>
      </c>
      <c r="EX8" s="6">
        <f>日流量!EX8*24*3600/100000000</f>
        <v>2.0908799999999998</v>
      </c>
      <c r="EY8" s="6">
        <f>日流量!EY8*24*3600/100000000</f>
        <v>2.0908799999999998</v>
      </c>
      <c r="EZ8" s="6">
        <f>日流量!EZ8*24*3600/100000000</f>
        <v>2.1859199999999999</v>
      </c>
      <c r="FA8" s="6">
        <f>日流量!FA8*24*3600/100000000</f>
        <v>2.21184</v>
      </c>
      <c r="FB8" s="6">
        <f>日流量!FB8*24*3600/100000000</f>
        <v>2.1945600000000001</v>
      </c>
      <c r="FC8" s="6">
        <f>日流量!FC8*24*3600/100000000</f>
        <v>2.2204799999999998</v>
      </c>
      <c r="FD8" s="6">
        <f>日流量!FD8*24*3600/100000000</f>
        <v>2.2464</v>
      </c>
      <c r="FE8" s="6">
        <f>日流量!FE8*24*3600/100000000</f>
        <v>2.22912</v>
      </c>
      <c r="FF8" s="6">
        <f>日流量!FF8*24*3600/100000000</f>
        <v>2.22912</v>
      </c>
      <c r="FG8" s="6">
        <f>日流量!FG8*24*3600/100000000</f>
        <v>2.3500800000000002</v>
      </c>
      <c r="FH8" s="6">
        <f>日流量!FH8*24*3600/100000000</f>
        <v>2.6524800000000002</v>
      </c>
      <c r="FI8" s="6">
        <f>日流量!FI8*24*3600/100000000</f>
        <v>2.7820800000000001</v>
      </c>
      <c r="FJ8" s="6">
        <f>日流量!FJ8*24*3600/100000000</f>
        <v>2.94624</v>
      </c>
      <c r="FK8" s="6">
        <f>日流量!FK8*24*3600/100000000</f>
        <v>3.0758399999999999</v>
      </c>
      <c r="FL8" s="6">
        <f>日流量!FL8*24*3600/100000000</f>
        <v>3.3782399999999999</v>
      </c>
      <c r="FM8" s="6">
        <f>日流量!FM8*24*3600/100000000</f>
        <v>3.5164800000000001</v>
      </c>
      <c r="FN8" s="6">
        <f>日流量!FN8*24*3600/100000000</f>
        <v>3.64608</v>
      </c>
      <c r="FO8" s="6">
        <f>日流量!FO8*24*3600/100000000</f>
        <v>3.9398399999999998</v>
      </c>
      <c r="FP8" s="6">
        <f>日流量!FP8*24*3600/100000000</f>
        <v>3.9225599999999998</v>
      </c>
      <c r="FQ8" s="6">
        <f>日流量!FQ8*24*3600/100000000</f>
        <v>4.0694400000000002</v>
      </c>
      <c r="FR8" s="6">
        <f>日流量!FR8*24*3600/100000000</f>
        <v>3.8707199999999999</v>
      </c>
      <c r="FS8" s="6">
        <f>日流量!FS8*24*3600/100000000</f>
        <v>4.0003200000000003</v>
      </c>
      <c r="FT8" s="6">
        <f>日流量!FT8*24*3600/100000000</f>
        <v>4.4236800000000001</v>
      </c>
      <c r="FU8" s="6">
        <f>日流量!FU8*24*3600/100000000</f>
        <v>4.9766399999999997</v>
      </c>
      <c r="FV8" s="6">
        <f>日流量!FV8*24*3600/100000000</f>
        <v>5.8319999999999999</v>
      </c>
      <c r="FW8" s="6">
        <f>日流量!FW8*24*3600/100000000</f>
        <v>6.7824</v>
      </c>
      <c r="FX8" s="6">
        <f>日流量!FX8*24*3600/100000000</f>
        <v>7.1280000000000001</v>
      </c>
      <c r="FY8" s="6">
        <f>日流量!FY8*24*3600/100000000</f>
        <v>7.2576000000000001</v>
      </c>
      <c r="FZ8" s="6">
        <f>日流量!FZ8*24*3600/100000000</f>
        <v>7.2489600000000003</v>
      </c>
      <c r="GA8" s="6">
        <f>日流量!GA8*24*3600/100000000</f>
        <v>7.1280000000000001</v>
      </c>
      <c r="GB8" s="6">
        <f>日流量!GB8*24*3600/100000000</f>
        <v>7.1107199999999997</v>
      </c>
      <c r="GC8" s="6">
        <f>日流量!GC8*24*3600/100000000</f>
        <v>7.0502399999999996</v>
      </c>
      <c r="GD8" s="6">
        <f>日流量!GD8*24*3600/100000000</f>
        <v>7.0329600000000001</v>
      </c>
      <c r="GE8" s="6">
        <f>日流量!GE8*24*3600/100000000</f>
        <v>7.2057599999999997</v>
      </c>
      <c r="GF8" s="6">
        <f>日流量!GF8*24*3600/100000000</f>
        <v>7.7414399999999999</v>
      </c>
      <c r="GG8" s="6">
        <f>日流量!GG8*24*3600/100000000</f>
        <v>9.2447999999999997</v>
      </c>
      <c r="GH8" s="6">
        <f>日流量!GH8*24*3600/100000000</f>
        <v>10.540800000000001</v>
      </c>
      <c r="GI8" s="6">
        <f>日流量!GI8*24*3600/100000000</f>
        <v>11.4048</v>
      </c>
      <c r="GJ8" s="6">
        <f>日流量!GJ8*24*3600/100000000</f>
        <v>11.231999999999999</v>
      </c>
      <c r="GK8" s="6">
        <f>日流量!GK8*24*3600/100000000</f>
        <v>11.059200000000001</v>
      </c>
      <c r="GL8" s="6">
        <f>日流量!GL8*24*3600/100000000</f>
        <v>11.1456</v>
      </c>
      <c r="GM8" s="6">
        <f>日流量!GM8*24*3600/100000000</f>
        <v>10.7136</v>
      </c>
      <c r="GN8" s="6">
        <f>日流量!GN8*24*3600/100000000</f>
        <v>9.8496000000000006</v>
      </c>
      <c r="GO8" s="6">
        <f>日流量!GO8*24*3600/100000000</f>
        <v>9.1584000000000003</v>
      </c>
      <c r="GP8" s="6">
        <f>日流量!GP8*24*3600/100000000</f>
        <v>9.3312000000000008</v>
      </c>
      <c r="GQ8" s="6">
        <f>日流量!GQ8*24*3600/100000000</f>
        <v>10.540800000000001</v>
      </c>
      <c r="GR8" s="6">
        <f>日流量!GR8*24*3600/100000000</f>
        <v>10.972799999999999</v>
      </c>
      <c r="GS8" s="6">
        <f>日流量!GS8*24*3600/100000000</f>
        <v>11.491199999999999</v>
      </c>
      <c r="GT8" s="6">
        <f>日流量!GT8*24*3600/100000000</f>
        <v>10.6272</v>
      </c>
      <c r="GU8" s="6">
        <f>日流量!GU8*24*3600/100000000</f>
        <v>9.5039999999999996</v>
      </c>
      <c r="GV8" s="6">
        <f>日流量!GV8*24*3600/100000000</f>
        <v>8.8127999999999993</v>
      </c>
      <c r="GW8" s="6">
        <f>日流量!GW8*24*3600/100000000</f>
        <v>8.7263999999999999</v>
      </c>
      <c r="GX8" s="6">
        <f>日流量!GX8*24*3600/100000000</f>
        <v>10.8864</v>
      </c>
      <c r="GY8" s="6">
        <f>日流量!GY8*24*3600/100000000</f>
        <v>11.059200000000001</v>
      </c>
      <c r="GZ8" s="6">
        <f>日流量!GZ8*24*3600/100000000</f>
        <v>10.8</v>
      </c>
      <c r="HA8" s="6">
        <f>日流量!HA8*24*3600/100000000</f>
        <v>10.972799999999999</v>
      </c>
      <c r="HB8" s="6">
        <f>日流量!HB8*24*3600/100000000</f>
        <v>10.7136</v>
      </c>
      <c r="HC8" s="6">
        <f>日流量!HC8*24*3600/100000000</f>
        <v>10.8864</v>
      </c>
      <c r="HD8" s="6">
        <f>日流量!HD8*24*3600/100000000</f>
        <v>11.750400000000001</v>
      </c>
      <c r="HE8" s="6">
        <f>日流量!HE8*24*3600/100000000</f>
        <v>14.169600000000001</v>
      </c>
      <c r="HF8" s="6">
        <f>日流量!HF8*24*3600/100000000</f>
        <v>14.428800000000001</v>
      </c>
      <c r="HG8" s="6">
        <f>日流量!HG8*24*3600/100000000</f>
        <v>14.169600000000001</v>
      </c>
      <c r="HH8" s="6">
        <f>日流量!HH8*24*3600/100000000</f>
        <v>14.428800000000001</v>
      </c>
      <c r="HI8" s="6">
        <f>日流量!HI8*24*3600/100000000</f>
        <v>15.2928</v>
      </c>
      <c r="HJ8" s="6">
        <f>日流量!HJ8*24*3600/100000000</f>
        <v>15.638400000000001</v>
      </c>
      <c r="HK8" s="6">
        <f>日流量!HK8*24*3600/100000000</f>
        <v>15.4656</v>
      </c>
      <c r="HL8" s="6">
        <f>日流量!HL8*24*3600/100000000</f>
        <v>15.12</v>
      </c>
      <c r="HM8" s="6">
        <f>日流量!HM8*24*3600/100000000</f>
        <v>14.601599999999999</v>
      </c>
      <c r="HN8" s="6">
        <f>日流量!HN8*24*3600/100000000</f>
        <v>13.1328</v>
      </c>
      <c r="HO8" s="6">
        <f>日流量!HO8*24*3600/100000000</f>
        <v>12.268800000000001</v>
      </c>
      <c r="HP8" s="6">
        <f>日流量!HP8*24*3600/100000000</f>
        <v>12.3552</v>
      </c>
      <c r="HQ8" s="6">
        <f>日流量!HQ8*24*3600/100000000</f>
        <v>13.391999999999999</v>
      </c>
      <c r="HR8" s="6">
        <f>日流量!HR8*24*3600/100000000</f>
        <v>14.428800000000001</v>
      </c>
      <c r="HS8" s="6">
        <f>日流量!HS8*24*3600/100000000</f>
        <v>15.638400000000001</v>
      </c>
      <c r="HT8" s="6">
        <f>日流量!HT8*24*3600/100000000</f>
        <v>15.638400000000001</v>
      </c>
      <c r="HU8" s="6">
        <f>日流量!HU8*24*3600/100000000</f>
        <v>14.9472</v>
      </c>
      <c r="HV8" s="6">
        <f>日流量!HV8*24*3600/100000000</f>
        <v>13.1328</v>
      </c>
      <c r="HW8" s="6">
        <f>日流量!HW8*24*3600/100000000</f>
        <v>11.5776</v>
      </c>
      <c r="HX8" s="6">
        <f>日流量!HX8*24*3600/100000000</f>
        <v>10.4544</v>
      </c>
      <c r="HY8" s="6">
        <f>日流量!HY8*24*3600/100000000</f>
        <v>9.6768000000000001</v>
      </c>
      <c r="HZ8" s="6">
        <f>日流量!HZ8*24*3600/100000000</f>
        <v>8.8992000000000004</v>
      </c>
      <c r="IA8" s="6">
        <f>日流量!IA8*24*3600/100000000</f>
        <v>8.3376000000000001</v>
      </c>
      <c r="IB8" s="6">
        <f>日流量!IB8*24*3600/100000000</f>
        <v>7.9747199999999996</v>
      </c>
      <c r="IC8" s="6">
        <f>日流量!IC8*24*3600/100000000</f>
        <v>8.2512000000000008</v>
      </c>
      <c r="ID8" s="6">
        <f>日流量!ID8*24*3600/100000000</f>
        <v>8.2598400000000005</v>
      </c>
      <c r="IE8" s="6">
        <f>日流量!IE8*24*3600/100000000</f>
        <v>8.2684800000000003</v>
      </c>
      <c r="IF8" s="6">
        <f>日流量!IF8*24*3600/100000000</f>
        <v>7.7155199999999997</v>
      </c>
      <c r="IG8" s="6">
        <f>日流量!IG8*24*3600/100000000</f>
        <v>7.3094400000000004</v>
      </c>
      <c r="IH8" s="6">
        <f>日流量!IH8*24*3600/100000000</f>
        <v>6.9551999999999996</v>
      </c>
      <c r="II8" s="6">
        <f>日流量!II8*24*3600/100000000</f>
        <v>6.6700799999999996</v>
      </c>
      <c r="IJ8" s="6">
        <f>日流量!IJ8*24*3600/100000000</f>
        <v>6.4022399999999999</v>
      </c>
      <c r="IK8" s="6">
        <f>日流量!IK8*24*3600/100000000</f>
        <v>6.1516799999999998</v>
      </c>
      <c r="IL8" s="6">
        <f>日流量!IL8*24*3600/100000000</f>
        <v>6.048</v>
      </c>
      <c r="IM8" s="6">
        <f>日流量!IM8*24*3600/100000000</f>
        <v>5.9270399999999999</v>
      </c>
      <c r="IN8" s="6">
        <f>日流量!IN8*24*3600/100000000</f>
        <v>5.8406399999999996</v>
      </c>
      <c r="IO8" s="6">
        <f>日流量!IO8*24*3600/100000000</f>
        <v>6.0652799999999996</v>
      </c>
      <c r="IP8" s="6">
        <f>日流量!IP8*24*3600/100000000</f>
        <v>6.1344000000000003</v>
      </c>
      <c r="IQ8" s="6">
        <f>日流量!IQ8*24*3600/100000000</f>
        <v>6.2553599999999996</v>
      </c>
      <c r="IR8" s="6">
        <f>日流量!IR8*24*3600/100000000</f>
        <v>6.3071999999999999</v>
      </c>
      <c r="IS8" s="6">
        <f>日流量!IS8*24*3600/100000000</f>
        <v>6.1689600000000002</v>
      </c>
      <c r="IT8" s="6">
        <f>日流量!IT8*24*3600/100000000</f>
        <v>5.9615999999999998</v>
      </c>
      <c r="IU8" s="6">
        <f>日流量!IU8*24*3600/100000000</f>
        <v>5.7715199999999998</v>
      </c>
      <c r="IV8" s="6">
        <f>日流量!IV8*24*3600/100000000</f>
        <v>5.5641600000000002</v>
      </c>
      <c r="IW8" s="6">
        <f>日流量!IW8*24*3600/100000000</f>
        <v>5.5382400000000001</v>
      </c>
      <c r="IX8" s="6">
        <f>日流量!IX8*24*3600/100000000</f>
        <v>5.6419199999999998</v>
      </c>
      <c r="IY8" s="6">
        <f>日流量!IY8*24*3600/100000000</f>
        <v>6.0048000000000004</v>
      </c>
      <c r="IZ8" s="6">
        <f>日流量!IZ8*24*3600/100000000</f>
        <v>6.3849600000000004</v>
      </c>
      <c r="JA8" s="6">
        <f>日流量!JA8*24*3600/100000000</f>
        <v>6.2035200000000001</v>
      </c>
      <c r="JB8" s="6">
        <f>日流量!JB8*24*3600/100000000</f>
        <v>5.9788800000000002</v>
      </c>
      <c r="JC8" s="6">
        <f>日流量!JC8*24*3600/100000000</f>
        <v>5.8147200000000003</v>
      </c>
      <c r="JD8" s="6">
        <f>日流量!JD8*24*3600/100000000</f>
        <v>5.8492800000000003</v>
      </c>
      <c r="JE8" s="6">
        <f>日流量!JE8*24*3600/100000000</f>
        <v>5.8147200000000003</v>
      </c>
      <c r="JF8" s="6">
        <f>日流量!JF8*24*3600/100000000</f>
        <v>5.6332800000000001</v>
      </c>
      <c r="JG8" s="6">
        <f>日流量!JG8*24*3600/100000000</f>
        <v>5.4863999999999997</v>
      </c>
      <c r="JH8" s="6">
        <f>日流量!JH8*24*3600/100000000</f>
        <v>5.3740800000000002</v>
      </c>
      <c r="JI8" s="6">
        <f>日流量!JI8*24*3600/100000000</f>
        <v>5.3827199999999999</v>
      </c>
      <c r="JJ8" s="6">
        <f>日流量!JJ8*24*3600/100000000</f>
        <v>5.5036800000000001</v>
      </c>
      <c r="JK8" s="6">
        <f>日流量!JK8*24*3600/100000000</f>
        <v>5.5641600000000002</v>
      </c>
      <c r="JL8" s="6">
        <f>日流量!JL8*24*3600/100000000</f>
        <v>5.6851200000000004</v>
      </c>
      <c r="JM8" s="6">
        <f>日流量!JM8*24*3600/100000000</f>
        <v>5.8406399999999996</v>
      </c>
      <c r="JN8" s="6">
        <f>日流量!JN8*24*3600/100000000</f>
        <v>5.8406399999999996</v>
      </c>
      <c r="JO8" s="6">
        <f>日流量!JO8*24*3600/100000000</f>
        <v>5.8752000000000004</v>
      </c>
      <c r="JP8" s="6">
        <f>日流量!JP8*24*3600/100000000</f>
        <v>6.0566399999999998</v>
      </c>
      <c r="JQ8" s="6">
        <f>日流量!JQ8*24*3600/100000000</f>
        <v>6.2121599999999999</v>
      </c>
      <c r="JR8" s="6">
        <f>日流量!JR8*24*3600/100000000</f>
        <v>6.3417599999999998</v>
      </c>
      <c r="JS8" s="6">
        <f>日流量!JS8*24*3600/100000000</f>
        <v>6.4108799999999997</v>
      </c>
      <c r="JT8" s="6">
        <f>日流量!JT8*24*3600/100000000</f>
        <v>6.1689600000000002</v>
      </c>
      <c r="JU8" s="6">
        <f>日流量!JU8*24*3600/100000000</f>
        <v>6.0307199999999996</v>
      </c>
      <c r="JV8" s="6">
        <f>日流量!JV8*24*3600/100000000</f>
        <v>5.7369599999999998</v>
      </c>
      <c r="JW8" s="6">
        <f>日流量!JW8*24*3600/100000000</f>
        <v>5.47776</v>
      </c>
      <c r="JX8" s="6">
        <f>日流量!JX8*24*3600/100000000</f>
        <v>5.25312</v>
      </c>
      <c r="JY8" s="6">
        <f>日流量!JY8*24*3600/100000000</f>
        <v>5.1062399999999997</v>
      </c>
      <c r="JZ8" s="6">
        <f>日流量!JZ8*24*3600/100000000</f>
        <v>5.0111999999999997</v>
      </c>
      <c r="KA8" s="6">
        <f>日流量!KA8*24*3600/100000000</f>
        <v>4.9420799999999998</v>
      </c>
      <c r="KB8" s="6">
        <f>日流量!KB8*24*3600/100000000</f>
        <v>4.8556800000000004</v>
      </c>
      <c r="KC8" s="6">
        <f>日流量!KC8*24*3600/100000000</f>
        <v>4.7347200000000003</v>
      </c>
      <c r="KD8" s="6">
        <f>日流量!KD8*24*3600/100000000</f>
        <v>4.6051200000000003</v>
      </c>
      <c r="KE8" s="6">
        <f>日流量!KE8*24*3600/100000000</f>
        <v>4.5359999999999996</v>
      </c>
      <c r="KF8" s="6">
        <f>日流量!KF8*24*3600/100000000</f>
        <v>4.4755200000000004</v>
      </c>
      <c r="KG8" s="6">
        <f>日流量!KG8*24*3600/100000000</f>
        <v>4.5014399999999997</v>
      </c>
      <c r="KH8" s="6">
        <f>日流量!KH8*24*3600/100000000</f>
        <v>4.6051200000000003</v>
      </c>
      <c r="KI8" s="6">
        <f>日流量!KI8*24*3600/100000000</f>
        <v>4.4496000000000002</v>
      </c>
      <c r="KJ8" s="6">
        <f>日流量!KJ8*24*3600/100000000</f>
        <v>4.32</v>
      </c>
      <c r="KK8" s="6">
        <f>日流量!KK8*24*3600/100000000</f>
        <v>4.3459199999999996</v>
      </c>
      <c r="KL8" s="6">
        <f>日流量!KL8*24*3600/100000000</f>
        <v>4.6310399999999996</v>
      </c>
      <c r="KM8" s="6">
        <f>日流量!KM8*24*3600/100000000</f>
        <v>4.7519999999999998</v>
      </c>
      <c r="KN8" s="6">
        <f>日流量!KN8*24*3600/100000000</f>
        <v>4.7519999999999998</v>
      </c>
      <c r="KO8" s="6">
        <f>日流量!KO8*24*3600/100000000</f>
        <v>4.7174399999999999</v>
      </c>
      <c r="KP8" s="6">
        <f>日流量!KP8*24*3600/100000000</f>
        <v>4.7952000000000004</v>
      </c>
      <c r="KQ8" s="6">
        <f>日流量!KQ8*24*3600/100000000</f>
        <v>5.0025599999999999</v>
      </c>
      <c r="KR8" s="6">
        <f>日流量!KR8*24*3600/100000000</f>
        <v>4.968</v>
      </c>
      <c r="KS8" s="6">
        <f>日流量!KS8*24*3600/100000000</f>
        <v>4.7779199999999999</v>
      </c>
      <c r="KT8" s="6">
        <f>日流量!KT8*24*3600/100000000</f>
        <v>4.4755200000000004</v>
      </c>
      <c r="KU8" s="6">
        <f>日流量!KU8*24*3600/100000000</f>
        <v>4.2249600000000003</v>
      </c>
      <c r="KV8" s="6">
        <f>日流量!KV8*24*3600/100000000</f>
        <v>4.0521599999999998</v>
      </c>
      <c r="KW8" s="6">
        <f>日流量!KW8*24*3600/100000000</f>
        <v>3.9312</v>
      </c>
      <c r="KX8" s="6">
        <f>日流量!KX8*24*3600/100000000</f>
        <v>3.7929599999999999</v>
      </c>
      <c r="KY8" s="6">
        <f>日流量!KY8*24*3600/100000000</f>
        <v>3.7065600000000001</v>
      </c>
      <c r="KZ8" s="6">
        <f>日流量!KZ8*24*3600/100000000</f>
        <v>3.6201599999999998</v>
      </c>
      <c r="LA8" s="6">
        <f>日流量!LA8*24*3600/100000000</f>
        <v>3.5078399999999998</v>
      </c>
      <c r="LB8" s="6">
        <f>日流量!LB8*24*3600/100000000</f>
        <v>3.8102399999999998</v>
      </c>
      <c r="LC8" s="6">
        <f>日流量!LC8*24*3600/100000000</f>
        <v>4.8556800000000004</v>
      </c>
      <c r="LD8" s="6">
        <f>日流量!LD8*24*3600/100000000</f>
        <v>5.7196800000000003</v>
      </c>
      <c r="LE8" s="6">
        <f>日流量!LE8*24*3600/100000000</f>
        <v>5.9097600000000003</v>
      </c>
      <c r="LF8" s="6">
        <f>日流量!LF8*24*3600/100000000</f>
        <v>5.5555199999999996</v>
      </c>
      <c r="LG8" s="6">
        <f>日流量!LG8*24*3600/100000000</f>
        <v>5.0111999999999997</v>
      </c>
      <c r="LH8" s="6">
        <f>日流量!LH8*24*3600/100000000</f>
        <v>4.5273599999999998</v>
      </c>
      <c r="LI8" s="6">
        <f>日流量!LI8*24*3600/100000000</f>
        <v>4.2422399999999998</v>
      </c>
      <c r="LJ8" s="6">
        <f>日流量!LJ8*24*3600/100000000</f>
        <v>3.9744000000000002</v>
      </c>
      <c r="LK8" s="6">
        <f>日流量!LK8*24*3600/100000000</f>
        <v>3.8016000000000001</v>
      </c>
      <c r="LL8" s="6">
        <f>日流量!LL8*24*3600/100000000</f>
        <v>3.6892800000000001</v>
      </c>
      <c r="LM8" s="6">
        <f>日流量!LM8*24*3600/100000000</f>
        <v>3.5251199999999998</v>
      </c>
      <c r="LN8" s="6">
        <f>日流量!LN8*24*3600/100000000</f>
        <v>3.3955199999999999</v>
      </c>
      <c r="LO8" s="6">
        <f>日流量!LO8*24*3600/100000000</f>
        <v>3.2831999999999999</v>
      </c>
      <c r="LP8" s="6">
        <f>日流量!LP8*24*3600/100000000</f>
        <v>3.1795200000000001</v>
      </c>
      <c r="LQ8" s="6">
        <f>日流量!LQ8*24*3600/100000000</f>
        <v>3.0758399999999999</v>
      </c>
      <c r="LR8" s="6">
        <f>日流量!LR8*24*3600/100000000</f>
        <v>2.9548800000000002</v>
      </c>
      <c r="LS8" s="6">
        <f>日流量!LS8*24*3600/100000000</f>
        <v>2.8684799999999999</v>
      </c>
      <c r="LT8" s="6">
        <f>日流量!LT8*24*3600/100000000</f>
        <v>2.81664</v>
      </c>
      <c r="LU8" s="6">
        <f>日流量!LU8*24*3600/100000000</f>
        <v>2.7907199999999999</v>
      </c>
      <c r="LV8" s="6">
        <f>日流量!LV8*24*3600/100000000</f>
        <v>2.7907199999999999</v>
      </c>
      <c r="LW8" s="6">
        <f>日流量!LW8*24*3600/100000000</f>
        <v>2.7907199999999999</v>
      </c>
      <c r="LX8" s="6">
        <f>日流量!LX8*24*3600/100000000</f>
        <v>2.6870400000000001</v>
      </c>
      <c r="LY8" s="6">
        <f>日流量!LY8*24*3600/100000000</f>
        <v>2.60928</v>
      </c>
      <c r="LZ8" s="6">
        <f>日流量!LZ8*24*3600/100000000</f>
        <v>2.5228799999999998</v>
      </c>
      <c r="MA8" s="6">
        <f>日流量!MA8*24*3600/100000000</f>
        <v>2.4278400000000002</v>
      </c>
      <c r="MB8" s="6">
        <f>日流量!MB8*24*3600/100000000</f>
        <v>2.3759999999999999</v>
      </c>
      <c r="MC8" s="6">
        <f>日流量!MC8*24*3600/100000000</f>
        <v>2.3155199999999998</v>
      </c>
      <c r="MD8" s="6">
        <f>日流量!MD8*24*3600/100000000</f>
        <v>2.2377600000000002</v>
      </c>
      <c r="ME8" s="6">
        <f>日流量!ME8*24*3600/100000000</f>
        <v>2.1772800000000001</v>
      </c>
      <c r="MF8" s="6">
        <f>日流量!MF8*24*3600/100000000</f>
        <v>2.1427200000000002</v>
      </c>
      <c r="MG8" s="6">
        <f>日流量!MG8*24*3600/100000000</f>
        <v>2.1081599999999998</v>
      </c>
      <c r="MH8" s="6">
        <f>日流量!MH8*24*3600/100000000</f>
        <v>2.0822400000000001</v>
      </c>
      <c r="MI8" s="6">
        <f>日流量!MI8*24*3600/100000000</f>
        <v>2.0649600000000001</v>
      </c>
      <c r="MJ8" s="6">
        <f>日流量!MJ8*24*3600/100000000</f>
        <v>2.0304000000000002</v>
      </c>
      <c r="MK8" s="6">
        <f>日流量!MK8*24*3600/100000000</f>
        <v>2.00448</v>
      </c>
      <c r="ML8" s="6">
        <f>日流量!ML8*24*3600/100000000</f>
        <v>1.9958400000000001</v>
      </c>
      <c r="MM8" s="6">
        <f>日流量!MM8*24*3600/100000000</f>
        <v>1.9699199999999999</v>
      </c>
      <c r="MN8" s="6">
        <f>日流量!MN8*24*3600/100000000</f>
        <v>1.9526399999999999</v>
      </c>
      <c r="MO8" s="6">
        <f>日流量!MO8*24*3600/100000000</f>
        <v>1.91808</v>
      </c>
      <c r="MP8" s="6">
        <f>日流量!MP8*24*3600/100000000</f>
        <v>1.8921600000000001</v>
      </c>
      <c r="MQ8" s="6">
        <f>日流量!MQ8*24*3600/100000000</f>
        <v>1.8835200000000001</v>
      </c>
      <c r="MR8" s="6">
        <f>日流量!MR8*24*3600/100000000</f>
        <v>1.8662399999999999</v>
      </c>
      <c r="MS8" s="6">
        <f>日流量!MS8*24*3600/100000000</f>
        <v>1.8575999999999999</v>
      </c>
      <c r="MT8" s="6">
        <f>日流量!MT8*24*3600/100000000</f>
        <v>1.8489599999999999</v>
      </c>
      <c r="MU8" s="6">
        <f>日流量!MU8*24*3600/100000000</f>
        <v>1.83168</v>
      </c>
      <c r="MV8" s="6">
        <f>日流量!MV8*24*3600/100000000</f>
        <v>1.7884800000000001</v>
      </c>
      <c r="MW8" s="6">
        <f>日流量!MW8*24*3600/100000000</f>
        <v>1.7539199999999999</v>
      </c>
      <c r="MX8" s="6">
        <f>日流量!MX8*24*3600/100000000</f>
        <v>1.728</v>
      </c>
      <c r="MY8" s="6">
        <f>日流量!MY8*24*3600/100000000</f>
        <v>1.6934400000000001</v>
      </c>
      <c r="MZ8" s="6">
        <f>日流量!MZ8*24*3600/100000000</f>
        <v>1.6761600000000001</v>
      </c>
      <c r="NA8" s="6">
        <f>日流量!NA8*24*3600/100000000</f>
        <v>1.6415999999999999</v>
      </c>
      <c r="NB8" s="6">
        <f>日流量!NB8*24*3600/100000000</f>
        <v>1.62432</v>
      </c>
      <c r="NC8" s="6"/>
      <c r="ND8" s="6">
        <f>日流量!ND8*24*3600*31/100000000</f>
        <v>46.068480000000001</v>
      </c>
      <c r="NE8" s="6">
        <f>日流量!NE8*24*3600*28/100000000</f>
        <v>36.287999999999997</v>
      </c>
      <c r="NF8" s="6">
        <f>日流量!NF8*24*3600*31/100000000</f>
        <v>38.568959999999997</v>
      </c>
      <c r="NG8" s="6">
        <f>日流量!NG8*24*3600*30/100000000</f>
        <v>43.027200000000001</v>
      </c>
      <c r="NH8" s="6">
        <f>日流量!NH8*24*3600*31/100000000</f>
        <v>50.086080000000003</v>
      </c>
      <c r="NI8" s="6">
        <f>日流量!NI8*24*3600*30/100000000</f>
        <v>114.5664</v>
      </c>
      <c r="NJ8" s="6">
        <f>日流量!NJ8*24*3600*31/100000000</f>
        <v>316.05119999999999</v>
      </c>
      <c r="NK8" s="6">
        <f>日流量!NK8*24*3600*31/100000000</f>
        <v>353.54880000000003</v>
      </c>
      <c r="NL8" s="6">
        <f>日流量!NL8*24*3600*30/100000000</f>
        <v>175.47839999999999</v>
      </c>
      <c r="NM8" s="6">
        <f>日流量!NM8*24*3600*31/100000000</f>
        <v>156.95424</v>
      </c>
      <c r="NN8" s="6">
        <f>日流量!NN8*24*3600*30/100000000</f>
        <v>114.048</v>
      </c>
      <c r="NO8" s="6">
        <f>日流量!NO8*24*3600*31/100000000</f>
        <v>61.603200000000001</v>
      </c>
      <c r="NP8" s="14">
        <f t="shared" si="10"/>
        <v>1506.2889600000001</v>
      </c>
      <c r="NQ8" s="6">
        <f>日流量!NQ8*24*3600/100000000</f>
        <v>15.638400000000001</v>
      </c>
      <c r="NR8" s="4">
        <f>日流量!NR8</f>
        <v>42586</v>
      </c>
      <c r="NS8" s="6">
        <f>日流量!NS8*24*3600/100000000</f>
        <v>1.1750400000000001</v>
      </c>
      <c r="NT8" s="4">
        <f>日流量!NT8</f>
        <v>42475</v>
      </c>
      <c r="NU8" s="7">
        <f>日流量!NP8</f>
        <v>4775.178082191781</v>
      </c>
      <c r="NW8" s="13">
        <f t="shared" si="0"/>
        <v>1166.6851199999999</v>
      </c>
      <c r="NX8" s="12">
        <f t="shared" si="1"/>
        <v>77.454270128886819</v>
      </c>
      <c r="NY8" s="13">
        <f t="shared" si="2"/>
        <v>959.64480000000003</v>
      </c>
      <c r="NZ8" s="12">
        <f t="shared" si="3"/>
        <v>63.709210216876308</v>
      </c>
      <c r="OA8" s="13">
        <f t="shared" si="4"/>
        <v>339.60384000000022</v>
      </c>
      <c r="OB8" s="12">
        <f t="shared" si="5"/>
        <v>22.545729871113192</v>
      </c>
      <c r="OC8" s="13">
        <f t="shared" si="6"/>
        <v>353.54880000000003</v>
      </c>
      <c r="OD8" s="12">
        <f t="shared" si="7"/>
        <v>23.471512398258565</v>
      </c>
      <c r="OE8" s="12">
        <f t="shared" si="8"/>
        <v>351.93667289719627</v>
      </c>
      <c r="OF8" s="12">
        <f t="shared" si="9"/>
        <v>11.159838689028293</v>
      </c>
    </row>
    <row r="9" spans="1:397" x14ac:dyDescent="0.15">
      <c r="A9" s="2">
        <v>1956</v>
      </c>
      <c r="B9" s="6">
        <f>日流量!B9*24*3600/100000000</f>
        <v>1.49472</v>
      </c>
      <c r="C9" s="6">
        <f>日流量!C9*24*3600/100000000</f>
        <v>1.4688000000000001</v>
      </c>
      <c r="D9" s="6">
        <f>日流量!D9*24*3600/100000000</f>
        <v>1.4515199999999999</v>
      </c>
      <c r="E9" s="6">
        <f>日流量!E9*24*3600/100000000</f>
        <v>1.4428799999999999</v>
      </c>
      <c r="F9" s="6">
        <f>日流量!F9*24*3600/100000000</f>
        <v>1.4428799999999999</v>
      </c>
      <c r="G9" s="6">
        <f>日流量!G9*24*3600/100000000</f>
        <v>1.4256</v>
      </c>
      <c r="H9" s="6">
        <f>日流量!H9*24*3600/100000000</f>
        <v>1.41696</v>
      </c>
      <c r="I9" s="6">
        <f>日流量!I9*24*3600/100000000</f>
        <v>1.40832</v>
      </c>
      <c r="J9" s="6">
        <f>日流量!J9*24*3600/100000000</f>
        <v>1.39968</v>
      </c>
      <c r="K9" s="6">
        <f>日流量!K9*24*3600/100000000</f>
        <v>1.3910400000000001</v>
      </c>
      <c r="L9" s="6">
        <f>日流量!L9*24*3600/100000000</f>
        <v>1.3824000000000001</v>
      </c>
      <c r="M9" s="6">
        <f>日流量!M9*24*3600/100000000</f>
        <v>1.39968</v>
      </c>
      <c r="N9" s="6">
        <f>日流量!N9*24*3600/100000000</f>
        <v>1.40832</v>
      </c>
      <c r="O9" s="6">
        <f>日流量!O9*24*3600/100000000</f>
        <v>1.39968</v>
      </c>
      <c r="P9" s="6">
        <f>日流量!P9*24*3600/100000000</f>
        <v>1.3910400000000001</v>
      </c>
      <c r="Q9" s="6">
        <f>日流量!Q9*24*3600/100000000</f>
        <v>1.3910400000000001</v>
      </c>
      <c r="R9" s="6">
        <f>日流量!R9*24*3600/100000000</f>
        <v>1.3737600000000001</v>
      </c>
      <c r="S9" s="6">
        <f>日流量!S9*24*3600/100000000</f>
        <v>1.3651199999999999</v>
      </c>
      <c r="T9" s="6">
        <f>日流量!T9*24*3600/100000000</f>
        <v>1.3564799999999999</v>
      </c>
      <c r="U9" s="6">
        <f>日流量!U9*24*3600/100000000</f>
        <v>1.3391999999999999</v>
      </c>
      <c r="V9" s="6">
        <f>日流量!V9*24*3600/100000000</f>
        <v>1.32192</v>
      </c>
      <c r="W9" s="6">
        <f>日流量!W9*24*3600/100000000</f>
        <v>1.30464</v>
      </c>
      <c r="X9" s="6">
        <f>日流量!X9*24*3600/100000000</f>
        <v>1.296</v>
      </c>
      <c r="Y9" s="6">
        <f>日流量!Y9*24*3600/100000000</f>
        <v>1.2873600000000001</v>
      </c>
      <c r="Z9" s="6">
        <f>日流量!Z9*24*3600/100000000</f>
        <v>1.2700800000000001</v>
      </c>
      <c r="AA9" s="6">
        <f>日流量!AA9*24*3600/100000000</f>
        <v>1.2700800000000001</v>
      </c>
      <c r="AB9" s="6">
        <f>日流量!AB9*24*3600/100000000</f>
        <v>1.2700800000000001</v>
      </c>
      <c r="AC9" s="6">
        <f>日流量!AC9*24*3600/100000000</f>
        <v>1.2700800000000001</v>
      </c>
      <c r="AD9" s="6">
        <f>日流量!AD9*24*3600/100000000</f>
        <v>1.2614399999999999</v>
      </c>
      <c r="AE9" s="6">
        <f>日流量!AE9*24*3600/100000000</f>
        <v>1.2527999999999999</v>
      </c>
      <c r="AF9" s="6">
        <f>日流量!AF9*24*3600/100000000</f>
        <v>1.23552</v>
      </c>
      <c r="AG9" s="6">
        <f>日流量!AG9*24*3600/100000000</f>
        <v>1.23552</v>
      </c>
      <c r="AH9" s="6">
        <f>日流量!AH9*24*3600/100000000</f>
        <v>1.22688</v>
      </c>
      <c r="AI9" s="6">
        <f>日流量!AI9*24*3600/100000000</f>
        <v>1.21824</v>
      </c>
      <c r="AJ9" s="6">
        <f>日流量!AJ9*24*3600/100000000</f>
        <v>1.21824</v>
      </c>
      <c r="AK9" s="6">
        <f>日流量!AK9*24*3600/100000000</f>
        <v>1.2096</v>
      </c>
      <c r="AL9" s="6">
        <f>日流量!AL9*24*3600/100000000</f>
        <v>1.20096</v>
      </c>
      <c r="AM9" s="6">
        <f>日流量!AM9*24*3600/100000000</f>
        <v>1.19232</v>
      </c>
      <c r="AN9" s="6">
        <f>日流量!AN9*24*3600/100000000</f>
        <v>1.1836800000000001</v>
      </c>
      <c r="AO9" s="6">
        <f>日流量!AO9*24*3600/100000000</f>
        <v>1.1750400000000001</v>
      </c>
      <c r="AP9" s="6">
        <f>日流量!AP9*24*3600/100000000</f>
        <v>1.1664000000000001</v>
      </c>
      <c r="AQ9" s="6">
        <f>日流量!AQ9*24*3600/100000000</f>
        <v>1.1664000000000001</v>
      </c>
      <c r="AR9" s="6">
        <f>日流量!AR9*24*3600/100000000</f>
        <v>1.1664000000000001</v>
      </c>
      <c r="AS9" s="6">
        <f>日流量!AS9*24*3600/100000000</f>
        <v>1.1664000000000001</v>
      </c>
      <c r="AT9" s="6">
        <f>日流量!AT9*24*3600/100000000</f>
        <v>1.1577599999999999</v>
      </c>
      <c r="AU9" s="6">
        <f>日流量!AU9*24*3600/100000000</f>
        <v>1.1491199999999999</v>
      </c>
      <c r="AV9" s="6">
        <f>日流量!AV9*24*3600/100000000</f>
        <v>1.13184</v>
      </c>
      <c r="AW9" s="6">
        <f>日流量!AW9*24*3600/100000000</f>
        <v>1.1232</v>
      </c>
      <c r="AX9" s="6">
        <f>日流量!AX9*24*3600/100000000</f>
        <v>1.1232</v>
      </c>
      <c r="AY9" s="6">
        <f>日流量!AY9*24*3600/100000000</f>
        <v>1.1232</v>
      </c>
      <c r="AZ9" s="6">
        <f>日流量!AZ9*24*3600/100000000</f>
        <v>1.1232</v>
      </c>
      <c r="BA9" s="6">
        <f>日流量!BA9*24*3600/100000000</f>
        <v>1.11456</v>
      </c>
      <c r="BB9" s="6">
        <f>日流量!BB9*24*3600/100000000</f>
        <v>1.11456</v>
      </c>
      <c r="BC9" s="6">
        <f>日流量!BC9*24*3600/100000000</f>
        <v>1.11456</v>
      </c>
      <c r="BD9" s="6">
        <f>日流量!BD9*24*3600/100000000</f>
        <v>1.11456</v>
      </c>
      <c r="BE9" s="6">
        <f>日流量!BE9*24*3600/100000000</f>
        <v>1.10592</v>
      </c>
      <c r="BF9" s="6">
        <f>日流量!BF9*24*3600/100000000</f>
        <v>1.10592</v>
      </c>
      <c r="BG9" s="6">
        <f>日流量!BG9*24*3600/100000000</f>
        <v>1.09728</v>
      </c>
      <c r="BH9" s="6">
        <f>日流量!BH9*24*3600/100000000</f>
        <v>1.09728</v>
      </c>
      <c r="BI9" s="6">
        <f>日流量!BI9*24*3600/100000000</f>
        <v>1.0886400000000001</v>
      </c>
      <c r="BJ9" s="6">
        <f>日流量!BJ9*24*3600/100000000</f>
        <v>1.0886400000000001</v>
      </c>
      <c r="BK9" s="6">
        <f>日流量!BK9*24*3600/100000000</f>
        <v>1.0886400000000001</v>
      </c>
      <c r="BL9" s="6">
        <f>日流量!BL9*24*3600/100000000</f>
        <v>1.0886400000000001</v>
      </c>
      <c r="BM9" s="6">
        <f>日流量!BM9*24*3600/100000000</f>
        <v>1.0886400000000001</v>
      </c>
      <c r="BN9" s="6">
        <f>日流量!BN9*24*3600/100000000</f>
        <v>1.0886400000000001</v>
      </c>
      <c r="BO9" s="6">
        <f>日流量!BO9*24*3600/100000000</f>
        <v>1.09728</v>
      </c>
      <c r="BP9" s="6">
        <f>日流量!BP9*24*3600/100000000</f>
        <v>1.09728</v>
      </c>
      <c r="BQ9" s="6">
        <f>日流量!BQ9*24*3600/100000000</f>
        <v>1.0886400000000001</v>
      </c>
      <c r="BR9" s="6">
        <f>日流量!BR9*24*3600/100000000</f>
        <v>1.08</v>
      </c>
      <c r="BS9" s="6">
        <f>日流量!BS9*24*3600/100000000</f>
        <v>1.08</v>
      </c>
      <c r="BT9" s="6">
        <f>日流量!BT9*24*3600/100000000</f>
        <v>1.10592</v>
      </c>
      <c r="BU9" s="6">
        <f>日流量!BU9*24*3600/100000000</f>
        <v>1.13184</v>
      </c>
      <c r="BV9" s="6">
        <f>日流量!BV9*24*3600/100000000</f>
        <v>1.1664000000000001</v>
      </c>
      <c r="BW9" s="6">
        <f>日流量!BW9*24*3600/100000000</f>
        <v>1.1664000000000001</v>
      </c>
      <c r="BX9" s="6">
        <f>日流量!BX9*24*3600/100000000</f>
        <v>1.1664000000000001</v>
      </c>
      <c r="BY9" s="6">
        <f>日流量!BY9*24*3600/100000000</f>
        <v>1.1491199999999999</v>
      </c>
      <c r="BZ9" s="6">
        <f>日流量!BZ9*24*3600/100000000</f>
        <v>1.13184</v>
      </c>
      <c r="CA9" s="6">
        <f>日流量!CA9*24*3600/100000000</f>
        <v>1.11456</v>
      </c>
      <c r="CB9" s="6">
        <f>日流量!CB9*24*3600/100000000</f>
        <v>1.10592</v>
      </c>
      <c r="CC9" s="6">
        <f>日流量!CC9*24*3600/100000000</f>
        <v>1.10592</v>
      </c>
      <c r="CD9" s="6">
        <f>日流量!CD9*24*3600/100000000</f>
        <v>1.09728</v>
      </c>
      <c r="CE9" s="6">
        <f>日流量!CE9*24*3600/100000000</f>
        <v>1.09728</v>
      </c>
      <c r="CF9" s="6">
        <f>日流量!CF9*24*3600/100000000</f>
        <v>1.09728</v>
      </c>
      <c r="CG9" s="6">
        <f>日流量!CG9*24*3600/100000000</f>
        <v>1.0886400000000001</v>
      </c>
      <c r="CH9" s="6">
        <f>日流量!CH9*24*3600/100000000</f>
        <v>1.0886400000000001</v>
      </c>
      <c r="CI9" s="6">
        <f>日流量!CI9*24*3600/100000000</f>
        <v>1.0886400000000001</v>
      </c>
      <c r="CJ9" s="6">
        <f>日流量!CJ9*24*3600/100000000</f>
        <v>1.0886400000000001</v>
      </c>
      <c r="CK9" s="6">
        <f>日流量!CK9*24*3600/100000000</f>
        <v>1.09728</v>
      </c>
      <c r="CL9" s="6">
        <f>日流量!CL9*24*3600/100000000</f>
        <v>1.10592</v>
      </c>
      <c r="CM9" s="6">
        <f>日流量!CM9*24*3600/100000000</f>
        <v>1.09728</v>
      </c>
      <c r="CN9" s="6">
        <f>日流量!CN9*24*3600/100000000</f>
        <v>1.0886400000000001</v>
      </c>
      <c r="CO9" s="6">
        <f>日流量!CO9*24*3600/100000000</f>
        <v>1.0886400000000001</v>
      </c>
      <c r="CP9" s="6">
        <f>日流量!CP9*24*3600/100000000</f>
        <v>1.0886400000000001</v>
      </c>
      <c r="CQ9" s="6">
        <f>日流量!CQ9*24*3600/100000000</f>
        <v>1.0886400000000001</v>
      </c>
      <c r="CR9" s="6">
        <f>日流量!CR9*24*3600/100000000</f>
        <v>1.0886400000000001</v>
      </c>
      <c r="CS9" s="6">
        <f>日流量!CS9*24*3600/100000000</f>
        <v>1.0886400000000001</v>
      </c>
      <c r="CT9" s="6">
        <f>日流量!CT9*24*3600/100000000</f>
        <v>1.08</v>
      </c>
      <c r="CU9" s="6">
        <f>日流量!CU9*24*3600/100000000</f>
        <v>1.08</v>
      </c>
      <c r="CV9" s="6">
        <f>日流量!CV9*24*3600/100000000</f>
        <v>1.0713600000000001</v>
      </c>
      <c r="CW9" s="6">
        <f>日流量!CW9*24*3600/100000000</f>
        <v>1.0886400000000001</v>
      </c>
      <c r="CX9" s="6">
        <f>日流量!CX9*24*3600/100000000</f>
        <v>1.13184</v>
      </c>
      <c r="CY9" s="6">
        <f>日流量!CY9*24*3600/100000000</f>
        <v>1.1664000000000001</v>
      </c>
      <c r="CZ9" s="6">
        <f>日流量!CZ9*24*3600/100000000</f>
        <v>1.1750400000000001</v>
      </c>
      <c r="DA9" s="6">
        <f>日流量!DA9*24*3600/100000000</f>
        <v>1.1664000000000001</v>
      </c>
      <c r="DB9" s="6">
        <f>日流量!DB9*24*3600/100000000</f>
        <v>1.1577599999999999</v>
      </c>
      <c r="DC9" s="6">
        <f>日流量!DC9*24*3600/100000000</f>
        <v>1.1577599999999999</v>
      </c>
      <c r="DD9" s="6">
        <f>日流量!DD9*24*3600/100000000</f>
        <v>1.1577599999999999</v>
      </c>
      <c r="DE9" s="6">
        <f>日流量!DE9*24*3600/100000000</f>
        <v>1.1577599999999999</v>
      </c>
      <c r="DF9" s="6">
        <f>日流量!DF9*24*3600/100000000</f>
        <v>1.1577599999999999</v>
      </c>
      <c r="DG9" s="6">
        <f>日流量!DG9*24*3600/100000000</f>
        <v>1.1664000000000001</v>
      </c>
      <c r="DH9" s="6">
        <f>日流量!DH9*24*3600/100000000</f>
        <v>1.20096</v>
      </c>
      <c r="DI9" s="6">
        <f>日流量!DI9*24*3600/100000000</f>
        <v>1.23552</v>
      </c>
      <c r="DJ9" s="6">
        <f>日流量!DJ9*24*3600/100000000</f>
        <v>1.2700800000000001</v>
      </c>
      <c r="DK9" s="6">
        <f>日流量!DK9*24*3600/100000000</f>
        <v>1.30464</v>
      </c>
      <c r="DL9" s="6">
        <f>日流量!DL9*24*3600/100000000</f>
        <v>1.296</v>
      </c>
      <c r="DM9" s="6">
        <f>日流量!DM9*24*3600/100000000</f>
        <v>1.2614399999999999</v>
      </c>
      <c r="DN9" s="6">
        <f>日流量!DN9*24*3600/100000000</f>
        <v>1.22688</v>
      </c>
      <c r="DO9" s="6">
        <f>日流量!DO9*24*3600/100000000</f>
        <v>1.21824</v>
      </c>
      <c r="DP9" s="6">
        <f>日流量!DP9*24*3600/100000000</f>
        <v>1.23552</v>
      </c>
      <c r="DQ9" s="6">
        <f>日流量!DQ9*24*3600/100000000</f>
        <v>1.2527999999999999</v>
      </c>
      <c r="DR9" s="6">
        <f>日流量!DR9*24*3600/100000000</f>
        <v>1.296</v>
      </c>
      <c r="DS9" s="6">
        <f>日流量!DS9*24*3600/100000000</f>
        <v>1.3391999999999999</v>
      </c>
      <c r="DT9" s="6">
        <f>日流量!DT9*24*3600/100000000</f>
        <v>1.39968</v>
      </c>
      <c r="DU9" s="6">
        <f>日流量!DU9*24*3600/100000000</f>
        <v>1.49472</v>
      </c>
      <c r="DV9" s="6">
        <f>日流量!DV9*24*3600/100000000</f>
        <v>1.52928</v>
      </c>
      <c r="DW9" s="6">
        <f>日流量!DW9*24*3600/100000000</f>
        <v>1.512</v>
      </c>
      <c r="DX9" s="6">
        <f>日流量!DX9*24*3600/100000000</f>
        <v>1.4860800000000001</v>
      </c>
      <c r="DY9" s="6">
        <f>日流量!DY9*24*3600/100000000</f>
        <v>1.4688000000000001</v>
      </c>
      <c r="DZ9" s="6">
        <f>日流量!DZ9*24*3600/100000000</f>
        <v>1.50336</v>
      </c>
      <c r="EA9" s="6">
        <f>日流量!EA9*24*3600/100000000</f>
        <v>1.61568</v>
      </c>
      <c r="EB9" s="6">
        <f>日流量!EB9*24*3600/100000000</f>
        <v>1.71936</v>
      </c>
      <c r="EC9" s="6">
        <f>日流量!EC9*24*3600/100000000</f>
        <v>1.8144</v>
      </c>
      <c r="ED9" s="6">
        <f>日流量!ED9*24*3600/100000000</f>
        <v>1.82304</v>
      </c>
      <c r="EE9" s="6">
        <f>日流量!EE9*24*3600/100000000</f>
        <v>1.8835200000000001</v>
      </c>
      <c r="EF9" s="6">
        <f>日流量!EF9*24*3600/100000000</f>
        <v>1.944</v>
      </c>
      <c r="EG9" s="6">
        <f>日流量!EG9*24*3600/100000000</f>
        <v>1.91808</v>
      </c>
      <c r="EH9" s="6">
        <f>日流量!EH9*24*3600/100000000</f>
        <v>1.91808</v>
      </c>
      <c r="EI9" s="6">
        <f>日流量!EI9*24*3600/100000000</f>
        <v>1.9958400000000001</v>
      </c>
      <c r="EJ9" s="6">
        <f>日流量!EJ9*24*3600/100000000</f>
        <v>2.0908799999999998</v>
      </c>
      <c r="EK9" s="6">
        <f>日流量!EK9*24*3600/100000000</f>
        <v>2.32416</v>
      </c>
      <c r="EL9" s="6">
        <f>日流量!EL9*24*3600/100000000</f>
        <v>2.3500800000000002</v>
      </c>
      <c r="EM9" s="6">
        <f>日流量!EM9*24*3600/100000000</f>
        <v>2.4278400000000002</v>
      </c>
      <c r="EN9" s="6">
        <f>日流量!EN9*24*3600/100000000</f>
        <v>2.4192</v>
      </c>
      <c r="EO9" s="6">
        <f>日流量!EO9*24*3600/100000000</f>
        <v>2.4624000000000001</v>
      </c>
      <c r="EP9" s="6">
        <f>日流量!EP9*24*3600/100000000</f>
        <v>2.3846400000000001</v>
      </c>
      <c r="EQ9" s="6">
        <f>日流量!EQ9*24*3600/100000000</f>
        <v>2.2896000000000001</v>
      </c>
      <c r="ER9" s="6">
        <f>日流量!ER9*24*3600/100000000</f>
        <v>2.32416</v>
      </c>
      <c r="ES9" s="6">
        <f>日流量!ES9*24*3600/100000000</f>
        <v>2.4019200000000001</v>
      </c>
      <c r="ET9" s="6">
        <f>日流量!ET9*24*3600/100000000</f>
        <v>2.3500800000000002</v>
      </c>
      <c r="EU9" s="6">
        <f>日流量!EU9*24*3600/100000000</f>
        <v>2.4451200000000002</v>
      </c>
      <c r="EV9" s="6">
        <f>日流量!EV9*24*3600/100000000</f>
        <v>2.6956799999999999</v>
      </c>
      <c r="EW9" s="6">
        <f>日流量!EW9*24*3600/100000000</f>
        <v>2.43648</v>
      </c>
      <c r="EX9" s="6">
        <f>日流量!EX9*24*3600/100000000</f>
        <v>2.2464</v>
      </c>
      <c r="EY9" s="6">
        <f>日流量!EY9*24*3600/100000000</f>
        <v>2.0995200000000001</v>
      </c>
      <c r="EZ9" s="6">
        <f>日流量!EZ9*24*3600/100000000</f>
        <v>1.944</v>
      </c>
      <c r="FA9" s="6">
        <f>日流量!FA9*24*3600/100000000</f>
        <v>1.8144</v>
      </c>
      <c r="FB9" s="6">
        <f>日流量!FB9*24*3600/100000000</f>
        <v>1.7712000000000001</v>
      </c>
      <c r="FC9" s="6">
        <f>日流量!FC9*24*3600/100000000</f>
        <v>1.8144</v>
      </c>
      <c r="FD9" s="6">
        <f>日流量!FD9*24*3600/100000000</f>
        <v>1.8835200000000001</v>
      </c>
      <c r="FE9" s="6">
        <f>日流量!FE9*24*3600/100000000</f>
        <v>1.944</v>
      </c>
      <c r="FF9" s="6">
        <f>日流量!FF9*24*3600/100000000</f>
        <v>2.00448</v>
      </c>
      <c r="FG9" s="6">
        <f>日流量!FG9*24*3600/100000000</f>
        <v>2.0476800000000002</v>
      </c>
      <c r="FH9" s="6">
        <f>日流量!FH9*24*3600/100000000</f>
        <v>2.0908799999999998</v>
      </c>
      <c r="FI9" s="6">
        <f>日流量!FI9*24*3600/100000000</f>
        <v>2.1081599999999998</v>
      </c>
      <c r="FJ9" s="6">
        <f>日流量!FJ9*24*3600/100000000</f>
        <v>2.32416</v>
      </c>
      <c r="FK9" s="6">
        <f>日流量!FK9*24*3600/100000000</f>
        <v>2.4624000000000001</v>
      </c>
      <c r="FL9" s="6">
        <f>日流量!FL9*24*3600/100000000</f>
        <v>2.6697600000000001</v>
      </c>
      <c r="FM9" s="6">
        <f>日流量!FM9*24*3600/100000000</f>
        <v>3.2659199999999999</v>
      </c>
      <c r="FN9" s="6">
        <f>日流量!FN9*24*3600/100000000</f>
        <v>3.74112</v>
      </c>
      <c r="FO9" s="6">
        <f>日流量!FO9*24*3600/100000000</f>
        <v>3.8620800000000002</v>
      </c>
      <c r="FP9" s="6">
        <f>日流量!FP9*24*3600/100000000</f>
        <v>4.0262399999999996</v>
      </c>
      <c r="FQ9" s="6">
        <f>日流量!FQ9*24*3600/100000000</f>
        <v>3.96576</v>
      </c>
      <c r="FR9" s="6">
        <f>日流量!FR9*24*3600/100000000</f>
        <v>3.7151999999999998</v>
      </c>
      <c r="FS9" s="6">
        <f>日流量!FS9*24*3600/100000000</f>
        <v>3.4473600000000002</v>
      </c>
      <c r="FT9" s="6">
        <f>日流量!FT9*24*3600/100000000</f>
        <v>3.4041600000000001</v>
      </c>
      <c r="FU9" s="6">
        <f>日流量!FU9*24*3600/100000000</f>
        <v>3.72384</v>
      </c>
      <c r="FV9" s="6">
        <f>日流量!FV9*24*3600/100000000</f>
        <v>3.8016000000000001</v>
      </c>
      <c r="FW9" s="6">
        <f>日流量!FW9*24*3600/100000000</f>
        <v>3.7756799999999999</v>
      </c>
      <c r="FX9" s="6">
        <f>日流量!FX9*24*3600/100000000</f>
        <v>4.3718399999999997</v>
      </c>
      <c r="FY9" s="6">
        <f>日流量!FY9*24*3600/100000000</f>
        <v>4.4841600000000001</v>
      </c>
      <c r="FZ9" s="6">
        <f>日流量!FZ9*24*3600/100000000</f>
        <v>4.5100800000000003</v>
      </c>
      <c r="GA9" s="6">
        <f>日流量!GA9*24*3600/100000000</f>
        <v>4.4409599999999996</v>
      </c>
      <c r="GB9" s="6">
        <f>日流量!GB9*24*3600/100000000</f>
        <v>5.0025599999999999</v>
      </c>
      <c r="GC9" s="6">
        <f>日流量!GC9*24*3600/100000000</f>
        <v>6.1430400000000001</v>
      </c>
      <c r="GD9" s="6">
        <f>日流量!GD9*24*3600/100000000</f>
        <v>6.1344000000000003</v>
      </c>
      <c r="GE9" s="6">
        <f>日流量!GE9*24*3600/100000000</f>
        <v>5.8752000000000004</v>
      </c>
      <c r="GF9" s="6">
        <f>日流量!GF9*24*3600/100000000</f>
        <v>5.4604799999999996</v>
      </c>
      <c r="GG9" s="6">
        <f>日流量!GG9*24*3600/100000000</f>
        <v>5.0544000000000002</v>
      </c>
      <c r="GH9" s="6">
        <f>日流量!GH9*24*3600/100000000</f>
        <v>5.15808</v>
      </c>
      <c r="GI9" s="6">
        <f>日流量!GI9*24*3600/100000000</f>
        <v>5.0544000000000002</v>
      </c>
      <c r="GJ9" s="6">
        <f>日流量!GJ9*24*3600/100000000</f>
        <v>5.3049600000000003</v>
      </c>
      <c r="GK9" s="6">
        <f>日流量!GK9*24*3600/100000000</f>
        <v>5.5728</v>
      </c>
      <c r="GL9" s="6">
        <f>日流量!GL9*24*3600/100000000</f>
        <v>5.5036800000000001</v>
      </c>
      <c r="GM9" s="6">
        <f>日流量!GM9*24*3600/100000000</f>
        <v>5.5814399999999997</v>
      </c>
      <c r="GN9" s="6">
        <f>日流量!GN9*24*3600/100000000</f>
        <v>5.8492800000000003</v>
      </c>
      <c r="GO9" s="6">
        <f>日流量!GO9*24*3600/100000000</f>
        <v>6.2035200000000001</v>
      </c>
      <c r="GP9" s="6">
        <f>日流量!GP9*24*3600/100000000</f>
        <v>6.4454399999999996</v>
      </c>
      <c r="GQ9" s="6">
        <f>日流量!GQ9*24*3600/100000000</f>
        <v>5.8319999999999999</v>
      </c>
      <c r="GR9" s="6">
        <f>日流量!GR9*24*3600/100000000</f>
        <v>5.2099200000000003</v>
      </c>
      <c r="GS9" s="6">
        <f>日流量!GS9*24*3600/100000000</f>
        <v>4.7779199999999999</v>
      </c>
      <c r="GT9" s="6">
        <f>日流量!GT9*24*3600/100000000</f>
        <v>4.4755200000000004</v>
      </c>
      <c r="GU9" s="6">
        <f>日流量!GU9*24*3600/100000000</f>
        <v>4.0694400000000002</v>
      </c>
      <c r="GV9" s="6">
        <f>日流量!GV9*24*3600/100000000</f>
        <v>3.72384</v>
      </c>
      <c r="GW9" s="6">
        <f>日流量!GW9*24*3600/100000000</f>
        <v>3.4905599999999999</v>
      </c>
      <c r="GX9" s="6">
        <f>日流量!GX9*24*3600/100000000</f>
        <v>3.5942400000000001</v>
      </c>
      <c r="GY9" s="6">
        <f>日流量!GY9*24*3600/100000000</f>
        <v>5.2185600000000001</v>
      </c>
      <c r="GZ9" s="6">
        <f>日流量!GZ9*24*3600/100000000</f>
        <v>5.9615999999999998</v>
      </c>
      <c r="HA9" s="6">
        <f>日流量!HA9*24*3600/100000000</f>
        <v>5.6332800000000001</v>
      </c>
      <c r="HB9" s="6">
        <f>日流量!HB9*24*3600/100000000</f>
        <v>5.3567999999999998</v>
      </c>
      <c r="HC9" s="6">
        <f>日流量!HC9*24*3600/100000000</f>
        <v>4.8038400000000001</v>
      </c>
      <c r="HD9" s="6">
        <f>日流量!HD9*24*3600/100000000</f>
        <v>4.4236800000000001</v>
      </c>
      <c r="HE9" s="6">
        <f>日流量!HE9*24*3600/100000000</f>
        <v>4.0348800000000002</v>
      </c>
      <c r="HF9" s="6">
        <f>日流量!HF9*24*3600/100000000</f>
        <v>3.6806399999999999</v>
      </c>
      <c r="HG9" s="6">
        <f>日流量!HG9*24*3600/100000000</f>
        <v>3.4473600000000002</v>
      </c>
      <c r="HH9" s="6">
        <f>日流量!HH9*24*3600/100000000</f>
        <v>3.3523200000000002</v>
      </c>
      <c r="HI9" s="6">
        <f>日流量!HI9*24*3600/100000000</f>
        <v>3.34368</v>
      </c>
      <c r="HJ9" s="6">
        <f>日流量!HJ9*24*3600/100000000</f>
        <v>3.24</v>
      </c>
      <c r="HK9" s="6">
        <f>日流量!HK9*24*3600/100000000</f>
        <v>3.0585599999999999</v>
      </c>
      <c r="HL9" s="6">
        <f>日流量!HL9*24*3600/100000000</f>
        <v>2.9203199999999998</v>
      </c>
      <c r="HM9" s="6">
        <f>日流量!HM9*24*3600/100000000</f>
        <v>2.8252799999999998</v>
      </c>
      <c r="HN9" s="6">
        <f>日流量!HN9*24*3600/100000000</f>
        <v>2.81664</v>
      </c>
      <c r="HO9" s="6">
        <f>日流量!HO9*24*3600/100000000</f>
        <v>2.9203199999999998</v>
      </c>
      <c r="HP9" s="6">
        <f>日流量!HP9*24*3600/100000000</f>
        <v>3.1536</v>
      </c>
      <c r="HQ9" s="6">
        <f>日流量!HQ9*24*3600/100000000</f>
        <v>3.4646400000000002</v>
      </c>
      <c r="HR9" s="6">
        <f>日流量!HR9*24*3600/100000000</f>
        <v>3.7324799999999998</v>
      </c>
      <c r="HS9" s="6">
        <f>日流量!HS9*24*3600/100000000</f>
        <v>4.6396800000000002</v>
      </c>
      <c r="HT9" s="6">
        <f>日流量!HT9*24*3600/100000000</f>
        <v>5.4950400000000004</v>
      </c>
      <c r="HU9" s="6">
        <f>日流量!HU9*24*3600/100000000</f>
        <v>5.5728</v>
      </c>
      <c r="HV9" s="6">
        <f>日流量!HV9*24*3600/100000000</f>
        <v>6.3158399999999997</v>
      </c>
      <c r="HW9" s="6">
        <f>日流量!HW9*24*3600/100000000</f>
        <v>6.9984000000000002</v>
      </c>
      <c r="HX9" s="6">
        <f>日流量!HX9*24*3600/100000000</f>
        <v>7.4390400000000003</v>
      </c>
      <c r="HY9" s="6">
        <f>日流量!HY9*24*3600/100000000</f>
        <v>8.4585600000000003</v>
      </c>
      <c r="HZ9" s="6">
        <f>日流量!HZ9*24*3600/100000000</f>
        <v>8.2943999999999996</v>
      </c>
      <c r="IA9" s="6">
        <f>日流量!IA9*24*3600/100000000</f>
        <v>7.76736</v>
      </c>
      <c r="IB9" s="6">
        <f>日流量!IB9*24*3600/100000000</f>
        <v>7.5945600000000004</v>
      </c>
      <c r="IC9" s="6">
        <f>日流量!IC9*24*3600/100000000</f>
        <v>6.8688000000000002</v>
      </c>
      <c r="ID9" s="6">
        <f>日流量!ID9*24*3600/100000000</f>
        <v>6.4281600000000001</v>
      </c>
      <c r="IE9" s="6">
        <f>日流量!IE9*24*3600/100000000</f>
        <v>5.66784</v>
      </c>
      <c r="IF9" s="6">
        <f>日流量!IF9*24*3600/100000000</f>
        <v>5.2876799999999999</v>
      </c>
      <c r="IG9" s="6">
        <f>日流量!IG9*24*3600/100000000</f>
        <v>5.9443200000000003</v>
      </c>
      <c r="IH9" s="6">
        <f>日流量!IH9*24*3600/100000000</f>
        <v>7.16256</v>
      </c>
      <c r="II9" s="6">
        <f>日流量!II9*24*3600/100000000</f>
        <v>8.3203200000000006</v>
      </c>
      <c r="IJ9" s="6">
        <f>日流量!IJ9*24*3600/100000000</f>
        <v>8.4758399999999998</v>
      </c>
      <c r="IK9" s="6">
        <f>日流量!IK9*24*3600/100000000</f>
        <v>8.3030399999999993</v>
      </c>
      <c r="IL9" s="6">
        <f>日流量!IL9*24*3600/100000000</f>
        <v>7.5945600000000004</v>
      </c>
      <c r="IM9" s="6">
        <f>日流量!IM9*24*3600/100000000</f>
        <v>7.3526400000000001</v>
      </c>
      <c r="IN9" s="6">
        <f>日流量!IN9*24*3600/100000000</f>
        <v>7.2576000000000001</v>
      </c>
      <c r="IO9" s="6">
        <f>日流量!IO9*24*3600/100000000</f>
        <v>6.6528</v>
      </c>
      <c r="IP9" s="6">
        <f>日流量!IP9*24*3600/100000000</f>
        <v>6.1862399999999997</v>
      </c>
      <c r="IQ9" s="6">
        <f>日流量!IQ9*24*3600/100000000</f>
        <v>6.1689600000000002</v>
      </c>
      <c r="IR9" s="6">
        <f>日流量!IR9*24*3600/100000000</f>
        <v>5.9615999999999998</v>
      </c>
      <c r="IS9" s="6">
        <f>日流量!IS9*24*3600/100000000</f>
        <v>6.3244800000000003</v>
      </c>
      <c r="IT9" s="6">
        <f>日流量!IT9*24*3600/100000000</f>
        <v>6.6528</v>
      </c>
      <c r="IU9" s="6">
        <f>日流量!IU9*24*3600/100000000</f>
        <v>7.3007999999999997</v>
      </c>
      <c r="IV9" s="6">
        <f>日流量!IV9*24*3600/100000000</f>
        <v>8.4758399999999998</v>
      </c>
      <c r="IW9" s="6">
        <f>日流量!IW9*24*3600/100000000</f>
        <v>9.1584000000000003</v>
      </c>
      <c r="IX9" s="6">
        <f>日流量!IX9*24*3600/100000000</f>
        <v>8.9855999999999998</v>
      </c>
      <c r="IY9" s="6">
        <f>日流量!IY9*24*3600/100000000</f>
        <v>8.8992000000000004</v>
      </c>
      <c r="IZ9" s="6">
        <f>日流量!IZ9*24*3600/100000000</f>
        <v>8.7263999999999999</v>
      </c>
      <c r="JA9" s="6">
        <f>日流量!JA9*24*3600/100000000</f>
        <v>9.4176000000000002</v>
      </c>
      <c r="JB9" s="6">
        <f>日流量!JB9*24*3600/100000000</f>
        <v>9.2447999999999997</v>
      </c>
      <c r="JC9" s="6">
        <f>日流量!JC9*24*3600/100000000</f>
        <v>8.7263999999999999</v>
      </c>
      <c r="JD9" s="6">
        <f>日流量!JD9*24*3600/100000000</f>
        <v>8.4931199999999993</v>
      </c>
      <c r="JE9" s="6">
        <f>日流量!JE9*24*3600/100000000</f>
        <v>8.4758399999999998</v>
      </c>
      <c r="JF9" s="6">
        <f>日流量!JF9*24*3600/100000000</f>
        <v>8.2080000000000002</v>
      </c>
      <c r="JG9" s="6">
        <f>日流量!JG9*24*3600/100000000</f>
        <v>7.6636800000000003</v>
      </c>
      <c r="JH9" s="6">
        <f>日流量!JH9*24*3600/100000000</f>
        <v>6.9897600000000004</v>
      </c>
      <c r="JI9" s="6">
        <f>日流量!JI9*24*3600/100000000</f>
        <v>6.4195200000000003</v>
      </c>
      <c r="JJ9" s="6">
        <f>日流量!JJ9*24*3600/100000000</f>
        <v>5.9961599999999997</v>
      </c>
      <c r="JK9" s="6">
        <f>日流量!JK9*24*3600/100000000</f>
        <v>5.6246400000000003</v>
      </c>
      <c r="JL9" s="6">
        <f>日流量!JL9*24*3600/100000000</f>
        <v>5.2790400000000002</v>
      </c>
      <c r="JM9" s="6">
        <f>日流量!JM9*24*3600/100000000</f>
        <v>5.0111999999999997</v>
      </c>
      <c r="JN9" s="6">
        <f>日流量!JN9*24*3600/100000000</f>
        <v>4.7952000000000004</v>
      </c>
      <c r="JO9" s="6">
        <f>日流量!JO9*24*3600/100000000</f>
        <v>4.6137600000000001</v>
      </c>
      <c r="JP9" s="6">
        <f>日流量!JP9*24*3600/100000000</f>
        <v>4.4323199999999998</v>
      </c>
      <c r="JQ9" s="6">
        <f>日流量!JQ9*24*3600/100000000</f>
        <v>4.2422399999999998</v>
      </c>
      <c r="JR9" s="6">
        <f>日流量!JR9*24*3600/100000000</f>
        <v>4.0780799999999999</v>
      </c>
      <c r="JS9" s="6">
        <f>日流量!JS9*24*3600/100000000</f>
        <v>4.04352</v>
      </c>
      <c r="JT9" s="6">
        <f>日流量!JT9*24*3600/100000000</f>
        <v>3.94848</v>
      </c>
      <c r="JU9" s="6">
        <f>日流量!JU9*24*3600/100000000</f>
        <v>3.85344</v>
      </c>
      <c r="JV9" s="6">
        <f>日流量!JV9*24*3600/100000000</f>
        <v>3.7670400000000002</v>
      </c>
      <c r="JW9" s="6">
        <f>日流量!JW9*24*3600/100000000</f>
        <v>3.6633599999999999</v>
      </c>
      <c r="JX9" s="6">
        <f>日流量!JX9*24*3600/100000000</f>
        <v>3.5683199999999999</v>
      </c>
      <c r="JY9" s="6">
        <f>日流量!JY9*24*3600/100000000</f>
        <v>3.5251199999999998</v>
      </c>
      <c r="JZ9" s="6">
        <f>日流量!JZ9*24*3600/100000000</f>
        <v>3.4473600000000002</v>
      </c>
      <c r="KA9" s="6">
        <f>日流量!KA9*24*3600/100000000</f>
        <v>3.3868800000000001</v>
      </c>
      <c r="KB9" s="6">
        <f>日流量!KB9*24*3600/100000000</f>
        <v>3.34368</v>
      </c>
      <c r="KC9" s="6">
        <f>日流量!KC9*24*3600/100000000</f>
        <v>3.2572800000000002</v>
      </c>
      <c r="KD9" s="6">
        <f>日流量!KD9*24*3600/100000000</f>
        <v>3.2572800000000002</v>
      </c>
      <c r="KE9" s="6">
        <f>日流量!KE9*24*3600/100000000</f>
        <v>3.2659199999999999</v>
      </c>
      <c r="KF9" s="6">
        <f>日流量!KF9*24*3600/100000000</f>
        <v>3.5769600000000001</v>
      </c>
      <c r="KG9" s="6">
        <f>日流量!KG9*24*3600/100000000</f>
        <v>3.8793600000000001</v>
      </c>
      <c r="KH9" s="6">
        <f>日流量!KH9*24*3600/100000000</f>
        <v>4.1212799999999996</v>
      </c>
      <c r="KI9" s="6">
        <f>日流量!KI9*24*3600/100000000</f>
        <v>4.2422399999999998</v>
      </c>
      <c r="KJ9" s="6">
        <f>日流量!KJ9*24*3600/100000000</f>
        <v>4.2422399999999998</v>
      </c>
      <c r="KK9" s="6">
        <f>日流量!KK9*24*3600/100000000</f>
        <v>4.1040000000000001</v>
      </c>
      <c r="KL9" s="6">
        <f>日流量!KL9*24*3600/100000000</f>
        <v>3.8707199999999999</v>
      </c>
      <c r="KM9" s="6">
        <f>日流量!KM9*24*3600/100000000</f>
        <v>3.6806399999999999</v>
      </c>
      <c r="KN9" s="6">
        <f>日流量!KN9*24*3600/100000000</f>
        <v>3.4905599999999999</v>
      </c>
      <c r="KO9" s="6">
        <f>日流量!KO9*24*3600/100000000</f>
        <v>3.34368</v>
      </c>
      <c r="KP9" s="6">
        <f>日流量!KP9*24*3600/100000000</f>
        <v>3.2227199999999998</v>
      </c>
      <c r="KQ9" s="6">
        <f>日流量!KQ9*24*3600/100000000</f>
        <v>3.11904</v>
      </c>
      <c r="KR9" s="6">
        <f>日流量!KR9*24*3600/100000000</f>
        <v>3.0326399999999998</v>
      </c>
      <c r="KS9" s="6">
        <f>日流量!KS9*24*3600/100000000</f>
        <v>2.9548800000000002</v>
      </c>
      <c r="KT9" s="6">
        <f>日流量!KT9*24*3600/100000000</f>
        <v>2.8857599999999999</v>
      </c>
      <c r="KU9" s="6">
        <f>日流量!KU9*24*3600/100000000</f>
        <v>2.8252799999999998</v>
      </c>
      <c r="KV9" s="6">
        <f>日流量!KV9*24*3600/100000000</f>
        <v>2.7561599999999999</v>
      </c>
      <c r="KW9" s="6">
        <f>日流量!KW9*24*3600/100000000</f>
        <v>2.7043200000000001</v>
      </c>
      <c r="KX9" s="6">
        <f>日流量!KX9*24*3600/100000000</f>
        <v>2.6783999999999999</v>
      </c>
      <c r="KY9" s="6">
        <f>日流量!KY9*24*3600/100000000</f>
        <v>2.6697600000000001</v>
      </c>
      <c r="KZ9" s="6">
        <f>日流量!KZ9*24*3600/100000000</f>
        <v>2.6697600000000001</v>
      </c>
      <c r="LA9" s="6">
        <f>日流量!LA9*24*3600/100000000</f>
        <v>2.6697600000000001</v>
      </c>
      <c r="LB9" s="6">
        <f>日流量!LB9*24*3600/100000000</f>
        <v>2.60928</v>
      </c>
      <c r="LC9" s="6">
        <f>日流量!LC9*24*3600/100000000</f>
        <v>2.5401600000000002</v>
      </c>
      <c r="LD9" s="6">
        <f>日流量!LD9*24*3600/100000000</f>
        <v>2.4883199999999999</v>
      </c>
      <c r="LE9" s="6">
        <f>日流量!LE9*24*3600/100000000</f>
        <v>2.4710399999999999</v>
      </c>
      <c r="LF9" s="6">
        <f>日流量!LF9*24*3600/100000000</f>
        <v>2.4192</v>
      </c>
      <c r="LG9" s="6">
        <f>日流量!LG9*24*3600/100000000</f>
        <v>2.3500800000000002</v>
      </c>
      <c r="LH9" s="6">
        <f>日流量!LH9*24*3600/100000000</f>
        <v>2.2896000000000001</v>
      </c>
      <c r="LI9" s="6">
        <f>日流量!LI9*24*3600/100000000</f>
        <v>2.2377600000000002</v>
      </c>
      <c r="LJ9" s="6">
        <f>日流量!LJ9*24*3600/100000000</f>
        <v>2.1859199999999999</v>
      </c>
      <c r="LK9" s="6">
        <f>日流量!LK9*24*3600/100000000</f>
        <v>2.1513599999999999</v>
      </c>
      <c r="LL9" s="6">
        <f>日流量!LL9*24*3600/100000000</f>
        <v>2.1168</v>
      </c>
      <c r="LM9" s="6">
        <f>日流量!LM9*24*3600/100000000</f>
        <v>2.0563199999999999</v>
      </c>
      <c r="LN9" s="6">
        <f>日流量!LN9*24*3600/100000000</f>
        <v>2.00448</v>
      </c>
      <c r="LO9" s="6">
        <f>日流量!LO9*24*3600/100000000</f>
        <v>1.9526399999999999</v>
      </c>
      <c r="LP9" s="6">
        <f>日流量!LP9*24*3600/100000000</f>
        <v>1.91808</v>
      </c>
      <c r="LQ9" s="6">
        <f>日流量!LQ9*24*3600/100000000</f>
        <v>1.9008</v>
      </c>
      <c r="LR9" s="6">
        <f>日流量!LR9*24*3600/100000000</f>
        <v>1.90944</v>
      </c>
      <c r="LS9" s="6">
        <f>日流量!LS9*24*3600/100000000</f>
        <v>1.9008</v>
      </c>
      <c r="LT9" s="6">
        <f>日流量!LT9*24*3600/100000000</f>
        <v>1.8575999999999999</v>
      </c>
      <c r="LU9" s="6">
        <f>日流量!LU9*24*3600/100000000</f>
        <v>1.82304</v>
      </c>
      <c r="LV9" s="6">
        <f>日流量!LV9*24*3600/100000000</f>
        <v>1.7798400000000001</v>
      </c>
      <c r="LW9" s="6">
        <f>日流量!LW9*24*3600/100000000</f>
        <v>1.71936</v>
      </c>
      <c r="LX9" s="6">
        <f>日流量!LX9*24*3600/100000000</f>
        <v>1.6848000000000001</v>
      </c>
      <c r="LY9" s="6">
        <f>日流量!LY9*24*3600/100000000</f>
        <v>1.6415999999999999</v>
      </c>
      <c r="LZ9" s="6">
        <f>日流量!LZ9*24*3600/100000000</f>
        <v>1.61568</v>
      </c>
      <c r="MA9" s="6">
        <f>日流量!MA9*24*3600/100000000</f>
        <v>1.5811200000000001</v>
      </c>
      <c r="MB9" s="6">
        <f>日流量!MB9*24*3600/100000000</f>
        <v>1.5638399999999999</v>
      </c>
      <c r="MC9" s="6">
        <f>日流量!MC9*24*3600/100000000</f>
        <v>1.52928</v>
      </c>
      <c r="MD9" s="6">
        <f>日流量!MD9*24*3600/100000000</f>
        <v>1.512</v>
      </c>
      <c r="ME9" s="6">
        <f>日流量!ME9*24*3600/100000000</f>
        <v>1.49472</v>
      </c>
      <c r="MF9" s="6">
        <f>日流量!MF9*24*3600/100000000</f>
        <v>1.4774400000000001</v>
      </c>
      <c r="MG9" s="6">
        <f>日流量!MG9*24*3600/100000000</f>
        <v>1.4601599999999999</v>
      </c>
      <c r="MH9" s="6">
        <f>日流量!MH9*24*3600/100000000</f>
        <v>1.43424</v>
      </c>
      <c r="MI9" s="6">
        <f>日流量!MI9*24*3600/100000000</f>
        <v>1.4256</v>
      </c>
      <c r="MJ9" s="6">
        <f>日流量!MJ9*24*3600/100000000</f>
        <v>1.40832</v>
      </c>
      <c r="MK9" s="6">
        <f>日流量!MK9*24*3600/100000000</f>
        <v>1.3910400000000001</v>
      </c>
      <c r="ML9" s="6">
        <f>日流量!ML9*24*3600/100000000</f>
        <v>1.3824000000000001</v>
      </c>
      <c r="MM9" s="6">
        <f>日流量!MM9*24*3600/100000000</f>
        <v>1.3651199999999999</v>
      </c>
      <c r="MN9" s="6">
        <f>日流量!MN9*24*3600/100000000</f>
        <v>1.3391999999999999</v>
      </c>
      <c r="MO9" s="6">
        <f>日流量!MO9*24*3600/100000000</f>
        <v>1.3391999999999999</v>
      </c>
      <c r="MP9" s="6">
        <f>日流量!MP9*24*3600/100000000</f>
        <v>1.32192</v>
      </c>
      <c r="MQ9" s="6">
        <f>日流量!MQ9*24*3600/100000000</f>
        <v>1.30464</v>
      </c>
      <c r="MR9" s="6">
        <f>日流量!MR9*24*3600/100000000</f>
        <v>1.2873600000000001</v>
      </c>
      <c r="MS9" s="6">
        <f>日流量!MS9*24*3600/100000000</f>
        <v>1.2787200000000001</v>
      </c>
      <c r="MT9" s="6">
        <f>日流量!MT9*24*3600/100000000</f>
        <v>1.2527999999999999</v>
      </c>
      <c r="MU9" s="6">
        <f>日流量!MU9*24*3600/100000000</f>
        <v>1.23552</v>
      </c>
      <c r="MV9" s="6">
        <f>日流量!MV9*24*3600/100000000</f>
        <v>1.2096</v>
      </c>
      <c r="MW9" s="6">
        <f>日流量!MW9*24*3600/100000000</f>
        <v>1.19232</v>
      </c>
      <c r="MX9" s="6">
        <f>日流量!MX9*24*3600/100000000</f>
        <v>1.20096</v>
      </c>
      <c r="MY9" s="6">
        <f>日流量!MY9*24*3600/100000000</f>
        <v>1.2096</v>
      </c>
      <c r="MZ9" s="6">
        <f>日流量!MZ9*24*3600/100000000</f>
        <v>1.20096</v>
      </c>
      <c r="NA9" s="6">
        <f>日流量!NA9*24*3600/100000000</f>
        <v>1.19232</v>
      </c>
      <c r="NB9" s="6">
        <f>日流量!NB9*24*3600/100000000</f>
        <v>1.1750400000000001</v>
      </c>
      <c r="NC9" s="6">
        <f>日流量!NC9*24*3600/100000000</f>
        <v>1.1577599999999999</v>
      </c>
      <c r="ND9" s="6">
        <f>日流量!ND9*24*3600*31/100000000</f>
        <v>42.318719999999999</v>
      </c>
      <c r="NE9" s="6">
        <f>日流量!NE9*24*3600*29/100000000</f>
        <v>33.324480000000001</v>
      </c>
      <c r="NF9" s="6">
        <f>日流量!NF9*24*3600*31/100000000</f>
        <v>34.283520000000003</v>
      </c>
      <c r="NG9" s="6">
        <f>日流量!NG9*24*3600*30/100000000</f>
        <v>35.251199999999997</v>
      </c>
      <c r="NH9" s="6">
        <f>日流量!NH9*24*3600*31/100000000</f>
        <v>61.871040000000001</v>
      </c>
      <c r="NI9" s="6">
        <f>日流量!NI9*24*3600*30/100000000</f>
        <v>89.683199999999999</v>
      </c>
      <c r="NJ9" s="6">
        <f>日流量!NJ9*24*3600*31/100000000</f>
        <v>158.56128000000001</v>
      </c>
      <c r="NK9" s="6">
        <f>日流量!NK9*24*3600*31/100000000</f>
        <v>169.27488</v>
      </c>
      <c r="NL9" s="6">
        <f>日流量!NL9*24*3600*30/100000000</f>
        <v>216.69120000000001</v>
      </c>
      <c r="NM9" s="6">
        <f>日流量!NM9*24*3600*31/100000000</f>
        <v>112.76064</v>
      </c>
      <c r="NN9" s="6">
        <f>日流量!NN9*24*3600*30/100000000</f>
        <v>67.391999999999996</v>
      </c>
      <c r="NO9" s="6">
        <f>日流量!NO9*24*3600*31/100000000</f>
        <v>42.050879999999999</v>
      </c>
      <c r="NP9" s="14">
        <f t="shared" si="10"/>
        <v>1063.4630400000001</v>
      </c>
      <c r="NQ9" s="6">
        <f>日流量!NQ9*24*3600/100000000</f>
        <v>9.4176000000000002</v>
      </c>
      <c r="NR9" s="4">
        <f>日流量!NR9</f>
        <v>42629</v>
      </c>
      <c r="NS9" s="6">
        <f>日流量!NS9*24*3600/100000000</f>
        <v>1.0713600000000001</v>
      </c>
      <c r="NT9" s="4">
        <f>日流量!NT9</f>
        <v>42468</v>
      </c>
      <c r="NU9" s="7">
        <f>日流量!NP9</f>
        <v>3363.1693989071036</v>
      </c>
      <c r="NW9" s="13">
        <f t="shared" si="0"/>
        <v>808.84223999999995</v>
      </c>
      <c r="NX9" s="12">
        <f t="shared" si="1"/>
        <v>76.057390767430888</v>
      </c>
      <c r="NY9" s="13">
        <f t="shared" si="2"/>
        <v>634.21055999999999</v>
      </c>
      <c r="NZ9" s="12">
        <f t="shared" si="3"/>
        <v>59.636351819053331</v>
      </c>
      <c r="OA9" s="13">
        <f t="shared" si="4"/>
        <v>254.62080000000014</v>
      </c>
      <c r="OB9" s="12">
        <f t="shared" si="5"/>
        <v>23.942609232569108</v>
      </c>
      <c r="OC9" s="13">
        <f t="shared" si="6"/>
        <v>216.69120000000001</v>
      </c>
      <c r="OD9" s="12">
        <f t="shared" si="7"/>
        <v>20.375997270201321</v>
      </c>
      <c r="OE9" s="12">
        <f t="shared" si="8"/>
        <v>248.4726728971963</v>
      </c>
      <c r="OF9" s="12">
        <f t="shared" si="9"/>
        <v>7.8790167712200745</v>
      </c>
    </row>
    <row r="10" spans="1:397" x14ac:dyDescent="0.15">
      <c r="A10" s="2">
        <v>1957</v>
      </c>
      <c r="B10" s="6">
        <f>日流量!B10*24*3600/100000000</f>
        <v>1.3824000000000001</v>
      </c>
      <c r="C10" s="6">
        <f>日流量!C10*24*3600/100000000</f>
        <v>1.3564799999999999</v>
      </c>
      <c r="D10" s="6">
        <f>日流量!D10*24*3600/100000000</f>
        <v>1.3478399999999999</v>
      </c>
      <c r="E10" s="6">
        <f>日流量!E10*24*3600/100000000</f>
        <v>1.3391999999999999</v>
      </c>
      <c r="F10" s="6">
        <f>日流量!F10*24*3600/100000000</f>
        <v>1.32192</v>
      </c>
      <c r="G10" s="6">
        <f>日流量!G10*24*3600/100000000</f>
        <v>1.31328</v>
      </c>
      <c r="H10" s="6">
        <f>日流量!H10*24*3600/100000000</f>
        <v>1.30464</v>
      </c>
      <c r="I10" s="6">
        <f>日流量!I10*24*3600/100000000</f>
        <v>1.30464</v>
      </c>
      <c r="J10" s="6">
        <f>日流量!J10*24*3600/100000000</f>
        <v>1.30464</v>
      </c>
      <c r="K10" s="6">
        <f>日流量!K10*24*3600/100000000</f>
        <v>1.296</v>
      </c>
      <c r="L10" s="6">
        <f>日流量!L10*24*3600/100000000</f>
        <v>1.2873600000000001</v>
      </c>
      <c r="M10" s="6">
        <f>日流量!M10*24*3600/100000000</f>
        <v>1.2787200000000001</v>
      </c>
      <c r="N10" s="6">
        <f>日流量!N10*24*3600/100000000</f>
        <v>1.296</v>
      </c>
      <c r="O10" s="6">
        <f>日流量!O10*24*3600/100000000</f>
        <v>1.3478399999999999</v>
      </c>
      <c r="P10" s="6">
        <f>日流量!P10*24*3600/100000000</f>
        <v>1.3478399999999999</v>
      </c>
      <c r="Q10" s="6">
        <f>日流量!Q10*24*3600/100000000</f>
        <v>1.3478399999999999</v>
      </c>
      <c r="R10" s="6">
        <f>日流量!R10*24*3600/100000000</f>
        <v>1.31328</v>
      </c>
      <c r="S10" s="6">
        <f>日流量!S10*24*3600/100000000</f>
        <v>1.296</v>
      </c>
      <c r="T10" s="6">
        <f>日流量!T10*24*3600/100000000</f>
        <v>1.2873600000000001</v>
      </c>
      <c r="U10" s="6">
        <f>日流量!U10*24*3600/100000000</f>
        <v>1.2700800000000001</v>
      </c>
      <c r="V10" s="6">
        <f>日流量!V10*24*3600/100000000</f>
        <v>1.2614399999999999</v>
      </c>
      <c r="W10" s="6">
        <f>日流量!W10*24*3600/100000000</f>
        <v>1.2527999999999999</v>
      </c>
      <c r="X10" s="6">
        <f>日流量!X10*24*3600/100000000</f>
        <v>1.2441599999999999</v>
      </c>
      <c r="Y10" s="6">
        <f>日流量!Y10*24*3600/100000000</f>
        <v>1.2441599999999999</v>
      </c>
      <c r="Z10" s="6">
        <f>日流量!Z10*24*3600/100000000</f>
        <v>1.22688</v>
      </c>
      <c r="AA10" s="6">
        <f>日流量!AA10*24*3600/100000000</f>
        <v>1.21824</v>
      </c>
      <c r="AB10" s="6">
        <f>日流量!AB10*24*3600/100000000</f>
        <v>1.20096</v>
      </c>
      <c r="AC10" s="6">
        <f>日流量!AC10*24*3600/100000000</f>
        <v>1.19232</v>
      </c>
      <c r="AD10" s="6">
        <f>日流量!AD10*24*3600/100000000</f>
        <v>1.19232</v>
      </c>
      <c r="AE10" s="6">
        <f>日流量!AE10*24*3600/100000000</f>
        <v>1.1664000000000001</v>
      </c>
      <c r="AF10" s="6">
        <f>日流量!AF10*24*3600/100000000</f>
        <v>1.1577599999999999</v>
      </c>
      <c r="AG10" s="6">
        <f>日流量!AG10*24*3600/100000000</f>
        <v>1.1491199999999999</v>
      </c>
      <c r="AH10" s="6">
        <f>日流量!AH10*24*3600/100000000</f>
        <v>1.1491199999999999</v>
      </c>
      <c r="AI10" s="6">
        <f>日流量!AI10*24*3600/100000000</f>
        <v>1.1577599999999999</v>
      </c>
      <c r="AJ10" s="6">
        <f>日流量!AJ10*24*3600/100000000</f>
        <v>1.1577599999999999</v>
      </c>
      <c r="AK10" s="6">
        <f>日流量!AK10*24*3600/100000000</f>
        <v>1.1664000000000001</v>
      </c>
      <c r="AL10" s="6">
        <f>日流量!AL10*24*3600/100000000</f>
        <v>1.1664000000000001</v>
      </c>
      <c r="AM10" s="6">
        <f>日流量!AM10*24*3600/100000000</f>
        <v>1.1577599999999999</v>
      </c>
      <c r="AN10" s="6">
        <f>日流量!AN10*24*3600/100000000</f>
        <v>1.1577599999999999</v>
      </c>
      <c r="AO10" s="6">
        <f>日流量!AO10*24*3600/100000000</f>
        <v>1.1577599999999999</v>
      </c>
      <c r="AP10" s="6">
        <f>日流量!AP10*24*3600/100000000</f>
        <v>1.1491199999999999</v>
      </c>
      <c r="AQ10" s="6">
        <f>日流量!AQ10*24*3600/100000000</f>
        <v>1.1404799999999999</v>
      </c>
      <c r="AR10" s="6">
        <f>日流量!AR10*24*3600/100000000</f>
        <v>1.13184</v>
      </c>
      <c r="AS10" s="6">
        <f>日流量!AS10*24*3600/100000000</f>
        <v>1.13184</v>
      </c>
      <c r="AT10" s="6">
        <f>日流量!AT10*24*3600/100000000</f>
        <v>1.1404799999999999</v>
      </c>
      <c r="AU10" s="6">
        <f>日流量!AU10*24*3600/100000000</f>
        <v>1.1577599999999999</v>
      </c>
      <c r="AV10" s="6">
        <f>日流量!AV10*24*3600/100000000</f>
        <v>1.1577599999999999</v>
      </c>
      <c r="AW10" s="6">
        <f>日流量!AW10*24*3600/100000000</f>
        <v>1.1577599999999999</v>
      </c>
      <c r="AX10" s="6">
        <f>日流量!AX10*24*3600/100000000</f>
        <v>1.1404799999999999</v>
      </c>
      <c r="AY10" s="6">
        <f>日流量!AY10*24*3600/100000000</f>
        <v>1.13184</v>
      </c>
      <c r="AZ10" s="6">
        <f>日流量!AZ10*24*3600/100000000</f>
        <v>1.1232</v>
      </c>
      <c r="BA10" s="6">
        <f>日流量!BA10*24*3600/100000000</f>
        <v>1.11456</v>
      </c>
      <c r="BB10" s="6">
        <f>日流量!BB10*24*3600/100000000</f>
        <v>1.10592</v>
      </c>
      <c r="BC10" s="6">
        <f>日流量!BC10*24*3600/100000000</f>
        <v>1.0886400000000001</v>
      </c>
      <c r="BD10" s="6">
        <f>日流量!BD10*24*3600/100000000</f>
        <v>1.0886400000000001</v>
      </c>
      <c r="BE10" s="6">
        <f>日流量!BE10*24*3600/100000000</f>
        <v>1.08</v>
      </c>
      <c r="BF10" s="6">
        <f>日流量!BF10*24*3600/100000000</f>
        <v>1.08</v>
      </c>
      <c r="BG10" s="6">
        <f>日流量!BG10*24*3600/100000000</f>
        <v>1.0713600000000001</v>
      </c>
      <c r="BH10" s="6">
        <f>日流量!BH10*24*3600/100000000</f>
        <v>1.08</v>
      </c>
      <c r="BI10" s="6"/>
      <c r="BJ10" s="6">
        <f>日流量!BJ10*24*3600/100000000</f>
        <v>1.08</v>
      </c>
      <c r="BK10" s="6">
        <f>日流量!BK10*24*3600/100000000</f>
        <v>1.08</v>
      </c>
      <c r="BL10" s="6">
        <f>日流量!BL10*24*3600/100000000</f>
        <v>1.08</v>
      </c>
      <c r="BM10" s="6">
        <f>日流量!BM10*24*3600/100000000</f>
        <v>1.08</v>
      </c>
      <c r="BN10" s="6">
        <f>日流量!BN10*24*3600/100000000</f>
        <v>1.0713600000000001</v>
      </c>
      <c r="BO10" s="6">
        <f>日流量!BO10*24*3600/100000000</f>
        <v>1.0713600000000001</v>
      </c>
      <c r="BP10" s="6">
        <f>日流量!BP10*24*3600/100000000</f>
        <v>1.0627200000000001</v>
      </c>
      <c r="BQ10" s="6">
        <f>日流量!BQ10*24*3600/100000000</f>
        <v>1.0713600000000001</v>
      </c>
      <c r="BR10" s="6">
        <f>日流量!BR10*24*3600/100000000</f>
        <v>1.0713600000000001</v>
      </c>
      <c r="BS10" s="6">
        <f>日流量!BS10*24*3600/100000000</f>
        <v>1.0713600000000001</v>
      </c>
      <c r="BT10" s="6">
        <f>日流量!BT10*24*3600/100000000</f>
        <v>1.0713600000000001</v>
      </c>
      <c r="BU10" s="6">
        <f>日流量!BU10*24*3600/100000000</f>
        <v>1.0713600000000001</v>
      </c>
      <c r="BV10" s="6">
        <f>日流量!BV10*24*3600/100000000</f>
        <v>1.0713600000000001</v>
      </c>
      <c r="BW10" s="6">
        <f>日流量!BW10*24*3600/100000000</f>
        <v>1.0713600000000001</v>
      </c>
      <c r="BX10" s="6">
        <f>日流量!BX10*24*3600/100000000</f>
        <v>1.0713600000000001</v>
      </c>
      <c r="BY10" s="6">
        <f>日流量!BY10*24*3600/100000000</f>
        <v>1.0713600000000001</v>
      </c>
      <c r="BZ10" s="6">
        <f>日流量!BZ10*24*3600/100000000</f>
        <v>1.0886400000000001</v>
      </c>
      <c r="CA10" s="6">
        <f>日流量!CA10*24*3600/100000000</f>
        <v>1.0886400000000001</v>
      </c>
      <c r="CB10" s="6">
        <f>日流量!CB10*24*3600/100000000</f>
        <v>1.08</v>
      </c>
      <c r="CC10" s="6">
        <f>日流量!CC10*24*3600/100000000</f>
        <v>1.08</v>
      </c>
      <c r="CD10" s="6">
        <f>日流量!CD10*24*3600/100000000</f>
        <v>1.0713600000000001</v>
      </c>
      <c r="CE10" s="6">
        <f>日流量!CE10*24*3600/100000000</f>
        <v>1.0713600000000001</v>
      </c>
      <c r="CF10" s="6">
        <f>日流量!CF10*24*3600/100000000</f>
        <v>1.0627200000000001</v>
      </c>
      <c r="CG10" s="6">
        <f>日流量!CG10*24*3600/100000000</f>
        <v>1.0713600000000001</v>
      </c>
      <c r="CH10" s="6">
        <f>日流量!CH10*24*3600/100000000</f>
        <v>1.08</v>
      </c>
      <c r="CI10" s="6">
        <f>日流量!CI10*24*3600/100000000</f>
        <v>1.10592</v>
      </c>
      <c r="CJ10" s="6">
        <f>日流量!CJ10*24*3600/100000000</f>
        <v>1.13184</v>
      </c>
      <c r="CK10" s="6">
        <f>日流量!CK10*24*3600/100000000</f>
        <v>1.1577599999999999</v>
      </c>
      <c r="CL10" s="6">
        <f>日流量!CL10*24*3600/100000000</f>
        <v>1.1577599999999999</v>
      </c>
      <c r="CM10" s="6">
        <f>日流量!CM10*24*3600/100000000</f>
        <v>1.1491199999999999</v>
      </c>
      <c r="CN10" s="6">
        <f>日流量!CN10*24*3600/100000000</f>
        <v>1.13184</v>
      </c>
      <c r="CO10" s="6">
        <f>日流量!CO10*24*3600/100000000</f>
        <v>1.13184</v>
      </c>
      <c r="CP10" s="6">
        <f>日流量!CP10*24*3600/100000000</f>
        <v>1.11456</v>
      </c>
      <c r="CQ10" s="6">
        <f>日流量!CQ10*24*3600/100000000</f>
        <v>1.10592</v>
      </c>
      <c r="CR10" s="6">
        <f>日流量!CR10*24*3600/100000000</f>
        <v>1.09728</v>
      </c>
      <c r="CS10" s="6">
        <f>日流量!CS10*24*3600/100000000</f>
        <v>1.10592</v>
      </c>
      <c r="CT10" s="6">
        <f>日流量!CT10*24*3600/100000000</f>
        <v>1.10592</v>
      </c>
      <c r="CU10" s="6">
        <f>日流量!CU10*24*3600/100000000</f>
        <v>1.10592</v>
      </c>
      <c r="CV10" s="6">
        <f>日流量!CV10*24*3600/100000000</f>
        <v>1.10592</v>
      </c>
      <c r="CW10" s="6">
        <f>日流量!CW10*24*3600/100000000</f>
        <v>1.09728</v>
      </c>
      <c r="CX10" s="6">
        <f>日流量!CX10*24*3600/100000000</f>
        <v>1.09728</v>
      </c>
      <c r="CY10" s="6">
        <f>日流量!CY10*24*3600/100000000</f>
        <v>1.10592</v>
      </c>
      <c r="CZ10" s="6">
        <f>日流量!CZ10*24*3600/100000000</f>
        <v>1.13184</v>
      </c>
      <c r="DA10" s="6">
        <f>日流量!DA10*24*3600/100000000</f>
        <v>1.1664000000000001</v>
      </c>
      <c r="DB10" s="6">
        <f>日流量!DB10*24*3600/100000000</f>
        <v>1.2096</v>
      </c>
      <c r="DC10" s="6">
        <f>日流量!DC10*24*3600/100000000</f>
        <v>1.21824</v>
      </c>
      <c r="DD10" s="6">
        <f>日流量!DD10*24*3600/100000000</f>
        <v>1.23552</v>
      </c>
      <c r="DE10" s="6">
        <f>日流量!DE10*24*3600/100000000</f>
        <v>1.23552</v>
      </c>
      <c r="DF10" s="6">
        <f>日流量!DF10*24*3600/100000000</f>
        <v>1.21824</v>
      </c>
      <c r="DG10" s="6">
        <f>日流量!DG10*24*3600/100000000</f>
        <v>1.21824</v>
      </c>
      <c r="DH10" s="6">
        <f>日流量!DH10*24*3600/100000000</f>
        <v>1.2441599999999999</v>
      </c>
      <c r="DI10" s="6">
        <f>日流量!DI10*24*3600/100000000</f>
        <v>1.2527999999999999</v>
      </c>
      <c r="DJ10" s="6">
        <f>日流量!DJ10*24*3600/100000000</f>
        <v>1.2700800000000001</v>
      </c>
      <c r="DK10" s="6">
        <f>日流量!DK10*24*3600/100000000</f>
        <v>1.2787200000000001</v>
      </c>
      <c r="DL10" s="6">
        <f>日流量!DL10*24*3600/100000000</f>
        <v>1.296</v>
      </c>
      <c r="DM10" s="6">
        <f>日流量!DM10*24*3600/100000000</f>
        <v>1.3478399999999999</v>
      </c>
      <c r="DN10" s="6">
        <f>日流量!DN10*24*3600/100000000</f>
        <v>1.3564799999999999</v>
      </c>
      <c r="DO10" s="6">
        <f>日流量!DO10*24*3600/100000000</f>
        <v>1.39968</v>
      </c>
      <c r="DP10" s="6">
        <f>日流量!DP10*24*3600/100000000</f>
        <v>1.33056</v>
      </c>
      <c r="DQ10" s="6">
        <f>日流量!DQ10*24*3600/100000000</f>
        <v>1.2614399999999999</v>
      </c>
      <c r="DR10" s="6">
        <f>日流量!DR10*24*3600/100000000</f>
        <v>1.2527999999999999</v>
      </c>
      <c r="DS10" s="6">
        <f>日流量!DS10*24*3600/100000000</f>
        <v>1.2527999999999999</v>
      </c>
      <c r="DT10" s="6">
        <f>日流量!DT10*24*3600/100000000</f>
        <v>1.23552</v>
      </c>
      <c r="DU10" s="6">
        <f>日流量!DU10*24*3600/100000000</f>
        <v>1.21824</v>
      </c>
      <c r="DV10" s="6">
        <f>日流量!DV10*24*3600/100000000</f>
        <v>1.2096</v>
      </c>
      <c r="DW10" s="6">
        <f>日流量!DW10*24*3600/100000000</f>
        <v>1.2096</v>
      </c>
      <c r="DX10" s="6">
        <f>日流量!DX10*24*3600/100000000</f>
        <v>1.2096</v>
      </c>
      <c r="DY10" s="6">
        <f>日流量!DY10*24*3600/100000000</f>
        <v>1.2441599999999999</v>
      </c>
      <c r="DZ10" s="6">
        <f>日流量!DZ10*24*3600/100000000</f>
        <v>1.296</v>
      </c>
      <c r="EA10" s="6">
        <f>日流量!EA10*24*3600/100000000</f>
        <v>1.4256</v>
      </c>
      <c r="EB10" s="6">
        <f>日流量!EB10*24*3600/100000000</f>
        <v>1.5811200000000001</v>
      </c>
      <c r="EC10" s="6">
        <f>日流量!EC10*24*3600/100000000</f>
        <v>1.6588799999999999</v>
      </c>
      <c r="ED10" s="6">
        <f>日流量!ED10*24*3600/100000000</f>
        <v>1.6415999999999999</v>
      </c>
      <c r="EE10" s="6">
        <f>日流量!EE10*24*3600/100000000</f>
        <v>1.63296</v>
      </c>
      <c r="EF10" s="6">
        <f>日流量!EF10*24*3600/100000000</f>
        <v>1.60704</v>
      </c>
      <c r="EG10" s="6">
        <f>日流量!EG10*24*3600/100000000</f>
        <v>1.5638399999999999</v>
      </c>
      <c r="EH10" s="6">
        <f>日流量!EH10*24*3600/100000000</f>
        <v>1.53792</v>
      </c>
      <c r="EI10" s="6">
        <f>日流量!EI10*24*3600/100000000</f>
        <v>1.5811200000000001</v>
      </c>
      <c r="EJ10" s="6">
        <f>日流量!EJ10*24*3600/100000000</f>
        <v>1.61568</v>
      </c>
      <c r="EK10" s="6">
        <f>日流量!EK10*24*3600/100000000</f>
        <v>1.63296</v>
      </c>
      <c r="EL10" s="6">
        <f>日流量!EL10*24*3600/100000000</f>
        <v>1.6588799999999999</v>
      </c>
      <c r="EM10" s="6">
        <f>日流量!EM10*24*3600/100000000</f>
        <v>1.6848000000000001</v>
      </c>
      <c r="EN10" s="6">
        <f>日流量!EN10*24*3600/100000000</f>
        <v>1.728</v>
      </c>
      <c r="EO10" s="6">
        <f>日流量!EO10*24*3600/100000000</f>
        <v>1.728</v>
      </c>
      <c r="EP10" s="6">
        <f>日流量!EP10*24*3600/100000000</f>
        <v>1.7452799999999999</v>
      </c>
      <c r="EQ10" s="6">
        <f>日流量!EQ10*24*3600/100000000</f>
        <v>1.7798400000000001</v>
      </c>
      <c r="ER10" s="6">
        <f>日流量!ER10*24*3600/100000000</f>
        <v>1.83168</v>
      </c>
      <c r="ES10" s="6">
        <f>日流量!ES10*24*3600/100000000</f>
        <v>1.9699199999999999</v>
      </c>
      <c r="ET10" s="6">
        <f>日流量!ET10*24*3600/100000000</f>
        <v>2.16</v>
      </c>
      <c r="EU10" s="6">
        <f>日流量!EU10*24*3600/100000000</f>
        <v>2.3155199999999998</v>
      </c>
      <c r="EV10" s="6">
        <f>日流量!EV10*24*3600/100000000</f>
        <v>2.4969600000000001</v>
      </c>
      <c r="EW10" s="6">
        <f>日流量!EW10*24*3600/100000000</f>
        <v>2.7648000000000001</v>
      </c>
      <c r="EX10" s="6">
        <f>日流量!EX10*24*3600/100000000</f>
        <v>2.8684799999999999</v>
      </c>
      <c r="EY10" s="6">
        <f>日流量!EY10*24*3600/100000000</f>
        <v>2.8252799999999998</v>
      </c>
      <c r="EZ10" s="6">
        <f>日流量!EZ10*24*3600/100000000</f>
        <v>2.7561599999999999</v>
      </c>
      <c r="FA10" s="6">
        <f>日流量!FA10*24*3600/100000000</f>
        <v>2.7043200000000001</v>
      </c>
      <c r="FB10" s="6">
        <f>日流量!FB10*24*3600/100000000</f>
        <v>2.5228799999999998</v>
      </c>
      <c r="FC10" s="6">
        <f>日流量!FC10*24*3600/100000000</f>
        <v>2.4796800000000001</v>
      </c>
      <c r="FD10" s="6">
        <f>日流量!FD10*24*3600/100000000</f>
        <v>2.5055999999999998</v>
      </c>
      <c r="FE10" s="6">
        <f>日流量!FE10*24*3600/100000000</f>
        <v>2.7820800000000001</v>
      </c>
      <c r="FF10" s="6">
        <f>日流量!FF10*24*3600/100000000</f>
        <v>3.23136</v>
      </c>
      <c r="FG10" s="6">
        <f>日流量!FG10*24*3600/100000000</f>
        <v>3.43872</v>
      </c>
      <c r="FH10" s="6">
        <f>日流量!FH10*24*3600/100000000</f>
        <v>3.3609599999999999</v>
      </c>
      <c r="FI10" s="6">
        <f>日流量!FI10*24*3600/100000000</f>
        <v>3.2745600000000001</v>
      </c>
      <c r="FJ10" s="6">
        <f>日流量!FJ10*24*3600/100000000</f>
        <v>3.21408</v>
      </c>
      <c r="FK10" s="6">
        <f>日流量!FK10*24*3600/100000000</f>
        <v>3.1276799999999998</v>
      </c>
      <c r="FL10" s="6">
        <f>日流量!FL10*24*3600/100000000</f>
        <v>3.0672000000000001</v>
      </c>
      <c r="FM10" s="6">
        <f>日流量!FM10*24*3600/100000000</f>
        <v>3.1622400000000002</v>
      </c>
      <c r="FN10" s="6">
        <f>日流量!FN10*24*3600/100000000</f>
        <v>3.3696000000000002</v>
      </c>
      <c r="FO10" s="6">
        <f>日流量!FO10*24*3600/100000000</f>
        <v>3.8793600000000001</v>
      </c>
      <c r="FP10" s="6">
        <f>日流量!FP10*24*3600/100000000</f>
        <v>4.0089600000000001</v>
      </c>
      <c r="FQ10" s="6">
        <f>日流量!FQ10*24*3600/100000000</f>
        <v>4.5273599999999998</v>
      </c>
      <c r="FR10" s="6">
        <f>日流量!FR10*24*3600/100000000</f>
        <v>5.2358399999999996</v>
      </c>
      <c r="FS10" s="6">
        <f>日流量!FS10*24*3600/100000000</f>
        <v>5.3308799999999996</v>
      </c>
      <c r="FT10" s="6">
        <f>日流量!FT10*24*3600/100000000</f>
        <v>5.9270399999999999</v>
      </c>
      <c r="FU10" s="6">
        <f>日流量!FU10*24*3600/100000000</f>
        <v>5.1494400000000002</v>
      </c>
      <c r="FV10" s="6">
        <f>日流量!FV10*24*3600/100000000</f>
        <v>4.8815999999999997</v>
      </c>
      <c r="FW10" s="6">
        <f>日流量!FW10*24*3600/100000000</f>
        <v>5.0889600000000002</v>
      </c>
      <c r="FX10" s="6">
        <f>日流量!FX10*24*3600/100000000</f>
        <v>5.5987200000000001</v>
      </c>
      <c r="FY10" s="6">
        <f>日流量!FY10*24*3600/100000000</f>
        <v>6.1171199999999999</v>
      </c>
      <c r="FZ10" s="6">
        <f>日流量!FZ10*24*3600/100000000</f>
        <v>5.9961599999999997</v>
      </c>
      <c r="GA10" s="6">
        <f>日流量!GA10*24*3600/100000000</f>
        <v>5.9270399999999999</v>
      </c>
      <c r="GB10" s="6">
        <f>日流量!GB10*24*3600/100000000</f>
        <v>6.6355199999999996</v>
      </c>
      <c r="GC10" s="6">
        <f>日流量!GC10*24*3600/100000000</f>
        <v>7.5167999999999999</v>
      </c>
      <c r="GD10" s="6">
        <f>日流量!GD10*24*3600/100000000</f>
        <v>8.5795200000000005</v>
      </c>
      <c r="GE10" s="6">
        <f>日流量!GE10*24*3600/100000000</f>
        <v>9.8496000000000006</v>
      </c>
      <c r="GF10" s="6">
        <f>日流量!GF10*24*3600/100000000</f>
        <v>9.3312000000000008</v>
      </c>
      <c r="GG10" s="6">
        <f>日流量!GG10*24*3600/100000000</f>
        <v>8.9855999999999998</v>
      </c>
      <c r="GH10" s="6">
        <f>日流量!GH10*24*3600/100000000</f>
        <v>9.3312000000000008</v>
      </c>
      <c r="GI10" s="6">
        <f>日流量!GI10*24*3600/100000000</f>
        <v>10.540800000000001</v>
      </c>
      <c r="GJ10" s="6">
        <f>日流量!GJ10*24*3600/100000000</f>
        <v>13.1328</v>
      </c>
      <c r="GK10" s="6">
        <f>日流量!GK10*24*3600/100000000</f>
        <v>12.441599999999999</v>
      </c>
      <c r="GL10" s="6">
        <f>日流量!GL10*24*3600/100000000</f>
        <v>12.441599999999999</v>
      </c>
      <c r="GM10" s="6">
        <f>日流量!GM10*24*3600/100000000</f>
        <v>12.700799999999999</v>
      </c>
      <c r="GN10" s="6">
        <f>日流量!GN10*24*3600/100000000</f>
        <v>10.022399999999999</v>
      </c>
      <c r="GO10" s="6">
        <f>日流量!GO10*24*3600/100000000</f>
        <v>8.2857599999999998</v>
      </c>
      <c r="GP10" s="6">
        <f>日流量!GP10*24*3600/100000000</f>
        <v>7.7500799999999996</v>
      </c>
      <c r="GQ10" s="6">
        <f>日流量!GQ10*24*3600/100000000</f>
        <v>7.6204799999999997</v>
      </c>
      <c r="GR10" s="6">
        <f>日流量!GR10*24*3600/100000000</f>
        <v>8.4672000000000001</v>
      </c>
      <c r="GS10" s="6">
        <f>日流量!GS10*24*3600/100000000</f>
        <v>9.4176000000000002</v>
      </c>
      <c r="GT10" s="6">
        <f>日流量!GT10*24*3600/100000000</f>
        <v>10.1952</v>
      </c>
      <c r="GU10" s="6">
        <f>日流量!GU10*24*3600/100000000</f>
        <v>12.7872</v>
      </c>
      <c r="GV10" s="6">
        <f>日流量!GV10*24*3600/100000000</f>
        <v>15.12</v>
      </c>
      <c r="GW10" s="6">
        <f>日流量!GW10*24*3600/100000000</f>
        <v>14.169600000000001</v>
      </c>
      <c r="GX10" s="6">
        <f>日流量!GX10*24*3600/100000000</f>
        <v>11.8368</v>
      </c>
      <c r="GY10" s="6">
        <f>日流量!GY10*24*3600/100000000</f>
        <v>9.9359999999999999</v>
      </c>
      <c r="GZ10" s="6">
        <f>日流量!GZ10*24*3600/100000000</f>
        <v>8.6054399999999998</v>
      </c>
      <c r="HA10" s="6">
        <f>日流量!HA10*24*3600/100000000</f>
        <v>7.7500799999999996</v>
      </c>
      <c r="HB10" s="6">
        <f>日流量!HB10*24*3600/100000000</f>
        <v>7.0934400000000002</v>
      </c>
      <c r="HC10" s="6">
        <f>日流量!HC10*24*3600/100000000</f>
        <v>6.5750400000000004</v>
      </c>
      <c r="HD10" s="6">
        <f>日流量!HD10*24*3600/100000000</f>
        <v>6.3590400000000002</v>
      </c>
      <c r="HE10" s="6">
        <f>日流量!HE10*24*3600/100000000</f>
        <v>6.5491200000000003</v>
      </c>
      <c r="HF10" s="6">
        <f>日流量!HF10*24*3600/100000000</f>
        <v>8.7263999999999999</v>
      </c>
      <c r="HG10" s="6">
        <f>日流量!HG10*24*3600/100000000</f>
        <v>10.1088</v>
      </c>
      <c r="HH10" s="6">
        <f>日流量!HH10*24*3600/100000000</f>
        <v>10.540800000000001</v>
      </c>
      <c r="HI10" s="6">
        <f>日流量!HI10*24*3600/100000000</f>
        <v>10.540800000000001</v>
      </c>
      <c r="HJ10" s="6">
        <f>日流量!HJ10*24*3600/100000000</f>
        <v>12.009600000000001</v>
      </c>
      <c r="HK10" s="6">
        <f>日流量!HK10*24*3600/100000000</f>
        <v>12.6144</v>
      </c>
      <c r="HL10" s="6">
        <f>日流量!HL10*24*3600/100000000</f>
        <v>15.12</v>
      </c>
      <c r="HM10" s="6">
        <f>日流量!HM10*24*3600/100000000</f>
        <v>17.107199999999999</v>
      </c>
      <c r="HN10" s="6">
        <f>日流量!HN10*24*3600/100000000</f>
        <v>16.416</v>
      </c>
      <c r="HO10" s="6">
        <f>日流量!HO10*24*3600/100000000</f>
        <v>14.860799999999999</v>
      </c>
      <c r="HP10" s="6">
        <f>日流量!HP10*24*3600/100000000</f>
        <v>13.7376</v>
      </c>
      <c r="HQ10" s="6">
        <f>日流量!HQ10*24*3600/100000000</f>
        <v>12.96</v>
      </c>
      <c r="HR10" s="6">
        <f>日流量!HR10*24*3600/100000000</f>
        <v>12.6144</v>
      </c>
      <c r="HS10" s="6">
        <f>日流量!HS10*24*3600/100000000</f>
        <v>12.096</v>
      </c>
      <c r="HT10" s="6">
        <f>日流量!HT10*24*3600/100000000</f>
        <v>10.8864</v>
      </c>
      <c r="HU10" s="6">
        <f>日流量!HU10*24*3600/100000000</f>
        <v>9.7631999999999994</v>
      </c>
      <c r="HV10" s="6">
        <f>日流量!HV10*24*3600/100000000</f>
        <v>8.8992000000000004</v>
      </c>
      <c r="HW10" s="6">
        <f>日流量!HW10*24*3600/100000000</f>
        <v>8.5017600000000009</v>
      </c>
      <c r="HX10" s="6">
        <f>日流量!HX10*24*3600/100000000</f>
        <v>8.5017600000000009</v>
      </c>
      <c r="HY10" s="6">
        <f>日流量!HY10*24*3600/100000000</f>
        <v>8.0524799999999992</v>
      </c>
      <c r="HZ10" s="6">
        <f>日流量!HZ10*24*3600/100000000</f>
        <v>7.7328000000000001</v>
      </c>
      <c r="IA10" s="6">
        <f>日流量!IA10*24*3600/100000000</f>
        <v>7.3007999999999997</v>
      </c>
      <c r="IB10" s="6">
        <f>日流量!IB10*24*3600/100000000</f>
        <v>6.8428800000000001</v>
      </c>
      <c r="IC10" s="6">
        <f>日流量!IC10*24*3600/100000000</f>
        <v>6.3936000000000002</v>
      </c>
      <c r="ID10" s="6">
        <f>日流量!ID10*24*3600/100000000</f>
        <v>6.0134400000000001</v>
      </c>
      <c r="IE10" s="6">
        <f>日流量!IE10*24*3600/100000000</f>
        <v>5.7023999999999999</v>
      </c>
      <c r="IF10" s="6">
        <f>日流量!IF10*24*3600/100000000</f>
        <v>5.5036800000000001</v>
      </c>
      <c r="IG10" s="6">
        <f>日流量!IG10*24*3600/100000000</f>
        <v>5.5036800000000001</v>
      </c>
      <c r="IH10" s="6">
        <f>日流量!IH10*24*3600/100000000</f>
        <v>5.8406399999999996</v>
      </c>
      <c r="II10" s="6">
        <f>日流量!II10*24*3600/100000000</f>
        <v>5.8233600000000001</v>
      </c>
      <c r="IJ10" s="6">
        <f>日流量!IJ10*24*3600/100000000</f>
        <v>5.6764799999999997</v>
      </c>
      <c r="IK10" s="6">
        <f>日流量!IK10*24*3600/100000000</f>
        <v>5.4604799999999996</v>
      </c>
      <c r="IL10" s="6">
        <f>日流量!IL10*24*3600/100000000</f>
        <v>5.1494400000000002</v>
      </c>
      <c r="IM10" s="6">
        <f>日流量!IM10*24*3600/100000000</f>
        <v>4.9161599999999996</v>
      </c>
      <c r="IN10" s="6">
        <f>日流量!IN10*24*3600/100000000</f>
        <v>4.7260799999999996</v>
      </c>
      <c r="IO10" s="6">
        <f>日流量!IO10*24*3600/100000000</f>
        <v>4.5619199999999998</v>
      </c>
      <c r="IP10" s="6">
        <f>日流量!IP10*24*3600/100000000</f>
        <v>4.45824</v>
      </c>
      <c r="IQ10" s="6">
        <f>日流量!IQ10*24*3600/100000000</f>
        <v>4.3459199999999996</v>
      </c>
      <c r="IR10" s="6">
        <f>日流量!IR10*24*3600/100000000</f>
        <v>4.2336</v>
      </c>
      <c r="IS10" s="6">
        <f>日流量!IS10*24*3600/100000000</f>
        <v>4.2336</v>
      </c>
      <c r="IT10" s="6">
        <f>日流量!IT10*24*3600/100000000</f>
        <v>4.4236800000000001</v>
      </c>
      <c r="IU10" s="6">
        <f>日流量!IU10*24*3600/100000000</f>
        <v>4.7260799999999996</v>
      </c>
      <c r="IV10" s="6">
        <f>日流量!IV10*24*3600/100000000</f>
        <v>5.1407999999999996</v>
      </c>
      <c r="IW10" s="6">
        <f>日流量!IW10*24*3600/100000000</f>
        <v>5.2444800000000003</v>
      </c>
      <c r="IX10" s="6">
        <f>日流量!IX10*24*3600/100000000</f>
        <v>5.3308799999999996</v>
      </c>
      <c r="IY10" s="6">
        <f>日流量!IY10*24*3600/100000000</f>
        <v>5.4259199999999996</v>
      </c>
      <c r="IZ10" s="6">
        <f>日流量!IZ10*24*3600/100000000</f>
        <v>5.5728</v>
      </c>
      <c r="JA10" s="6">
        <f>日流量!JA10*24*3600/100000000</f>
        <v>5.66784</v>
      </c>
      <c r="JB10" s="6">
        <f>日流量!JB10*24*3600/100000000</f>
        <v>5.6937600000000002</v>
      </c>
      <c r="JC10" s="6">
        <f>日流量!JC10*24*3600/100000000</f>
        <v>6.6096000000000004</v>
      </c>
      <c r="JD10" s="6">
        <f>日流量!JD10*24*3600/100000000</f>
        <v>6.9033600000000002</v>
      </c>
      <c r="JE10" s="6">
        <f>日流量!JE10*24*3600/100000000</f>
        <v>6.8947200000000004</v>
      </c>
      <c r="JF10" s="6">
        <f>日流量!JF10*24*3600/100000000</f>
        <v>7.89696</v>
      </c>
      <c r="JG10" s="6">
        <f>日流量!JG10*24*3600/100000000</f>
        <v>8.5276800000000001</v>
      </c>
      <c r="JH10" s="6">
        <f>日流量!JH10*24*3600/100000000</f>
        <v>7.992</v>
      </c>
      <c r="JI10" s="6">
        <f>日流量!JI10*24*3600/100000000</f>
        <v>8.0265599999999999</v>
      </c>
      <c r="JJ10" s="6">
        <f>日流量!JJ10*24*3600/100000000</f>
        <v>7.6809599999999998</v>
      </c>
      <c r="JK10" s="6">
        <f>日流量!JK10*24*3600/100000000</f>
        <v>7.992</v>
      </c>
      <c r="JL10" s="6">
        <f>日流量!JL10*24*3600/100000000</f>
        <v>8.3980800000000002</v>
      </c>
      <c r="JM10" s="6">
        <f>日流量!JM10*24*3600/100000000</f>
        <v>8.8127999999999993</v>
      </c>
      <c r="JN10" s="6">
        <f>日流量!JN10*24*3600/100000000</f>
        <v>8.9855999999999998</v>
      </c>
      <c r="JO10" s="6">
        <f>日流量!JO10*24*3600/100000000</f>
        <v>9.0719999999999992</v>
      </c>
      <c r="JP10" s="6">
        <f>日流量!JP10*24*3600/100000000</f>
        <v>9.3312000000000008</v>
      </c>
      <c r="JQ10" s="6">
        <f>日流量!JQ10*24*3600/100000000</f>
        <v>9.0719999999999992</v>
      </c>
      <c r="JR10" s="6">
        <f>日流量!JR10*24*3600/100000000</f>
        <v>8.8127999999999993</v>
      </c>
      <c r="JS10" s="6">
        <f>日流量!JS10*24*3600/100000000</f>
        <v>8.5708800000000007</v>
      </c>
      <c r="JT10" s="6">
        <f>日流量!JT10*24*3600/100000000</f>
        <v>8.8127999999999993</v>
      </c>
      <c r="JU10" s="6">
        <f>日流量!JU10*24*3600/100000000</f>
        <v>9.5039999999999996</v>
      </c>
      <c r="JV10" s="6">
        <f>日流量!JV10*24*3600/100000000</f>
        <v>9.5904000000000007</v>
      </c>
      <c r="JW10" s="6">
        <f>日流量!JW10*24*3600/100000000</f>
        <v>9.3312000000000008</v>
      </c>
      <c r="JX10" s="6">
        <f>日流量!JX10*24*3600/100000000</f>
        <v>8.8992000000000004</v>
      </c>
      <c r="JY10" s="6">
        <f>日流量!JY10*24*3600/100000000</f>
        <v>8.8127999999999993</v>
      </c>
      <c r="JZ10" s="6">
        <f>日流量!JZ10*24*3600/100000000</f>
        <v>9.7631999999999994</v>
      </c>
      <c r="KA10" s="6">
        <f>日流量!KA10*24*3600/100000000</f>
        <v>10.281599999999999</v>
      </c>
      <c r="KB10" s="6">
        <f>日流量!KB10*24*3600/100000000</f>
        <v>9.1584000000000003</v>
      </c>
      <c r="KC10" s="6">
        <f>日流量!KC10*24*3600/100000000</f>
        <v>8.2512000000000008</v>
      </c>
      <c r="KD10" s="6">
        <f>日流量!KD10*24*3600/100000000</f>
        <v>7.6463999999999999</v>
      </c>
      <c r="KE10" s="6">
        <f>日流量!KE10*24*3600/100000000</f>
        <v>7.19712</v>
      </c>
      <c r="KF10" s="6">
        <f>日流量!KF10*24*3600/100000000</f>
        <v>6.8169599999999999</v>
      </c>
      <c r="KG10" s="6">
        <f>日流量!KG10*24*3600/100000000</f>
        <v>6.5145600000000004</v>
      </c>
      <c r="KH10" s="6">
        <f>日流量!KH10*24*3600/100000000</f>
        <v>6.3849600000000004</v>
      </c>
      <c r="KI10" s="6">
        <f>日流量!KI10*24*3600/100000000</f>
        <v>6.1344000000000003</v>
      </c>
      <c r="KJ10" s="6">
        <f>日流量!KJ10*24*3600/100000000</f>
        <v>5.85792</v>
      </c>
      <c r="KK10" s="6">
        <f>日流量!KK10*24*3600/100000000</f>
        <v>5.6073599999999999</v>
      </c>
      <c r="KL10" s="6">
        <f>日流量!KL10*24*3600/100000000</f>
        <v>5.3827199999999999</v>
      </c>
      <c r="KM10" s="6">
        <f>日流量!KM10*24*3600/100000000</f>
        <v>5.1840000000000002</v>
      </c>
      <c r="KN10" s="6">
        <f>日流量!KN10*24*3600/100000000</f>
        <v>4.9852800000000004</v>
      </c>
      <c r="KO10" s="6">
        <f>日流量!KO10*24*3600/100000000</f>
        <v>4.8124799999999999</v>
      </c>
      <c r="KP10" s="6">
        <f>日流量!KP10*24*3600/100000000</f>
        <v>4.6656000000000004</v>
      </c>
      <c r="KQ10" s="6">
        <f>日流量!KQ10*24*3600/100000000</f>
        <v>4.5273599999999998</v>
      </c>
      <c r="KR10" s="6">
        <f>日流量!KR10*24*3600/100000000</f>
        <v>4.4150400000000003</v>
      </c>
      <c r="KS10" s="6">
        <f>日流量!KS10*24*3600/100000000</f>
        <v>4.2767999999999997</v>
      </c>
      <c r="KT10" s="6">
        <f>日流量!KT10*24*3600/100000000</f>
        <v>4.1471999999999998</v>
      </c>
      <c r="KU10" s="6">
        <f>日流量!KU10*24*3600/100000000</f>
        <v>4.0262399999999996</v>
      </c>
      <c r="KV10" s="6">
        <f>日流量!KV10*24*3600/100000000</f>
        <v>3.8966400000000001</v>
      </c>
      <c r="KW10" s="6">
        <f>日流量!KW10*24*3600/100000000</f>
        <v>3.8016000000000001</v>
      </c>
      <c r="KX10" s="6">
        <f>日流量!KX10*24*3600/100000000</f>
        <v>3.6979199999999999</v>
      </c>
      <c r="KY10" s="6">
        <f>日流量!KY10*24*3600/100000000</f>
        <v>3.5855999999999999</v>
      </c>
      <c r="KZ10" s="6">
        <f>日流量!KZ10*24*3600/100000000</f>
        <v>3.4819200000000001</v>
      </c>
      <c r="LA10" s="6">
        <f>日流量!LA10*24*3600/100000000</f>
        <v>3.3782399999999999</v>
      </c>
      <c r="LB10" s="6">
        <f>日流量!LB10*24*3600/100000000</f>
        <v>3.3177599999999998</v>
      </c>
      <c r="LC10" s="6">
        <f>日流量!LC10*24*3600/100000000</f>
        <v>3.2745600000000001</v>
      </c>
      <c r="LD10" s="6">
        <f>日流量!LD10*24*3600/100000000</f>
        <v>3.1708799999999999</v>
      </c>
      <c r="LE10" s="6">
        <f>日流量!LE10*24*3600/100000000</f>
        <v>3.0931199999999999</v>
      </c>
      <c r="LF10" s="6">
        <f>日流量!LF10*24*3600/100000000</f>
        <v>3.0067200000000001</v>
      </c>
      <c r="LG10" s="6">
        <f>日流量!LG10*24*3600/100000000</f>
        <v>2.9548800000000002</v>
      </c>
      <c r="LH10" s="6">
        <f>日流量!LH10*24*3600/100000000</f>
        <v>2.9030399999999998</v>
      </c>
      <c r="LI10" s="6">
        <f>日流量!LI10*24*3600/100000000</f>
        <v>2.83392</v>
      </c>
      <c r="LJ10" s="6">
        <f>日流量!LJ10*24*3600/100000000</f>
        <v>2.7734399999999999</v>
      </c>
      <c r="LK10" s="6">
        <f>日流量!LK10*24*3600/100000000</f>
        <v>2.7216</v>
      </c>
      <c r="LL10" s="6">
        <f>日流量!LL10*24*3600/100000000</f>
        <v>2.6611199999999999</v>
      </c>
      <c r="LM10" s="6">
        <f>日流量!LM10*24*3600/100000000</f>
        <v>2.6179199999999998</v>
      </c>
      <c r="LN10" s="6">
        <f>日流量!LN10*24*3600/100000000</f>
        <v>2.5747200000000001</v>
      </c>
      <c r="LO10" s="6">
        <f>日流量!LO10*24*3600/100000000</f>
        <v>2.5228799999999998</v>
      </c>
      <c r="LP10" s="6">
        <f>日流量!LP10*24*3600/100000000</f>
        <v>2.4796800000000001</v>
      </c>
      <c r="LQ10" s="6">
        <f>日流量!LQ10*24*3600/100000000</f>
        <v>2.4451200000000002</v>
      </c>
      <c r="LR10" s="6">
        <f>日流量!LR10*24*3600/100000000</f>
        <v>2.4105599999999998</v>
      </c>
      <c r="LS10" s="6">
        <f>日流量!LS10*24*3600/100000000</f>
        <v>2.3759999999999999</v>
      </c>
      <c r="LT10" s="6">
        <f>日流量!LT10*24*3600/100000000</f>
        <v>2.3500800000000002</v>
      </c>
      <c r="LU10" s="6">
        <f>日流量!LU10*24*3600/100000000</f>
        <v>2.3155199999999998</v>
      </c>
      <c r="LV10" s="6">
        <f>日流量!LV10*24*3600/100000000</f>
        <v>2.2896000000000001</v>
      </c>
      <c r="LW10" s="6">
        <f>日流量!LW10*24*3600/100000000</f>
        <v>2.2464</v>
      </c>
      <c r="LX10" s="6">
        <f>日流量!LX10*24*3600/100000000</f>
        <v>2.2204799999999998</v>
      </c>
      <c r="LY10" s="6">
        <f>日流量!LY10*24*3600/100000000</f>
        <v>2.21184</v>
      </c>
      <c r="LZ10" s="6">
        <f>日流量!LZ10*24*3600/100000000</f>
        <v>2.2377600000000002</v>
      </c>
      <c r="MA10" s="6">
        <f>日流量!MA10*24*3600/100000000</f>
        <v>2.2204799999999998</v>
      </c>
      <c r="MB10" s="6">
        <f>日流量!MB10*24*3600/100000000</f>
        <v>2.1859199999999999</v>
      </c>
      <c r="MC10" s="6">
        <f>日流量!MC10*24*3600/100000000</f>
        <v>2.1427200000000002</v>
      </c>
      <c r="MD10" s="6">
        <f>日流量!MD10*24*3600/100000000</f>
        <v>2.1081599999999998</v>
      </c>
      <c r="ME10" s="6">
        <f>日流量!ME10*24*3600/100000000</f>
        <v>2.0735999999999999</v>
      </c>
      <c r="MF10" s="6">
        <f>日流量!MF10*24*3600/100000000</f>
        <v>2.03904</v>
      </c>
      <c r="MG10" s="6">
        <f>日流量!MG10*24*3600/100000000</f>
        <v>2.02176</v>
      </c>
      <c r="MH10" s="6">
        <f>日流量!MH10*24*3600/100000000</f>
        <v>1.9872000000000001</v>
      </c>
      <c r="MI10" s="6">
        <f>日流量!MI10*24*3600/100000000</f>
        <v>1.9699199999999999</v>
      </c>
      <c r="MJ10" s="6">
        <f>日流量!MJ10*24*3600/100000000</f>
        <v>1.93536</v>
      </c>
      <c r="MK10" s="6">
        <f>日流量!MK10*24*3600/100000000</f>
        <v>1.91808</v>
      </c>
      <c r="ML10" s="6">
        <f>日流量!ML10*24*3600/100000000</f>
        <v>1.8835200000000001</v>
      </c>
      <c r="MM10" s="6">
        <f>日流量!MM10*24*3600/100000000</f>
        <v>1.8835200000000001</v>
      </c>
      <c r="MN10" s="6">
        <f>日流量!MN10*24*3600/100000000</f>
        <v>1.8489599999999999</v>
      </c>
      <c r="MO10" s="6">
        <f>日流量!MO10*24*3600/100000000</f>
        <v>1.83168</v>
      </c>
      <c r="MP10" s="6">
        <f>日流量!MP10*24*3600/100000000</f>
        <v>1.80576</v>
      </c>
      <c r="MQ10" s="6">
        <f>日流量!MQ10*24*3600/100000000</f>
        <v>1.7625599999999999</v>
      </c>
      <c r="MR10" s="6">
        <f>日流量!MR10*24*3600/100000000</f>
        <v>1.728</v>
      </c>
      <c r="MS10" s="6">
        <f>日流量!MS10*24*3600/100000000</f>
        <v>1.6934400000000001</v>
      </c>
      <c r="MT10" s="6">
        <f>日流量!MT10*24*3600/100000000</f>
        <v>1.6415999999999999</v>
      </c>
      <c r="MU10" s="6">
        <f>日流量!MU10*24*3600/100000000</f>
        <v>1.6415999999999999</v>
      </c>
      <c r="MV10" s="6">
        <f>日流量!MV10*24*3600/100000000</f>
        <v>1.63296</v>
      </c>
      <c r="MW10" s="6">
        <f>日流量!MW10*24*3600/100000000</f>
        <v>1.61568</v>
      </c>
      <c r="MX10" s="6">
        <f>日流量!MX10*24*3600/100000000</f>
        <v>1.5984</v>
      </c>
      <c r="MY10" s="6">
        <f>日流量!MY10*24*3600/100000000</f>
        <v>1.5811200000000001</v>
      </c>
      <c r="MZ10" s="6">
        <f>日流量!MZ10*24*3600/100000000</f>
        <v>1.5638399999999999</v>
      </c>
      <c r="NA10" s="6">
        <f>日流量!NA10*24*3600/100000000</f>
        <v>1.5465599999999999</v>
      </c>
      <c r="NB10" s="6">
        <f>日流量!NB10*24*3600/100000000</f>
        <v>1.5465599999999999</v>
      </c>
      <c r="NC10" s="6"/>
      <c r="ND10" s="6">
        <f>日流量!ND10*24*3600*31/100000000</f>
        <v>39.640320000000003</v>
      </c>
      <c r="NE10" s="6">
        <f>日流量!NE10*24*3600*28/100000000</f>
        <v>31.691520000000001</v>
      </c>
      <c r="NF10" s="6">
        <f>日流量!NF10*24*3600*31/100000000</f>
        <v>33.747839999999997</v>
      </c>
      <c r="NG10" s="6">
        <f>日流量!NG10*24*3600*30/100000000</f>
        <v>36.028799999999997</v>
      </c>
      <c r="NH10" s="6">
        <f>日流量!NH10*24*3600*31/100000000</f>
        <v>51.157440000000001</v>
      </c>
      <c r="NI10" s="6">
        <f>日流量!NI10*24*3600*30/100000000</f>
        <v>118.45440000000001</v>
      </c>
      <c r="NJ10" s="6">
        <f>日流量!NJ10*24*3600*31/100000000</f>
        <v>299.98079999999999</v>
      </c>
      <c r="NK10" s="6">
        <f>日流量!NK10*24*3600*31/100000000</f>
        <v>299.98079999999999</v>
      </c>
      <c r="NL10" s="6">
        <f>日流量!NL10*24*3600*30/100000000</f>
        <v>187.66079999999999</v>
      </c>
      <c r="NM10" s="6">
        <f>日流量!NM10*24*3600*31/100000000</f>
        <v>222.84288000000001</v>
      </c>
      <c r="NN10" s="6">
        <f>日流量!NN10*24*3600*30/100000000</f>
        <v>87.350399999999993</v>
      </c>
      <c r="NO10" s="6">
        <f>日流量!NO10*24*3600*31/100000000</f>
        <v>57.31776</v>
      </c>
      <c r="NP10" s="14">
        <f t="shared" si="10"/>
        <v>1465.85376</v>
      </c>
      <c r="NQ10" s="6">
        <f>日流量!NQ10*24*3600/100000000</f>
        <v>17.107199999999999</v>
      </c>
      <c r="NR10" s="4">
        <f>日流量!NR10</f>
        <v>42589</v>
      </c>
      <c r="NS10" s="6">
        <f>日流量!NS10*24*3600/100000000</f>
        <v>1.0627200000000001</v>
      </c>
      <c r="NT10" s="4">
        <f>日流量!NT10</f>
        <v>42436</v>
      </c>
      <c r="NU10" s="7">
        <f>日流量!NP10</f>
        <v>4641.9452054794519</v>
      </c>
      <c r="NW10" s="13">
        <f t="shared" si="0"/>
        <v>1180.0771199999999</v>
      </c>
      <c r="NX10" s="12">
        <f t="shared" si="1"/>
        <v>80.504423579061523</v>
      </c>
      <c r="NY10" s="13">
        <f t="shared" si="2"/>
        <v>906.07679999999993</v>
      </c>
      <c r="NZ10" s="12">
        <f t="shared" si="3"/>
        <v>61.812223342115658</v>
      </c>
      <c r="OA10" s="13">
        <f t="shared" si="4"/>
        <v>285.77664000000004</v>
      </c>
      <c r="OB10" s="12">
        <f t="shared" si="5"/>
        <v>19.495576420938473</v>
      </c>
      <c r="OC10" s="13">
        <f t="shared" si="6"/>
        <v>299.98079999999999</v>
      </c>
      <c r="OD10" s="12">
        <f t="shared" si="7"/>
        <v>20.464578949539959</v>
      </c>
      <c r="OE10" s="12">
        <f t="shared" si="8"/>
        <v>342.48919626168231</v>
      </c>
      <c r="OF10" s="12">
        <f t="shared" si="9"/>
        <v>10.860261170144669</v>
      </c>
    </row>
    <row r="11" spans="1:397" x14ac:dyDescent="0.15">
      <c r="A11" s="2">
        <v>1958</v>
      </c>
      <c r="B11" s="6">
        <f>日流量!B11*24*3600/100000000</f>
        <v>1.63296</v>
      </c>
      <c r="C11" s="6">
        <f>日流量!C11*24*3600/100000000</f>
        <v>1.63296</v>
      </c>
      <c r="D11" s="6">
        <f>日流量!D11*24*3600/100000000</f>
        <v>1.61568</v>
      </c>
      <c r="E11" s="6">
        <f>日流量!E11*24*3600/100000000</f>
        <v>1.61568</v>
      </c>
      <c r="F11" s="6">
        <f>日流量!F11*24*3600/100000000</f>
        <v>1.62432</v>
      </c>
      <c r="G11" s="6">
        <f>日流量!G11*24*3600/100000000</f>
        <v>1.61568</v>
      </c>
      <c r="H11" s="6">
        <f>日流量!H11*24*3600/100000000</f>
        <v>1.61568</v>
      </c>
      <c r="I11" s="6">
        <f>日流量!I11*24*3600/100000000</f>
        <v>1.61568</v>
      </c>
      <c r="J11" s="6">
        <f>日流量!J11*24*3600/100000000</f>
        <v>1.5984</v>
      </c>
      <c r="K11" s="6">
        <f>日流量!K11*24*3600/100000000</f>
        <v>1.5984</v>
      </c>
      <c r="L11" s="6">
        <f>日流量!L11*24*3600/100000000</f>
        <v>1.5638399999999999</v>
      </c>
      <c r="M11" s="6">
        <f>日流量!M11*24*3600/100000000</f>
        <v>1.52064</v>
      </c>
      <c r="N11" s="6">
        <f>日流量!N11*24*3600/100000000</f>
        <v>1.49472</v>
      </c>
      <c r="O11" s="6">
        <f>日流量!O11*24*3600/100000000</f>
        <v>1.4774400000000001</v>
      </c>
      <c r="P11" s="6">
        <f>日流量!P11*24*3600/100000000</f>
        <v>1.4601599999999999</v>
      </c>
      <c r="Q11" s="6">
        <f>日流量!Q11*24*3600/100000000</f>
        <v>1.4515199999999999</v>
      </c>
      <c r="R11" s="6">
        <f>日流量!R11*24*3600/100000000</f>
        <v>1.4428799999999999</v>
      </c>
      <c r="S11" s="6">
        <f>日流量!S11*24*3600/100000000</f>
        <v>1.4256</v>
      </c>
      <c r="T11" s="6">
        <f>日流量!T11*24*3600/100000000</f>
        <v>1.39968</v>
      </c>
      <c r="U11" s="6">
        <f>日流量!U11*24*3600/100000000</f>
        <v>1.3824000000000001</v>
      </c>
      <c r="V11" s="6">
        <f>日流量!V11*24*3600/100000000</f>
        <v>1.3737600000000001</v>
      </c>
      <c r="W11" s="6">
        <f>日流量!W11*24*3600/100000000</f>
        <v>1.3651199999999999</v>
      </c>
      <c r="X11" s="6">
        <f>日流量!X11*24*3600/100000000</f>
        <v>1.3478399999999999</v>
      </c>
      <c r="Y11" s="6">
        <f>日流量!Y11*24*3600/100000000</f>
        <v>1.3391999999999999</v>
      </c>
      <c r="Z11" s="6">
        <f>日流量!Z11*24*3600/100000000</f>
        <v>1.32192</v>
      </c>
      <c r="AA11" s="6">
        <f>日流量!AA11*24*3600/100000000</f>
        <v>1.30464</v>
      </c>
      <c r="AB11" s="6">
        <f>日流量!AB11*24*3600/100000000</f>
        <v>1.30464</v>
      </c>
      <c r="AC11" s="6">
        <f>日流量!AC11*24*3600/100000000</f>
        <v>1.2873600000000001</v>
      </c>
      <c r="AD11" s="6">
        <f>日流量!AD11*24*3600/100000000</f>
        <v>1.2873600000000001</v>
      </c>
      <c r="AE11" s="6">
        <f>日流量!AE11*24*3600/100000000</f>
        <v>1.2873600000000001</v>
      </c>
      <c r="AF11" s="6">
        <f>日流量!AF11*24*3600/100000000</f>
        <v>1.2873600000000001</v>
      </c>
      <c r="AG11" s="6">
        <f>日流量!AG11*24*3600/100000000</f>
        <v>1.296</v>
      </c>
      <c r="AH11" s="6">
        <f>日流量!AH11*24*3600/100000000</f>
        <v>1.2873600000000001</v>
      </c>
      <c r="AI11" s="6">
        <f>日流量!AI11*24*3600/100000000</f>
        <v>1.2873600000000001</v>
      </c>
      <c r="AJ11" s="6">
        <f>日流量!AJ11*24*3600/100000000</f>
        <v>1.2873600000000001</v>
      </c>
      <c r="AK11" s="6">
        <f>日流量!AK11*24*3600/100000000</f>
        <v>1.2700800000000001</v>
      </c>
      <c r="AL11" s="6">
        <f>日流量!AL11*24*3600/100000000</f>
        <v>1.2527999999999999</v>
      </c>
      <c r="AM11" s="6">
        <f>日流量!AM11*24*3600/100000000</f>
        <v>1.23552</v>
      </c>
      <c r="AN11" s="6">
        <f>日流量!AN11*24*3600/100000000</f>
        <v>1.22688</v>
      </c>
      <c r="AO11" s="6">
        <f>日流量!AO11*24*3600/100000000</f>
        <v>1.22688</v>
      </c>
      <c r="AP11" s="6">
        <f>日流量!AP11*24*3600/100000000</f>
        <v>1.2441599999999999</v>
      </c>
      <c r="AQ11" s="6">
        <f>日流量!AQ11*24*3600/100000000</f>
        <v>1.2527999999999999</v>
      </c>
      <c r="AR11" s="6">
        <f>日流量!AR11*24*3600/100000000</f>
        <v>1.2527999999999999</v>
      </c>
      <c r="AS11" s="6">
        <f>日流量!AS11*24*3600/100000000</f>
        <v>1.2614399999999999</v>
      </c>
      <c r="AT11" s="6">
        <f>日流量!AT11*24*3600/100000000</f>
        <v>1.2527999999999999</v>
      </c>
      <c r="AU11" s="6">
        <f>日流量!AU11*24*3600/100000000</f>
        <v>1.2527999999999999</v>
      </c>
      <c r="AV11" s="6">
        <f>日流量!AV11*24*3600/100000000</f>
        <v>1.2527999999999999</v>
      </c>
      <c r="AW11" s="6">
        <f>日流量!AW11*24*3600/100000000</f>
        <v>1.2614399999999999</v>
      </c>
      <c r="AX11" s="6">
        <f>日流量!AX11*24*3600/100000000</f>
        <v>1.2700800000000001</v>
      </c>
      <c r="AY11" s="6">
        <f>日流量!AY11*24*3600/100000000</f>
        <v>1.2700800000000001</v>
      </c>
      <c r="AZ11" s="6">
        <f>日流量!AZ11*24*3600/100000000</f>
        <v>1.2527999999999999</v>
      </c>
      <c r="BA11" s="6">
        <f>日流量!BA11*24*3600/100000000</f>
        <v>1.2527999999999999</v>
      </c>
      <c r="BB11" s="6">
        <f>日流量!BB11*24*3600/100000000</f>
        <v>1.2527999999999999</v>
      </c>
      <c r="BC11" s="6">
        <f>日流量!BC11*24*3600/100000000</f>
        <v>1.2441599999999999</v>
      </c>
      <c r="BD11" s="6">
        <f>日流量!BD11*24*3600/100000000</f>
        <v>1.2441599999999999</v>
      </c>
      <c r="BE11" s="6">
        <f>日流量!BE11*24*3600/100000000</f>
        <v>1.22688</v>
      </c>
      <c r="BF11" s="6">
        <f>日流量!BF11*24*3600/100000000</f>
        <v>1.2096</v>
      </c>
      <c r="BG11" s="6">
        <f>日流量!BG11*24*3600/100000000</f>
        <v>1.19232</v>
      </c>
      <c r="BH11" s="6">
        <f>日流量!BH11*24*3600/100000000</f>
        <v>1.1750400000000001</v>
      </c>
      <c r="BI11" s="6"/>
      <c r="BJ11" s="6">
        <f>日流量!BJ11*24*3600/100000000</f>
        <v>1.1577599999999999</v>
      </c>
      <c r="BK11" s="6">
        <f>日流量!BK11*24*3600/100000000</f>
        <v>1.1491199999999999</v>
      </c>
      <c r="BL11" s="6">
        <f>日流量!BL11*24*3600/100000000</f>
        <v>1.13184</v>
      </c>
      <c r="BM11" s="6">
        <f>日流量!BM11*24*3600/100000000</f>
        <v>1.11456</v>
      </c>
      <c r="BN11" s="6">
        <f>日流量!BN11*24*3600/100000000</f>
        <v>1.11456</v>
      </c>
      <c r="BO11" s="6">
        <f>日流量!BO11*24*3600/100000000</f>
        <v>1.10592</v>
      </c>
      <c r="BP11" s="6">
        <f>日流量!BP11*24*3600/100000000</f>
        <v>1.10592</v>
      </c>
      <c r="BQ11" s="6">
        <f>日流量!BQ11*24*3600/100000000</f>
        <v>1.10592</v>
      </c>
      <c r="BR11" s="6">
        <f>日流量!BR11*24*3600/100000000</f>
        <v>1.10592</v>
      </c>
      <c r="BS11" s="6">
        <f>日流量!BS11*24*3600/100000000</f>
        <v>1.10592</v>
      </c>
      <c r="BT11" s="6">
        <f>日流量!BT11*24*3600/100000000</f>
        <v>1.10592</v>
      </c>
      <c r="BU11" s="6">
        <f>日流量!BU11*24*3600/100000000</f>
        <v>1.10592</v>
      </c>
      <c r="BV11" s="6">
        <f>日流量!BV11*24*3600/100000000</f>
        <v>1.0886400000000001</v>
      </c>
      <c r="BW11" s="6">
        <f>日流量!BW11*24*3600/100000000</f>
        <v>1.0713600000000001</v>
      </c>
      <c r="BX11" s="6">
        <f>日流量!BX11*24*3600/100000000</f>
        <v>1.0713600000000001</v>
      </c>
      <c r="BY11" s="6">
        <f>日流量!BY11*24*3600/100000000</f>
        <v>1.0713600000000001</v>
      </c>
      <c r="BZ11" s="6">
        <f>日流量!BZ11*24*3600/100000000</f>
        <v>1.0886400000000001</v>
      </c>
      <c r="CA11" s="6">
        <f>日流量!CA11*24*3600/100000000</f>
        <v>1.0886400000000001</v>
      </c>
      <c r="CB11" s="6">
        <f>日流量!CB11*24*3600/100000000</f>
        <v>1.0886400000000001</v>
      </c>
      <c r="CC11" s="6">
        <f>日流量!CC11*24*3600/100000000</f>
        <v>1.0886400000000001</v>
      </c>
      <c r="CD11" s="6">
        <f>日流量!CD11*24*3600/100000000</f>
        <v>1.08</v>
      </c>
      <c r="CE11" s="6">
        <f>日流量!CE11*24*3600/100000000</f>
        <v>1.0713600000000001</v>
      </c>
      <c r="CF11" s="6">
        <f>日流量!CF11*24*3600/100000000</f>
        <v>1.0540799999999999</v>
      </c>
      <c r="CG11" s="6">
        <f>日流量!CG11*24*3600/100000000</f>
        <v>1.0454399999999999</v>
      </c>
      <c r="CH11" s="6">
        <f>日流量!CH11*24*3600/100000000</f>
        <v>1.0454399999999999</v>
      </c>
      <c r="CI11" s="6">
        <f>日流量!CI11*24*3600/100000000</f>
        <v>1.0454399999999999</v>
      </c>
      <c r="CJ11" s="6">
        <f>日流量!CJ11*24*3600/100000000</f>
        <v>1.0454399999999999</v>
      </c>
      <c r="CK11" s="6">
        <f>日流量!CK11*24*3600/100000000</f>
        <v>1.0627200000000001</v>
      </c>
      <c r="CL11" s="6">
        <f>日流量!CL11*24*3600/100000000</f>
        <v>1.0886400000000001</v>
      </c>
      <c r="CM11" s="6">
        <f>日流量!CM11*24*3600/100000000</f>
        <v>1.10592</v>
      </c>
      <c r="CN11" s="6">
        <f>日流量!CN11*24*3600/100000000</f>
        <v>1.10592</v>
      </c>
      <c r="CO11" s="6">
        <f>日流量!CO11*24*3600/100000000</f>
        <v>1.10592</v>
      </c>
      <c r="CP11" s="6">
        <f>日流量!CP11*24*3600/100000000</f>
        <v>1.10592</v>
      </c>
      <c r="CQ11" s="6">
        <f>日流量!CQ11*24*3600/100000000</f>
        <v>1.10592</v>
      </c>
      <c r="CR11" s="6">
        <f>日流量!CR11*24*3600/100000000</f>
        <v>1.13184</v>
      </c>
      <c r="CS11" s="6">
        <f>日流量!CS11*24*3600/100000000</f>
        <v>1.19232</v>
      </c>
      <c r="CT11" s="6">
        <f>日流量!CT11*24*3600/100000000</f>
        <v>1.22688</v>
      </c>
      <c r="CU11" s="6">
        <f>日流量!CU11*24*3600/100000000</f>
        <v>1.22688</v>
      </c>
      <c r="CV11" s="6">
        <f>日流量!CV11*24*3600/100000000</f>
        <v>1.22688</v>
      </c>
      <c r="CW11" s="6">
        <f>日流量!CW11*24*3600/100000000</f>
        <v>1.2441599999999999</v>
      </c>
      <c r="CX11" s="6">
        <f>日流量!CX11*24*3600/100000000</f>
        <v>1.2527999999999999</v>
      </c>
      <c r="CY11" s="6">
        <f>日流量!CY11*24*3600/100000000</f>
        <v>1.21824</v>
      </c>
      <c r="CZ11" s="6">
        <f>日流量!CZ11*24*3600/100000000</f>
        <v>1.19232</v>
      </c>
      <c r="DA11" s="6">
        <f>日流量!DA11*24*3600/100000000</f>
        <v>1.2096</v>
      </c>
      <c r="DB11" s="6">
        <f>日流量!DB11*24*3600/100000000</f>
        <v>1.2441599999999999</v>
      </c>
      <c r="DC11" s="6">
        <f>日流量!DC11*24*3600/100000000</f>
        <v>1.2873600000000001</v>
      </c>
      <c r="DD11" s="6">
        <f>日流量!DD11*24*3600/100000000</f>
        <v>1.30464</v>
      </c>
      <c r="DE11" s="6">
        <f>日流量!DE11*24*3600/100000000</f>
        <v>1.30464</v>
      </c>
      <c r="DF11" s="6">
        <f>日流量!DF11*24*3600/100000000</f>
        <v>1.2527999999999999</v>
      </c>
      <c r="DG11" s="6">
        <f>日流量!DG11*24*3600/100000000</f>
        <v>1.21824</v>
      </c>
      <c r="DH11" s="6">
        <f>日流量!DH11*24*3600/100000000</f>
        <v>1.1836800000000001</v>
      </c>
      <c r="DI11" s="6">
        <f>日流量!DI11*24*3600/100000000</f>
        <v>1.1750400000000001</v>
      </c>
      <c r="DJ11" s="6">
        <f>日流量!DJ11*24*3600/100000000</f>
        <v>1.22688</v>
      </c>
      <c r="DK11" s="6">
        <f>日流量!DK11*24*3600/100000000</f>
        <v>1.296</v>
      </c>
      <c r="DL11" s="6">
        <f>日流量!DL11*24*3600/100000000</f>
        <v>1.3391999999999999</v>
      </c>
      <c r="DM11" s="6">
        <f>日流量!DM11*24*3600/100000000</f>
        <v>1.3564799999999999</v>
      </c>
      <c r="DN11" s="6">
        <f>日流量!DN11*24*3600/100000000</f>
        <v>1.3824000000000001</v>
      </c>
      <c r="DO11" s="6">
        <f>日流量!DO11*24*3600/100000000</f>
        <v>1.3737600000000001</v>
      </c>
      <c r="DP11" s="6">
        <f>日流量!DP11*24*3600/100000000</f>
        <v>1.3824000000000001</v>
      </c>
      <c r="DQ11" s="6">
        <f>日流量!DQ11*24*3600/100000000</f>
        <v>1.3824000000000001</v>
      </c>
      <c r="DR11" s="6">
        <f>日流量!DR11*24*3600/100000000</f>
        <v>1.3910400000000001</v>
      </c>
      <c r="DS11" s="6">
        <f>日流量!DS11*24*3600/100000000</f>
        <v>1.39968</v>
      </c>
      <c r="DT11" s="6">
        <f>日流量!DT11*24*3600/100000000</f>
        <v>1.39968</v>
      </c>
      <c r="DU11" s="6">
        <f>日流量!DU11*24*3600/100000000</f>
        <v>1.4428799999999999</v>
      </c>
      <c r="DV11" s="6">
        <f>日流量!DV11*24*3600/100000000</f>
        <v>1.52064</v>
      </c>
      <c r="DW11" s="6">
        <f>日流量!DW11*24*3600/100000000</f>
        <v>1.60704</v>
      </c>
      <c r="DX11" s="6">
        <f>日流量!DX11*24*3600/100000000</f>
        <v>1.63296</v>
      </c>
      <c r="DY11" s="6">
        <f>日流量!DY11*24*3600/100000000</f>
        <v>1.5984</v>
      </c>
      <c r="DZ11" s="6">
        <f>日流量!DZ11*24*3600/100000000</f>
        <v>1.52928</v>
      </c>
      <c r="EA11" s="6">
        <f>日流量!EA11*24*3600/100000000</f>
        <v>1.4601599999999999</v>
      </c>
      <c r="EB11" s="6">
        <f>日流量!EB11*24*3600/100000000</f>
        <v>1.43424</v>
      </c>
      <c r="EC11" s="6">
        <f>日流量!EC11*24*3600/100000000</f>
        <v>1.4428799999999999</v>
      </c>
      <c r="ED11" s="6">
        <f>日流量!ED11*24*3600/100000000</f>
        <v>1.4860800000000001</v>
      </c>
      <c r="EE11" s="6">
        <f>日流量!EE11*24*3600/100000000</f>
        <v>1.512</v>
      </c>
      <c r="EF11" s="6">
        <f>日流量!EF11*24*3600/100000000</f>
        <v>1.49472</v>
      </c>
      <c r="EG11" s="6">
        <f>日流量!EG11*24*3600/100000000</f>
        <v>1.4774400000000001</v>
      </c>
      <c r="EH11" s="6">
        <f>日流量!EH11*24*3600/100000000</f>
        <v>1.4860800000000001</v>
      </c>
      <c r="EI11" s="6">
        <f>日流量!EI11*24*3600/100000000</f>
        <v>1.49472</v>
      </c>
      <c r="EJ11" s="6">
        <f>日流量!EJ11*24*3600/100000000</f>
        <v>1.4515199999999999</v>
      </c>
      <c r="EK11" s="6">
        <f>日流量!EK11*24*3600/100000000</f>
        <v>1.4428799999999999</v>
      </c>
      <c r="EL11" s="6">
        <f>日流量!EL11*24*3600/100000000</f>
        <v>1.4515199999999999</v>
      </c>
      <c r="EM11" s="6">
        <f>日流量!EM11*24*3600/100000000</f>
        <v>1.4428799999999999</v>
      </c>
      <c r="EN11" s="6">
        <f>日流量!EN11*24*3600/100000000</f>
        <v>1.4601599999999999</v>
      </c>
      <c r="EO11" s="6">
        <f>日流量!EO11*24*3600/100000000</f>
        <v>1.60704</v>
      </c>
      <c r="EP11" s="6">
        <f>日流量!EP11*24*3600/100000000</f>
        <v>1.7539199999999999</v>
      </c>
      <c r="EQ11" s="6">
        <f>日流量!EQ11*24*3600/100000000</f>
        <v>1.8748800000000001</v>
      </c>
      <c r="ER11" s="6">
        <f>日流量!ER11*24*3600/100000000</f>
        <v>2.0822400000000001</v>
      </c>
      <c r="ES11" s="6">
        <f>日流量!ES11*24*3600/100000000</f>
        <v>2.2377600000000002</v>
      </c>
      <c r="ET11" s="6">
        <f>日流量!ET11*24*3600/100000000</f>
        <v>2.2464</v>
      </c>
      <c r="EU11" s="6">
        <f>日流量!EU11*24*3600/100000000</f>
        <v>2.1945600000000001</v>
      </c>
      <c r="EV11" s="6">
        <f>日流量!EV11*24*3600/100000000</f>
        <v>2.1081599999999998</v>
      </c>
      <c r="EW11" s="6">
        <f>日流量!EW11*24*3600/100000000</f>
        <v>2.00448</v>
      </c>
      <c r="EX11" s="6">
        <f>日流量!EX11*24*3600/100000000</f>
        <v>1.9612799999999999</v>
      </c>
      <c r="EY11" s="6">
        <f>日流量!EY11*24*3600/100000000</f>
        <v>1.944</v>
      </c>
      <c r="EZ11" s="6">
        <f>日流量!EZ11*24*3600/100000000</f>
        <v>1.9008</v>
      </c>
      <c r="FA11" s="6">
        <f>日流量!FA11*24*3600/100000000</f>
        <v>1.8748800000000001</v>
      </c>
      <c r="FB11" s="6">
        <f>日流量!FB11*24*3600/100000000</f>
        <v>1.8835200000000001</v>
      </c>
      <c r="FC11" s="6">
        <f>日流量!FC11*24*3600/100000000</f>
        <v>1.90944</v>
      </c>
      <c r="FD11" s="6">
        <f>日流量!FD11*24*3600/100000000</f>
        <v>2.00448</v>
      </c>
      <c r="FE11" s="6">
        <f>日流量!FE11*24*3600/100000000</f>
        <v>2.0476800000000002</v>
      </c>
      <c r="FF11" s="6">
        <f>日流量!FF11*24*3600/100000000</f>
        <v>2.0131199999999998</v>
      </c>
      <c r="FG11" s="6">
        <f>日流量!FG11*24*3600/100000000</f>
        <v>1.9872000000000001</v>
      </c>
      <c r="FH11" s="6">
        <f>日流量!FH11*24*3600/100000000</f>
        <v>2.1686399999999999</v>
      </c>
      <c r="FI11" s="6">
        <f>日流量!FI11*24*3600/100000000</f>
        <v>2.1081599999999998</v>
      </c>
      <c r="FJ11" s="6">
        <f>日流量!FJ11*24*3600/100000000</f>
        <v>2.03904</v>
      </c>
      <c r="FK11" s="6">
        <f>日流量!FK11*24*3600/100000000</f>
        <v>1.9612799999999999</v>
      </c>
      <c r="FL11" s="6">
        <f>日流量!FL11*24*3600/100000000</f>
        <v>2.0735999999999999</v>
      </c>
      <c r="FM11" s="6">
        <f>日流量!FM11*24*3600/100000000</f>
        <v>2.6611199999999999</v>
      </c>
      <c r="FN11" s="6">
        <f>日流量!FN11*24*3600/100000000</f>
        <v>3.21408</v>
      </c>
      <c r="FO11" s="6">
        <f>日流量!FO11*24*3600/100000000</f>
        <v>2.9807999999999999</v>
      </c>
      <c r="FP11" s="6">
        <f>日流量!FP11*24*3600/100000000</f>
        <v>2.8079999999999998</v>
      </c>
      <c r="FQ11" s="6">
        <f>日流量!FQ11*24*3600/100000000</f>
        <v>2.8598400000000002</v>
      </c>
      <c r="FR11" s="6">
        <f>日流量!FR11*24*3600/100000000</f>
        <v>3.1536</v>
      </c>
      <c r="FS11" s="6">
        <f>日流量!FS11*24*3600/100000000</f>
        <v>3.2918400000000001</v>
      </c>
      <c r="FT11" s="6">
        <f>日流量!FT11*24*3600/100000000</f>
        <v>3.2227199999999998</v>
      </c>
      <c r="FU11" s="6">
        <f>日流量!FU11*24*3600/100000000</f>
        <v>3.0672000000000001</v>
      </c>
      <c r="FV11" s="6">
        <f>日流量!FV11*24*3600/100000000</f>
        <v>3.1968000000000001</v>
      </c>
      <c r="FW11" s="6">
        <f>日流量!FW11*24*3600/100000000</f>
        <v>3.7756799999999999</v>
      </c>
      <c r="FX11" s="6">
        <f>日流量!FX11*24*3600/100000000</f>
        <v>4.1817599999999997</v>
      </c>
      <c r="FY11" s="6">
        <f>日流量!FY11*24*3600/100000000</f>
        <v>3.9312</v>
      </c>
      <c r="FZ11" s="6">
        <f>日流量!FZ11*24*3600/100000000</f>
        <v>3.8620800000000002</v>
      </c>
      <c r="GA11" s="6">
        <f>日流量!GA11*24*3600/100000000</f>
        <v>4.0089600000000001</v>
      </c>
      <c r="GB11" s="6">
        <f>日流量!GB11*24*3600/100000000</f>
        <v>4.0089600000000001</v>
      </c>
      <c r="GC11" s="6">
        <f>日流量!GC11*24*3600/100000000</f>
        <v>3.85344</v>
      </c>
      <c r="GD11" s="6">
        <f>日流量!GD11*24*3600/100000000</f>
        <v>4.2854400000000004</v>
      </c>
      <c r="GE11" s="6">
        <f>日流量!GE11*24*3600/100000000</f>
        <v>5.1062399999999997</v>
      </c>
      <c r="GF11" s="6">
        <f>日流量!GF11*24*3600/100000000</f>
        <v>5.5555199999999996</v>
      </c>
      <c r="GG11" s="6">
        <f>日流量!GG11*24*3600/100000000</f>
        <v>6.3158399999999997</v>
      </c>
      <c r="GH11" s="6">
        <f>日流量!GH11*24*3600/100000000</f>
        <v>7.0848000000000004</v>
      </c>
      <c r="GI11" s="6">
        <f>日流量!GI11*24*3600/100000000</f>
        <v>6.9119999999999999</v>
      </c>
      <c r="GJ11" s="6">
        <f>日流量!GJ11*24*3600/100000000</f>
        <v>6.2812799999999998</v>
      </c>
      <c r="GK11" s="6">
        <f>日流量!GK11*24*3600/100000000</f>
        <v>5.7974399999999999</v>
      </c>
      <c r="GL11" s="6">
        <f>日流量!GL11*24*3600/100000000</f>
        <v>5.3740800000000002</v>
      </c>
      <c r="GM11" s="6">
        <f>日流量!GM11*24*3600/100000000</f>
        <v>5.9097600000000003</v>
      </c>
      <c r="GN11" s="6">
        <f>日流量!GN11*24*3600/100000000</f>
        <v>5.95296</v>
      </c>
      <c r="GO11" s="6">
        <f>日流量!GO11*24*3600/100000000</f>
        <v>5.4691200000000002</v>
      </c>
      <c r="GP11" s="6">
        <f>日流量!GP11*24*3600/100000000</f>
        <v>5.0975999999999999</v>
      </c>
      <c r="GQ11" s="6">
        <f>日流量!GQ11*24*3600/100000000</f>
        <v>5.4</v>
      </c>
      <c r="GR11" s="6">
        <f>日流量!GR11*24*3600/100000000</f>
        <v>5.3395200000000003</v>
      </c>
      <c r="GS11" s="6">
        <f>日流量!GS11*24*3600/100000000</f>
        <v>4.7260799999999996</v>
      </c>
      <c r="GT11" s="6">
        <f>日流量!GT11*24*3600/100000000</f>
        <v>4.64832</v>
      </c>
      <c r="GU11" s="6">
        <f>日流量!GU11*24*3600/100000000</f>
        <v>4.9420799999999998</v>
      </c>
      <c r="GV11" s="6">
        <f>日流量!GV11*24*3600/100000000</f>
        <v>4.7347200000000003</v>
      </c>
      <c r="GW11" s="6">
        <f>日流量!GW11*24*3600/100000000</f>
        <v>4.5014399999999997</v>
      </c>
      <c r="GX11" s="6">
        <f>日流量!GX11*24*3600/100000000</f>
        <v>5.1840000000000002</v>
      </c>
      <c r="GY11" s="6">
        <f>日流量!GY11*24*3600/100000000</f>
        <v>5.8838400000000002</v>
      </c>
      <c r="GZ11" s="6">
        <f>日流量!GZ11*24*3600/100000000</f>
        <v>5.6159999999999997</v>
      </c>
      <c r="HA11" s="6">
        <f>日流量!HA11*24*3600/100000000</f>
        <v>5.2271999999999998</v>
      </c>
      <c r="HB11" s="6">
        <f>日流量!HB11*24*3600/100000000</f>
        <v>4.7347200000000003</v>
      </c>
      <c r="HC11" s="6">
        <f>日流量!HC11*24*3600/100000000</f>
        <v>4.3632</v>
      </c>
      <c r="HD11" s="6">
        <f>日流量!HD11*24*3600/100000000</f>
        <v>4.4841600000000001</v>
      </c>
      <c r="HE11" s="6">
        <f>日流量!HE11*24*3600/100000000</f>
        <v>4.7001600000000003</v>
      </c>
      <c r="HF11" s="6">
        <f>日流量!HF11*24*3600/100000000</f>
        <v>5.4863999999999997</v>
      </c>
      <c r="HG11" s="6">
        <f>日流量!HG11*24*3600/100000000</f>
        <v>5.7715199999999998</v>
      </c>
      <c r="HH11" s="6">
        <f>日流量!HH11*24*3600/100000000</f>
        <v>5.7715199999999998</v>
      </c>
      <c r="HI11" s="6">
        <f>日流量!HI11*24*3600/100000000</f>
        <v>5.4604799999999996</v>
      </c>
      <c r="HJ11" s="6">
        <f>日流量!HJ11*24*3600/100000000</f>
        <v>5.6332800000000001</v>
      </c>
      <c r="HK11" s="6">
        <f>日流量!HK11*24*3600/100000000</f>
        <v>5.5209599999999996</v>
      </c>
      <c r="HL11" s="6">
        <f>日流量!HL11*24*3600/100000000</f>
        <v>5.5555199999999996</v>
      </c>
      <c r="HM11" s="6">
        <f>日流量!HM11*24*3600/100000000</f>
        <v>5.5209599999999996</v>
      </c>
      <c r="HN11" s="6">
        <f>日流量!HN11*24*3600/100000000</f>
        <v>5.6073599999999999</v>
      </c>
      <c r="HO11" s="6">
        <f>日流量!HO11*24*3600/100000000</f>
        <v>6.0393600000000003</v>
      </c>
      <c r="HP11" s="6">
        <f>日流量!HP11*24*3600/100000000</f>
        <v>6.6096000000000004</v>
      </c>
      <c r="HQ11" s="6">
        <f>日流量!HQ11*24*3600/100000000</f>
        <v>6.6009599999999997</v>
      </c>
      <c r="HR11" s="6">
        <f>日流量!HR11*24*3600/100000000</f>
        <v>6.1862399999999997</v>
      </c>
      <c r="HS11" s="6">
        <f>日流量!HS11*24*3600/100000000</f>
        <v>6.0393600000000003</v>
      </c>
      <c r="HT11" s="6">
        <f>日流量!HT11*24*3600/100000000</f>
        <v>6.87744</v>
      </c>
      <c r="HU11" s="6">
        <f>日流量!HU11*24*3600/100000000</f>
        <v>7.7500799999999996</v>
      </c>
      <c r="HV11" s="6">
        <f>日流量!HV11*24*3600/100000000</f>
        <v>7.6463999999999999</v>
      </c>
      <c r="HW11" s="6">
        <f>日流量!HW11*24*3600/100000000</f>
        <v>7.8451199999999996</v>
      </c>
      <c r="HX11" s="6">
        <f>日流量!HX11*24*3600/100000000</f>
        <v>8.8127999999999993</v>
      </c>
      <c r="HY11" s="6">
        <f>日流量!HY11*24*3600/100000000</f>
        <v>9.4176000000000002</v>
      </c>
      <c r="HZ11" s="6">
        <f>日流量!HZ11*24*3600/100000000</f>
        <v>10.281599999999999</v>
      </c>
      <c r="IA11" s="6">
        <f>日流量!IA11*24*3600/100000000</f>
        <v>10.8864</v>
      </c>
      <c r="IB11" s="6">
        <f>日流量!IB11*24*3600/100000000</f>
        <v>11.3184</v>
      </c>
      <c r="IC11" s="6">
        <f>日流量!IC11*24*3600/100000000</f>
        <v>12.528</v>
      </c>
      <c r="ID11" s="6">
        <f>日流量!ID11*24*3600/100000000</f>
        <v>13.3056</v>
      </c>
      <c r="IE11" s="6">
        <f>日流量!IE11*24*3600/100000000</f>
        <v>13.0464</v>
      </c>
      <c r="IF11" s="6">
        <f>日流量!IF11*24*3600/100000000</f>
        <v>12.268800000000001</v>
      </c>
      <c r="IG11" s="6">
        <f>日流量!IG11*24*3600/100000000</f>
        <v>12.268800000000001</v>
      </c>
      <c r="IH11" s="6">
        <f>日流量!IH11*24*3600/100000000</f>
        <v>12.441599999999999</v>
      </c>
      <c r="II11" s="6">
        <f>日流量!II11*24*3600/100000000</f>
        <v>12.441599999999999</v>
      </c>
      <c r="IJ11" s="6">
        <f>日流量!IJ11*24*3600/100000000</f>
        <v>12.441599999999999</v>
      </c>
      <c r="IK11" s="6">
        <f>日流量!IK11*24*3600/100000000</f>
        <v>12.528</v>
      </c>
      <c r="IL11" s="6">
        <f>日流量!IL11*24*3600/100000000</f>
        <v>13.219200000000001</v>
      </c>
      <c r="IM11" s="6">
        <f>日流量!IM11*24*3600/100000000</f>
        <v>13.1328</v>
      </c>
      <c r="IN11" s="6">
        <f>日流量!IN11*24*3600/100000000</f>
        <v>12.6144</v>
      </c>
      <c r="IO11" s="6">
        <f>日流量!IO11*24*3600/100000000</f>
        <v>11.3184</v>
      </c>
      <c r="IP11" s="6">
        <f>日流量!IP11*24*3600/100000000</f>
        <v>10.368</v>
      </c>
      <c r="IQ11" s="6">
        <f>日流量!IQ11*24*3600/100000000</f>
        <v>10.022399999999999</v>
      </c>
      <c r="IR11" s="6">
        <f>日流量!IR11*24*3600/100000000</f>
        <v>10.1952</v>
      </c>
      <c r="IS11" s="6">
        <f>日流量!IS11*24*3600/100000000</f>
        <v>10.6272</v>
      </c>
      <c r="IT11" s="6">
        <f>日流量!IT11*24*3600/100000000</f>
        <v>10.8</v>
      </c>
      <c r="IU11" s="6">
        <f>日流量!IU11*24*3600/100000000</f>
        <v>10.1952</v>
      </c>
      <c r="IV11" s="6">
        <f>日流量!IV11*24*3600/100000000</f>
        <v>9.2447999999999997</v>
      </c>
      <c r="IW11" s="6">
        <f>日流量!IW11*24*3600/100000000</f>
        <v>8.4326399999999992</v>
      </c>
      <c r="IX11" s="6">
        <f>日流量!IX11*24*3600/100000000</f>
        <v>7.8710399999999998</v>
      </c>
      <c r="IY11" s="6">
        <f>日流量!IY11*24*3600/100000000</f>
        <v>7.3526400000000001</v>
      </c>
      <c r="IZ11" s="6">
        <f>日流量!IZ11*24*3600/100000000</f>
        <v>6.9033600000000002</v>
      </c>
      <c r="JA11" s="6">
        <f>日流量!JA11*24*3600/100000000</f>
        <v>6.6787200000000002</v>
      </c>
      <c r="JB11" s="6">
        <f>日流量!JB11*24*3600/100000000</f>
        <v>6.6355199999999996</v>
      </c>
      <c r="JC11" s="6">
        <f>日流量!JC11*24*3600/100000000</f>
        <v>6.5750400000000004</v>
      </c>
      <c r="JD11" s="6">
        <f>日流量!JD11*24*3600/100000000</f>
        <v>6.7824</v>
      </c>
      <c r="JE11" s="6">
        <f>日流量!JE11*24*3600/100000000</f>
        <v>7.3958399999999997</v>
      </c>
      <c r="JF11" s="6">
        <f>日流量!JF11*24*3600/100000000</f>
        <v>6.87744</v>
      </c>
      <c r="JG11" s="6">
        <f>日流量!JG11*24*3600/100000000</f>
        <v>6.4540800000000003</v>
      </c>
      <c r="JH11" s="6">
        <f>日流量!JH11*24*3600/100000000</f>
        <v>6.0393600000000003</v>
      </c>
      <c r="JI11" s="6">
        <f>日流量!JI11*24*3600/100000000</f>
        <v>5.6937600000000002</v>
      </c>
      <c r="JJ11" s="6">
        <f>日流量!JJ11*24*3600/100000000</f>
        <v>5.3913599999999997</v>
      </c>
      <c r="JK11" s="6">
        <f>日流量!JK11*24*3600/100000000</f>
        <v>5.15808</v>
      </c>
      <c r="JL11" s="6">
        <f>日流量!JL11*24*3600/100000000</f>
        <v>4.9161599999999996</v>
      </c>
      <c r="JM11" s="6">
        <f>日流量!JM11*24*3600/100000000</f>
        <v>4.8902400000000004</v>
      </c>
      <c r="JN11" s="6">
        <f>日流量!JN11*24*3600/100000000</f>
        <v>4.7088000000000001</v>
      </c>
      <c r="JO11" s="6">
        <f>日流量!JO11*24*3600/100000000</f>
        <v>4.5446400000000002</v>
      </c>
      <c r="JP11" s="6">
        <f>日流量!JP11*24*3600/100000000</f>
        <v>4.5187200000000001</v>
      </c>
      <c r="JQ11" s="6">
        <f>日流量!JQ11*24*3600/100000000</f>
        <v>4.6223999999999998</v>
      </c>
      <c r="JR11" s="6">
        <f>日流量!JR11*24*3600/100000000</f>
        <v>4.5878399999999999</v>
      </c>
      <c r="JS11" s="6">
        <f>日流量!JS11*24*3600/100000000</f>
        <v>4.64832</v>
      </c>
      <c r="JT11" s="6">
        <f>日流量!JT11*24*3600/100000000</f>
        <v>4.7606400000000004</v>
      </c>
      <c r="JU11" s="6">
        <f>日流量!JU11*24*3600/100000000</f>
        <v>4.8902400000000004</v>
      </c>
      <c r="JV11" s="6">
        <f>日流量!JV11*24*3600/100000000</f>
        <v>5.0975999999999999</v>
      </c>
      <c r="JW11" s="6">
        <f>日流量!JW11*24*3600/100000000</f>
        <v>5.0889600000000002</v>
      </c>
      <c r="JX11" s="6">
        <f>日流量!JX11*24*3600/100000000</f>
        <v>4.9852800000000004</v>
      </c>
      <c r="JY11" s="6">
        <f>日流量!JY11*24*3600/100000000</f>
        <v>4.968</v>
      </c>
      <c r="JZ11" s="6">
        <f>日流量!JZ11*24*3600/100000000</f>
        <v>5.06304</v>
      </c>
      <c r="KA11" s="6">
        <f>日流量!KA11*24*3600/100000000</f>
        <v>5.2099200000000003</v>
      </c>
      <c r="KB11" s="6">
        <f>日流量!KB11*24*3600/100000000</f>
        <v>4.9507199999999996</v>
      </c>
      <c r="KC11" s="6">
        <f>日流量!KC11*24*3600/100000000</f>
        <v>4.7606400000000004</v>
      </c>
      <c r="KD11" s="6">
        <f>日流量!KD11*24*3600/100000000</f>
        <v>4.6137600000000001</v>
      </c>
      <c r="KE11" s="6">
        <f>日流量!KE11*24*3600/100000000</f>
        <v>4.5273599999999998</v>
      </c>
      <c r="KF11" s="6">
        <f>日流量!KF11*24*3600/100000000</f>
        <v>4.4668799999999997</v>
      </c>
      <c r="KG11" s="6">
        <f>日流量!KG11*24*3600/100000000</f>
        <v>4.3977599999999999</v>
      </c>
      <c r="KH11" s="6">
        <f>日流量!KH11*24*3600/100000000</f>
        <v>4.26816</v>
      </c>
      <c r="KI11" s="6">
        <f>日流量!KI11*24*3600/100000000</f>
        <v>4.1471999999999998</v>
      </c>
      <c r="KJ11" s="6">
        <f>日流量!KJ11*24*3600/100000000</f>
        <v>4.04352</v>
      </c>
      <c r="KK11" s="6">
        <f>日流量!KK11*24*3600/100000000</f>
        <v>3.9312</v>
      </c>
      <c r="KL11" s="6">
        <f>日流量!KL11*24*3600/100000000</f>
        <v>3.8188800000000001</v>
      </c>
      <c r="KM11" s="6">
        <f>日流量!KM11*24*3600/100000000</f>
        <v>3.72384</v>
      </c>
      <c r="KN11" s="6">
        <f>日流量!KN11*24*3600/100000000</f>
        <v>3.5855999999999999</v>
      </c>
      <c r="KO11" s="6">
        <f>日流量!KO11*24*3600/100000000</f>
        <v>3.5251199999999998</v>
      </c>
      <c r="KP11" s="6">
        <f>日流量!KP11*24*3600/100000000</f>
        <v>3.43872</v>
      </c>
      <c r="KQ11" s="6">
        <f>日流量!KQ11*24*3600/100000000</f>
        <v>3.3350399999999998</v>
      </c>
      <c r="KR11" s="6">
        <f>日流量!KR11*24*3600/100000000</f>
        <v>3.2918400000000001</v>
      </c>
      <c r="KS11" s="6">
        <f>日流量!KS11*24*3600/100000000</f>
        <v>3.2227199999999998</v>
      </c>
      <c r="KT11" s="6">
        <f>日流量!KT11*24*3600/100000000</f>
        <v>3.1881599999999999</v>
      </c>
      <c r="KU11" s="6">
        <f>日流量!KU11*24*3600/100000000</f>
        <v>3.1276799999999998</v>
      </c>
      <c r="KV11" s="6">
        <f>日流量!KV11*24*3600/100000000</f>
        <v>3.0672000000000001</v>
      </c>
      <c r="KW11" s="6">
        <f>日流量!KW11*24*3600/100000000</f>
        <v>2.9376000000000002</v>
      </c>
      <c r="KX11" s="6">
        <f>日流量!KX11*24*3600/100000000</f>
        <v>2.8512</v>
      </c>
      <c r="KY11" s="6">
        <f>日流量!KY11*24*3600/100000000</f>
        <v>2.7648000000000001</v>
      </c>
      <c r="KZ11" s="6">
        <f>日流量!KZ11*24*3600/100000000</f>
        <v>2.6870400000000001</v>
      </c>
      <c r="LA11" s="6">
        <f>日流量!LA11*24*3600/100000000</f>
        <v>2.6352000000000002</v>
      </c>
      <c r="LB11" s="6">
        <f>日流量!LB11*24*3600/100000000</f>
        <v>2.5833599999999999</v>
      </c>
      <c r="LC11" s="6">
        <f>日流量!LC11*24*3600/100000000</f>
        <v>2.5401600000000002</v>
      </c>
      <c r="LD11" s="6">
        <f>日流量!LD11*24*3600/100000000</f>
        <v>2.4883199999999999</v>
      </c>
      <c r="LE11" s="6">
        <f>日流量!LE11*24*3600/100000000</f>
        <v>2.4451200000000002</v>
      </c>
      <c r="LF11" s="6">
        <f>日流量!LF11*24*3600/100000000</f>
        <v>2.3932799999999999</v>
      </c>
      <c r="LG11" s="6">
        <f>日流量!LG11*24*3600/100000000</f>
        <v>2.3328000000000002</v>
      </c>
      <c r="LH11" s="6">
        <f>日流量!LH11*24*3600/100000000</f>
        <v>2.2982399999999998</v>
      </c>
      <c r="LI11" s="6">
        <f>日流量!LI11*24*3600/100000000</f>
        <v>2.2550400000000002</v>
      </c>
      <c r="LJ11" s="6">
        <f>日流量!LJ11*24*3600/100000000</f>
        <v>2.2204799999999998</v>
      </c>
      <c r="LK11" s="6">
        <f>日流量!LK11*24*3600/100000000</f>
        <v>2.1772800000000001</v>
      </c>
      <c r="LL11" s="6">
        <f>日流量!LL11*24*3600/100000000</f>
        <v>2.1427200000000002</v>
      </c>
      <c r="LM11" s="6">
        <f>日流量!LM11*24*3600/100000000</f>
        <v>2.1081599999999998</v>
      </c>
      <c r="LN11" s="6">
        <f>日流量!LN11*24*3600/100000000</f>
        <v>2.0735999999999999</v>
      </c>
      <c r="LO11" s="6">
        <f>日流量!LO11*24*3600/100000000</f>
        <v>2.02176</v>
      </c>
      <c r="LP11" s="6">
        <f>日流量!LP11*24*3600/100000000</f>
        <v>1.9958400000000001</v>
      </c>
      <c r="LQ11" s="6">
        <f>日流量!LQ11*24*3600/100000000</f>
        <v>1.9785600000000001</v>
      </c>
      <c r="LR11" s="6">
        <f>日流量!LR11*24*3600/100000000</f>
        <v>1.9612799999999999</v>
      </c>
      <c r="LS11" s="6">
        <f>日流量!LS11*24*3600/100000000</f>
        <v>1.944</v>
      </c>
      <c r="LT11" s="6">
        <f>日流量!LT11*24*3600/100000000</f>
        <v>1.91808</v>
      </c>
      <c r="LU11" s="6">
        <f>日流量!LU11*24*3600/100000000</f>
        <v>1.8921600000000001</v>
      </c>
      <c r="LV11" s="6">
        <f>日流量!LV11*24*3600/100000000</f>
        <v>1.8575999999999999</v>
      </c>
      <c r="LW11" s="6">
        <f>日流量!LW11*24*3600/100000000</f>
        <v>1.8144</v>
      </c>
      <c r="LX11" s="6">
        <f>日流量!LX11*24*3600/100000000</f>
        <v>1.7971200000000001</v>
      </c>
      <c r="LY11" s="6">
        <f>日流量!LY11*24*3600/100000000</f>
        <v>1.7971200000000001</v>
      </c>
      <c r="LZ11" s="6">
        <f>日流量!LZ11*24*3600/100000000</f>
        <v>1.7798400000000001</v>
      </c>
      <c r="MA11" s="6">
        <f>日流量!MA11*24*3600/100000000</f>
        <v>1.7539199999999999</v>
      </c>
      <c r="MB11" s="6">
        <f>日流量!MB11*24*3600/100000000</f>
        <v>1.728</v>
      </c>
      <c r="MC11" s="6">
        <f>日流量!MC11*24*3600/100000000</f>
        <v>1.71072</v>
      </c>
      <c r="MD11" s="6">
        <f>日流量!MD11*24*3600/100000000</f>
        <v>1.6848000000000001</v>
      </c>
      <c r="ME11" s="6">
        <f>日流量!ME11*24*3600/100000000</f>
        <v>1.6675199999999999</v>
      </c>
      <c r="MF11" s="6">
        <f>日流量!MF11*24*3600/100000000</f>
        <v>1.6502399999999999</v>
      </c>
      <c r="MG11" s="6">
        <f>日流量!MG11*24*3600/100000000</f>
        <v>1.61568</v>
      </c>
      <c r="MH11" s="6">
        <f>日流量!MH11*24*3600/100000000</f>
        <v>1.5984</v>
      </c>
      <c r="MI11" s="6">
        <f>日流量!MI11*24*3600/100000000</f>
        <v>1.5984</v>
      </c>
      <c r="MJ11" s="6">
        <f>日流量!MJ11*24*3600/100000000</f>
        <v>1.5984</v>
      </c>
      <c r="MK11" s="6">
        <f>日流量!MK11*24*3600/100000000</f>
        <v>1.5984</v>
      </c>
      <c r="ML11" s="6">
        <f>日流量!ML11*24*3600/100000000</f>
        <v>1.5897600000000001</v>
      </c>
      <c r="MM11" s="6">
        <f>日流量!MM11*24*3600/100000000</f>
        <v>1.5724800000000001</v>
      </c>
      <c r="MN11" s="6">
        <f>日流量!MN11*24*3600/100000000</f>
        <v>1.5465599999999999</v>
      </c>
      <c r="MO11" s="6">
        <f>日流量!MO11*24*3600/100000000</f>
        <v>1.49472</v>
      </c>
      <c r="MP11" s="6">
        <f>日流量!MP11*24*3600/100000000</f>
        <v>1.4688000000000001</v>
      </c>
      <c r="MQ11" s="6">
        <f>日流量!MQ11*24*3600/100000000</f>
        <v>1.43424</v>
      </c>
      <c r="MR11" s="6">
        <f>日流量!MR11*24*3600/100000000</f>
        <v>1.41696</v>
      </c>
      <c r="MS11" s="6">
        <f>日流量!MS11*24*3600/100000000</f>
        <v>1.40832</v>
      </c>
      <c r="MT11" s="6">
        <f>日流量!MT11*24*3600/100000000</f>
        <v>1.40832</v>
      </c>
      <c r="MU11" s="6">
        <f>日流量!MU11*24*3600/100000000</f>
        <v>1.39968</v>
      </c>
      <c r="MV11" s="6">
        <f>日流量!MV11*24*3600/100000000</f>
        <v>1.3564799999999999</v>
      </c>
      <c r="MW11" s="6">
        <f>日流量!MW11*24*3600/100000000</f>
        <v>1.33056</v>
      </c>
      <c r="MX11" s="6">
        <f>日流量!MX11*24*3600/100000000</f>
        <v>1.296</v>
      </c>
      <c r="MY11" s="6">
        <f>日流量!MY11*24*3600/100000000</f>
        <v>1.2700800000000001</v>
      </c>
      <c r="MZ11" s="6">
        <f>日流量!MZ11*24*3600/100000000</f>
        <v>1.2700800000000001</v>
      </c>
      <c r="NA11" s="6">
        <f>日流量!NA11*24*3600/100000000</f>
        <v>1.2614399999999999</v>
      </c>
      <c r="NB11" s="6">
        <f>日流量!NB11*24*3600/100000000</f>
        <v>1.2441599999999999</v>
      </c>
      <c r="NC11" s="6"/>
      <c r="ND11" s="6">
        <f>日流量!ND11*24*3600*31/100000000</f>
        <v>45.264960000000002</v>
      </c>
      <c r="NE11" s="6">
        <f>日流量!NE11*24*3600*28/100000000</f>
        <v>35.078400000000002</v>
      </c>
      <c r="NF11" s="6">
        <f>日流量!NF11*24*3600*31/100000000</f>
        <v>33.747839999999997</v>
      </c>
      <c r="NG11" s="6">
        <f>日流量!NG11*24*3600*30/100000000</f>
        <v>37.584000000000003</v>
      </c>
      <c r="NH11" s="6">
        <f>日流量!NH11*24*3600*31/100000000</f>
        <v>50.889600000000002</v>
      </c>
      <c r="NI11" s="6">
        <f>日流量!NI11*24*3600*30/100000000</f>
        <v>80.092799999999997</v>
      </c>
      <c r="NJ11" s="6">
        <f>日流量!NJ11*24*3600*31/100000000</f>
        <v>162.84672</v>
      </c>
      <c r="NK11" s="6">
        <f>日流量!NK11*24*3600*31/100000000</f>
        <v>270.51839999999999</v>
      </c>
      <c r="NL11" s="6">
        <f>日流量!NL11*24*3600*30/100000000</f>
        <v>241.05600000000001</v>
      </c>
      <c r="NM11" s="6">
        <f>日流量!NM11*24*3600*31/100000000</f>
        <v>133.65216000000001</v>
      </c>
      <c r="NN11" s="6">
        <f>日流量!NN11*24*3600*30/100000000</f>
        <v>69.206400000000002</v>
      </c>
      <c r="NO11" s="6">
        <f>日流量!NO11*24*3600*31/100000000</f>
        <v>46.872</v>
      </c>
      <c r="NP11" s="14">
        <f t="shared" si="10"/>
        <v>1206.8092800000002</v>
      </c>
      <c r="NQ11" s="6">
        <f>日流量!NQ11*24*3600/100000000</f>
        <v>13.3056</v>
      </c>
      <c r="NR11" s="4">
        <f>日流量!NR11</f>
        <v>42606</v>
      </c>
      <c r="NS11" s="6">
        <f>日流量!NS11*24*3600/100000000</f>
        <v>1.0454399999999999</v>
      </c>
      <c r="NT11" s="4">
        <f>日流量!NT11</f>
        <v>42453</v>
      </c>
      <c r="NU11" s="7">
        <f>日流量!NP11</f>
        <v>3826.4657534246576</v>
      </c>
      <c r="NW11" s="13">
        <f t="shared" si="0"/>
        <v>939.05568000000005</v>
      </c>
      <c r="NX11" s="12">
        <f t="shared" si="1"/>
        <v>77.813097360338489</v>
      </c>
      <c r="NY11" s="13">
        <f t="shared" si="2"/>
        <v>754.5139200000001</v>
      </c>
      <c r="NZ11" s="12">
        <f t="shared" si="3"/>
        <v>62.521388632344625</v>
      </c>
      <c r="OA11" s="13">
        <f t="shared" si="4"/>
        <v>267.75360000000012</v>
      </c>
      <c r="OB11" s="12">
        <f t="shared" si="5"/>
        <v>22.186902639661511</v>
      </c>
      <c r="OC11" s="13">
        <f t="shared" si="6"/>
        <v>270.51839999999999</v>
      </c>
      <c r="OD11" s="12">
        <f t="shared" si="7"/>
        <v>22.416002634649939</v>
      </c>
      <c r="OE11" s="12">
        <f t="shared" si="8"/>
        <v>281.96478504672899</v>
      </c>
      <c r="OF11" s="12">
        <f t="shared" si="9"/>
        <v>8.9410446805786741</v>
      </c>
    </row>
    <row r="12" spans="1:397" x14ac:dyDescent="0.15">
      <c r="A12" s="2">
        <v>1959</v>
      </c>
      <c r="B12" s="6">
        <f>日流量!B12*24*3600/100000000</f>
        <v>1.296</v>
      </c>
      <c r="C12" s="6">
        <f>日流量!C12*24*3600/100000000</f>
        <v>1.30464</v>
      </c>
      <c r="D12" s="6">
        <f>日流量!D12*24*3600/100000000</f>
        <v>1.30464</v>
      </c>
      <c r="E12" s="6">
        <f>日流量!E12*24*3600/100000000</f>
        <v>1.30464</v>
      </c>
      <c r="F12" s="6">
        <f>日流量!F12*24*3600/100000000</f>
        <v>1.30464</v>
      </c>
      <c r="G12" s="6">
        <f>日流量!G12*24*3600/100000000</f>
        <v>1.30464</v>
      </c>
      <c r="H12" s="6">
        <f>日流量!H12*24*3600/100000000</f>
        <v>1.296</v>
      </c>
      <c r="I12" s="6">
        <f>日流量!I12*24*3600/100000000</f>
        <v>1.2787200000000001</v>
      </c>
      <c r="J12" s="6">
        <f>日流量!J12*24*3600/100000000</f>
        <v>1.2614399999999999</v>
      </c>
      <c r="K12" s="6">
        <f>日流量!K12*24*3600/100000000</f>
        <v>1.2441599999999999</v>
      </c>
      <c r="L12" s="6">
        <f>日流量!L12*24*3600/100000000</f>
        <v>1.2441599999999999</v>
      </c>
      <c r="M12" s="6">
        <f>日流量!M12*24*3600/100000000</f>
        <v>1.23552</v>
      </c>
      <c r="N12" s="6">
        <f>日流量!N12*24*3600/100000000</f>
        <v>1.23552</v>
      </c>
      <c r="O12" s="6">
        <f>日流量!O12*24*3600/100000000</f>
        <v>1.22688</v>
      </c>
      <c r="P12" s="6">
        <f>日流量!P12*24*3600/100000000</f>
        <v>1.2096</v>
      </c>
      <c r="Q12" s="6">
        <f>日流量!Q12*24*3600/100000000</f>
        <v>1.20096</v>
      </c>
      <c r="R12" s="6">
        <f>日流量!R12*24*3600/100000000</f>
        <v>1.19232</v>
      </c>
      <c r="S12" s="6">
        <f>日流量!S12*24*3600/100000000</f>
        <v>1.1836800000000001</v>
      </c>
      <c r="T12" s="6">
        <f>日流量!T12*24*3600/100000000</f>
        <v>1.1664000000000001</v>
      </c>
      <c r="U12" s="6">
        <f>日流量!U12*24*3600/100000000</f>
        <v>1.1664000000000001</v>
      </c>
      <c r="V12" s="6">
        <f>日流量!V12*24*3600/100000000</f>
        <v>1.1491199999999999</v>
      </c>
      <c r="W12" s="6">
        <f>日流量!W12*24*3600/100000000</f>
        <v>1.1404799999999999</v>
      </c>
      <c r="X12" s="6">
        <f>日流量!X12*24*3600/100000000</f>
        <v>1.1404799999999999</v>
      </c>
      <c r="Y12" s="6">
        <f>日流量!Y12*24*3600/100000000</f>
        <v>1.1577599999999999</v>
      </c>
      <c r="Z12" s="6">
        <f>日流量!Z12*24*3600/100000000</f>
        <v>1.1750400000000001</v>
      </c>
      <c r="AA12" s="6">
        <f>日流量!AA12*24*3600/100000000</f>
        <v>1.19232</v>
      </c>
      <c r="AB12" s="6">
        <f>日流量!AB12*24*3600/100000000</f>
        <v>1.19232</v>
      </c>
      <c r="AC12" s="6">
        <f>日流量!AC12*24*3600/100000000</f>
        <v>1.1836800000000001</v>
      </c>
      <c r="AD12" s="6">
        <f>日流量!AD12*24*3600/100000000</f>
        <v>1.1664000000000001</v>
      </c>
      <c r="AE12" s="6">
        <f>日流量!AE12*24*3600/100000000</f>
        <v>1.1577599999999999</v>
      </c>
      <c r="AF12" s="6">
        <f>日流量!AF12*24*3600/100000000</f>
        <v>1.1577599999999999</v>
      </c>
      <c r="AG12" s="6">
        <f>日流量!AG12*24*3600/100000000</f>
        <v>1.1491199999999999</v>
      </c>
      <c r="AH12" s="6">
        <f>日流量!AH12*24*3600/100000000</f>
        <v>1.1404799999999999</v>
      </c>
      <c r="AI12" s="6">
        <f>日流量!AI12*24*3600/100000000</f>
        <v>1.1404799999999999</v>
      </c>
      <c r="AJ12" s="6">
        <f>日流量!AJ12*24*3600/100000000</f>
        <v>1.13184</v>
      </c>
      <c r="AK12" s="6">
        <f>日流量!AK12*24*3600/100000000</f>
        <v>1.13184</v>
      </c>
      <c r="AL12" s="6">
        <f>日流量!AL12*24*3600/100000000</f>
        <v>1.11456</v>
      </c>
      <c r="AM12" s="6">
        <f>日流量!AM12*24*3600/100000000</f>
        <v>1.10592</v>
      </c>
      <c r="AN12" s="6">
        <f>日流量!AN12*24*3600/100000000</f>
        <v>1.0886400000000001</v>
      </c>
      <c r="AO12" s="6">
        <f>日流量!AO12*24*3600/100000000</f>
        <v>1.08</v>
      </c>
      <c r="AP12" s="6">
        <f>日流量!AP12*24*3600/100000000</f>
        <v>1.0713600000000001</v>
      </c>
      <c r="AQ12" s="6">
        <f>日流量!AQ12*24*3600/100000000</f>
        <v>1.0713600000000001</v>
      </c>
      <c r="AR12" s="6">
        <f>日流量!AR12*24*3600/100000000</f>
        <v>1.0627200000000001</v>
      </c>
      <c r="AS12" s="6">
        <f>日流量!AS12*24*3600/100000000</f>
        <v>1.0627200000000001</v>
      </c>
      <c r="AT12" s="6">
        <f>日流量!AT12*24*3600/100000000</f>
        <v>1.0454399999999999</v>
      </c>
      <c r="AU12" s="6">
        <f>日流量!AU12*24*3600/100000000</f>
        <v>1.0367999999999999</v>
      </c>
      <c r="AV12" s="6">
        <f>日流量!AV12*24*3600/100000000</f>
        <v>1.02816</v>
      </c>
      <c r="AW12" s="6">
        <f>日流量!AW12*24*3600/100000000</f>
        <v>1.0367999999999999</v>
      </c>
      <c r="AX12" s="6">
        <f>日流量!AX12*24*3600/100000000</f>
        <v>1.0367999999999999</v>
      </c>
      <c r="AY12" s="6">
        <f>日流量!AY12*24*3600/100000000</f>
        <v>1.0540799999999999</v>
      </c>
      <c r="AZ12" s="6">
        <f>日流量!AZ12*24*3600/100000000</f>
        <v>1.0540799999999999</v>
      </c>
      <c r="BA12" s="6">
        <f>日流量!BA12*24*3600/100000000</f>
        <v>1.0367999999999999</v>
      </c>
      <c r="BB12" s="6">
        <f>日流量!BB12*24*3600/100000000</f>
        <v>1.0367999999999999</v>
      </c>
      <c r="BC12" s="6">
        <f>日流量!BC12*24*3600/100000000</f>
        <v>1.02816</v>
      </c>
      <c r="BD12" s="6">
        <f>日流量!BD12*24*3600/100000000</f>
        <v>1.0367999999999999</v>
      </c>
      <c r="BE12" s="6">
        <f>日流量!BE12*24*3600/100000000</f>
        <v>1.0540799999999999</v>
      </c>
      <c r="BF12" s="6">
        <f>日流量!BF12*24*3600/100000000</f>
        <v>1.0713600000000001</v>
      </c>
      <c r="BG12" s="6">
        <f>日流量!BG12*24*3600/100000000</f>
        <v>1.11456</v>
      </c>
      <c r="BH12" s="6">
        <f>日流量!BH12*24*3600/100000000</f>
        <v>1.11456</v>
      </c>
      <c r="BI12" s="6"/>
      <c r="BJ12" s="6">
        <f>日流量!BJ12*24*3600/100000000</f>
        <v>1.11456</v>
      </c>
      <c r="BK12" s="6">
        <f>日流量!BK12*24*3600/100000000</f>
        <v>1.11456</v>
      </c>
      <c r="BL12" s="6">
        <f>日流量!BL12*24*3600/100000000</f>
        <v>1.11456</v>
      </c>
      <c r="BM12" s="6">
        <f>日流量!BM12*24*3600/100000000</f>
        <v>1.10592</v>
      </c>
      <c r="BN12" s="6">
        <f>日流量!BN12*24*3600/100000000</f>
        <v>1.10592</v>
      </c>
      <c r="BO12" s="6">
        <f>日流量!BO12*24*3600/100000000</f>
        <v>1.11456</v>
      </c>
      <c r="BP12" s="6">
        <f>日流量!BP12*24*3600/100000000</f>
        <v>1.10592</v>
      </c>
      <c r="BQ12" s="6">
        <f>日流量!BQ12*24*3600/100000000</f>
        <v>1.10592</v>
      </c>
      <c r="BR12" s="6">
        <f>日流量!BR12*24*3600/100000000</f>
        <v>1.0886400000000001</v>
      </c>
      <c r="BS12" s="6">
        <f>日流量!BS12*24*3600/100000000</f>
        <v>1.08</v>
      </c>
      <c r="BT12" s="6">
        <f>日流量!BT12*24*3600/100000000</f>
        <v>1.0627200000000001</v>
      </c>
      <c r="BU12" s="6">
        <f>日流量!BU12*24*3600/100000000</f>
        <v>1.0540799999999999</v>
      </c>
      <c r="BV12" s="6">
        <f>日流量!BV12*24*3600/100000000</f>
        <v>1.0367999999999999</v>
      </c>
      <c r="BW12" s="6">
        <f>日流量!BW12*24*3600/100000000</f>
        <v>1.02816</v>
      </c>
      <c r="BX12" s="6">
        <f>日流量!BX12*24*3600/100000000</f>
        <v>1.01088</v>
      </c>
      <c r="BY12" s="6">
        <f>日流量!BY12*24*3600/100000000</f>
        <v>1.01088</v>
      </c>
      <c r="BZ12" s="6">
        <f>日流量!BZ12*24*3600/100000000</f>
        <v>1.01952</v>
      </c>
      <c r="CA12" s="6">
        <f>日流量!CA12*24*3600/100000000</f>
        <v>1.02816</v>
      </c>
      <c r="CB12" s="6">
        <f>日流量!CB12*24*3600/100000000</f>
        <v>1.0367999999999999</v>
      </c>
      <c r="CC12" s="6">
        <f>日流量!CC12*24*3600/100000000</f>
        <v>1.0367999999999999</v>
      </c>
      <c r="CD12" s="6">
        <f>日流量!CD12*24*3600/100000000</f>
        <v>1.0367999999999999</v>
      </c>
      <c r="CE12" s="6">
        <f>日流量!CE12*24*3600/100000000</f>
        <v>1.0367999999999999</v>
      </c>
      <c r="CF12" s="6">
        <f>日流量!CF12*24*3600/100000000</f>
        <v>1.0454399999999999</v>
      </c>
      <c r="CG12" s="6">
        <f>日流量!CG12*24*3600/100000000</f>
        <v>1.0454399999999999</v>
      </c>
      <c r="CH12" s="6">
        <f>日流量!CH12*24*3600/100000000</f>
        <v>1.0454399999999999</v>
      </c>
      <c r="CI12" s="6">
        <f>日流量!CI12*24*3600/100000000</f>
        <v>1.0540799999999999</v>
      </c>
      <c r="CJ12" s="6">
        <f>日流量!CJ12*24*3600/100000000</f>
        <v>1.0627200000000001</v>
      </c>
      <c r="CK12" s="6">
        <f>日流量!CK12*24*3600/100000000</f>
        <v>1.08</v>
      </c>
      <c r="CL12" s="6">
        <f>日流量!CL12*24*3600/100000000</f>
        <v>1.08</v>
      </c>
      <c r="CM12" s="6">
        <f>日流量!CM12*24*3600/100000000</f>
        <v>1.0886400000000001</v>
      </c>
      <c r="CN12" s="6">
        <f>日流量!CN12*24*3600/100000000</f>
        <v>1.09728</v>
      </c>
      <c r="CO12" s="6">
        <f>日流量!CO12*24*3600/100000000</f>
        <v>1.10592</v>
      </c>
      <c r="CP12" s="6">
        <f>日流量!CP12*24*3600/100000000</f>
        <v>1.11456</v>
      </c>
      <c r="CQ12" s="6">
        <f>日流量!CQ12*24*3600/100000000</f>
        <v>1.1404799999999999</v>
      </c>
      <c r="CR12" s="6">
        <f>日流量!CR12*24*3600/100000000</f>
        <v>1.1404799999999999</v>
      </c>
      <c r="CS12" s="6">
        <f>日流量!CS12*24*3600/100000000</f>
        <v>1.13184</v>
      </c>
      <c r="CT12" s="6">
        <f>日流量!CT12*24*3600/100000000</f>
        <v>1.13184</v>
      </c>
      <c r="CU12" s="6">
        <f>日流量!CU12*24*3600/100000000</f>
        <v>1.11456</v>
      </c>
      <c r="CV12" s="6">
        <f>日流量!CV12*24*3600/100000000</f>
        <v>1.11456</v>
      </c>
      <c r="CW12" s="6">
        <f>日流量!CW12*24*3600/100000000</f>
        <v>1.11456</v>
      </c>
      <c r="CX12" s="6">
        <f>日流量!CX12*24*3600/100000000</f>
        <v>1.11456</v>
      </c>
      <c r="CY12" s="6">
        <f>日流量!CY12*24*3600/100000000</f>
        <v>1.13184</v>
      </c>
      <c r="CZ12" s="6">
        <f>日流量!CZ12*24*3600/100000000</f>
        <v>1.1404799999999999</v>
      </c>
      <c r="DA12" s="6">
        <f>日流量!DA12*24*3600/100000000</f>
        <v>1.1577599999999999</v>
      </c>
      <c r="DB12" s="6">
        <f>日流量!DB12*24*3600/100000000</f>
        <v>1.1664000000000001</v>
      </c>
      <c r="DC12" s="6">
        <f>日流量!DC12*24*3600/100000000</f>
        <v>1.1664000000000001</v>
      </c>
      <c r="DD12" s="6">
        <f>日流量!DD12*24*3600/100000000</f>
        <v>1.19232</v>
      </c>
      <c r="DE12" s="6">
        <f>日流量!DE12*24*3600/100000000</f>
        <v>1.21824</v>
      </c>
      <c r="DF12" s="6">
        <f>日流量!DF12*24*3600/100000000</f>
        <v>1.22688</v>
      </c>
      <c r="DG12" s="6">
        <f>日流量!DG12*24*3600/100000000</f>
        <v>1.22688</v>
      </c>
      <c r="DH12" s="6">
        <f>日流量!DH12*24*3600/100000000</f>
        <v>1.21824</v>
      </c>
      <c r="DI12" s="6">
        <f>日流量!DI12*24*3600/100000000</f>
        <v>1.19232</v>
      </c>
      <c r="DJ12" s="6">
        <f>日流量!DJ12*24*3600/100000000</f>
        <v>1.2096</v>
      </c>
      <c r="DK12" s="6">
        <f>日流量!DK12*24*3600/100000000</f>
        <v>1.22688</v>
      </c>
      <c r="DL12" s="6">
        <f>日流量!DL12*24*3600/100000000</f>
        <v>1.2527999999999999</v>
      </c>
      <c r="DM12" s="6">
        <f>日流量!DM12*24*3600/100000000</f>
        <v>1.2614399999999999</v>
      </c>
      <c r="DN12" s="6">
        <f>日流量!DN12*24*3600/100000000</f>
        <v>1.296</v>
      </c>
      <c r="DO12" s="6">
        <f>日流量!DO12*24*3600/100000000</f>
        <v>1.33056</v>
      </c>
      <c r="DP12" s="6">
        <f>日流量!DP12*24*3600/100000000</f>
        <v>1.43424</v>
      </c>
      <c r="DQ12" s="6">
        <f>日流量!DQ12*24*3600/100000000</f>
        <v>1.60704</v>
      </c>
      <c r="DR12" s="6">
        <f>日流量!DR12*24*3600/100000000</f>
        <v>1.6934400000000001</v>
      </c>
      <c r="DS12" s="6">
        <f>日流量!DS12*24*3600/100000000</f>
        <v>1.6848000000000001</v>
      </c>
      <c r="DT12" s="6">
        <f>日流量!DT12*24*3600/100000000</f>
        <v>1.63296</v>
      </c>
      <c r="DU12" s="6">
        <f>日流量!DU12*24*3600/100000000</f>
        <v>1.5897600000000001</v>
      </c>
      <c r="DV12" s="6">
        <f>日流量!DV12*24*3600/100000000</f>
        <v>1.61568</v>
      </c>
      <c r="DW12" s="6">
        <f>日流量!DW12*24*3600/100000000</f>
        <v>1.61568</v>
      </c>
      <c r="DX12" s="6">
        <f>日流量!DX12*24*3600/100000000</f>
        <v>1.6761600000000001</v>
      </c>
      <c r="DY12" s="6">
        <f>日流量!DY12*24*3600/100000000</f>
        <v>1.728</v>
      </c>
      <c r="DZ12" s="6">
        <f>日流量!DZ12*24*3600/100000000</f>
        <v>1.728</v>
      </c>
      <c r="EA12" s="6">
        <f>日流量!EA12*24*3600/100000000</f>
        <v>1.71072</v>
      </c>
      <c r="EB12" s="6">
        <f>日流量!EB12*24*3600/100000000</f>
        <v>1.70208</v>
      </c>
      <c r="EC12" s="6">
        <f>日流量!EC12*24*3600/100000000</f>
        <v>1.71072</v>
      </c>
      <c r="ED12" s="6">
        <f>日流量!ED12*24*3600/100000000</f>
        <v>1.728</v>
      </c>
      <c r="EE12" s="6">
        <f>日流量!EE12*24*3600/100000000</f>
        <v>1.728</v>
      </c>
      <c r="EF12" s="6">
        <f>日流量!EF12*24*3600/100000000</f>
        <v>1.6675199999999999</v>
      </c>
      <c r="EG12" s="6">
        <f>日流量!EG12*24*3600/100000000</f>
        <v>1.61568</v>
      </c>
      <c r="EH12" s="6">
        <f>日流量!EH12*24*3600/100000000</f>
        <v>1.5724800000000001</v>
      </c>
      <c r="EI12" s="6">
        <f>日流量!EI12*24*3600/100000000</f>
        <v>1.5724800000000001</v>
      </c>
      <c r="EJ12" s="6">
        <f>日流量!EJ12*24*3600/100000000</f>
        <v>1.61568</v>
      </c>
      <c r="EK12" s="6">
        <f>日流量!EK12*24*3600/100000000</f>
        <v>1.5897600000000001</v>
      </c>
      <c r="EL12" s="6">
        <f>日流量!EL12*24*3600/100000000</f>
        <v>1.5551999999999999</v>
      </c>
      <c r="EM12" s="6">
        <f>日流量!EM12*24*3600/100000000</f>
        <v>1.512</v>
      </c>
      <c r="EN12" s="6">
        <f>日流量!EN12*24*3600/100000000</f>
        <v>1.4688000000000001</v>
      </c>
      <c r="EO12" s="6">
        <f>日流量!EO12*24*3600/100000000</f>
        <v>1.4688000000000001</v>
      </c>
      <c r="EP12" s="6">
        <f>日流量!EP12*24*3600/100000000</f>
        <v>1.4774400000000001</v>
      </c>
      <c r="EQ12" s="6">
        <f>日流量!EQ12*24*3600/100000000</f>
        <v>1.4774400000000001</v>
      </c>
      <c r="ER12" s="6">
        <f>日流量!ER12*24*3600/100000000</f>
        <v>1.52928</v>
      </c>
      <c r="ES12" s="6">
        <f>日流量!ES12*24*3600/100000000</f>
        <v>1.5465599999999999</v>
      </c>
      <c r="ET12" s="6">
        <f>日流量!ET12*24*3600/100000000</f>
        <v>1.5465599999999999</v>
      </c>
      <c r="EU12" s="6">
        <f>日流量!EU12*24*3600/100000000</f>
        <v>1.5724800000000001</v>
      </c>
      <c r="EV12" s="6">
        <f>日流量!EV12*24*3600/100000000</f>
        <v>1.5984</v>
      </c>
      <c r="EW12" s="6">
        <f>日流量!EW12*24*3600/100000000</f>
        <v>1.6502399999999999</v>
      </c>
      <c r="EX12" s="6">
        <f>日流量!EX12*24*3600/100000000</f>
        <v>1.7539199999999999</v>
      </c>
      <c r="EY12" s="6">
        <f>日流量!EY12*24*3600/100000000</f>
        <v>1.8835200000000001</v>
      </c>
      <c r="EZ12" s="6">
        <f>日流量!EZ12*24*3600/100000000</f>
        <v>2.0649600000000001</v>
      </c>
      <c r="FA12" s="6">
        <f>日流量!FA12*24*3600/100000000</f>
        <v>2.32416</v>
      </c>
      <c r="FB12" s="6">
        <f>日流量!FB12*24*3600/100000000</f>
        <v>2.64384</v>
      </c>
      <c r="FC12" s="6">
        <f>日流量!FC12*24*3600/100000000</f>
        <v>2.9376000000000002</v>
      </c>
      <c r="FD12" s="6">
        <f>日流量!FD12*24*3600/100000000</f>
        <v>2.92896</v>
      </c>
      <c r="FE12" s="6">
        <f>日流量!FE12*24*3600/100000000</f>
        <v>2.7302399999999998</v>
      </c>
      <c r="FF12" s="6">
        <f>日流量!FF12*24*3600/100000000</f>
        <v>2.43648</v>
      </c>
      <c r="FG12" s="6">
        <f>日流量!FG12*24*3600/100000000</f>
        <v>2.2031999999999998</v>
      </c>
      <c r="FH12" s="6">
        <f>日流量!FH12*24*3600/100000000</f>
        <v>2.1513599999999999</v>
      </c>
      <c r="FI12" s="6">
        <f>日流量!FI12*24*3600/100000000</f>
        <v>2.32416</v>
      </c>
      <c r="FJ12" s="6">
        <f>日流量!FJ12*24*3600/100000000</f>
        <v>2.5401600000000002</v>
      </c>
      <c r="FK12" s="6">
        <f>日流量!FK12*24*3600/100000000</f>
        <v>2.7043200000000001</v>
      </c>
      <c r="FL12" s="6">
        <f>日流量!FL12*24*3600/100000000</f>
        <v>3.21408</v>
      </c>
      <c r="FM12" s="6">
        <f>日流量!FM12*24*3600/100000000</f>
        <v>3.9312</v>
      </c>
      <c r="FN12" s="6">
        <f>日流量!FN12*24*3600/100000000</f>
        <v>4.3632</v>
      </c>
      <c r="FO12" s="6">
        <f>日流量!FO12*24*3600/100000000</f>
        <v>4.7952000000000004</v>
      </c>
      <c r="FP12" s="6">
        <f>日流量!FP12*24*3600/100000000</f>
        <v>5.2099200000000003</v>
      </c>
      <c r="FQ12" s="6">
        <f>日流量!FQ12*24*3600/100000000</f>
        <v>5.5296000000000003</v>
      </c>
      <c r="FR12" s="6">
        <f>日流量!FR12*24*3600/100000000</f>
        <v>5.2185600000000001</v>
      </c>
      <c r="FS12" s="6">
        <f>日流量!FS12*24*3600/100000000</f>
        <v>5.1667199999999998</v>
      </c>
      <c r="FT12" s="6">
        <f>日流量!FT12*24*3600/100000000</f>
        <v>5.7715199999999998</v>
      </c>
      <c r="FU12" s="6">
        <f>日流量!FU12*24*3600/100000000</f>
        <v>6.2035200000000001</v>
      </c>
      <c r="FV12" s="6">
        <f>日流量!FV12*24*3600/100000000</f>
        <v>6.1344000000000003</v>
      </c>
      <c r="FW12" s="6">
        <f>日流量!FW12*24*3600/100000000</f>
        <v>6.48</v>
      </c>
      <c r="FX12" s="6">
        <f>日流量!FX12*24*3600/100000000</f>
        <v>6.2640000000000002</v>
      </c>
      <c r="FY12" s="6">
        <f>日流量!FY12*24*3600/100000000</f>
        <v>6.2553599999999996</v>
      </c>
      <c r="FZ12" s="6">
        <f>日流量!FZ12*24*3600/100000000</f>
        <v>6.3071999999999999</v>
      </c>
      <c r="GA12" s="6">
        <f>日流量!GA12*24*3600/100000000</f>
        <v>6.1862399999999997</v>
      </c>
      <c r="GB12" s="6">
        <f>日流量!GB12*24*3600/100000000</f>
        <v>6.2121599999999999</v>
      </c>
      <c r="GC12" s="6">
        <f>日流量!GC12*24*3600/100000000</f>
        <v>6.5059199999999997</v>
      </c>
      <c r="GD12" s="6">
        <f>日流量!GD12*24*3600/100000000</f>
        <v>6.8860799999999998</v>
      </c>
      <c r="GE12" s="6">
        <f>日流量!GE12*24*3600/100000000</f>
        <v>6.8169599999999999</v>
      </c>
      <c r="GF12" s="6">
        <f>日流量!GF12*24*3600/100000000</f>
        <v>5.8492800000000003</v>
      </c>
      <c r="GG12" s="6">
        <f>日流量!GG12*24*3600/100000000</f>
        <v>5.1148800000000003</v>
      </c>
      <c r="GH12" s="6">
        <f>日流量!GH12*24*3600/100000000</f>
        <v>5.0025599999999999</v>
      </c>
      <c r="GI12" s="6">
        <f>日流量!GI12*24*3600/100000000</f>
        <v>5.3395200000000003</v>
      </c>
      <c r="GJ12" s="6">
        <f>日流量!GJ12*24*3600/100000000</f>
        <v>4.5273599999999998</v>
      </c>
      <c r="GK12" s="6">
        <f>日流量!GK12*24*3600/100000000</f>
        <v>4.1212799999999996</v>
      </c>
      <c r="GL12" s="6">
        <f>日流量!GL12*24*3600/100000000</f>
        <v>3.9916800000000001</v>
      </c>
      <c r="GM12" s="6">
        <f>日流量!GM12*24*3600/100000000</f>
        <v>3.9830399999999999</v>
      </c>
      <c r="GN12" s="6">
        <f>日流量!GN12*24*3600/100000000</f>
        <v>3.8448000000000002</v>
      </c>
      <c r="GO12" s="6">
        <f>日流量!GO12*24*3600/100000000</f>
        <v>3.8102399999999998</v>
      </c>
      <c r="GP12" s="6">
        <f>日流量!GP12*24*3600/100000000</f>
        <v>3.4300799999999998</v>
      </c>
      <c r="GQ12" s="6">
        <f>日流量!GQ12*24*3600/100000000</f>
        <v>3.3696000000000002</v>
      </c>
      <c r="GR12" s="6">
        <f>日流量!GR12*24*3600/100000000</f>
        <v>3.2918400000000001</v>
      </c>
      <c r="GS12" s="6">
        <f>日流量!GS12*24*3600/100000000</f>
        <v>3.21408</v>
      </c>
      <c r="GT12" s="6">
        <f>日流量!GT12*24*3600/100000000</f>
        <v>3.21408</v>
      </c>
      <c r="GU12" s="6">
        <f>日流量!GU12*24*3600/100000000</f>
        <v>3.3091200000000001</v>
      </c>
      <c r="GV12" s="6">
        <f>日流量!GV12*24*3600/100000000</f>
        <v>3.3696000000000002</v>
      </c>
      <c r="GW12" s="6">
        <f>日流量!GW12*24*3600/100000000</f>
        <v>3.3350399999999998</v>
      </c>
      <c r="GX12" s="6">
        <f>日流量!GX12*24*3600/100000000</f>
        <v>3.3350399999999998</v>
      </c>
      <c r="GY12" s="6">
        <f>日流量!GY12*24*3600/100000000</f>
        <v>3.5942400000000001</v>
      </c>
      <c r="GZ12" s="6">
        <f>日流量!GZ12*24*3600/100000000</f>
        <v>4.2854400000000004</v>
      </c>
      <c r="HA12" s="6">
        <f>日流量!HA12*24*3600/100000000</f>
        <v>4.6223999999999998</v>
      </c>
      <c r="HB12" s="6">
        <f>日流量!HB12*24*3600/100000000</f>
        <v>4.9939200000000001</v>
      </c>
      <c r="HC12" s="6">
        <f>日流量!HC12*24*3600/100000000</f>
        <v>5.1753600000000004</v>
      </c>
      <c r="HD12" s="6">
        <f>日流量!HD12*24*3600/100000000</f>
        <v>4.9075199999999999</v>
      </c>
      <c r="HE12" s="6">
        <f>日流量!HE12*24*3600/100000000</f>
        <v>5.7369599999999998</v>
      </c>
      <c r="HF12" s="6">
        <f>日流量!HF12*24*3600/100000000</f>
        <v>6.3417599999999998</v>
      </c>
      <c r="HG12" s="6">
        <f>日流量!HG12*24*3600/100000000</f>
        <v>6.5232000000000001</v>
      </c>
      <c r="HH12" s="6">
        <f>日流量!HH12*24*3600/100000000</f>
        <v>7.1366399999999999</v>
      </c>
      <c r="HI12" s="6">
        <f>日流量!HI12*24*3600/100000000</f>
        <v>7.3612799999999998</v>
      </c>
      <c r="HJ12" s="6">
        <f>日流量!HJ12*24*3600/100000000</f>
        <v>7.2576000000000001</v>
      </c>
      <c r="HK12" s="6">
        <f>日流量!HK12*24*3600/100000000</f>
        <v>6.55776</v>
      </c>
      <c r="HL12" s="6">
        <f>日流量!HL12*24*3600/100000000</f>
        <v>6.3849600000000004</v>
      </c>
      <c r="HM12" s="6">
        <f>日流量!HM12*24*3600/100000000</f>
        <v>6.9897600000000004</v>
      </c>
      <c r="HN12" s="6">
        <f>日流量!HN12*24*3600/100000000</f>
        <v>7.0761599999999998</v>
      </c>
      <c r="HO12" s="6">
        <f>日流量!HO12*24*3600/100000000</f>
        <v>6.6528</v>
      </c>
      <c r="HP12" s="6">
        <f>日流量!HP12*24*3600/100000000</f>
        <v>6.2467199999999998</v>
      </c>
      <c r="HQ12" s="6">
        <f>日流量!HQ12*24*3600/100000000</f>
        <v>6.9119999999999999</v>
      </c>
      <c r="HR12" s="6">
        <f>日流量!HR12*24*3600/100000000</f>
        <v>8.3462399999999999</v>
      </c>
      <c r="HS12" s="6">
        <f>日流量!HS12*24*3600/100000000</f>
        <v>9.0719999999999992</v>
      </c>
      <c r="HT12" s="6">
        <f>日流量!HT12*24*3600/100000000</f>
        <v>11.059200000000001</v>
      </c>
      <c r="HU12" s="6">
        <f>日流量!HU12*24*3600/100000000</f>
        <v>12.096</v>
      </c>
      <c r="HV12" s="6">
        <f>日流量!HV12*24*3600/100000000</f>
        <v>10.540800000000001</v>
      </c>
      <c r="HW12" s="6">
        <f>日流量!HW12*24*3600/100000000</f>
        <v>8.9855999999999998</v>
      </c>
      <c r="HX12" s="6">
        <f>日流量!HX12*24*3600/100000000</f>
        <v>7.8796799999999996</v>
      </c>
      <c r="HY12" s="6">
        <f>日流量!HY12*24*3600/100000000</f>
        <v>7.1107199999999997</v>
      </c>
      <c r="HZ12" s="6">
        <f>日流量!HZ12*24*3600/100000000</f>
        <v>6.59232</v>
      </c>
      <c r="IA12" s="6">
        <f>日流量!IA12*24*3600/100000000</f>
        <v>6.1862399999999997</v>
      </c>
      <c r="IB12" s="6">
        <f>日流量!IB12*24*3600/100000000</f>
        <v>6.1084800000000001</v>
      </c>
      <c r="IC12" s="6">
        <f>日流量!IC12*24*3600/100000000</f>
        <v>5.8492800000000003</v>
      </c>
      <c r="ID12" s="6">
        <f>日流量!ID12*24*3600/100000000</f>
        <v>5.6246400000000003</v>
      </c>
      <c r="IE12" s="6">
        <f>日流量!IE12*24*3600/100000000</f>
        <v>5.4863999999999997</v>
      </c>
      <c r="IF12" s="6">
        <f>日流量!IF12*24*3600/100000000</f>
        <v>5.25312</v>
      </c>
      <c r="IG12" s="6">
        <f>日流量!IG12*24*3600/100000000</f>
        <v>5.0371199999999998</v>
      </c>
      <c r="IH12" s="6">
        <f>日流量!IH12*24*3600/100000000</f>
        <v>4.7779199999999999</v>
      </c>
      <c r="II12" s="6">
        <f>日流量!II12*24*3600/100000000</f>
        <v>4.5359999999999996</v>
      </c>
      <c r="IJ12" s="6">
        <f>日流量!IJ12*24*3600/100000000</f>
        <v>4.2854400000000004</v>
      </c>
      <c r="IK12" s="6">
        <f>日流量!IK12*24*3600/100000000</f>
        <v>4.0608000000000004</v>
      </c>
      <c r="IL12" s="6">
        <f>日流量!IL12*24*3600/100000000</f>
        <v>3.9225599999999998</v>
      </c>
      <c r="IM12" s="6">
        <f>日流量!IM12*24*3600/100000000</f>
        <v>3.7670400000000002</v>
      </c>
      <c r="IN12" s="6">
        <f>日流量!IN12*24*3600/100000000</f>
        <v>3.6806399999999999</v>
      </c>
      <c r="IO12" s="6">
        <f>日流量!IO12*24*3600/100000000</f>
        <v>3.9830399999999999</v>
      </c>
      <c r="IP12" s="6">
        <f>日流量!IP12*24*3600/100000000</f>
        <v>4.1904000000000003</v>
      </c>
      <c r="IQ12" s="6">
        <f>日流量!IQ12*24*3600/100000000</f>
        <v>4.5446400000000002</v>
      </c>
      <c r="IR12" s="6">
        <f>日流量!IR12*24*3600/100000000</f>
        <v>5.66784</v>
      </c>
      <c r="IS12" s="6">
        <f>日流量!IS12*24*3600/100000000</f>
        <v>5.4691200000000002</v>
      </c>
      <c r="IT12" s="6">
        <f>日流量!IT12*24*3600/100000000</f>
        <v>4.7779199999999999</v>
      </c>
      <c r="IU12" s="6">
        <f>日流量!IU12*24*3600/100000000</f>
        <v>4.4323199999999998</v>
      </c>
      <c r="IV12" s="6">
        <f>日流量!IV12*24*3600/100000000</f>
        <v>4.2595200000000002</v>
      </c>
      <c r="IW12" s="6">
        <f>日流量!IW12*24*3600/100000000</f>
        <v>4.0867199999999997</v>
      </c>
      <c r="IX12" s="6">
        <f>日流量!IX12*24*3600/100000000</f>
        <v>3.9571200000000002</v>
      </c>
      <c r="IY12" s="6">
        <f>日流量!IY12*24*3600/100000000</f>
        <v>3.9225599999999998</v>
      </c>
      <c r="IZ12" s="6">
        <f>日流量!IZ12*24*3600/100000000</f>
        <v>3.8966400000000001</v>
      </c>
      <c r="JA12" s="6">
        <f>日流量!JA12*24*3600/100000000</f>
        <v>3.6028799999999999</v>
      </c>
      <c r="JB12" s="6">
        <f>日流量!JB12*24*3600/100000000</f>
        <v>3.42144</v>
      </c>
      <c r="JC12" s="6">
        <f>日流量!JC12*24*3600/100000000</f>
        <v>3.5596800000000002</v>
      </c>
      <c r="JD12" s="6">
        <f>日流量!JD12*24*3600/100000000</f>
        <v>3.7065600000000001</v>
      </c>
      <c r="JE12" s="6">
        <f>日流量!JE12*24*3600/100000000</f>
        <v>3.3696000000000002</v>
      </c>
      <c r="JF12" s="6">
        <f>日流量!JF12*24*3600/100000000</f>
        <v>3.21408</v>
      </c>
      <c r="JG12" s="6">
        <f>日流量!JG12*24*3600/100000000</f>
        <v>3.1449600000000002</v>
      </c>
      <c r="JH12" s="6">
        <f>日流量!JH12*24*3600/100000000</f>
        <v>3.6115200000000001</v>
      </c>
      <c r="JI12" s="6">
        <f>日流量!JI12*24*3600/100000000</f>
        <v>4.8124799999999999</v>
      </c>
      <c r="JJ12" s="6">
        <f>日流量!JJ12*24*3600/100000000</f>
        <v>4.8643200000000002</v>
      </c>
      <c r="JK12" s="6">
        <f>日流量!JK12*24*3600/100000000</f>
        <v>4.5878399999999999</v>
      </c>
      <c r="JL12" s="6">
        <f>日流量!JL12*24*3600/100000000</f>
        <v>4.9766399999999997</v>
      </c>
      <c r="JM12" s="6">
        <f>日流量!JM12*24*3600/100000000</f>
        <v>4.2508800000000004</v>
      </c>
      <c r="JN12" s="6">
        <f>日流量!JN12*24*3600/100000000</f>
        <v>4.0175999999999998</v>
      </c>
      <c r="JO12" s="6">
        <f>日流量!JO12*24*3600/100000000</f>
        <v>4.0521599999999998</v>
      </c>
      <c r="JP12" s="6">
        <f>日流量!JP12*24*3600/100000000</f>
        <v>4.1817599999999997</v>
      </c>
      <c r="JQ12" s="6">
        <f>日流量!JQ12*24*3600/100000000</f>
        <v>3.9916800000000001</v>
      </c>
      <c r="JR12" s="6">
        <f>日流量!JR12*24*3600/100000000</f>
        <v>3.8016000000000001</v>
      </c>
      <c r="JS12" s="6">
        <f>日流量!JS12*24*3600/100000000</f>
        <v>3.6288</v>
      </c>
      <c r="JT12" s="6">
        <f>日流量!JT12*24*3600/100000000</f>
        <v>3.4300799999999998</v>
      </c>
      <c r="JU12" s="6">
        <f>日流量!JU12*24*3600/100000000</f>
        <v>3.3350399999999998</v>
      </c>
      <c r="JV12" s="6">
        <f>日流量!JV12*24*3600/100000000</f>
        <v>3.21408</v>
      </c>
      <c r="JW12" s="6">
        <f>日流量!JW12*24*3600/100000000</f>
        <v>3.1622400000000002</v>
      </c>
      <c r="JX12" s="6">
        <f>日流量!JX12*24*3600/100000000</f>
        <v>3.1017600000000001</v>
      </c>
      <c r="JY12" s="6">
        <f>日流量!JY12*24*3600/100000000</f>
        <v>3.024</v>
      </c>
      <c r="JZ12" s="6">
        <f>日流量!JZ12*24*3600/100000000</f>
        <v>2.9894400000000001</v>
      </c>
      <c r="KA12" s="6">
        <f>日流量!KA12*24*3600/100000000</f>
        <v>2.9894400000000001</v>
      </c>
      <c r="KB12" s="6">
        <f>日流量!KB12*24*3600/100000000</f>
        <v>3.0499200000000002</v>
      </c>
      <c r="KC12" s="6">
        <f>日流量!KC12*24*3600/100000000</f>
        <v>3.4300799999999998</v>
      </c>
      <c r="KD12" s="6">
        <f>日流量!KD12*24*3600/100000000</f>
        <v>3.5769600000000001</v>
      </c>
      <c r="KE12" s="6">
        <f>日流量!KE12*24*3600/100000000</f>
        <v>3.64608</v>
      </c>
      <c r="KF12" s="6">
        <f>日流量!KF12*24*3600/100000000</f>
        <v>3.7497600000000002</v>
      </c>
      <c r="KG12" s="6">
        <f>日流量!KG12*24*3600/100000000</f>
        <v>3.9830399999999999</v>
      </c>
      <c r="KH12" s="6">
        <f>日流量!KH12*24*3600/100000000</f>
        <v>4.6223999999999998</v>
      </c>
      <c r="KI12" s="6">
        <f>日流量!KI12*24*3600/100000000</f>
        <v>4.64832</v>
      </c>
      <c r="KJ12" s="6">
        <f>日流量!KJ12*24*3600/100000000</f>
        <v>4.32</v>
      </c>
      <c r="KK12" s="6">
        <f>日流量!KK12*24*3600/100000000</f>
        <v>3.94848</v>
      </c>
      <c r="KL12" s="6">
        <f>日流量!KL12*24*3600/100000000</f>
        <v>3.64608</v>
      </c>
      <c r="KM12" s="6">
        <f>日流量!KM12*24*3600/100000000</f>
        <v>3.4127999999999998</v>
      </c>
      <c r="KN12" s="6">
        <f>日流量!KN12*24*3600/100000000</f>
        <v>3.3868800000000001</v>
      </c>
      <c r="KO12" s="6">
        <f>日流量!KO12*24*3600/100000000</f>
        <v>3.9398399999999998</v>
      </c>
      <c r="KP12" s="6">
        <f>日流量!KP12*24*3600/100000000</f>
        <v>3.6892800000000001</v>
      </c>
      <c r="KQ12" s="6">
        <f>日流量!KQ12*24*3600/100000000</f>
        <v>3.456</v>
      </c>
      <c r="KR12" s="6">
        <f>日流量!KR12*24*3600/100000000</f>
        <v>3.2745600000000001</v>
      </c>
      <c r="KS12" s="6">
        <f>日流量!KS12*24*3600/100000000</f>
        <v>3.11904</v>
      </c>
      <c r="KT12" s="6">
        <f>日流量!KT12*24*3600/100000000</f>
        <v>3.3350399999999998</v>
      </c>
      <c r="KU12" s="6">
        <f>日流量!KU12*24*3600/100000000</f>
        <v>3.6028799999999999</v>
      </c>
      <c r="KV12" s="6">
        <f>日流量!KV12*24*3600/100000000</f>
        <v>3.4473600000000002</v>
      </c>
      <c r="KW12" s="6">
        <f>日流量!KW12*24*3600/100000000</f>
        <v>3.24864</v>
      </c>
      <c r="KX12" s="6">
        <f>日流量!KX12*24*3600/100000000</f>
        <v>3.11904</v>
      </c>
      <c r="KY12" s="6">
        <f>日流量!KY12*24*3600/100000000</f>
        <v>2.9635199999999999</v>
      </c>
      <c r="KZ12" s="6">
        <f>日流量!KZ12*24*3600/100000000</f>
        <v>2.8684799999999999</v>
      </c>
      <c r="LA12" s="6">
        <f>日流量!LA12*24*3600/100000000</f>
        <v>2.7475200000000002</v>
      </c>
      <c r="LB12" s="6">
        <f>日流量!LB12*24*3600/100000000</f>
        <v>2.6524800000000002</v>
      </c>
      <c r="LC12" s="6">
        <f>日流量!LC12*24*3600/100000000</f>
        <v>2.5747200000000001</v>
      </c>
      <c r="LD12" s="6">
        <f>日流量!LD12*24*3600/100000000</f>
        <v>2.51424</v>
      </c>
      <c r="LE12" s="6">
        <f>日流量!LE12*24*3600/100000000</f>
        <v>2.4278400000000002</v>
      </c>
      <c r="LF12" s="6">
        <f>日流量!LF12*24*3600/100000000</f>
        <v>2.3673600000000001</v>
      </c>
      <c r="LG12" s="6">
        <f>日流量!LG12*24*3600/100000000</f>
        <v>2.3328000000000002</v>
      </c>
      <c r="LH12" s="6">
        <f>日流量!LH12*24*3600/100000000</f>
        <v>2.2896000000000001</v>
      </c>
      <c r="LI12" s="6">
        <f>日流量!LI12*24*3600/100000000</f>
        <v>2.2377600000000002</v>
      </c>
      <c r="LJ12" s="6">
        <f>日流量!LJ12*24*3600/100000000</f>
        <v>2.1945600000000001</v>
      </c>
      <c r="LK12" s="6">
        <f>日流量!LK12*24*3600/100000000</f>
        <v>2.1513599999999999</v>
      </c>
      <c r="LL12" s="6">
        <f>日流量!LL12*24*3600/100000000</f>
        <v>2.1254400000000002</v>
      </c>
      <c r="LM12" s="6">
        <f>日流量!LM12*24*3600/100000000</f>
        <v>2.0908799999999998</v>
      </c>
      <c r="LN12" s="6">
        <f>日流量!LN12*24*3600/100000000</f>
        <v>2.0563199999999999</v>
      </c>
      <c r="LO12" s="6">
        <f>日流量!LO12*24*3600/100000000</f>
        <v>2.0131199999999998</v>
      </c>
      <c r="LP12" s="6">
        <f>日流量!LP12*24*3600/100000000</f>
        <v>1.9612799999999999</v>
      </c>
      <c r="LQ12" s="6">
        <f>日流量!LQ12*24*3600/100000000</f>
        <v>1.91808</v>
      </c>
      <c r="LR12" s="6">
        <f>日流量!LR12*24*3600/100000000</f>
        <v>1.8748800000000001</v>
      </c>
      <c r="LS12" s="6">
        <f>日流量!LS12*24*3600/100000000</f>
        <v>1.8489599999999999</v>
      </c>
      <c r="LT12" s="6">
        <f>日流量!LT12*24*3600/100000000</f>
        <v>1.8144</v>
      </c>
      <c r="LU12" s="6">
        <f>日流量!LU12*24*3600/100000000</f>
        <v>1.7798400000000001</v>
      </c>
      <c r="LV12" s="6">
        <f>日流量!LV12*24*3600/100000000</f>
        <v>1.7539199999999999</v>
      </c>
      <c r="LW12" s="6">
        <f>日流量!LW12*24*3600/100000000</f>
        <v>1.71936</v>
      </c>
      <c r="LX12" s="6">
        <f>日流量!LX12*24*3600/100000000</f>
        <v>1.70208</v>
      </c>
      <c r="LY12" s="6">
        <f>日流量!LY12*24*3600/100000000</f>
        <v>1.6848000000000001</v>
      </c>
      <c r="LZ12" s="6">
        <f>日流量!LZ12*24*3600/100000000</f>
        <v>1.6415999999999999</v>
      </c>
      <c r="MA12" s="6">
        <f>日流量!MA12*24*3600/100000000</f>
        <v>1.60704</v>
      </c>
      <c r="MB12" s="6">
        <f>日流量!MB12*24*3600/100000000</f>
        <v>1.5984</v>
      </c>
      <c r="MC12" s="6">
        <f>日流量!MC12*24*3600/100000000</f>
        <v>1.5811200000000001</v>
      </c>
      <c r="MD12" s="6">
        <f>日流量!MD12*24*3600/100000000</f>
        <v>1.5465599999999999</v>
      </c>
      <c r="ME12" s="6">
        <f>日流量!ME12*24*3600/100000000</f>
        <v>1.52064</v>
      </c>
      <c r="MF12" s="6">
        <f>日流量!MF12*24*3600/100000000</f>
        <v>1.50336</v>
      </c>
      <c r="MG12" s="6">
        <f>日流量!MG12*24*3600/100000000</f>
        <v>1.4860800000000001</v>
      </c>
      <c r="MH12" s="6">
        <f>日流量!MH12*24*3600/100000000</f>
        <v>1.4774400000000001</v>
      </c>
      <c r="MI12" s="6">
        <f>日流量!MI12*24*3600/100000000</f>
        <v>1.4774400000000001</v>
      </c>
      <c r="MJ12" s="6">
        <f>日流量!MJ12*24*3600/100000000</f>
        <v>1.4601599999999999</v>
      </c>
      <c r="MK12" s="6">
        <f>日流量!MK12*24*3600/100000000</f>
        <v>1.4515199999999999</v>
      </c>
      <c r="ML12" s="6">
        <f>日流量!ML12*24*3600/100000000</f>
        <v>1.4428799999999999</v>
      </c>
      <c r="MM12" s="6">
        <f>日流量!MM12*24*3600/100000000</f>
        <v>1.41696</v>
      </c>
      <c r="MN12" s="6">
        <f>日流量!MN12*24*3600/100000000</f>
        <v>1.3824000000000001</v>
      </c>
      <c r="MO12" s="6">
        <f>日流量!MO12*24*3600/100000000</f>
        <v>1.3564799999999999</v>
      </c>
      <c r="MP12" s="6">
        <f>日流量!MP12*24*3600/100000000</f>
        <v>1.3478399999999999</v>
      </c>
      <c r="MQ12" s="6">
        <f>日流量!MQ12*24*3600/100000000</f>
        <v>1.33056</v>
      </c>
      <c r="MR12" s="6">
        <f>日流量!MR12*24*3600/100000000</f>
        <v>1.31328</v>
      </c>
      <c r="MS12" s="6">
        <f>日流量!MS12*24*3600/100000000</f>
        <v>1.30464</v>
      </c>
      <c r="MT12" s="6">
        <f>日流量!MT12*24*3600/100000000</f>
        <v>1.30464</v>
      </c>
      <c r="MU12" s="6">
        <f>日流量!MU12*24*3600/100000000</f>
        <v>1.2873600000000001</v>
      </c>
      <c r="MV12" s="6">
        <f>日流量!MV12*24*3600/100000000</f>
        <v>1.2873600000000001</v>
      </c>
      <c r="MW12" s="6">
        <f>日流量!MW12*24*3600/100000000</f>
        <v>1.2787200000000001</v>
      </c>
      <c r="MX12" s="6">
        <f>日流量!MX12*24*3600/100000000</f>
        <v>1.2700800000000001</v>
      </c>
      <c r="MY12" s="6">
        <f>日流量!MY12*24*3600/100000000</f>
        <v>1.2614399999999999</v>
      </c>
      <c r="MZ12" s="6">
        <f>日流量!MZ12*24*3600/100000000</f>
        <v>1.2441599999999999</v>
      </c>
      <c r="NA12" s="6">
        <f>日流量!NA12*24*3600/100000000</f>
        <v>1.23552</v>
      </c>
      <c r="NB12" s="6">
        <f>日流量!NB12*24*3600/100000000</f>
        <v>1.2096</v>
      </c>
      <c r="NC12" s="6"/>
      <c r="ND12" s="6">
        <f>日流量!ND12*24*3600*31/100000000</f>
        <v>37.765439999999998</v>
      </c>
      <c r="NE12" s="6">
        <f>日流量!NE12*24*3600*28/100000000</f>
        <v>30.24</v>
      </c>
      <c r="NF12" s="6">
        <f>日流量!NF12*24*3600*31/100000000</f>
        <v>32.944319999999998</v>
      </c>
      <c r="NG12" s="6">
        <f>日流量!NG12*24*3600*30/100000000</f>
        <v>36.547199999999997</v>
      </c>
      <c r="NH12" s="6">
        <f>日流量!NH12*24*3600*31/100000000</f>
        <v>49.818240000000003</v>
      </c>
      <c r="NI12" s="6">
        <f>日流量!NI12*24*3600*30/100000000</f>
        <v>121.3056</v>
      </c>
      <c r="NJ12" s="6">
        <f>日流量!NJ12*24*3600*31/100000000</f>
        <v>141.41952000000001</v>
      </c>
      <c r="NK12" s="6">
        <f>日流量!NK12*24*3600*31/100000000</f>
        <v>214.00416000000001</v>
      </c>
      <c r="NL12" s="6">
        <f>日流量!NL12*24*3600*30/100000000</f>
        <v>123.6384</v>
      </c>
      <c r="NM12" s="6">
        <f>日流量!NM12*24*3600*31/100000000</f>
        <v>111.1536</v>
      </c>
      <c r="NN12" s="6">
        <f>日流量!NN12*24*3600*30/100000000</f>
        <v>70.502399999999994</v>
      </c>
      <c r="NO12" s="6">
        <f>日流量!NO12*24*3600*31/100000000</f>
        <v>43.390079999999998</v>
      </c>
      <c r="NP12" s="14">
        <f t="shared" si="10"/>
        <v>1012.72896</v>
      </c>
      <c r="NQ12" s="6">
        <f>日流量!NQ12*24*3600/100000000</f>
        <v>12.096</v>
      </c>
      <c r="NR12" s="4">
        <f>日流量!NR12</f>
        <v>42597</v>
      </c>
      <c r="NS12" s="6">
        <f>日流量!NS12*24*3600/100000000</f>
        <v>1.01088</v>
      </c>
      <c r="NT12" s="4">
        <f>日流量!NT12</f>
        <v>42444</v>
      </c>
      <c r="NU12" s="7">
        <f>日流量!NP12</f>
        <v>3210</v>
      </c>
      <c r="NW12" s="13">
        <f t="shared" si="0"/>
        <v>761.33952000000011</v>
      </c>
      <c r="NX12" s="12">
        <f t="shared" si="1"/>
        <v>75.177026635043603</v>
      </c>
      <c r="NY12" s="13">
        <f t="shared" si="2"/>
        <v>600.36768000000006</v>
      </c>
      <c r="NZ12" s="12">
        <f t="shared" si="3"/>
        <v>59.282167659153352</v>
      </c>
      <c r="OA12" s="13">
        <f t="shared" si="4"/>
        <v>251.38943999999992</v>
      </c>
      <c r="OB12" s="12">
        <f t="shared" si="5"/>
        <v>24.822973364956397</v>
      </c>
      <c r="OC12" s="13">
        <f t="shared" si="6"/>
        <v>214.00416000000001</v>
      </c>
      <c r="OD12" s="12">
        <f t="shared" si="7"/>
        <v>21.131434811541283</v>
      </c>
      <c r="OE12" s="12">
        <f t="shared" si="8"/>
        <v>236.61891588785045</v>
      </c>
      <c r="OF12" s="12">
        <f t="shared" si="9"/>
        <v>7.5031366022276273</v>
      </c>
    </row>
    <row r="13" spans="1:397" x14ac:dyDescent="0.15">
      <c r="A13" s="2">
        <v>1960</v>
      </c>
      <c r="B13" s="6">
        <f>日流量!B13*24*3600/100000000</f>
        <v>1.1232</v>
      </c>
      <c r="C13" s="6">
        <f>日流量!C13*24*3600/100000000</f>
        <v>1.10592</v>
      </c>
      <c r="D13" s="6">
        <f>日流量!D13*24*3600/100000000</f>
        <v>1.0886400000000001</v>
      </c>
      <c r="E13" s="6">
        <f>日流量!E13*24*3600/100000000</f>
        <v>1.08</v>
      </c>
      <c r="F13" s="6">
        <f>日流量!F13*24*3600/100000000</f>
        <v>1.0713600000000001</v>
      </c>
      <c r="G13" s="6">
        <f>日流量!G13*24*3600/100000000</f>
        <v>1.0454399999999999</v>
      </c>
      <c r="H13" s="6">
        <f>日流量!H13*24*3600/100000000</f>
        <v>1.01952</v>
      </c>
      <c r="I13" s="6">
        <f>日流量!I13*24*3600/100000000</f>
        <v>1.00224</v>
      </c>
      <c r="J13" s="6">
        <f>日流量!J13*24*3600/100000000</f>
        <v>1.00224</v>
      </c>
      <c r="K13" s="6">
        <f>日流量!K13*24*3600/100000000</f>
        <v>0.98495999999999995</v>
      </c>
      <c r="L13" s="6">
        <f>日流量!L13*24*3600/100000000</f>
        <v>0.98495999999999995</v>
      </c>
      <c r="M13" s="6">
        <f>日流量!M13*24*3600/100000000</f>
        <v>0.98495999999999995</v>
      </c>
      <c r="N13" s="6">
        <f>日流量!N13*24*3600/100000000</f>
        <v>0.98495999999999995</v>
      </c>
      <c r="O13" s="6">
        <f>日流量!O13*24*3600/100000000</f>
        <v>0.99360000000000004</v>
      </c>
      <c r="P13" s="6">
        <f>日流量!P13*24*3600/100000000</f>
        <v>0.99360000000000004</v>
      </c>
      <c r="Q13" s="6">
        <f>日流量!Q13*24*3600/100000000</f>
        <v>0.98495999999999995</v>
      </c>
      <c r="R13" s="6">
        <f>日流量!R13*24*3600/100000000</f>
        <v>0.98495999999999995</v>
      </c>
      <c r="S13" s="6">
        <f>日流量!S13*24*3600/100000000</f>
        <v>0.98495999999999995</v>
      </c>
      <c r="T13" s="6">
        <f>日流量!T13*24*3600/100000000</f>
        <v>0.97631999999999997</v>
      </c>
      <c r="U13" s="6">
        <f>日流量!U13*24*3600/100000000</f>
        <v>0.96767999999999998</v>
      </c>
      <c r="V13" s="6">
        <f>日流量!V13*24*3600/100000000</f>
        <v>0.96767999999999998</v>
      </c>
      <c r="W13" s="6">
        <f>日流量!W13*24*3600/100000000</f>
        <v>0.96767999999999998</v>
      </c>
      <c r="X13" s="6">
        <f>日流量!X13*24*3600/100000000</f>
        <v>0.95904</v>
      </c>
      <c r="Y13" s="6">
        <f>日流量!Y13*24*3600/100000000</f>
        <v>0.95904</v>
      </c>
      <c r="Z13" s="6">
        <f>日流量!Z13*24*3600/100000000</f>
        <v>0.95904</v>
      </c>
      <c r="AA13" s="6">
        <f>日流量!AA13*24*3600/100000000</f>
        <v>0.94176000000000004</v>
      </c>
      <c r="AB13" s="6">
        <f>日流量!AB13*24*3600/100000000</f>
        <v>0.93311999999999995</v>
      </c>
      <c r="AC13" s="6">
        <f>日流量!AC13*24*3600/100000000</f>
        <v>0.93311999999999995</v>
      </c>
      <c r="AD13" s="6">
        <f>日流量!AD13*24*3600/100000000</f>
        <v>0.93311999999999995</v>
      </c>
      <c r="AE13" s="6">
        <f>日流量!AE13*24*3600/100000000</f>
        <v>0.93311999999999995</v>
      </c>
      <c r="AF13" s="6">
        <f>日流量!AF13*24*3600/100000000</f>
        <v>0.93311999999999995</v>
      </c>
      <c r="AG13" s="6">
        <f>日流量!AG13*24*3600/100000000</f>
        <v>0.92447999999999997</v>
      </c>
      <c r="AH13" s="6">
        <f>日流量!AH13*24*3600/100000000</f>
        <v>0.91583999999999999</v>
      </c>
      <c r="AI13" s="6">
        <f>日流量!AI13*24*3600/100000000</f>
        <v>0.90720000000000001</v>
      </c>
      <c r="AJ13" s="6">
        <f>日流量!AJ13*24*3600/100000000</f>
        <v>0.89856000000000003</v>
      </c>
      <c r="AK13" s="6">
        <f>日流量!AK13*24*3600/100000000</f>
        <v>0.89856000000000003</v>
      </c>
      <c r="AL13" s="6">
        <f>日流量!AL13*24*3600/100000000</f>
        <v>0.89856000000000003</v>
      </c>
      <c r="AM13" s="6">
        <f>日流量!AM13*24*3600/100000000</f>
        <v>0.90720000000000001</v>
      </c>
      <c r="AN13" s="6">
        <f>日流量!AN13*24*3600/100000000</f>
        <v>0.91583999999999999</v>
      </c>
      <c r="AO13" s="6">
        <f>日流量!AO13*24*3600/100000000</f>
        <v>0.91583999999999999</v>
      </c>
      <c r="AP13" s="6">
        <f>日流量!AP13*24*3600/100000000</f>
        <v>0.90720000000000001</v>
      </c>
      <c r="AQ13" s="6">
        <f>日流量!AQ13*24*3600/100000000</f>
        <v>0.89856000000000003</v>
      </c>
      <c r="AR13" s="6">
        <f>日流量!AR13*24*3600/100000000</f>
        <v>0.89856000000000003</v>
      </c>
      <c r="AS13" s="6">
        <f>日流量!AS13*24*3600/100000000</f>
        <v>0.88992000000000004</v>
      </c>
      <c r="AT13" s="6">
        <f>日流量!AT13*24*3600/100000000</f>
        <v>0.88992000000000004</v>
      </c>
      <c r="AU13" s="6">
        <f>日流量!AU13*24*3600/100000000</f>
        <v>0.88992000000000004</v>
      </c>
      <c r="AV13" s="6">
        <f>日流量!AV13*24*3600/100000000</f>
        <v>0.88992000000000004</v>
      </c>
      <c r="AW13" s="6">
        <f>日流量!AW13*24*3600/100000000</f>
        <v>0.88992000000000004</v>
      </c>
      <c r="AX13" s="6">
        <f>日流量!AX13*24*3600/100000000</f>
        <v>0.88992000000000004</v>
      </c>
      <c r="AY13" s="6">
        <f>日流量!AY13*24*3600/100000000</f>
        <v>0.88992000000000004</v>
      </c>
      <c r="AZ13" s="6">
        <f>日流量!AZ13*24*3600/100000000</f>
        <v>0.88992000000000004</v>
      </c>
      <c r="BA13" s="6">
        <f>日流量!BA13*24*3600/100000000</f>
        <v>0.88992000000000004</v>
      </c>
      <c r="BB13" s="6">
        <f>日流量!BB13*24*3600/100000000</f>
        <v>0.88992000000000004</v>
      </c>
      <c r="BC13" s="6">
        <f>日流量!BC13*24*3600/100000000</f>
        <v>0.88127999999999995</v>
      </c>
      <c r="BD13" s="6">
        <f>日流量!BD13*24*3600/100000000</f>
        <v>0.88127999999999995</v>
      </c>
      <c r="BE13" s="6">
        <f>日流量!BE13*24*3600/100000000</f>
        <v>0.88127999999999995</v>
      </c>
      <c r="BF13" s="6">
        <f>日流量!BF13*24*3600/100000000</f>
        <v>0.87263999999999997</v>
      </c>
      <c r="BG13" s="6">
        <f>日流量!BG13*24*3600/100000000</f>
        <v>0.86399999999999999</v>
      </c>
      <c r="BH13" s="6">
        <f>日流量!BH13*24*3600/100000000</f>
        <v>0.85881600000000002</v>
      </c>
      <c r="BI13" s="6">
        <f>日流量!BI13*24*3600/100000000</f>
        <v>0.85881600000000002</v>
      </c>
      <c r="BJ13" s="6">
        <f>日流量!BJ13*24*3600/100000000</f>
        <v>0.85449600000000003</v>
      </c>
      <c r="BK13" s="6">
        <f>日流量!BK13*24*3600/100000000</f>
        <v>0.85017600000000004</v>
      </c>
      <c r="BL13" s="6">
        <f>日流量!BL13*24*3600/100000000</f>
        <v>0.85017600000000004</v>
      </c>
      <c r="BM13" s="6">
        <f>日流量!BM13*24*3600/100000000</f>
        <v>0.85017600000000004</v>
      </c>
      <c r="BN13" s="6">
        <f>日流量!BN13*24*3600/100000000</f>
        <v>0.85017600000000004</v>
      </c>
      <c r="BO13" s="6">
        <f>日流量!BO13*24*3600/100000000</f>
        <v>0.85017600000000004</v>
      </c>
      <c r="BP13" s="6">
        <f>日流量!BP13*24*3600/100000000</f>
        <v>0.84067199999999997</v>
      </c>
      <c r="BQ13" s="6">
        <f>日流量!BQ13*24*3600/100000000</f>
        <v>0.83203199999999999</v>
      </c>
      <c r="BR13" s="6">
        <f>日流量!BR13*24*3600/100000000</f>
        <v>0.83203199999999999</v>
      </c>
      <c r="BS13" s="6">
        <f>日流量!BS13*24*3600/100000000</f>
        <v>0.827712</v>
      </c>
      <c r="BT13" s="6">
        <f>日流量!BT13*24*3600/100000000</f>
        <v>0.82339200000000001</v>
      </c>
      <c r="BU13" s="6">
        <f>日流量!BU13*24*3600/100000000</f>
        <v>0.82339200000000001</v>
      </c>
      <c r="BV13" s="6">
        <f>日流量!BV13*24*3600/100000000</f>
        <v>0.82339200000000001</v>
      </c>
      <c r="BW13" s="6">
        <f>日流量!BW13*24*3600/100000000</f>
        <v>0.81907200000000002</v>
      </c>
      <c r="BX13" s="6">
        <f>日流量!BX13*24*3600/100000000</f>
        <v>0.81907200000000002</v>
      </c>
      <c r="BY13" s="6">
        <f>日流量!BY13*24*3600/100000000</f>
        <v>0.81907200000000002</v>
      </c>
      <c r="BZ13" s="6">
        <f>日流量!BZ13*24*3600/100000000</f>
        <v>0.82339200000000001</v>
      </c>
      <c r="CA13" s="6">
        <f>日流量!CA13*24*3600/100000000</f>
        <v>0.82339200000000001</v>
      </c>
      <c r="CB13" s="6">
        <f>日流量!CB13*24*3600/100000000</f>
        <v>0.82339200000000001</v>
      </c>
      <c r="CC13" s="6">
        <f>日流量!CC13*24*3600/100000000</f>
        <v>0.83203199999999999</v>
      </c>
      <c r="CD13" s="6">
        <f>日流量!CD13*24*3600/100000000</f>
        <v>0.84067199999999997</v>
      </c>
      <c r="CE13" s="6">
        <f>日流量!CE13*24*3600/100000000</f>
        <v>0.84067199999999997</v>
      </c>
      <c r="CF13" s="6">
        <f>日流量!CF13*24*3600/100000000</f>
        <v>0.83635199999999998</v>
      </c>
      <c r="CG13" s="6">
        <f>日流量!CG13*24*3600/100000000</f>
        <v>0.83203199999999999</v>
      </c>
      <c r="CH13" s="6">
        <f>日流量!CH13*24*3600/100000000</f>
        <v>0.83203199999999999</v>
      </c>
      <c r="CI13" s="6">
        <f>日流量!CI13*24*3600/100000000</f>
        <v>0.82339200000000001</v>
      </c>
      <c r="CJ13" s="6">
        <f>日流量!CJ13*24*3600/100000000</f>
        <v>0.82339200000000001</v>
      </c>
      <c r="CK13" s="6">
        <f>日流量!CK13*24*3600/100000000</f>
        <v>0.83203199999999999</v>
      </c>
      <c r="CL13" s="6">
        <f>日流量!CL13*24*3600/100000000</f>
        <v>0.83203199999999999</v>
      </c>
      <c r="CM13" s="6">
        <f>日流量!CM13*24*3600/100000000</f>
        <v>0.82339200000000001</v>
      </c>
      <c r="CN13" s="6">
        <f>日流量!CN13*24*3600/100000000</f>
        <v>0.81043200000000004</v>
      </c>
      <c r="CO13" s="6">
        <f>日流量!CO13*24*3600/100000000</f>
        <v>0.80611200000000005</v>
      </c>
      <c r="CP13" s="6">
        <f>日流量!CP13*24*3600/100000000</f>
        <v>0.80611200000000005</v>
      </c>
      <c r="CQ13" s="6">
        <f>日流量!CQ13*24*3600/100000000</f>
        <v>0.81907200000000002</v>
      </c>
      <c r="CR13" s="6">
        <f>日流量!CR13*24*3600/100000000</f>
        <v>0.84067199999999997</v>
      </c>
      <c r="CS13" s="6">
        <f>日流量!CS13*24*3600/100000000</f>
        <v>0.85449600000000003</v>
      </c>
      <c r="CT13" s="6">
        <f>日流量!CT13*24*3600/100000000</f>
        <v>0.86399999999999999</v>
      </c>
      <c r="CU13" s="6">
        <f>日流量!CU13*24*3600/100000000</f>
        <v>0.86399999999999999</v>
      </c>
      <c r="CV13" s="6">
        <f>日流量!CV13*24*3600/100000000</f>
        <v>0.86399999999999999</v>
      </c>
      <c r="CW13" s="6">
        <f>日流量!CW13*24*3600/100000000</f>
        <v>0.86399999999999999</v>
      </c>
      <c r="CX13" s="6">
        <f>日流量!CX13*24*3600/100000000</f>
        <v>0.85881600000000002</v>
      </c>
      <c r="CY13" s="6">
        <f>日流量!CY13*24*3600/100000000</f>
        <v>0.85017600000000004</v>
      </c>
      <c r="CZ13" s="6">
        <f>日流量!CZ13*24*3600/100000000</f>
        <v>0.85017600000000004</v>
      </c>
      <c r="DA13" s="6">
        <f>日流量!DA13*24*3600/100000000</f>
        <v>0.84499199999999997</v>
      </c>
      <c r="DB13" s="6">
        <f>日流量!DB13*24*3600/100000000</f>
        <v>0.84499199999999997</v>
      </c>
      <c r="DC13" s="6">
        <f>日流量!DC13*24*3600/100000000</f>
        <v>0.84067199999999997</v>
      </c>
      <c r="DD13" s="6">
        <f>日流量!DD13*24*3600/100000000</f>
        <v>0.84067199999999997</v>
      </c>
      <c r="DE13" s="6">
        <f>日流量!DE13*24*3600/100000000</f>
        <v>0.84067199999999997</v>
      </c>
      <c r="DF13" s="6">
        <f>日流量!DF13*24*3600/100000000</f>
        <v>0.84067199999999997</v>
      </c>
      <c r="DG13" s="6">
        <f>日流量!DG13*24*3600/100000000</f>
        <v>0.84067199999999997</v>
      </c>
      <c r="DH13" s="6">
        <f>日流量!DH13*24*3600/100000000</f>
        <v>0.85017600000000004</v>
      </c>
      <c r="DI13" s="6">
        <f>日流量!DI13*24*3600/100000000</f>
        <v>0.86399999999999999</v>
      </c>
      <c r="DJ13" s="6">
        <f>日流量!DJ13*24*3600/100000000</f>
        <v>0.87263999999999997</v>
      </c>
      <c r="DK13" s="6">
        <f>日流量!DK13*24*3600/100000000</f>
        <v>0.88992000000000004</v>
      </c>
      <c r="DL13" s="6">
        <f>日流量!DL13*24*3600/100000000</f>
        <v>0.90720000000000001</v>
      </c>
      <c r="DM13" s="6">
        <f>日流量!DM13*24*3600/100000000</f>
        <v>0.91583999999999999</v>
      </c>
      <c r="DN13" s="6">
        <f>日流量!DN13*24*3600/100000000</f>
        <v>0.93311999999999995</v>
      </c>
      <c r="DO13" s="6">
        <f>日流量!DO13*24*3600/100000000</f>
        <v>0.92447999999999997</v>
      </c>
      <c r="DP13" s="6">
        <f>日流量!DP13*24*3600/100000000</f>
        <v>0.92447999999999997</v>
      </c>
      <c r="DQ13" s="6">
        <f>日流量!DQ13*24*3600/100000000</f>
        <v>0.91583999999999999</v>
      </c>
      <c r="DR13" s="6">
        <f>日流量!DR13*24*3600/100000000</f>
        <v>0.91583999999999999</v>
      </c>
      <c r="DS13" s="6">
        <f>日流量!DS13*24*3600/100000000</f>
        <v>0.91583999999999999</v>
      </c>
      <c r="DT13" s="6">
        <f>日流量!DT13*24*3600/100000000</f>
        <v>0.93311999999999995</v>
      </c>
      <c r="DU13" s="6">
        <f>日流量!DU13*24*3600/100000000</f>
        <v>0.93311999999999995</v>
      </c>
      <c r="DV13" s="6">
        <f>日流量!DV13*24*3600/100000000</f>
        <v>0.93311999999999995</v>
      </c>
      <c r="DW13" s="6">
        <f>日流量!DW13*24*3600/100000000</f>
        <v>0.94176000000000004</v>
      </c>
      <c r="DX13" s="6">
        <f>日流量!DX13*24*3600/100000000</f>
        <v>0.94176000000000004</v>
      </c>
      <c r="DY13" s="6">
        <f>日流量!DY13*24*3600/100000000</f>
        <v>0.93311999999999995</v>
      </c>
      <c r="DZ13" s="6">
        <f>日流量!DZ13*24*3600/100000000</f>
        <v>0.92447999999999997</v>
      </c>
      <c r="EA13" s="6">
        <f>日流量!EA13*24*3600/100000000</f>
        <v>0.91583999999999999</v>
      </c>
      <c r="EB13" s="6">
        <f>日流量!EB13*24*3600/100000000</f>
        <v>0.90720000000000001</v>
      </c>
      <c r="EC13" s="6">
        <f>日流量!EC13*24*3600/100000000</f>
        <v>0.90720000000000001</v>
      </c>
      <c r="ED13" s="6">
        <f>日流量!ED13*24*3600/100000000</f>
        <v>0.93311999999999995</v>
      </c>
      <c r="EE13" s="6">
        <f>日流量!EE13*24*3600/100000000</f>
        <v>0.94176000000000004</v>
      </c>
      <c r="EF13" s="6">
        <f>日流量!EF13*24*3600/100000000</f>
        <v>0.95040000000000002</v>
      </c>
      <c r="EG13" s="6">
        <f>日流量!EG13*24*3600/100000000</f>
        <v>0.95904</v>
      </c>
      <c r="EH13" s="6">
        <f>日流量!EH13*24*3600/100000000</f>
        <v>0.93311999999999995</v>
      </c>
      <c r="EI13" s="6">
        <f>日流量!EI13*24*3600/100000000</f>
        <v>0.92447999999999997</v>
      </c>
      <c r="EJ13" s="6">
        <f>日流量!EJ13*24*3600/100000000</f>
        <v>0.91583999999999999</v>
      </c>
      <c r="EK13" s="6">
        <f>日流量!EK13*24*3600/100000000</f>
        <v>0.89856000000000003</v>
      </c>
      <c r="EL13" s="6">
        <f>日流量!EL13*24*3600/100000000</f>
        <v>0.88127999999999995</v>
      </c>
      <c r="EM13" s="6">
        <f>日流量!EM13*24*3600/100000000</f>
        <v>0.86399999999999999</v>
      </c>
      <c r="EN13" s="6">
        <f>日流量!EN13*24*3600/100000000</f>
        <v>0.85449600000000003</v>
      </c>
      <c r="EO13" s="6">
        <f>日流量!EO13*24*3600/100000000</f>
        <v>0.85881600000000002</v>
      </c>
      <c r="EP13" s="6">
        <f>日流量!EP13*24*3600/100000000</f>
        <v>0.88992000000000004</v>
      </c>
      <c r="EQ13" s="6">
        <f>日流量!EQ13*24*3600/100000000</f>
        <v>0.95904</v>
      </c>
      <c r="ER13" s="6">
        <f>日流量!ER13*24*3600/100000000</f>
        <v>1.02816</v>
      </c>
      <c r="ES13" s="6">
        <f>日流量!ES13*24*3600/100000000</f>
        <v>1.0627200000000001</v>
      </c>
      <c r="ET13" s="6">
        <f>日流量!ET13*24*3600/100000000</f>
        <v>1.1750400000000001</v>
      </c>
      <c r="EU13" s="6">
        <f>日流量!EU13*24*3600/100000000</f>
        <v>1.2527999999999999</v>
      </c>
      <c r="EV13" s="6">
        <f>日流量!EV13*24*3600/100000000</f>
        <v>1.3737600000000001</v>
      </c>
      <c r="EW13" s="6">
        <f>日流量!EW13*24*3600/100000000</f>
        <v>1.60704</v>
      </c>
      <c r="EX13" s="6">
        <f>日流量!EX13*24*3600/100000000</f>
        <v>1.9785600000000001</v>
      </c>
      <c r="EY13" s="6">
        <f>日流量!EY13*24*3600/100000000</f>
        <v>2.02176</v>
      </c>
      <c r="EZ13" s="6">
        <f>日流量!EZ13*24*3600/100000000</f>
        <v>2.2636799999999999</v>
      </c>
      <c r="FA13" s="6">
        <f>日流量!FA13*24*3600/100000000</f>
        <v>2.4710399999999999</v>
      </c>
      <c r="FB13" s="6">
        <f>日流量!FB13*24*3600/100000000</f>
        <v>2.5488</v>
      </c>
      <c r="FC13" s="6">
        <f>日流量!FC13*24*3600/100000000</f>
        <v>2.73888</v>
      </c>
      <c r="FD13" s="6">
        <f>日流量!FD13*24*3600/100000000</f>
        <v>2.9980799999999999</v>
      </c>
      <c r="FE13" s="6">
        <f>日流量!FE13*24*3600/100000000</f>
        <v>3.13632</v>
      </c>
      <c r="FF13" s="6">
        <f>日流量!FF13*24*3600/100000000</f>
        <v>3.3091200000000001</v>
      </c>
      <c r="FG13" s="6">
        <f>日流量!FG13*24*3600/100000000</f>
        <v>3.4041600000000001</v>
      </c>
      <c r="FH13" s="6">
        <f>日流量!FH13*24*3600/100000000</f>
        <v>3.6374399999999998</v>
      </c>
      <c r="FI13" s="6">
        <f>日流量!FI13*24*3600/100000000</f>
        <v>3.6201599999999998</v>
      </c>
      <c r="FJ13" s="6">
        <f>日流量!FJ13*24*3600/100000000</f>
        <v>3.3523200000000002</v>
      </c>
      <c r="FK13" s="6">
        <f>日流量!FK13*24*3600/100000000</f>
        <v>3.0672000000000001</v>
      </c>
      <c r="FL13" s="6">
        <f>日流量!FL13*24*3600/100000000</f>
        <v>3.0758399999999999</v>
      </c>
      <c r="FM13" s="6">
        <f>日流量!FM13*24*3600/100000000</f>
        <v>3.456</v>
      </c>
      <c r="FN13" s="6">
        <f>日流量!FN13*24*3600/100000000</f>
        <v>3.6979199999999999</v>
      </c>
      <c r="FO13" s="6">
        <f>日流量!FO13*24*3600/100000000</f>
        <v>3.6201599999999998</v>
      </c>
      <c r="FP13" s="6">
        <f>日流量!FP13*24*3600/100000000</f>
        <v>3.6979199999999999</v>
      </c>
      <c r="FQ13" s="6">
        <f>日流量!FQ13*24*3600/100000000</f>
        <v>3.8707199999999999</v>
      </c>
      <c r="FR13" s="6">
        <f>日流量!FR13*24*3600/100000000</f>
        <v>4.0175999999999998</v>
      </c>
      <c r="FS13" s="6">
        <f>日流量!FS13*24*3600/100000000</f>
        <v>4.04352</v>
      </c>
      <c r="FT13" s="6">
        <f>日流量!FT13*24*3600/100000000</f>
        <v>3.7497600000000002</v>
      </c>
      <c r="FU13" s="6">
        <f>日流量!FU13*24*3600/100000000</f>
        <v>4.5359999999999996</v>
      </c>
      <c r="FV13" s="6">
        <f>日流量!FV13*24*3600/100000000</f>
        <v>5.4518399999999998</v>
      </c>
      <c r="FW13" s="6">
        <f>日流量!FW13*24*3600/100000000</f>
        <v>5.4518399999999998</v>
      </c>
      <c r="FX13" s="6">
        <f>日流量!FX13*24*3600/100000000</f>
        <v>5.6505599999999996</v>
      </c>
      <c r="FY13" s="6">
        <f>日流量!FY13*24*3600/100000000</f>
        <v>6.1171199999999999</v>
      </c>
      <c r="FZ13" s="6">
        <f>日流量!FZ13*24*3600/100000000</f>
        <v>6.1257599999999996</v>
      </c>
      <c r="GA13" s="6">
        <f>日流量!GA13*24*3600/100000000</f>
        <v>6.0652799999999996</v>
      </c>
      <c r="GB13" s="6">
        <f>日流量!GB13*24*3600/100000000</f>
        <v>6.0998400000000004</v>
      </c>
      <c r="GC13" s="6">
        <f>日流量!GC13*24*3600/100000000</f>
        <v>6.3071999999999999</v>
      </c>
      <c r="GD13" s="6">
        <f>日流量!GD13*24*3600/100000000</f>
        <v>6.1171199999999999</v>
      </c>
      <c r="GE13" s="6">
        <f>日流量!GE13*24*3600/100000000</f>
        <v>5.5728</v>
      </c>
      <c r="GF13" s="6">
        <f>日流量!GF13*24*3600/100000000</f>
        <v>4.9852800000000004</v>
      </c>
      <c r="GG13" s="6">
        <f>日流量!GG13*24*3600/100000000</f>
        <v>4.55328</v>
      </c>
      <c r="GH13" s="6">
        <f>日流量!GH13*24*3600/100000000</f>
        <v>4.1040000000000001</v>
      </c>
      <c r="GI13" s="6">
        <f>日流量!GI13*24*3600/100000000</f>
        <v>4.0780799999999999</v>
      </c>
      <c r="GJ13" s="6">
        <f>日流量!GJ13*24*3600/100000000</f>
        <v>5.4345600000000003</v>
      </c>
      <c r="GK13" s="6">
        <f>日流量!GK13*24*3600/100000000</f>
        <v>6.7046400000000004</v>
      </c>
      <c r="GL13" s="6">
        <f>日流量!GL13*24*3600/100000000</f>
        <v>7.3007999999999997</v>
      </c>
      <c r="GM13" s="6">
        <f>日流量!GM13*24*3600/100000000</f>
        <v>6.9811199999999998</v>
      </c>
      <c r="GN13" s="6">
        <f>日流量!GN13*24*3600/100000000</f>
        <v>6.3158399999999997</v>
      </c>
      <c r="GO13" s="6">
        <f>日流量!GO13*24*3600/100000000</f>
        <v>5.6937600000000002</v>
      </c>
      <c r="GP13" s="6">
        <f>日流量!GP13*24*3600/100000000</f>
        <v>5.7542400000000002</v>
      </c>
      <c r="GQ13" s="6">
        <f>日流量!GQ13*24*3600/100000000</f>
        <v>6.3503999999999996</v>
      </c>
      <c r="GR13" s="6">
        <f>日流量!GR13*24*3600/100000000</f>
        <v>5.7110399999999997</v>
      </c>
      <c r="GS13" s="6">
        <f>日流量!GS13*24*3600/100000000</f>
        <v>5.2099200000000003</v>
      </c>
      <c r="GT13" s="6">
        <f>日流量!GT13*24*3600/100000000</f>
        <v>4.87296</v>
      </c>
      <c r="GU13" s="6">
        <f>日流量!GU13*24*3600/100000000</f>
        <v>4.8988800000000001</v>
      </c>
      <c r="GV13" s="6">
        <f>日流量!GV13*24*3600/100000000</f>
        <v>5.8060799999999997</v>
      </c>
      <c r="GW13" s="6">
        <f>日流量!GW13*24*3600/100000000</f>
        <v>6.0998400000000004</v>
      </c>
      <c r="GX13" s="6">
        <f>日流量!GX13*24*3600/100000000</f>
        <v>6.2812799999999998</v>
      </c>
      <c r="GY13" s="6">
        <f>日流量!GY13*24*3600/100000000</f>
        <v>5.9788800000000002</v>
      </c>
      <c r="GZ13" s="6">
        <f>日流量!GZ13*24*3600/100000000</f>
        <v>6.1516799999999998</v>
      </c>
      <c r="HA13" s="6">
        <f>日流量!HA13*24*3600/100000000</f>
        <v>6.7392000000000003</v>
      </c>
      <c r="HB13" s="6">
        <f>日流量!HB13*24*3600/100000000</f>
        <v>7.1366399999999999</v>
      </c>
      <c r="HC13" s="6">
        <f>日流量!HC13*24*3600/100000000</f>
        <v>7.8537600000000003</v>
      </c>
      <c r="HD13" s="6">
        <f>日流量!HD13*24*3600/100000000</f>
        <v>8.9855999999999998</v>
      </c>
      <c r="HE13" s="6">
        <f>日流量!HE13*24*3600/100000000</f>
        <v>9.2447999999999997</v>
      </c>
      <c r="HF13" s="6">
        <f>日流量!HF13*24*3600/100000000</f>
        <v>8.5449599999999997</v>
      </c>
      <c r="HG13" s="6">
        <f>日流量!HG13*24*3600/100000000</f>
        <v>8.3980800000000002</v>
      </c>
      <c r="HH13" s="6">
        <f>日流量!HH13*24*3600/100000000</f>
        <v>9.1584000000000003</v>
      </c>
      <c r="HI13" s="6">
        <f>日流量!HI13*24*3600/100000000</f>
        <v>10.022399999999999</v>
      </c>
      <c r="HJ13" s="6">
        <f>日流量!HJ13*24*3600/100000000</f>
        <v>11.059200000000001</v>
      </c>
      <c r="HK13" s="6">
        <f>日流量!HK13*24*3600/100000000</f>
        <v>11.491199999999999</v>
      </c>
      <c r="HL13" s="6">
        <f>日流量!HL13*24*3600/100000000</f>
        <v>11.231999999999999</v>
      </c>
      <c r="HM13" s="6">
        <f>日流量!HM13*24*3600/100000000</f>
        <v>11.5776</v>
      </c>
      <c r="HN13" s="6">
        <f>日流量!HN13*24*3600/100000000</f>
        <v>11.231999999999999</v>
      </c>
      <c r="HO13" s="6">
        <f>日流量!HO13*24*3600/100000000</f>
        <v>10.1952</v>
      </c>
      <c r="HP13" s="6">
        <f>日流量!HP13*24*3600/100000000</f>
        <v>8.9855999999999998</v>
      </c>
      <c r="HQ13" s="6">
        <f>日流量!HQ13*24*3600/100000000</f>
        <v>7.9401599999999997</v>
      </c>
      <c r="HR13" s="6">
        <f>日流量!HR13*24*3600/100000000</f>
        <v>7.19712</v>
      </c>
      <c r="HS13" s="6">
        <f>日流量!HS13*24*3600/100000000</f>
        <v>6.6182400000000001</v>
      </c>
      <c r="HT13" s="6">
        <f>日流量!HT13*24*3600/100000000</f>
        <v>6.2812799999999998</v>
      </c>
      <c r="HU13" s="6">
        <f>日流量!HU13*24*3600/100000000</f>
        <v>6.2899200000000004</v>
      </c>
      <c r="HV13" s="6">
        <f>日流量!HV13*24*3600/100000000</f>
        <v>6.9465599999999998</v>
      </c>
      <c r="HW13" s="6">
        <f>日流量!HW13*24*3600/100000000</f>
        <v>7.9228800000000001</v>
      </c>
      <c r="HX13" s="6">
        <f>日流量!HX13*24*3600/100000000</f>
        <v>8.4412800000000008</v>
      </c>
      <c r="HY13" s="6">
        <f>日流量!HY13*24*3600/100000000</f>
        <v>8.0265599999999999</v>
      </c>
      <c r="HZ13" s="6">
        <f>日流量!HZ13*24*3600/100000000</f>
        <v>7.3353599999999997</v>
      </c>
      <c r="IA13" s="6">
        <f>日流量!IA13*24*3600/100000000</f>
        <v>6.7824</v>
      </c>
      <c r="IB13" s="6">
        <f>日流量!IB13*24*3600/100000000</f>
        <v>6.3071999999999999</v>
      </c>
      <c r="IC13" s="6">
        <f>日流量!IC13*24*3600/100000000</f>
        <v>6.2553599999999996</v>
      </c>
      <c r="ID13" s="6">
        <f>日流量!ID13*24*3600/100000000</f>
        <v>6.1516799999999998</v>
      </c>
      <c r="IE13" s="6">
        <f>日流量!IE13*24*3600/100000000</f>
        <v>6.0739200000000002</v>
      </c>
      <c r="IF13" s="6">
        <f>日流量!IF13*24*3600/100000000</f>
        <v>5.9011199999999997</v>
      </c>
      <c r="IG13" s="6">
        <f>日流量!IG13*24*3600/100000000</f>
        <v>6.1689600000000002</v>
      </c>
      <c r="IH13" s="6">
        <f>日流量!IH13*24*3600/100000000</f>
        <v>6.2121599999999999</v>
      </c>
      <c r="II13" s="6">
        <f>日流量!II13*24*3600/100000000</f>
        <v>6.2294400000000003</v>
      </c>
      <c r="IJ13" s="6">
        <f>日流量!IJ13*24*3600/100000000</f>
        <v>6.0911999999999997</v>
      </c>
      <c r="IK13" s="6">
        <f>日流量!IK13*24*3600/100000000</f>
        <v>6.1171199999999999</v>
      </c>
      <c r="IL13" s="6">
        <f>日流量!IL13*24*3600/100000000</f>
        <v>6.2467199999999998</v>
      </c>
      <c r="IM13" s="6">
        <f>日流量!IM13*24*3600/100000000</f>
        <v>6.7737600000000002</v>
      </c>
      <c r="IN13" s="6">
        <f>日流量!IN13*24*3600/100000000</f>
        <v>6.8428800000000001</v>
      </c>
      <c r="IO13" s="6">
        <f>日流量!IO13*24*3600/100000000</f>
        <v>6.9984000000000002</v>
      </c>
      <c r="IP13" s="6">
        <f>日流量!IP13*24*3600/100000000</f>
        <v>6.6700799999999996</v>
      </c>
      <c r="IQ13" s="6">
        <f>日流量!IQ13*24*3600/100000000</f>
        <v>6.9465599999999998</v>
      </c>
      <c r="IR13" s="6">
        <f>日流量!IR13*24*3600/100000000</f>
        <v>7.3007999999999997</v>
      </c>
      <c r="IS13" s="6">
        <f>日流量!IS13*24*3600/100000000</f>
        <v>7.6550399999999996</v>
      </c>
      <c r="IT13" s="6">
        <f>日流量!IT13*24*3600/100000000</f>
        <v>7.6982400000000002</v>
      </c>
      <c r="IU13" s="6">
        <f>日流量!IU13*24*3600/100000000</f>
        <v>7.9833600000000002</v>
      </c>
      <c r="IV13" s="6">
        <f>日流量!IV13*24*3600/100000000</f>
        <v>8.5708800000000007</v>
      </c>
      <c r="IW13" s="6">
        <f>日流量!IW13*24*3600/100000000</f>
        <v>10.022399999999999</v>
      </c>
      <c r="IX13" s="6">
        <f>日流量!IX13*24*3600/100000000</f>
        <v>10.368</v>
      </c>
      <c r="IY13" s="6">
        <f>日流量!IY13*24*3600/100000000</f>
        <v>10.6272</v>
      </c>
      <c r="IZ13" s="6">
        <f>日流量!IZ13*24*3600/100000000</f>
        <v>10.281599999999999</v>
      </c>
      <c r="JA13" s="6">
        <f>日流量!JA13*24*3600/100000000</f>
        <v>10.1088</v>
      </c>
      <c r="JB13" s="6">
        <f>日流量!JB13*24*3600/100000000</f>
        <v>10.1952</v>
      </c>
      <c r="JC13" s="6">
        <f>日流量!JC13*24*3600/100000000</f>
        <v>10.281599999999999</v>
      </c>
      <c r="JD13" s="6">
        <f>日流量!JD13*24*3600/100000000</f>
        <v>9.9359999999999999</v>
      </c>
      <c r="JE13" s="6">
        <f>日流量!JE13*24*3600/100000000</f>
        <v>9.3312000000000008</v>
      </c>
      <c r="JF13" s="6">
        <f>日流量!JF13*24*3600/100000000</f>
        <v>8.7263999999999999</v>
      </c>
      <c r="JG13" s="6">
        <f>日流量!JG13*24*3600/100000000</f>
        <v>8.2166399999999999</v>
      </c>
      <c r="JH13" s="6">
        <f>日流量!JH13*24*3600/100000000</f>
        <v>7.9747199999999996</v>
      </c>
      <c r="JI13" s="6">
        <f>日流量!JI13*24*3600/100000000</f>
        <v>7.6896000000000004</v>
      </c>
      <c r="JJ13" s="6">
        <f>日流量!JJ13*24*3600/100000000</f>
        <v>7.4303999999999997</v>
      </c>
      <c r="JK13" s="6">
        <f>日流量!JK13*24*3600/100000000</f>
        <v>7.0415999999999999</v>
      </c>
      <c r="JL13" s="6">
        <f>日流量!JL13*24*3600/100000000</f>
        <v>6.6528</v>
      </c>
      <c r="JM13" s="6">
        <f>日流量!JM13*24*3600/100000000</f>
        <v>6.3763199999999998</v>
      </c>
      <c r="JN13" s="6">
        <f>日流量!JN13*24*3600/100000000</f>
        <v>6.0307199999999996</v>
      </c>
      <c r="JO13" s="6">
        <f>日流量!JO13*24*3600/100000000</f>
        <v>5.7715199999999998</v>
      </c>
      <c r="JP13" s="6">
        <f>日流量!JP13*24*3600/100000000</f>
        <v>5.5641600000000002</v>
      </c>
      <c r="JQ13" s="6">
        <f>日流量!JQ13*24*3600/100000000</f>
        <v>5.4691200000000002</v>
      </c>
      <c r="JR13" s="6">
        <f>日流量!JR13*24*3600/100000000</f>
        <v>5.4691200000000002</v>
      </c>
      <c r="JS13" s="6">
        <f>日流量!JS13*24*3600/100000000</f>
        <v>5.2704000000000004</v>
      </c>
      <c r="JT13" s="6">
        <f>日流量!JT13*24*3600/100000000</f>
        <v>5.0457599999999996</v>
      </c>
      <c r="JU13" s="6">
        <f>日流量!JU13*24*3600/100000000</f>
        <v>4.8384</v>
      </c>
      <c r="JV13" s="6">
        <f>日流量!JV13*24*3600/100000000</f>
        <v>4.7088000000000001</v>
      </c>
      <c r="JW13" s="6">
        <f>日流量!JW13*24*3600/100000000</f>
        <v>4.7174399999999999</v>
      </c>
      <c r="JX13" s="6">
        <f>日流量!JX13*24*3600/100000000</f>
        <v>4.7001600000000003</v>
      </c>
      <c r="JY13" s="6">
        <f>日流量!JY13*24*3600/100000000</f>
        <v>4.6656000000000004</v>
      </c>
      <c r="JZ13" s="6">
        <f>日流量!JZ13*24*3600/100000000</f>
        <v>4.5792000000000002</v>
      </c>
      <c r="KA13" s="6">
        <f>日流量!KA13*24*3600/100000000</f>
        <v>4.5878399999999999</v>
      </c>
      <c r="KB13" s="6">
        <f>日流量!KB13*24*3600/100000000</f>
        <v>4.5878399999999999</v>
      </c>
      <c r="KC13" s="6">
        <f>日流量!KC13*24*3600/100000000</f>
        <v>4.5446400000000002</v>
      </c>
      <c r="KD13" s="6">
        <f>日流量!KD13*24*3600/100000000</f>
        <v>4.4668799999999997</v>
      </c>
      <c r="KE13" s="6">
        <f>日流量!KE13*24*3600/100000000</f>
        <v>4.4409599999999996</v>
      </c>
      <c r="KF13" s="6">
        <f>日流量!KF13*24*3600/100000000</f>
        <v>4.55328</v>
      </c>
      <c r="KG13" s="6">
        <f>日流量!KG13*24*3600/100000000</f>
        <v>4.6051200000000003</v>
      </c>
      <c r="KH13" s="6">
        <f>日流量!KH13*24*3600/100000000</f>
        <v>4.5014399999999997</v>
      </c>
      <c r="KI13" s="6">
        <f>日流量!KI13*24*3600/100000000</f>
        <v>4.3113599999999996</v>
      </c>
      <c r="KJ13" s="6">
        <f>日流量!KJ13*24*3600/100000000</f>
        <v>4.2336</v>
      </c>
      <c r="KK13" s="6">
        <f>日流量!KK13*24*3600/100000000</f>
        <v>4.0262399999999996</v>
      </c>
      <c r="KL13" s="6">
        <f>日流量!KL13*24*3600/100000000</f>
        <v>3.85344</v>
      </c>
      <c r="KM13" s="6">
        <f>日流量!KM13*24*3600/100000000</f>
        <v>3.6806399999999999</v>
      </c>
      <c r="KN13" s="6">
        <f>日流量!KN13*24*3600/100000000</f>
        <v>3.55104</v>
      </c>
      <c r="KO13" s="6">
        <f>日流量!KO13*24*3600/100000000</f>
        <v>3.4300799999999998</v>
      </c>
      <c r="KP13" s="6">
        <f>日流量!KP13*24*3600/100000000</f>
        <v>3.3264</v>
      </c>
      <c r="KQ13" s="6">
        <f>日流量!KQ13*24*3600/100000000</f>
        <v>3.24864</v>
      </c>
      <c r="KR13" s="6">
        <f>日流量!KR13*24*3600/100000000</f>
        <v>3.1622400000000002</v>
      </c>
      <c r="KS13" s="6">
        <f>日流量!KS13*24*3600/100000000</f>
        <v>3.0585599999999999</v>
      </c>
      <c r="KT13" s="6">
        <f>日流量!KT13*24*3600/100000000</f>
        <v>2.9548800000000002</v>
      </c>
      <c r="KU13" s="6">
        <f>日流量!KU13*24*3600/100000000</f>
        <v>2.9030399999999998</v>
      </c>
      <c r="KV13" s="6">
        <f>日流量!KV13*24*3600/100000000</f>
        <v>2.8771200000000001</v>
      </c>
      <c r="KW13" s="6">
        <f>日流量!KW13*24*3600/100000000</f>
        <v>2.8598400000000002</v>
      </c>
      <c r="KX13" s="6">
        <f>日流量!KX13*24*3600/100000000</f>
        <v>2.83392</v>
      </c>
      <c r="KY13" s="6">
        <f>日流量!KY13*24*3600/100000000</f>
        <v>2.7820800000000001</v>
      </c>
      <c r="KZ13" s="6">
        <f>日流量!KZ13*24*3600/100000000</f>
        <v>2.7475200000000002</v>
      </c>
      <c r="LA13" s="6">
        <f>日流量!LA13*24*3600/100000000</f>
        <v>2.7129599999999998</v>
      </c>
      <c r="LB13" s="6">
        <f>日流量!LB13*24*3600/100000000</f>
        <v>2.64384</v>
      </c>
      <c r="LC13" s="6">
        <f>日流量!LC13*24*3600/100000000</f>
        <v>2.5574400000000002</v>
      </c>
      <c r="LD13" s="6">
        <f>日流量!LD13*24*3600/100000000</f>
        <v>2.4883199999999999</v>
      </c>
      <c r="LE13" s="6">
        <f>日流量!LE13*24*3600/100000000</f>
        <v>2.4537599999999999</v>
      </c>
      <c r="LF13" s="6">
        <f>日流量!LF13*24*3600/100000000</f>
        <v>2.4019200000000001</v>
      </c>
      <c r="LG13" s="6">
        <f>日流量!LG13*24*3600/100000000</f>
        <v>2.34144</v>
      </c>
      <c r="LH13" s="6">
        <f>日流量!LH13*24*3600/100000000</f>
        <v>2.2982399999999998</v>
      </c>
      <c r="LI13" s="6">
        <f>日流量!LI13*24*3600/100000000</f>
        <v>2.2550400000000002</v>
      </c>
      <c r="LJ13" s="6">
        <f>日流量!LJ13*24*3600/100000000</f>
        <v>2.2031999999999998</v>
      </c>
      <c r="LK13" s="6">
        <f>日流量!LK13*24*3600/100000000</f>
        <v>2.1686399999999999</v>
      </c>
      <c r="LL13" s="6">
        <f>日流量!LL13*24*3600/100000000</f>
        <v>2.1254400000000002</v>
      </c>
      <c r="LM13" s="6">
        <f>日流量!LM13*24*3600/100000000</f>
        <v>2.0908799999999998</v>
      </c>
      <c r="LN13" s="6">
        <f>日流量!LN13*24*3600/100000000</f>
        <v>2.0563199999999999</v>
      </c>
      <c r="LO13" s="6">
        <f>日流量!LO13*24*3600/100000000</f>
        <v>2.0131199999999998</v>
      </c>
      <c r="LP13" s="6">
        <f>日流量!LP13*24*3600/100000000</f>
        <v>1.9785600000000001</v>
      </c>
      <c r="LQ13" s="6">
        <f>日流量!LQ13*24*3600/100000000</f>
        <v>1.944</v>
      </c>
      <c r="LR13" s="6">
        <f>日流量!LR13*24*3600/100000000</f>
        <v>1.9008</v>
      </c>
      <c r="LS13" s="6">
        <f>日流量!LS13*24*3600/100000000</f>
        <v>1.8662399999999999</v>
      </c>
      <c r="LT13" s="6">
        <f>日流量!LT13*24*3600/100000000</f>
        <v>1.84032</v>
      </c>
      <c r="LU13" s="6">
        <f>日流量!LU13*24*3600/100000000</f>
        <v>1.80576</v>
      </c>
      <c r="LV13" s="6">
        <f>日流量!LV13*24*3600/100000000</f>
        <v>1.7798400000000001</v>
      </c>
      <c r="LW13" s="6">
        <f>日流量!LW13*24*3600/100000000</f>
        <v>1.7625599999999999</v>
      </c>
      <c r="LX13" s="6">
        <f>日流量!LX13*24*3600/100000000</f>
        <v>1.7452799999999999</v>
      </c>
      <c r="LY13" s="6">
        <f>日流量!LY13*24*3600/100000000</f>
        <v>1.71936</v>
      </c>
      <c r="LZ13" s="6">
        <f>日流量!LZ13*24*3600/100000000</f>
        <v>1.70208</v>
      </c>
      <c r="MA13" s="6">
        <f>日流量!MA13*24*3600/100000000</f>
        <v>1.6848000000000001</v>
      </c>
      <c r="MB13" s="6">
        <f>日流量!MB13*24*3600/100000000</f>
        <v>1.6675199999999999</v>
      </c>
      <c r="MC13" s="6">
        <f>日流量!MC13*24*3600/100000000</f>
        <v>1.6415999999999999</v>
      </c>
      <c r="MD13" s="6">
        <f>日流量!MD13*24*3600/100000000</f>
        <v>1.60704</v>
      </c>
      <c r="ME13" s="6">
        <f>日流量!ME13*24*3600/100000000</f>
        <v>1.5724800000000001</v>
      </c>
      <c r="MF13" s="6">
        <f>日流量!MF13*24*3600/100000000</f>
        <v>1.5551999999999999</v>
      </c>
      <c r="MG13" s="6">
        <f>日流量!MG13*24*3600/100000000</f>
        <v>1.52928</v>
      </c>
      <c r="MH13" s="6">
        <f>日流量!MH13*24*3600/100000000</f>
        <v>1.52928</v>
      </c>
      <c r="MI13" s="6">
        <f>日流量!MI13*24*3600/100000000</f>
        <v>1.52928</v>
      </c>
      <c r="MJ13" s="6">
        <f>日流量!MJ13*24*3600/100000000</f>
        <v>1.512</v>
      </c>
      <c r="MK13" s="6">
        <f>日流量!MK13*24*3600/100000000</f>
        <v>1.49472</v>
      </c>
      <c r="ML13" s="6">
        <f>日流量!ML13*24*3600/100000000</f>
        <v>1.4688000000000001</v>
      </c>
      <c r="MM13" s="6">
        <f>日流量!MM13*24*3600/100000000</f>
        <v>1.4428799999999999</v>
      </c>
      <c r="MN13" s="6">
        <f>日流量!MN13*24*3600/100000000</f>
        <v>1.41696</v>
      </c>
      <c r="MO13" s="6">
        <f>日流量!MO13*24*3600/100000000</f>
        <v>1.3824000000000001</v>
      </c>
      <c r="MP13" s="6">
        <f>日流量!MP13*24*3600/100000000</f>
        <v>1.3478399999999999</v>
      </c>
      <c r="MQ13" s="6">
        <f>日流量!MQ13*24*3600/100000000</f>
        <v>1.33056</v>
      </c>
      <c r="MR13" s="6">
        <f>日流量!MR13*24*3600/100000000</f>
        <v>1.33056</v>
      </c>
      <c r="MS13" s="6">
        <f>日流量!MS13*24*3600/100000000</f>
        <v>1.3391999999999999</v>
      </c>
      <c r="MT13" s="6">
        <f>日流量!MT13*24*3600/100000000</f>
        <v>1.3564799999999999</v>
      </c>
      <c r="MU13" s="6">
        <f>日流量!MU13*24*3600/100000000</f>
        <v>1.3564799999999999</v>
      </c>
      <c r="MV13" s="6">
        <f>日流量!MV13*24*3600/100000000</f>
        <v>1.3391999999999999</v>
      </c>
      <c r="MW13" s="6">
        <f>日流量!MW13*24*3600/100000000</f>
        <v>1.32192</v>
      </c>
      <c r="MX13" s="6">
        <f>日流量!MX13*24*3600/100000000</f>
        <v>1.31328</v>
      </c>
      <c r="MY13" s="6">
        <f>日流量!MY13*24*3600/100000000</f>
        <v>1.2873600000000001</v>
      </c>
      <c r="MZ13" s="6">
        <f>日流量!MZ13*24*3600/100000000</f>
        <v>1.2700800000000001</v>
      </c>
      <c r="NA13" s="6">
        <f>日流量!NA13*24*3600/100000000</f>
        <v>1.2527999999999999</v>
      </c>
      <c r="NB13" s="6">
        <f>日流量!NB13*24*3600/100000000</f>
        <v>1.2441599999999999</v>
      </c>
      <c r="NC13" s="6">
        <f>日流量!NC13*24*3600/100000000</f>
        <v>1.23552</v>
      </c>
      <c r="ND13" s="6">
        <f>日流量!ND13*24*3600*31/100000000</f>
        <v>30.801600000000001</v>
      </c>
      <c r="NE13" s="6">
        <f>日流量!NE13*24*3600*29/100000000</f>
        <v>25.807680000000001</v>
      </c>
      <c r="NF13" s="6">
        <f>日流量!NF13*24*3600*31/100000000</f>
        <v>25.792992000000002</v>
      </c>
      <c r="NG13" s="6">
        <f>日流量!NG13*24*3600*30/100000000</f>
        <v>25.92</v>
      </c>
      <c r="NH13" s="6">
        <f>日流量!NH13*24*3600*31/100000000</f>
        <v>30.533760000000001</v>
      </c>
      <c r="NI13" s="6">
        <f>日流量!NI13*24*3600*30/100000000</f>
        <v>113.2704</v>
      </c>
      <c r="NJ13" s="6">
        <f>日流量!NJ13*24*3600*31/100000000</f>
        <v>191.77343999999999</v>
      </c>
      <c r="NK13" s="6">
        <f>日流量!NK13*24*3600*31/100000000</f>
        <v>244.53792000000001</v>
      </c>
      <c r="NL13" s="6">
        <f>日流量!NL13*24*3600*30/100000000</f>
        <v>242.87039999999999</v>
      </c>
      <c r="NM13" s="6">
        <f>日流量!NM13*24*3600*31/100000000</f>
        <v>134.18783999999999</v>
      </c>
      <c r="NN13" s="6">
        <f>日流量!NN13*24*3600*30/100000000</f>
        <v>68.428799999999995</v>
      </c>
      <c r="NO13" s="6">
        <f>日流量!NO13*24*3600*31/100000000</f>
        <v>44.729280000000003</v>
      </c>
      <c r="NP13" s="14">
        <f t="shared" si="10"/>
        <v>1178.6541119999999</v>
      </c>
      <c r="NQ13" s="6">
        <f>日流量!NQ13*24*3600/100000000</f>
        <v>11.5776</v>
      </c>
      <c r="NR13" s="4">
        <f>日流量!NR13</f>
        <v>42589</v>
      </c>
      <c r="NS13" s="6">
        <f>日流量!NS13*24*3600/100000000</f>
        <v>0.80611200000000005</v>
      </c>
      <c r="NT13" s="4">
        <f>日流量!NT13</f>
        <v>42461</v>
      </c>
      <c r="NU13" s="7">
        <f>日流量!NP13</f>
        <v>3727.3169398907103</v>
      </c>
      <c r="NW13" s="13">
        <f t="shared" si="0"/>
        <v>957.1737599999999</v>
      </c>
      <c r="NX13" s="12">
        <f t="shared" si="1"/>
        <v>81.209046000426625</v>
      </c>
      <c r="NY13" s="13">
        <f t="shared" si="2"/>
        <v>792.45216000000005</v>
      </c>
      <c r="NZ13" s="12">
        <f t="shared" si="3"/>
        <v>67.23364827152956</v>
      </c>
      <c r="OA13" s="13">
        <f t="shared" si="4"/>
        <v>221.48035200000004</v>
      </c>
      <c r="OB13" s="12">
        <f t="shared" si="5"/>
        <v>18.790953999573375</v>
      </c>
      <c r="OC13" s="13">
        <f t="shared" si="6"/>
        <v>244.53792000000001</v>
      </c>
      <c r="OD13" s="12">
        <f t="shared" si="7"/>
        <v>20.747216465826067</v>
      </c>
      <c r="OE13" s="12">
        <f t="shared" si="8"/>
        <v>275.38647476635515</v>
      </c>
      <c r="OF13" s="12">
        <f t="shared" si="9"/>
        <v>8.7324478299833554</v>
      </c>
    </row>
    <row r="14" spans="1:397" x14ac:dyDescent="0.15">
      <c r="A14" s="2">
        <v>1961</v>
      </c>
      <c r="B14" s="6">
        <f>日流量!B14*24*3600/100000000</f>
        <v>1.1664000000000001</v>
      </c>
      <c r="C14" s="6">
        <f>日流量!C14*24*3600/100000000</f>
        <v>1.1664000000000001</v>
      </c>
      <c r="D14" s="6">
        <f>日流量!D14*24*3600/100000000</f>
        <v>1.1664000000000001</v>
      </c>
      <c r="E14" s="6">
        <f>日流量!E14*24*3600/100000000</f>
        <v>1.1577599999999999</v>
      </c>
      <c r="F14" s="6">
        <f>日流量!F14*24*3600/100000000</f>
        <v>1.1491199999999999</v>
      </c>
      <c r="G14" s="6">
        <f>日流量!G14*24*3600/100000000</f>
        <v>1.1404799999999999</v>
      </c>
      <c r="H14" s="6">
        <f>日流量!H14*24*3600/100000000</f>
        <v>1.13184</v>
      </c>
      <c r="I14" s="6">
        <f>日流量!I14*24*3600/100000000</f>
        <v>1.11456</v>
      </c>
      <c r="J14" s="6">
        <f>日流量!J14*24*3600/100000000</f>
        <v>1.11456</v>
      </c>
      <c r="K14" s="6">
        <f>日流量!K14*24*3600/100000000</f>
        <v>1.10592</v>
      </c>
      <c r="L14" s="6">
        <f>日流量!L14*24*3600/100000000</f>
        <v>1.09728</v>
      </c>
      <c r="M14" s="6">
        <f>日流量!M14*24*3600/100000000</f>
        <v>1.08</v>
      </c>
      <c r="N14" s="6">
        <f>日流量!N14*24*3600/100000000</f>
        <v>1.0713600000000001</v>
      </c>
      <c r="O14" s="6">
        <f>日流量!O14*24*3600/100000000</f>
        <v>1.0713600000000001</v>
      </c>
      <c r="P14" s="6">
        <f>日流量!P14*24*3600/100000000</f>
        <v>1.0713600000000001</v>
      </c>
      <c r="Q14" s="6">
        <f>日流量!Q14*24*3600/100000000</f>
        <v>1.0540799999999999</v>
      </c>
      <c r="R14" s="6">
        <f>日流量!R14*24*3600/100000000</f>
        <v>1.0540799999999999</v>
      </c>
      <c r="S14" s="6">
        <f>日流量!S14*24*3600/100000000</f>
        <v>1.0540799999999999</v>
      </c>
      <c r="T14" s="6">
        <f>日流量!T14*24*3600/100000000</f>
        <v>1.0540799999999999</v>
      </c>
      <c r="U14" s="6">
        <f>日流量!U14*24*3600/100000000</f>
        <v>1.0367999999999999</v>
      </c>
      <c r="V14" s="6">
        <f>日流量!V14*24*3600/100000000</f>
        <v>1.01088</v>
      </c>
      <c r="W14" s="6">
        <f>日流量!W14*24*3600/100000000</f>
        <v>0.98495999999999995</v>
      </c>
      <c r="X14" s="6">
        <f>日流量!X14*24*3600/100000000</f>
        <v>0.97631999999999997</v>
      </c>
      <c r="Y14" s="6">
        <f>日流量!Y14*24*3600/100000000</f>
        <v>0.97631999999999997</v>
      </c>
      <c r="Z14" s="6">
        <f>日流量!Z14*24*3600/100000000</f>
        <v>0.97631999999999997</v>
      </c>
      <c r="AA14" s="6">
        <f>日流量!AA14*24*3600/100000000</f>
        <v>0.97631999999999997</v>
      </c>
      <c r="AB14" s="6">
        <f>日流量!AB14*24*3600/100000000</f>
        <v>0.96767999999999998</v>
      </c>
      <c r="AC14" s="6">
        <f>日流量!AC14*24*3600/100000000</f>
        <v>0.95904</v>
      </c>
      <c r="AD14" s="6">
        <f>日流量!AD14*24*3600/100000000</f>
        <v>0.95040000000000002</v>
      </c>
      <c r="AE14" s="6">
        <f>日流量!AE14*24*3600/100000000</f>
        <v>0.94176000000000004</v>
      </c>
      <c r="AF14" s="6">
        <f>日流量!AF14*24*3600/100000000</f>
        <v>0.94176000000000004</v>
      </c>
      <c r="AG14" s="6">
        <f>日流量!AG14*24*3600/100000000</f>
        <v>0.94176000000000004</v>
      </c>
      <c r="AH14" s="6">
        <f>日流量!AH14*24*3600/100000000</f>
        <v>0.95040000000000002</v>
      </c>
      <c r="AI14" s="6">
        <f>日流量!AI14*24*3600/100000000</f>
        <v>0.95904</v>
      </c>
      <c r="AJ14" s="6">
        <f>日流量!AJ14*24*3600/100000000</f>
        <v>0.96767999999999998</v>
      </c>
      <c r="AK14" s="6">
        <f>日流量!AK14*24*3600/100000000</f>
        <v>0.96767999999999998</v>
      </c>
      <c r="AL14" s="6">
        <f>日流量!AL14*24*3600/100000000</f>
        <v>0.97631999999999997</v>
      </c>
      <c r="AM14" s="6">
        <f>日流量!AM14*24*3600/100000000</f>
        <v>0.97631999999999997</v>
      </c>
      <c r="AN14" s="6">
        <f>日流量!AN14*24*3600/100000000</f>
        <v>0.97631999999999997</v>
      </c>
      <c r="AO14" s="6">
        <f>日流量!AO14*24*3600/100000000</f>
        <v>0.96767999999999998</v>
      </c>
      <c r="AP14" s="6">
        <f>日流量!AP14*24*3600/100000000</f>
        <v>0.95040000000000002</v>
      </c>
      <c r="AQ14" s="6">
        <f>日流量!AQ14*24*3600/100000000</f>
        <v>0.95040000000000002</v>
      </c>
      <c r="AR14" s="6">
        <f>日流量!AR14*24*3600/100000000</f>
        <v>0.94176000000000004</v>
      </c>
      <c r="AS14" s="6">
        <f>日流量!AS14*24*3600/100000000</f>
        <v>0.94176000000000004</v>
      </c>
      <c r="AT14" s="6">
        <f>日流量!AT14*24*3600/100000000</f>
        <v>0.94176000000000004</v>
      </c>
      <c r="AU14" s="6">
        <f>日流量!AU14*24*3600/100000000</f>
        <v>0.94176000000000004</v>
      </c>
      <c r="AV14" s="6">
        <f>日流量!AV14*24*3600/100000000</f>
        <v>0.93311999999999995</v>
      </c>
      <c r="AW14" s="6">
        <f>日流量!AW14*24*3600/100000000</f>
        <v>0.91583999999999999</v>
      </c>
      <c r="AX14" s="6">
        <f>日流量!AX14*24*3600/100000000</f>
        <v>0.92447999999999997</v>
      </c>
      <c r="AY14" s="6">
        <f>日流量!AY14*24*3600/100000000</f>
        <v>0.94176000000000004</v>
      </c>
      <c r="AZ14" s="6">
        <f>日流量!AZ14*24*3600/100000000</f>
        <v>0.93311999999999995</v>
      </c>
      <c r="BA14" s="6">
        <f>日流量!BA14*24*3600/100000000</f>
        <v>0.91583999999999999</v>
      </c>
      <c r="BB14" s="6">
        <f>日流量!BB14*24*3600/100000000</f>
        <v>0.91583999999999999</v>
      </c>
      <c r="BC14" s="6">
        <f>日流量!BC14*24*3600/100000000</f>
        <v>0.90720000000000001</v>
      </c>
      <c r="BD14" s="6">
        <f>日流量!BD14*24*3600/100000000</f>
        <v>0.89856000000000003</v>
      </c>
      <c r="BE14" s="6">
        <f>日流量!BE14*24*3600/100000000</f>
        <v>0.88992000000000004</v>
      </c>
      <c r="BF14" s="6">
        <f>日流量!BF14*24*3600/100000000</f>
        <v>0.88992000000000004</v>
      </c>
      <c r="BG14" s="6">
        <f>日流量!BG14*24*3600/100000000</f>
        <v>0.89856000000000003</v>
      </c>
      <c r="BH14" s="6">
        <f>日流量!BH14*24*3600/100000000</f>
        <v>0.91583999999999999</v>
      </c>
      <c r="BI14" s="6"/>
      <c r="BJ14" s="6">
        <f>日流量!BJ14*24*3600/100000000</f>
        <v>0.92447999999999997</v>
      </c>
      <c r="BK14" s="6">
        <f>日流量!BK14*24*3600/100000000</f>
        <v>0.94176000000000004</v>
      </c>
      <c r="BL14" s="6">
        <f>日流量!BL14*24*3600/100000000</f>
        <v>0.94176000000000004</v>
      </c>
      <c r="BM14" s="6">
        <f>日流量!BM14*24*3600/100000000</f>
        <v>0.92447999999999997</v>
      </c>
      <c r="BN14" s="6">
        <f>日流量!BN14*24*3600/100000000</f>
        <v>0.92447999999999997</v>
      </c>
      <c r="BO14" s="6">
        <f>日流量!BO14*24*3600/100000000</f>
        <v>0.92447999999999997</v>
      </c>
      <c r="BP14" s="6">
        <f>日流量!BP14*24*3600/100000000</f>
        <v>0.92447999999999997</v>
      </c>
      <c r="BQ14" s="6">
        <f>日流量!BQ14*24*3600/100000000</f>
        <v>0.91583999999999999</v>
      </c>
      <c r="BR14" s="6">
        <f>日流量!BR14*24*3600/100000000</f>
        <v>0.91583999999999999</v>
      </c>
      <c r="BS14" s="6">
        <f>日流量!BS14*24*3600/100000000</f>
        <v>0.90720000000000001</v>
      </c>
      <c r="BT14" s="6">
        <f>日流量!BT14*24*3600/100000000</f>
        <v>0.89856000000000003</v>
      </c>
      <c r="BU14" s="6">
        <f>日流量!BU14*24*3600/100000000</f>
        <v>0.89856000000000003</v>
      </c>
      <c r="BV14" s="6">
        <f>日流量!BV14*24*3600/100000000</f>
        <v>0.88992000000000004</v>
      </c>
      <c r="BW14" s="6">
        <f>日流量!BW14*24*3600/100000000</f>
        <v>0.88992000000000004</v>
      </c>
      <c r="BX14" s="6">
        <f>日流量!BX14*24*3600/100000000</f>
        <v>0.88992000000000004</v>
      </c>
      <c r="BY14" s="6">
        <f>日流量!BY14*24*3600/100000000</f>
        <v>0.88992000000000004</v>
      </c>
      <c r="BZ14" s="6">
        <f>日流量!BZ14*24*3600/100000000</f>
        <v>0.89856000000000003</v>
      </c>
      <c r="CA14" s="6">
        <f>日流量!CA14*24*3600/100000000</f>
        <v>0.89856000000000003</v>
      </c>
      <c r="CB14" s="6">
        <f>日流量!CB14*24*3600/100000000</f>
        <v>0.90720000000000001</v>
      </c>
      <c r="CC14" s="6">
        <f>日流量!CC14*24*3600/100000000</f>
        <v>0.90720000000000001</v>
      </c>
      <c r="CD14" s="6">
        <f>日流量!CD14*24*3600/100000000</f>
        <v>0.90720000000000001</v>
      </c>
      <c r="CE14" s="6">
        <f>日流量!CE14*24*3600/100000000</f>
        <v>0.91583999999999999</v>
      </c>
      <c r="CF14" s="6">
        <f>日流量!CF14*24*3600/100000000</f>
        <v>0.93311999999999995</v>
      </c>
      <c r="CG14" s="6">
        <f>日流量!CG14*24*3600/100000000</f>
        <v>0.95040000000000002</v>
      </c>
      <c r="CH14" s="6">
        <f>日流量!CH14*24*3600/100000000</f>
        <v>0.95904</v>
      </c>
      <c r="CI14" s="6">
        <f>日流量!CI14*24*3600/100000000</f>
        <v>0.94176000000000004</v>
      </c>
      <c r="CJ14" s="6">
        <f>日流量!CJ14*24*3600/100000000</f>
        <v>0.95040000000000002</v>
      </c>
      <c r="CK14" s="6">
        <f>日流量!CK14*24*3600/100000000</f>
        <v>0.95040000000000002</v>
      </c>
      <c r="CL14" s="6">
        <f>日流量!CL14*24*3600/100000000</f>
        <v>0.94176000000000004</v>
      </c>
      <c r="CM14" s="6">
        <f>日流量!CM14*24*3600/100000000</f>
        <v>0.94176000000000004</v>
      </c>
      <c r="CN14" s="6">
        <f>日流量!CN14*24*3600/100000000</f>
        <v>0.95040000000000002</v>
      </c>
      <c r="CO14" s="6">
        <f>日流量!CO14*24*3600/100000000</f>
        <v>0.95040000000000002</v>
      </c>
      <c r="CP14" s="6">
        <f>日流量!CP14*24*3600/100000000</f>
        <v>0.93311999999999995</v>
      </c>
      <c r="CQ14" s="6">
        <f>日流量!CQ14*24*3600/100000000</f>
        <v>0.91583999999999999</v>
      </c>
      <c r="CR14" s="6">
        <f>日流量!CR14*24*3600/100000000</f>
        <v>0.90720000000000001</v>
      </c>
      <c r="CS14" s="6">
        <f>日流量!CS14*24*3600/100000000</f>
        <v>0.89856000000000003</v>
      </c>
      <c r="CT14" s="6">
        <f>日流量!CT14*24*3600/100000000</f>
        <v>0.88992000000000004</v>
      </c>
      <c r="CU14" s="6">
        <f>日流量!CU14*24*3600/100000000</f>
        <v>0.88992000000000004</v>
      </c>
      <c r="CV14" s="6">
        <f>日流量!CV14*24*3600/100000000</f>
        <v>0.88992000000000004</v>
      </c>
      <c r="CW14" s="6">
        <f>日流量!CW14*24*3600/100000000</f>
        <v>0.89856000000000003</v>
      </c>
      <c r="CX14" s="6">
        <f>日流量!CX14*24*3600/100000000</f>
        <v>0.92447999999999997</v>
      </c>
      <c r="CY14" s="6">
        <f>日流量!CY14*24*3600/100000000</f>
        <v>0.94176000000000004</v>
      </c>
      <c r="CZ14" s="6">
        <f>日流量!CZ14*24*3600/100000000</f>
        <v>0.96767999999999998</v>
      </c>
      <c r="DA14" s="6">
        <f>日流量!DA14*24*3600/100000000</f>
        <v>0.99360000000000004</v>
      </c>
      <c r="DB14" s="6">
        <f>日流量!DB14*24*3600/100000000</f>
        <v>1.01952</v>
      </c>
      <c r="DC14" s="6">
        <f>日流量!DC14*24*3600/100000000</f>
        <v>1.01952</v>
      </c>
      <c r="DD14" s="6">
        <f>日流量!DD14*24*3600/100000000</f>
        <v>1.01952</v>
      </c>
      <c r="DE14" s="6">
        <f>日流量!DE14*24*3600/100000000</f>
        <v>1.0367999999999999</v>
      </c>
      <c r="DF14" s="6">
        <f>日流量!DF14*24*3600/100000000</f>
        <v>1.08</v>
      </c>
      <c r="DG14" s="6">
        <f>日流量!DG14*24*3600/100000000</f>
        <v>1.13184</v>
      </c>
      <c r="DH14" s="6">
        <f>日流量!DH14*24*3600/100000000</f>
        <v>1.2441599999999999</v>
      </c>
      <c r="DI14" s="6">
        <f>日流量!DI14*24*3600/100000000</f>
        <v>1.3651199999999999</v>
      </c>
      <c r="DJ14" s="6">
        <f>日流量!DJ14*24*3600/100000000</f>
        <v>1.40832</v>
      </c>
      <c r="DK14" s="6">
        <f>日流量!DK14*24*3600/100000000</f>
        <v>1.41696</v>
      </c>
      <c r="DL14" s="6">
        <f>日流量!DL14*24*3600/100000000</f>
        <v>1.41696</v>
      </c>
      <c r="DM14" s="6">
        <f>日流量!DM14*24*3600/100000000</f>
        <v>1.41696</v>
      </c>
      <c r="DN14" s="6">
        <f>日流量!DN14*24*3600/100000000</f>
        <v>1.5638399999999999</v>
      </c>
      <c r="DO14" s="6">
        <f>日流量!DO14*24*3600/100000000</f>
        <v>1.7452799999999999</v>
      </c>
      <c r="DP14" s="6">
        <f>日流量!DP14*24*3600/100000000</f>
        <v>1.8748800000000001</v>
      </c>
      <c r="DQ14" s="6">
        <f>日流量!DQ14*24*3600/100000000</f>
        <v>1.91808</v>
      </c>
      <c r="DR14" s="6">
        <f>日流量!DR14*24*3600/100000000</f>
        <v>1.8575999999999999</v>
      </c>
      <c r="DS14" s="6">
        <f>日流量!DS14*24*3600/100000000</f>
        <v>1.71936</v>
      </c>
      <c r="DT14" s="6">
        <f>日流量!DT14*24*3600/100000000</f>
        <v>1.5811200000000001</v>
      </c>
      <c r="DU14" s="6">
        <f>日流量!DU14*24*3600/100000000</f>
        <v>1.4688000000000001</v>
      </c>
      <c r="DV14" s="6">
        <f>日流量!DV14*24*3600/100000000</f>
        <v>1.43424</v>
      </c>
      <c r="DW14" s="6">
        <f>日流量!DW14*24*3600/100000000</f>
        <v>1.4688000000000001</v>
      </c>
      <c r="DX14" s="6">
        <f>日流量!DX14*24*3600/100000000</f>
        <v>1.49472</v>
      </c>
      <c r="DY14" s="6">
        <f>日流量!DY14*24*3600/100000000</f>
        <v>1.49472</v>
      </c>
      <c r="DZ14" s="6">
        <f>日流量!DZ14*24*3600/100000000</f>
        <v>1.43424</v>
      </c>
      <c r="EA14" s="6">
        <f>日流量!EA14*24*3600/100000000</f>
        <v>1.3910400000000001</v>
      </c>
      <c r="EB14" s="6">
        <f>日流量!EB14*24*3600/100000000</f>
        <v>1.3651199999999999</v>
      </c>
      <c r="EC14" s="6">
        <f>日流量!EC14*24*3600/100000000</f>
        <v>1.3564799999999999</v>
      </c>
      <c r="ED14" s="6">
        <f>日流量!ED14*24*3600/100000000</f>
        <v>1.40832</v>
      </c>
      <c r="EE14" s="6">
        <f>日流量!EE14*24*3600/100000000</f>
        <v>1.53792</v>
      </c>
      <c r="EF14" s="6">
        <f>日流量!EF14*24*3600/100000000</f>
        <v>1.6934400000000001</v>
      </c>
      <c r="EG14" s="6">
        <f>日流量!EG14*24*3600/100000000</f>
        <v>1.83168</v>
      </c>
      <c r="EH14" s="6">
        <f>日流量!EH14*24*3600/100000000</f>
        <v>1.7798400000000001</v>
      </c>
      <c r="EI14" s="6">
        <f>日流量!EI14*24*3600/100000000</f>
        <v>1.6934400000000001</v>
      </c>
      <c r="EJ14" s="6">
        <f>日流量!EJ14*24*3600/100000000</f>
        <v>1.63296</v>
      </c>
      <c r="EK14" s="6">
        <f>日流量!EK14*24*3600/100000000</f>
        <v>1.6848000000000001</v>
      </c>
      <c r="EL14" s="6">
        <f>日流量!EL14*24*3600/100000000</f>
        <v>1.82304</v>
      </c>
      <c r="EM14" s="6">
        <f>日流量!EM14*24*3600/100000000</f>
        <v>1.9612799999999999</v>
      </c>
      <c r="EN14" s="6">
        <f>日流量!EN14*24*3600/100000000</f>
        <v>2.0476800000000002</v>
      </c>
      <c r="EO14" s="6">
        <f>日流量!EO14*24*3600/100000000</f>
        <v>2.0735999999999999</v>
      </c>
      <c r="EP14" s="6">
        <f>日流量!EP14*24*3600/100000000</f>
        <v>2.0822400000000001</v>
      </c>
      <c r="EQ14" s="6">
        <f>日流量!EQ14*24*3600/100000000</f>
        <v>2.0822400000000001</v>
      </c>
      <c r="ER14" s="6">
        <f>日流量!ER14*24*3600/100000000</f>
        <v>2.0822400000000001</v>
      </c>
      <c r="ES14" s="6">
        <f>日流量!ES14*24*3600/100000000</f>
        <v>2.1254400000000002</v>
      </c>
      <c r="ET14" s="6">
        <f>日流量!ET14*24*3600/100000000</f>
        <v>2.16</v>
      </c>
      <c r="EU14" s="6">
        <f>日流量!EU14*24*3600/100000000</f>
        <v>2.1686399999999999</v>
      </c>
      <c r="EV14" s="6">
        <f>日流量!EV14*24*3600/100000000</f>
        <v>2.3155199999999998</v>
      </c>
      <c r="EW14" s="6">
        <f>日流量!EW14*24*3600/100000000</f>
        <v>2.3759999999999999</v>
      </c>
      <c r="EX14" s="6">
        <f>日流量!EX14*24*3600/100000000</f>
        <v>2.5574400000000002</v>
      </c>
      <c r="EY14" s="6">
        <f>日流量!EY14*24*3600/100000000</f>
        <v>2.9376000000000002</v>
      </c>
      <c r="EZ14" s="6">
        <f>日流量!EZ14*24*3600/100000000</f>
        <v>3.9398399999999998</v>
      </c>
      <c r="FA14" s="6">
        <f>日流量!FA14*24*3600/100000000</f>
        <v>4.1817599999999997</v>
      </c>
      <c r="FB14" s="6">
        <f>日流量!FB14*24*3600/100000000</f>
        <v>3.8620800000000002</v>
      </c>
      <c r="FC14" s="6">
        <f>日流量!FC14*24*3600/100000000</f>
        <v>3.4473600000000002</v>
      </c>
      <c r="FD14" s="6">
        <f>日流量!FD14*24*3600/100000000</f>
        <v>3.1881599999999999</v>
      </c>
      <c r="FE14" s="6">
        <f>日流量!FE14*24*3600/100000000</f>
        <v>3.0758399999999999</v>
      </c>
      <c r="FF14" s="6">
        <f>日流量!FF14*24*3600/100000000</f>
        <v>3.0844800000000001</v>
      </c>
      <c r="FG14" s="6">
        <f>日流量!FG14*24*3600/100000000</f>
        <v>3.2918400000000001</v>
      </c>
      <c r="FH14" s="6">
        <f>日流量!FH14*24*3600/100000000</f>
        <v>3.4992000000000001</v>
      </c>
      <c r="FI14" s="6">
        <f>日流量!FI14*24*3600/100000000</f>
        <v>3.8016000000000001</v>
      </c>
      <c r="FJ14" s="6">
        <f>日流量!FJ14*24*3600/100000000</f>
        <v>3.6288</v>
      </c>
      <c r="FK14" s="6">
        <f>日流量!FK14*24*3600/100000000</f>
        <v>3.5424000000000002</v>
      </c>
      <c r="FL14" s="6">
        <f>日流量!FL14*24*3600/100000000</f>
        <v>3.64608</v>
      </c>
      <c r="FM14" s="6">
        <f>日流量!FM14*24*3600/100000000</f>
        <v>3.8793600000000001</v>
      </c>
      <c r="FN14" s="6">
        <f>日流量!FN14*24*3600/100000000</f>
        <v>3.8707199999999999</v>
      </c>
      <c r="FO14" s="6">
        <f>日流量!FO14*24*3600/100000000</f>
        <v>3.7756799999999999</v>
      </c>
      <c r="FP14" s="6">
        <f>日流量!FP14*24*3600/100000000</f>
        <v>3.5942400000000001</v>
      </c>
      <c r="FQ14" s="6">
        <f>日流量!FQ14*24*3600/100000000</f>
        <v>3.4473600000000002</v>
      </c>
      <c r="FR14" s="6">
        <f>日流量!FR14*24*3600/100000000</f>
        <v>3.3177599999999998</v>
      </c>
      <c r="FS14" s="6">
        <f>日流量!FS14*24*3600/100000000</f>
        <v>3.2831999999999999</v>
      </c>
      <c r="FT14" s="6">
        <f>日流量!FT14*24*3600/100000000</f>
        <v>3.1795200000000001</v>
      </c>
      <c r="FU14" s="6">
        <f>日流量!FU14*24*3600/100000000</f>
        <v>3.0326399999999998</v>
      </c>
      <c r="FV14" s="6">
        <f>日流量!FV14*24*3600/100000000</f>
        <v>3.0326399999999998</v>
      </c>
      <c r="FW14" s="6">
        <f>日流量!FW14*24*3600/100000000</f>
        <v>3.024</v>
      </c>
      <c r="FX14" s="6">
        <f>日流量!FX14*24*3600/100000000</f>
        <v>3.024</v>
      </c>
      <c r="FY14" s="6">
        <f>日流量!FY14*24*3600/100000000</f>
        <v>3.0672000000000001</v>
      </c>
      <c r="FZ14" s="6">
        <f>日流量!FZ14*24*3600/100000000</f>
        <v>3.2745600000000001</v>
      </c>
      <c r="GA14" s="6">
        <f>日流量!GA14*24*3600/100000000</f>
        <v>3.6115200000000001</v>
      </c>
      <c r="GB14" s="6">
        <f>日流量!GB14*24*3600/100000000</f>
        <v>3.83616</v>
      </c>
      <c r="GC14" s="6">
        <f>日流量!GC14*24*3600/100000000</f>
        <v>4.26816</v>
      </c>
      <c r="GD14" s="6">
        <f>日流量!GD14*24*3600/100000000</f>
        <v>4.6915199999999997</v>
      </c>
      <c r="GE14" s="6">
        <f>日流量!GE14*24*3600/100000000</f>
        <v>4.8988800000000001</v>
      </c>
      <c r="GF14" s="6">
        <f>日流量!GF14*24*3600/100000000</f>
        <v>5.5036800000000001</v>
      </c>
      <c r="GG14" s="6">
        <f>日流量!GG14*24*3600/100000000</f>
        <v>5.5814399999999997</v>
      </c>
      <c r="GH14" s="6">
        <f>日流量!GH14*24*3600/100000000</f>
        <v>6.0048000000000004</v>
      </c>
      <c r="GI14" s="6">
        <f>日流量!GI14*24*3600/100000000</f>
        <v>7.4736000000000002</v>
      </c>
      <c r="GJ14" s="6">
        <f>日流量!GJ14*24*3600/100000000</f>
        <v>8.5622399999999992</v>
      </c>
      <c r="GK14" s="6">
        <f>日流量!GK14*24*3600/100000000</f>
        <v>11.1456</v>
      </c>
      <c r="GL14" s="6">
        <f>日流量!GL14*24*3600/100000000</f>
        <v>11.8368</v>
      </c>
      <c r="GM14" s="6">
        <f>日流量!GM14*24*3600/100000000</f>
        <v>10.540800000000001</v>
      </c>
      <c r="GN14" s="6">
        <f>日流量!GN14*24*3600/100000000</f>
        <v>9.5904000000000007</v>
      </c>
      <c r="GO14" s="6">
        <f>日流量!GO14*24*3600/100000000</f>
        <v>9.2447999999999997</v>
      </c>
      <c r="GP14" s="6">
        <f>日流量!GP14*24*3600/100000000</f>
        <v>10.1952</v>
      </c>
      <c r="GQ14" s="6">
        <f>日流量!GQ14*24*3600/100000000</f>
        <v>12.096</v>
      </c>
      <c r="GR14" s="6">
        <f>日流量!GR14*24*3600/100000000</f>
        <v>12.441599999999999</v>
      </c>
      <c r="GS14" s="6">
        <f>日流量!GS14*24*3600/100000000</f>
        <v>10.7136</v>
      </c>
      <c r="GT14" s="6">
        <f>日流量!GT14*24*3600/100000000</f>
        <v>9.4176000000000002</v>
      </c>
      <c r="GU14" s="6">
        <f>日流量!GU14*24*3600/100000000</f>
        <v>8.5276800000000001</v>
      </c>
      <c r="GV14" s="6">
        <f>日流量!GV14*24*3600/100000000</f>
        <v>7.7328000000000001</v>
      </c>
      <c r="GW14" s="6">
        <f>日流量!GW14*24*3600/100000000</f>
        <v>7.0156799999999997</v>
      </c>
      <c r="GX14" s="6">
        <f>日流量!GX14*24*3600/100000000</f>
        <v>6.3071999999999999</v>
      </c>
      <c r="GY14" s="6">
        <f>日流量!GY14*24*3600/100000000</f>
        <v>5.66784</v>
      </c>
      <c r="GZ14" s="6">
        <f>日流量!GZ14*24*3600/100000000</f>
        <v>5.1407999999999996</v>
      </c>
      <c r="HA14" s="6">
        <f>日流量!HA14*24*3600/100000000</f>
        <v>4.7174399999999999</v>
      </c>
      <c r="HB14" s="6">
        <f>日流量!HB14*24*3600/100000000</f>
        <v>4.6051200000000003</v>
      </c>
      <c r="HC14" s="6">
        <f>日流量!HC14*24*3600/100000000</f>
        <v>4.4323199999999998</v>
      </c>
      <c r="HD14" s="6">
        <f>日流量!HD14*24*3600/100000000</f>
        <v>4.6828799999999999</v>
      </c>
      <c r="HE14" s="6">
        <f>日流量!HE14*24*3600/100000000</f>
        <v>4.9939200000000001</v>
      </c>
      <c r="HF14" s="6">
        <f>日流量!HF14*24*3600/100000000</f>
        <v>5.0457599999999996</v>
      </c>
      <c r="HG14" s="6">
        <f>日流量!HG14*24*3600/100000000</f>
        <v>4.7174399999999999</v>
      </c>
      <c r="HH14" s="6">
        <f>日流量!HH14*24*3600/100000000</f>
        <v>4.6137600000000001</v>
      </c>
      <c r="HI14" s="6">
        <f>日流量!HI14*24*3600/100000000</f>
        <v>5.0716799999999997</v>
      </c>
      <c r="HJ14" s="6">
        <f>日流量!HJ14*24*3600/100000000</f>
        <v>5.5036800000000001</v>
      </c>
      <c r="HK14" s="6">
        <f>日流量!HK14*24*3600/100000000</f>
        <v>5.8665599999999998</v>
      </c>
      <c r="HL14" s="6">
        <f>日流量!HL14*24*3600/100000000</f>
        <v>5.95296</v>
      </c>
      <c r="HM14" s="6">
        <f>日流量!HM14*24*3600/100000000</f>
        <v>5.8838400000000002</v>
      </c>
      <c r="HN14" s="6">
        <f>日流量!HN14*24*3600/100000000</f>
        <v>5.9702400000000004</v>
      </c>
      <c r="HO14" s="6">
        <f>日流量!HO14*24*3600/100000000</f>
        <v>6.6959999999999997</v>
      </c>
      <c r="HP14" s="6">
        <f>日流量!HP14*24*3600/100000000</f>
        <v>6.7392000000000003</v>
      </c>
      <c r="HQ14" s="6">
        <f>日流量!HQ14*24*3600/100000000</f>
        <v>6.5836800000000002</v>
      </c>
      <c r="HR14" s="6">
        <f>日流量!HR14*24*3600/100000000</f>
        <v>6.6787200000000002</v>
      </c>
      <c r="HS14" s="6">
        <f>日流量!HS14*24*3600/100000000</f>
        <v>6.46272</v>
      </c>
      <c r="HT14" s="6">
        <f>日流量!HT14*24*3600/100000000</f>
        <v>6.0048000000000004</v>
      </c>
      <c r="HU14" s="6">
        <f>日流量!HU14*24*3600/100000000</f>
        <v>6.6528</v>
      </c>
      <c r="HV14" s="6">
        <f>日流量!HV14*24*3600/100000000</f>
        <v>7.3267199999999999</v>
      </c>
      <c r="HW14" s="6">
        <f>日流量!HW14*24*3600/100000000</f>
        <v>7.4563199999999998</v>
      </c>
      <c r="HX14" s="6">
        <f>日流量!HX14*24*3600/100000000</f>
        <v>7.4131200000000002</v>
      </c>
      <c r="HY14" s="6">
        <f>日流量!HY14*24*3600/100000000</f>
        <v>8.9855999999999998</v>
      </c>
      <c r="HZ14" s="6">
        <f>日流量!HZ14*24*3600/100000000</f>
        <v>10.7136</v>
      </c>
      <c r="IA14" s="6">
        <f>日流量!IA14*24*3600/100000000</f>
        <v>10.8864</v>
      </c>
      <c r="IB14" s="6">
        <f>日流量!IB14*24*3600/100000000</f>
        <v>10.6272</v>
      </c>
      <c r="IC14" s="6">
        <f>日流量!IC14*24*3600/100000000</f>
        <v>10.1952</v>
      </c>
      <c r="ID14" s="6">
        <f>日流量!ID14*24*3600/100000000</f>
        <v>9.4176000000000002</v>
      </c>
      <c r="IE14" s="6">
        <f>日流量!IE14*24*3600/100000000</f>
        <v>8.7263999999999999</v>
      </c>
      <c r="IF14" s="6">
        <f>日流量!IF14*24*3600/100000000</f>
        <v>8.1216000000000008</v>
      </c>
      <c r="IG14" s="6">
        <f>日流量!IG14*24*3600/100000000</f>
        <v>7.8105599999999997</v>
      </c>
      <c r="IH14" s="6">
        <f>日流量!IH14*24*3600/100000000</f>
        <v>7.67232</v>
      </c>
      <c r="II14" s="6">
        <f>日流量!II14*24*3600/100000000</f>
        <v>7.3958399999999997</v>
      </c>
      <c r="IJ14" s="6">
        <f>日流量!IJ14*24*3600/100000000</f>
        <v>7.48224</v>
      </c>
      <c r="IK14" s="6">
        <f>日流量!IK14*24*3600/100000000</f>
        <v>7.3872</v>
      </c>
      <c r="IL14" s="6">
        <f>日流量!IL14*24*3600/100000000</f>
        <v>7.2403199999999996</v>
      </c>
      <c r="IM14" s="6">
        <f>日流量!IM14*24*3600/100000000</f>
        <v>7.7328000000000001</v>
      </c>
      <c r="IN14" s="6">
        <f>日流量!IN14*24*3600/100000000</f>
        <v>8.2425599999999992</v>
      </c>
      <c r="IO14" s="6">
        <f>日流量!IO14*24*3600/100000000</f>
        <v>8.1820799999999991</v>
      </c>
      <c r="IP14" s="6">
        <f>日流量!IP14*24*3600/100000000</f>
        <v>7.7328000000000001</v>
      </c>
      <c r="IQ14" s="6">
        <f>日流量!IQ14*24*3600/100000000</f>
        <v>7.19712</v>
      </c>
      <c r="IR14" s="6">
        <f>日流量!IR14*24*3600/100000000</f>
        <v>6.5491200000000003</v>
      </c>
      <c r="IS14" s="6">
        <f>日流量!IS14*24*3600/100000000</f>
        <v>5.95296</v>
      </c>
      <c r="IT14" s="6">
        <f>日流量!IT14*24*3600/100000000</f>
        <v>5.5468799999999998</v>
      </c>
      <c r="IU14" s="6">
        <f>日流量!IU14*24*3600/100000000</f>
        <v>5.2704000000000004</v>
      </c>
      <c r="IV14" s="6">
        <f>日流量!IV14*24*3600/100000000</f>
        <v>5.1753600000000004</v>
      </c>
      <c r="IW14" s="6">
        <f>日流量!IW14*24*3600/100000000</f>
        <v>4.9075199999999999</v>
      </c>
      <c r="IX14" s="6">
        <f>日流量!IX14*24*3600/100000000</f>
        <v>4.6396800000000002</v>
      </c>
      <c r="IY14" s="6">
        <f>日流量!IY14*24*3600/100000000</f>
        <v>4.3804800000000004</v>
      </c>
      <c r="IZ14" s="6">
        <f>日流量!IZ14*24*3600/100000000</f>
        <v>4.1990400000000001</v>
      </c>
      <c r="JA14" s="6">
        <f>日流量!JA14*24*3600/100000000</f>
        <v>4.1040000000000001</v>
      </c>
      <c r="JB14" s="6">
        <f>日流量!JB14*24*3600/100000000</f>
        <v>4.1558400000000004</v>
      </c>
      <c r="JC14" s="6">
        <f>日流量!JC14*24*3600/100000000</f>
        <v>4.4927999999999999</v>
      </c>
      <c r="JD14" s="6">
        <f>日流量!JD14*24*3600/100000000</f>
        <v>4.5359999999999996</v>
      </c>
      <c r="JE14" s="6">
        <f>日流量!JE14*24*3600/100000000</f>
        <v>4.3977599999999999</v>
      </c>
      <c r="JF14" s="6">
        <f>日流量!JF14*24*3600/100000000</f>
        <v>4.5359999999999996</v>
      </c>
      <c r="JG14" s="6">
        <f>日流量!JG14*24*3600/100000000</f>
        <v>5.3395200000000003</v>
      </c>
      <c r="JH14" s="6">
        <f>日流量!JH14*24*3600/100000000</f>
        <v>6.0739200000000002</v>
      </c>
      <c r="JI14" s="6">
        <f>日流量!JI14*24*3600/100000000</f>
        <v>5.6159999999999997</v>
      </c>
      <c r="JJ14" s="6">
        <f>日流量!JJ14*24*3600/100000000</f>
        <v>5.2704000000000004</v>
      </c>
      <c r="JK14" s="6">
        <f>日流量!JK14*24*3600/100000000</f>
        <v>5.3222399999999999</v>
      </c>
      <c r="JL14" s="6">
        <f>日流量!JL14*24*3600/100000000</f>
        <v>5.0111999999999997</v>
      </c>
      <c r="JM14" s="6">
        <f>日流量!JM14*24*3600/100000000</f>
        <v>4.74336</v>
      </c>
      <c r="JN14" s="6">
        <f>日流量!JN14*24*3600/100000000</f>
        <v>4.5100800000000003</v>
      </c>
      <c r="JO14" s="6">
        <f>日流量!JO14*24*3600/100000000</f>
        <v>4.5446400000000002</v>
      </c>
      <c r="JP14" s="6">
        <f>日流量!JP14*24*3600/100000000</f>
        <v>4.74336</v>
      </c>
      <c r="JQ14" s="6">
        <f>日流量!JQ14*24*3600/100000000</f>
        <v>4.5100800000000003</v>
      </c>
      <c r="JR14" s="6">
        <f>日流量!JR14*24*3600/100000000</f>
        <v>4.2940800000000001</v>
      </c>
      <c r="JS14" s="6">
        <f>日流量!JS14*24*3600/100000000</f>
        <v>4.1040000000000001</v>
      </c>
      <c r="JT14" s="6">
        <f>日流量!JT14*24*3600/100000000</f>
        <v>3.94848</v>
      </c>
      <c r="JU14" s="6">
        <f>日流量!JU14*24*3600/100000000</f>
        <v>3.9139200000000001</v>
      </c>
      <c r="JV14" s="6">
        <f>日流量!JV14*24*3600/100000000</f>
        <v>4.1212799999999996</v>
      </c>
      <c r="JW14" s="6">
        <f>日流量!JW14*24*3600/100000000</f>
        <v>4.3891200000000001</v>
      </c>
      <c r="JX14" s="6">
        <f>日流量!JX14*24*3600/100000000</f>
        <v>4.74336</v>
      </c>
      <c r="JY14" s="6">
        <f>日流量!JY14*24*3600/100000000</f>
        <v>4.6051200000000003</v>
      </c>
      <c r="JZ14" s="6">
        <f>日流量!JZ14*24*3600/100000000</f>
        <v>4.3977599999999999</v>
      </c>
      <c r="KA14" s="6">
        <f>日流量!KA14*24*3600/100000000</f>
        <v>4.6396800000000002</v>
      </c>
      <c r="KB14" s="6">
        <f>日流量!KB14*24*3600/100000000</f>
        <v>4.8902400000000004</v>
      </c>
      <c r="KC14" s="6">
        <f>日流量!KC14*24*3600/100000000</f>
        <v>4.8124799999999999</v>
      </c>
      <c r="KD14" s="6">
        <f>日流量!KD14*24*3600/100000000</f>
        <v>4.4323199999999998</v>
      </c>
      <c r="KE14" s="6">
        <f>日流量!KE14*24*3600/100000000</f>
        <v>4.1126399999999999</v>
      </c>
      <c r="KF14" s="6">
        <f>日流量!KF14*24*3600/100000000</f>
        <v>3.9052799999999999</v>
      </c>
      <c r="KG14" s="6">
        <f>日流量!KG14*24*3600/100000000</f>
        <v>3.7584</v>
      </c>
      <c r="KH14" s="6">
        <f>日流量!KH14*24*3600/100000000</f>
        <v>3.6115200000000001</v>
      </c>
      <c r="KI14" s="6">
        <f>日流量!KI14*24*3600/100000000</f>
        <v>3.5251199999999998</v>
      </c>
      <c r="KJ14" s="6">
        <f>日流量!KJ14*24*3600/100000000</f>
        <v>3.4819200000000001</v>
      </c>
      <c r="KK14" s="6">
        <f>日流量!KK14*24*3600/100000000</f>
        <v>3.456</v>
      </c>
      <c r="KL14" s="6">
        <f>日流量!KL14*24*3600/100000000</f>
        <v>3.7929599999999999</v>
      </c>
      <c r="KM14" s="6">
        <f>日流量!KM14*24*3600/100000000</f>
        <v>4.2767999999999997</v>
      </c>
      <c r="KN14" s="6">
        <f>日流量!KN14*24*3600/100000000</f>
        <v>4.0694400000000002</v>
      </c>
      <c r="KO14" s="6">
        <f>日流量!KO14*24*3600/100000000</f>
        <v>3.7843200000000001</v>
      </c>
      <c r="KP14" s="6">
        <f>日流量!KP14*24*3600/100000000</f>
        <v>3.4819200000000001</v>
      </c>
      <c r="KQ14" s="6">
        <f>日流量!KQ14*24*3600/100000000</f>
        <v>3.1881599999999999</v>
      </c>
      <c r="KR14" s="6">
        <f>日流量!KR14*24*3600/100000000</f>
        <v>3.04128</v>
      </c>
      <c r="KS14" s="6">
        <f>日流量!KS14*24*3600/100000000</f>
        <v>2.94624</v>
      </c>
      <c r="KT14" s="6">
        <f>日流量!KT14*24*3600/100000000</f>
        <v>2.8598400000000002</v>
      </c>
      <c r="KU14" s="6">
        <f>日流量!KU14*24*3600/100000000</f>
        <v>2.7129599999999998</v>
      </c>
      <c r="KV14" s="6">
        <f>日流量!KV14*24*3600/100000000</f>
        <v>2.6611199999999999</v>
      </c>
      <c r="KW14" s="6">
        <f>日流量!KW14*24*3600/100000000</f>
        <v>2.5488</v>
      </c>
      <c r="KX14" s="6">
        <f>日流量!KX14*24*3600/100000000</f>
        <v>2.51424</v>
      </c>
      <c r="KY14" s="6">
        <f>日流量!KY14*24*3600/100000000</f>
        <v>2.4710399999999999</v>
      </c>
      <c r="KZ14" s="6">
        <f>日流量!KZ14*24*3600/100000000</f>
        <v>2.43648</v>
      </c>
      <c r="LA14" s="6">
        <f>日流量!LA14*24*3600/100000000</f>
        <v>2.3846400000000001</v>
      </c>
      <c r="LB14" s="6">
        <f>日流量!LB14*24*3600/100000000</f>
        <v>2.34144</v>
      </c>
      <c r="LC14" s="6">
        <f>日流量!LC14*24*3600/100000000</f>
        <v>2.2982399999999998</v>
      </c>
      <c r="LD14" s="6">
        <f>日流量!LD14*24*3600/100000000</f>
        <v>2.3155199999999998</v>
      </c>
      <c r="LE14" s="6">
        <f>日流量!LE14*24*3600/100000000</f>
        <v>2.3155199999999998</v>
      </c>
      <c r="LF14" s="6">
        <f>日流量!LF14*24*3600/100000000</f>
        <v>2.2550400000000002</v>
      </c>
      <c r="LG14" s="6">
        <f>日流量!LG14*24*3600/100000000</f>
        <v>2.2031999999999998</v>
      </c>
      <c r="LH14" s="6">
        <f>日流量!LH14*24*3600/100000000</f>
        <v>2.1513599999999999</v>
      </c>
      <c r="LI14" s="6">
        <f>日流量!LI14*24*3600/100000000</f>
        <v>2.1168</v>
      </c>
      <c r="LJ14" s="6">
        <f>日流量!LJ14*24*3600/100000000</f>
        <v>2.0649600000000001</v>
      </c>
      <c r="LK14" s="6">
        <f>日流量!LK14*24*3600/100000000</f>
        <v>2.0304000000000002</v>
      </c>
      <c r="LL14" s="6">
        <f>日流量!LL14*24*3600/100000000</f>
        <v>1.9958400000000001</v>
      </c>
      <c r="LM14" s="6">
        <f>日流量!LM14*24*3600/100000000</f>
        <v>1.9612799999999999</v>
      </c>
      <c r="LN14" s="6">
        <f>日流量!LN14*24*3600/100000000</f>
        <v>1.92672</v>
      </c>
      <c r="LO14" s="6">
        <f>日流量!LO14*24*3600/100000000</f>
        <v>1.8921600000000001</v>
      </c>
      <c r="LP14" s="6">
        <f>日流量!LP14*24*3600/100000000</f>
        <v>1.8662399999999999</v>
      </c>
      <c r="LQ14" s="6">
        <f>日流量!LQ14*24*3600/100000000</f>
        <v>1.84032</v>
      </c>
      <c r="LR14" s="6">
        <f>日流量!LR14*24*3600/100000000</f>
        <v>1.80576</v>
      </c>
      <c r="LS14" s="6">
        <f>日流量!LS14*24*3600/100000000</f>
        <v>1.7884800000000001</v>
      </c>
      <c r="LT14" s="6">
        <f>日流量!LT14*24*3600/100000000</f>
        <v>1.80576</v>
      </c>
      <c r="LU14" s="6">
        <f>日流量!LU14*24*3600/100000000</f>
        <v>1.8144</v>
      </c>
      <c r="LV14" s="6">
        <f>日流量!LV14*24*3600/100000000</f>
        <v>1.7712000000000001</v>
      </c>
      <c r="LW14" s="6">
        <f>日流量!LW14*24*3600/100000000</f>
        <v>1.70208</v>
      </c>
      <c r="LX14" s="6">
        <f>日流量!LX14*24*3600/100000000</f>
        <v>1.6675199999999999</v>
      </c>
      <c r="LY14" s="6">
        <f>日流量!LY14*24*3600/100000000</f>
        <v>1.6415999999999999</v>
      </c>
      <c r="LZ14" s="6">
        <f>日流量!LZ14*24*3600/100000000</f>
        <v>1.61568</v>
      </c>
      <c r="MA14" s="6">
        <f>日流量!MA14*24*3600/100000000</f>
        <v>1.61568</v>
      </c>
      <c r="MB14" s="6">
        <f>日流量!MB14*24*3600/100000000</f>
        <v>1.5811200000000001</v>
      </c>
      <c r="MC14" s="6">
        <f>日流量!MC14*24*3600/100000000</f>
        <v>1.5638399999999999</v>
      </c>
      <c r="MD14" s="6">
        <f>日流量!MD14*24*3600/100000000</f>
        <v>1.5465599999999999</v>
      </c>
      <c r="ME14" s="6">
        <f>日流量!ME14*24*3600/100000000</f>
        <v>1.52928</v>
      </c>
      <c r="MF14" s="6">
        <f>日流量!MF14*24*3600/100000000</f>
        <v>1.50336</v>
      </c>
      <c r="MG14" s="6">
        <f>日流量!MG14*24*3600/100000000</f>
        <v>1.50336</v>
      </c>
      <c r="MH14" s="6">
        <f>日流量!MH14*24*3600/100000000</f>
        <v>1.4860800000000001</v>
      </c>
      <c r="MI14" s="6">
        <f>日流量!MI14*24*3600/100000000</f>
        <v>1.4601599999999999</v>
      </c>
      <c r="MJ14" s="6">
        <f>日流量!MJ14*24*3600/100000000</f>
        <v>1.4428799999999999</v>
      </c>
      <c r="MK14" s="6">
        <f>日流量!MK14*24*3600/100000000</f>
        <v>1.40832</v>
      </c>
      <c r="ML14" s="6">
        <f>日流量!ML14*24*3600/100000000</f>
        <v>1.3824000000000001</v>
      </c>
      <c r="MM14" s="6">
        <f>日流量!MM14*24*3600/100000000</f>
        <v>1.3651199999999999</v>
      </c>
      <c r="MN14" s="6">
        <f>日流量!MN14*24*3600/100000000</f>
        <v>1.3478399999999999</v>
      </c>
      <c r="MO14" s="6">
        <f>日流量!MO14*24*3600/100000000</f>
        <v>1.3391999999999999</v>
      </c>
      <c r="MP14" s="6">
        <f>日流量!MP14*24*3600/100000000</f>
        <v>1.32192</v>
      </c>
      <c r="MQ14" s="6">
        <f>日流量!MQ14*24*3600/100000000</f>
        <v>1.30464</v>
      </c>
      <c r="MR14" s="6">
        <f>日流量!MR14*24*3600/100000000</f>
        <v>1.2873600000000001</v>
      </c>
      <c r="MS14" s="6">
        <f>日流量!MS14*24*3600/100000000</f>
        <v>1.2787200000000001</v>
      </c>
      <c r="MT14" s="6">
        <f>日流量!MT14*24*3600/100000000</f>
        <v>1.2614399999999999</v>
      </c>
      <c r="MU14" s="6">
        <f>日流量!MU14*24*3600/100000000</f>
        <v>1.2441599999999999</v>
      </c>
      <c r="MV14" s="6">
        <f>日流量!MV14*24*3600/100000000</f>
        <v>1.22688</v>
      </c>
      <c r="MW14" s="6">
        <f>日流量!MW14*24*3600/100000000</f>
        <v>1.21824</v>
      </c>
      <c r="MX14" s="6">
        <f>日流量!MX14*24*3600/100000000</f>
        <v>1.21824</v>
      </c>
      <c r="MY14" s="6">
        <f>日流量!MY14*24*3600/100000000</f>
        <v>1.20096</v>
      </c>
      <c r="MZ14" s="6">
        <f>日流量!MZ14*24*3600/100000000</f>
        <v>1.1836800000000001</v>
      </c>
      <c r="NA14" s="6">
        <f>日流量!NA14*24*3600/100000000</f>
        <v>1.1750400000000001</v>
      </c>
      <c r="NB14" s="6">
        <f>日流量!NB14*24*3600/100000000</f>
        <v>1.1664000000000001</v>
      </c>
      <c r="NC14" s="6"/>
      <c r="ND14" s="6">
        <f>日流量!ND14*24*3600*31/100000000</f>
        <v>32.676479999999998</v>
      </c>
      <c r="NE14" s="6">
        <f>日流量!NE14*24*3600*28/100000000</f>
        <v>26.127359999999999</v>
      </c>
      <c r="NF14" s="6">
        <f>日流量!NF14*24*3600*31/100000000</f>
        <v>28.65888</v>
      </c>
      <c r="NG14" s="6">
        <f>日流量!NG14*24*3600*30/100000000</f>
        <v>35.510399999999997</v>
      </c>
      <c r="NH14" s="6">
        <f>日流量!NH14*24*3600*31/100000000</f>
        <v>54.639360000000003</v>
      </c>
      <c r="NI14" s="6">
        <f>日流量!NI14*24*3600*30/100000000</f>
        <v>102.12479999999999</v>
      </c>
      <c r="NJ14" s="6">
        <f>日流量!NJ14*24*3600*31/100000000</f>
        <v>226.86048</v>
      </c>
      <c r="NK14" s="6">
        <f>日流量!NK14*24*3600*31/100000000</f>
        <v>227.12832</v>
      </c>
      <c r="NL14" s="6">
        <f>日流量!NL14*24*3600*30/100000000</f>
        <v>165.62880000000001</v>
      </c>
      <c r="NM14" s="6">
        <f>日流量!NM14*24*3600*31/100000000</f>
        <v>123.74208</v>
      </c>
      <c r="NN14" s="6">
        <f>日流量!NN14*24*3600*30/100000000</f>
        <v>63.763199999999998</v>
      </c>
      <c r="NO14" s="6">
        <f>日流量!NO14*24*3600*31/100000000</f>
        <v>42.586559999999999</v>
      </c>
      <c r="NP14" s="14">
        <f t="shared" si="10"/>
        <v>1129.4467200000001</v>
      </c>
      <c r="NQ14" s="6">
        <f>日流量!NQ14*24*3600/100000000</f>
        <v>12.441599999999999</v>
      </c>
      <c r="NR14" s="4">
        <f>日流量!NR14</f>
        <v>42568</v>
      </c>
      <c r="NS14" s="6">
        <f>日流量!NS14*24*3600/100000000</f>
        <v>0.88992000000000004</v>
      </c>
      <c r="NT14" s="4">
        <f>日流量!NT14</f>
        <v>42425</v>
      </c>
      <c r="NU14" s="7">
        <f>日流量!NP14</f>
        <v>3581.6164383561645</v>
      </c>
      <c r="NW14" s="13">
        <f t="shared" si="0"/>
        <v>900.12383999999997</v>
      </c>
      <c r="NX14" s="12">
        <f t="shared" si="1"/>
        <v>79.695998408849235</v>
      </c>
      <c r="NY14" s="13">
        <f t="shared" si="2"/>
        <v>721.74240000000009</v>
      </c>
      <c r="NZ14" s="12">
        <f t="shared" si="3"/>
        <v>63.902297223900916</v>
      </c>
      <c r="OA14" s="13">
        <f t="shared" si="4"/>
        <v>229.32288000000017</v>
      </c>
      <c r="OB14" s="12">
        <f t="shared" si="5"/>
        <v>20.304001591150765</v>
      </c>
      <c r="OC14" s="13">
        <f t="shared" si="6"/>
        <v>227.12832</v>
      </c>
      <c r="OD14" s="12">
        <f t="shared" si="7"/>
        <v>20.109697604859129</v>
      </c>
      <c r="OE14" s="12">
        <f t="shared" si="8"/>
        <v>263.88942056074768</v>
      </c>
      <c r="OF14" s="12">
        <f t="shared" si="9"/>
        <v>8.3678786326974777</v>
      </c>
    </row>
    <row r="15" spans="1:397" x14ac:dyDescent="0.15">
      <c r="A15" s="2">
        <v>1962</v>
      </c>
      <c r="B15" s="6">
        <f>日流量!B15*24*3600/100000000</f>
        <v>1.1404799999999999</v>
      </c>
      <c r="C15" s="6">
        <f>日流量!C15*24*3600/100000000</f>
        <v>1.1232</v>
      </c>
      <c r="D15" s="6">
        <f>日流量!D15*24*3600/100000000</f>
        <v>1.10592</v>
      </c>
      <c r="E15" s="6">
        <f>日流量!E15*24*3600/100000000</f>
        <v>1.10592</v>
      </c>
      <c r="F15" s="6">
        <f>日流量!F15*24*3600/100000000</f>
        <v>1.0886400000000001</v>
      </c>
      <c r="G15" s="6">
        <f>日流量!G15*24*3600/100000000</f>
        <v>1.08</v>
      </c>
      <c r="H15" s="6">
        <f>日流量!H15*24*3600/100000000</f>
        <v>1.08</v>
      </c>
      <c r="I15" s="6">
        <f>日流量!I15*24*3600/100000000</f>
        <v>1.0713600000000001</v>
      </c>
      <c r="J15" s="6">
        <f>日流量!J15*24*3600/100000000</f>
        <v>1.0540799999999999</v>
      </c>
      <c r="K15" s="6">
        <f>日流量!K15*24*3600/100000000</f>
        <v>1.0540799999999999</v>
      </c>
      <c r="L15" s="6">
        <f>日流量!L15*24*3600/100000000</f>
        <v>1.0454399999999999</v>
      </c>
      <c r="M15" s="6">
        <f>日流量!M15*24*3600/100000000</f>
        <v>1.0367999999999999</v>
      </c>
      <c r="N15" s="6">
        <f>日流量!N15*24*3600/100000000</f>
        <v>1.0367999999999999</v>
      </c>
      <c r="O15" s="6">
        <f>日流量!O15*24*3600/100000000</f>
        <v>1.0367999999999999</v>
      </c>
      <c r="P15" s="6">
        <f>日流量!P15*24*3600/100000000</f>
        <v>1.02816</v>
      </c>
      <c r="Q15" s="6">
        <f>日流量!Q15*24*3600/100000000</f>
        <v>1.01088</v>
      </c>
      <c r="R15" s="6">
        <f>日流量!R15*24*3600/100000000</f>
        <v>1.01088</v>
      </c>
      <c r="S15" s="6">
        <f>日流量!S15*24*3600/100000000</f>
        <v>1.01088</v>
      </c>
      <c r="T15" s="6">
        <f>日流量!T15*24*3600/100000000</f>
        <v>1.01088</v>
      </c>
      <c r="U15" s="6">
        <f>日流量!U15*24*3600/100000000</f>
        <v>1.00224</v>
      </c>
      <c r="V15" s="6">
        <f>日流量!V15*24*3600/100000000</f>
        <v>1.00224</v>
      </c>
      <c r="W15" s="6">
        <f>日流量!W15*24*3600/100000000</f>
        <v>1.00224</v>
      </c>
      <c r="X15" s="6">
        <f>日流量!X15*24*3600/100000000</f>
        <v>1.00224</v>
      </c>
      <c r="Y15" s="6">
        <f>日流量!Y15*24*3600/100000000</f>
        <v>1.00224</v>
      </c>
      <c r="Z15" s="6">
        <f>日流量!Z15*24*3600/100000000</f>
        <v>1.00224</v>
      </c>
      <c r="AA15" s="6">
        <f>日流量!AA15*24*3600/100000000</f>
        <v>0.98495999999999995</v>
      </c>
      <c r="AB15" s="6">
        <f>日流量!AB15*24*3600/100000000</f>
        <v>0.97631999999999997</v>
      </c>
      <c r="AC15" s="6">
        <f>日流量!AC15*24*3600/100000000</f>
        <v>0.97631999999999997</v>
      </c>
      <c r="AD15" s="6">
        <f>日流量!AD15*24*3600/100000000</f>
        <v>0.97631999999999997</v>
      </c>
      <c r="AE15" s="6">
        <f>日流量!AE15*24*3600/100000000</f>
        <v>1.00224</v>
      </c>
      <c r="AF15" s="6">
        <f>日流量!AF15*24*3600/100000000</f>
        <v>1.02816</v>
      </c>
      <c r="AG15" s="6">
        <f>日流量!AG15*24*3600/100000000</f>
        <v>1.02816</v>
      </c>
      <c r="AH15" s="6">
        <f>日流量!AH15*24*3600/100000000</f>
        <v>1.02816</v>
      </c>
      <c r="AI15" s="6">
        <f>日流量!AI15*24*3600/100000000</f>
        <v>1.01088</v>
      </c>
      <c r="AJ15" s="6">
        <f>日流量!AJ15*24*3600/100000000</f>
        <v>0.99360000000000004</v>
      </c>
      <c r="AK15" s="6">
        <f>日流量!AK15*24*3600/100000000</f>
        <v>0.98495999999999995</v>
      </c>
      <c r="AL15" s="6">
        <f>日流量!AL15*24*3600/100000000</f>
        <v>0.97631999999999997</v>
      </c>
      <c r="AM15" s="6">
        <f>日流量!AM15*24*3600/100000000</f>
        <v>0.95904</v>
      </c>
      <c r="AN15" s="6">
        <f>日流量!AN15*24*3600/100000000</f>
        <v>0.95040000000000002</v>
      </c>
      <c r="AO15" s="6">
        <f>日流量!AO15*24*3600/100000000</f>
        <v>0.93311999999999995</v>
      </c>
      <c r="AP15" s="6">
        <f>日流量!AP15*24*3600/100000000</f>
        <v>0.93311999999999995</v>
      </c>
      <c r="AQ15" s="6">
        <f>日流量!AQ15*24*3600/100000000</f>
        <v>0.93311999999999995</v>
      </c>
      <c r="AR15" s="6">
        <f>日流量!AR15*24*3600/100000000</f>
        <v>0.93311999999999995</v>
      </c>
      <c r="AS15" s="6">
        <f>日流量!AS15*24*3600/100000000</f>
        <v>0.93311999999999995</v>
      </c>
      <c r="AT15" s="6">
        <f>日流量!AT15*24*3600/100000000</f>
        <v>0.92447999999999997</v>
      </c>
      <c r="AU15" s="6">
        <f>日流量!AU15*24*3600/100000000</f>
        <v>0.92447999999999997</v>
      </c>
      <c r="AV15" s="6">
        <f>日流量!AV15*24*3600/100000000</f>
        <v>0.91583999999999999</v>
      </c>
      <c r="AW15" s="6">
        <f>日流量!AW15*24*3600/100000000</f>
        <v>0.91583999999999999</v>
      </c>
      <c r="AX15" s="6">
        <f>日流量!AX15*24*3600/100000000</f>
        <v>0.90720000000000001</v>
      </c>
      <c r="AY15" s="6">
        <f>日流量!AY15*24*3600/100000000</f>
        <v>0.90720000000000001</v>
      </c>
      <c r="AZ15" s="6">
        <f>日流量!AZ15*24*3600/100000000</f>
        <v>0.90720000000000001</v>
      </c>
      <c r="BA15" s="6">
        <f>日流量!BA15*24*3600/100000000</f>
        <v>0.90720000000000001</v>
      </c>
      <c r="BB15" s="6">
        <f>日流量!BB15*24*3600/100000000</f>
        <v>0.90720000000000001</v>
      </c>
      <c r="BC15" s="6">
        <f>日流量!BC15*24*3600/100000000</f>
        <v>0.89856000000000003</v>
      </c>
      <c r="BD15" s="6">
        <f>日流量!BD15*24*3600/100000000</f>
        <v>0.88992000000000004</v>
      </c>
      <c r="BE15" s="6">
        <f>日流量!BE15*24*3600/100000000</f>
        <v>0.88992000000000004</v>
      </c>
      <c r="BF15" s="6">
        <f>日流量!BF15*24*3600/100000000</f>
        <v>0.88127999999999995</v>
      </c>
      <c r="BG15" s="6">
        <f>日流量!BG15*24*3600/100000000</f>
        <v>0.88127999999999995</v>
      </c>
      <c r="BH15" s="6">
        <f>日流量!BH15*24*3600/100000000</f>
        <v>0.88992000000000004</v>
      </c>
      <c r="BI15" s="6"/>
      <c r="BJ15" s="6">
        <f>日流量!BJ15*24*3600/100000000</f>
        <v>0.88127999999999995</v>
      </c>
      <c r="BK15" s="6">
        <f>日流量!BK15*24*3600/100000000</f>
        <v>0.88127999999999995</v>
      </c>
      <c r="BL15" s="6">
        <f>日流量!BL15*24*3600/100000000</f>
        <v>0.88127999999999995</v>
      </c>
      <c r="BM15" s="6">
        <f>日流量!BM15*24*3600/100000000</f>
        <v>0.88127999999999995</v>
      </c>
      <c r="BN15" s="6">
        <f>日流量!BN15*24*3600/100000000</f>
        <v>0.88992000000000004</v>
      </c>
      <c r="BO15" s="6">
        <f>日流量!BO15*24*3600/100000000</f>
        <v>0.88992000000000004</v>
      </c>
      <c r="BP15" s="6">
        <f>日流量!BP15*24*3600/100000000</f>
        <v>0.88127999999999995</v>
      </c>
      <c r="BQ15" s="6">
        <f>日流量!BQ15*24*3600/100000000</f>
        <v>0.87263999999999997</v>
      </c>
      <c r="BR15" s="6">
        <f>日流量!BR15*24*3600/100000000</f>
        <v>0.87263999999999997</v>
      </c>
      <c r="BS15" s="6">
        <f>日流量!BS15*24*3600/100000000</f>
        <v>0.86399999999999999</v>
      </c>
      <c r="BT15" s="6">
        <f>日流量!BT15*24*3600/100000000</f>
        <v>0.86399999999999999</v>
      </c>
      <c r="BU15" s="6">
        <f>日流量!BU15*24*3600/100000000</f>
        <v>0.86399999999999999</v>
      </c>
      <c r="BV15" s="6">
        <f>日流量!BV15*24*3600/100000000</f>
        <v>0.85881600000000002</v>
      </c>
      <c r="BW15" s="6">
        <f>日流量!BW15*24*3600/100000000</f>
        <v>0.85449600000000003</v>
      </c>
      <c r="BX15" s="6">
        <f>日流量!BX15*24*3600/100000000</f>
        <v>0.85881600000000002</v>
      </c>
      <c r="BY15" s="6">
        <f>日流量!BY15*24*3600/100000000</f>
        <v>0.84585600000000005</v>
      </c>
      <c r="BZ15" s="6">
        <f>日流量!BZ15*24*3600/100000000</f>
        <v>0.83635199999999998</v>
      </c>
      <c r="CA15" s="6">
        <f>日流量!CA15*24*3600/100000000</f>
        <v>0.83203199999999999</v>
      </c>
      <c r="CB15" s="6">
        <f>日流量!CB15*24*3600/100000000</f>
        <v>0.827712</v>
      </c>
      <c r="CC15" s="6">
        <f>日流量!CC15*24*3600/100000000</f>
        <v>0.819936</v>
      </c>
      <c r="CD15" s="6">
        <f>日流量!CD15*24*3600/100000000</f>
        <v>0.819936</v>
      </c>
      <c r="CE15" s="6">
        <f>日流量!CE15*24*3600/100000000</f>
        <v>0.819936</v>
      </c>
      <c r="CF15" s="6">
        <f>日流量!CF15*24*3600/100000000</f>
        <v>0.827712</v>
      </c>
      <c r="CG15" s="6">
        <f>日流量!CG15*24*3600/100000000</f>
        <v>0.827712</v>
      </c>
      <c r="CH15" s="6">
        <f>日流量!CH15*24*3600/100000000</f>
        <v>0.827712</v>
      </c>
      <c r="CI15" s="6">
        <f>日流量!CI15*24*3600/100000000</f>
        <v>0.827712</v>
      </c>
      <c r="CJ15" s="6">
        <f>日流量!CJ15*24*3600/100000000</f>
        <v>0.83203199999999999</v>
      </c>
      <c r="CK15" s="6">
        <f>日流量!CK15*24*3600/100000000</f>
        <v>0.83203199999999999</v>
      </c>
      <c r="CL15" s="6">
        <f>日流量!CL15*24*3600/100000000</f>
        <v>0.83635199999999998</v>
      </c>
      <c r="CM15" s="6">
        <f>日流量!CM15*24*3600/100000000</f>
        <v>0.83635199999999998</v>
      </c>
      <c r="CN15" s="6">
        <f>日流量!CN15*24*3600/100000000</f>
        <v>0.84585600000000005</v>
      </c>
      <c r="CO15" s="6">
        <f>日流量!CO15*24*3600/100000000</f>
        <v>0.85017600000000004</v>
      </c>
      <c r="CP15" s="6">
        <f>日流量!CP15*24*3600/100000000</f>
        <v>0.84585600000000005</v>
      </c>
      <c r="CQ15" s="6">
        <f>日流量!CQ15*24*3600/100000000</f>
        <v>0.84153599999999995</v>
      </c>
      <c r="CR15" s="6">
        <f>日流量!CR15*24*3600/100000000</f>
        <v>0.84585600000000005</v>
      </c>
      <c r="CS15" s="6">
        <f>日流量!CS15*24*3600/100000000</f>
        <v>0.86399999999999999</v>
      </c>
      <c r="CT15" s="6">
        <f>日流量!CT15*24*3600/100000000</f>
        <v>0.87263999999999997</v>
      </c>
      <c r="CU15" s="6">
        <f>日流量!CU15*24*3600/100000000</f>
        <v>0.88127999999999995</v>
      </c>
      <c r="CV15" s="6">
        <f>日流量!CV15*24*3600/100000000</f>
        <v>0.88992000000000004</v>
      </c>
      <c r="CW15" s="6">
        <f>日流量!CW15*24*3600/100000000</f>
        <v>0.88992000000000004</v>
      </c>
      <c r="CX15" s="6">
        <f>日流量!CX15*24*3600/100000000</f>
        <v>0.88127999999999995</v>
      </c>
      <c r="CY15" s="6">
        <f>日流量!CY15*24*3600/100000000</f>
        <v>0.88127999999999995</v>
      </c>
      <c r="CZ15" s="6">
        <f>日流量!CZ15*24*3600/100000000</f>
        <v>0.88127999999999995</v>
      </c>
      <c r="DA15" s="6">
        <f>日流量!DA15*24*3600/100000000</f>
        <v>0.88992000000000004</v>
      </c>
      <c r="DB15" s="6">
        <f>日流量!DB15*24*3600/100000000</f>
        <v>0.90720000000000001</v>
      </c>
      <c r="DC15" s="6">
        <f>日流量!DC15*24*3600/100000000</f>
        <v>0.95040000000000002</v>
      </c>
      <c r="DD15" s="6">
        <f>日流量!DD15*24*3600/100000000</f>
        <v>1.00224</v>
      </c>
      <c r="DE15" s="6">
        <f>日流量!DE15*24*3600/100000000</f>
        <v>1.01952</v>
      </c>
      <c r="DF15" s="6">
        <f>日流量!DF15*24*3600/100000000</f>
        <v>1.0367999999999999</v>
      </c>
      <c r="DG15" s="6">
        <f>日流量!DG15*24*3600/100000000</f>
        <v>1.0367999999999999</v>
      </c>
      <c r="DH15" s="6">
        <f>日流量!DH15*24*3600/100000000</f>
        <v>1.0540799999999999</v>
      </c>
      <c r="DI15" s="6">
        <f>日流量!DI15*24*3600/100000000</f>
        <v>1.0713600000000001</v>
      </c>
      <c r="DJ15" s="6">
        <f>日流量!DJ15*24*3600/100000000</f>
        <v>1.09728</v>
      </c>
      <c r="DK15" s="6">
        <f>日流量!DK15*24*3600/100000000</f>
        <v>1.10592</v>
      </c>
      <c r="DL15" s="6">
        <f>日流量!DL15*24*3600/100000000</f>
        <v>1.1577599999999999</v>
      </c>
      <c r="DM15" s="6">
        <f>日流量!DM15*24*3600/100000000</f>
        <v>1.20096</v>
      </c>
      <c r="DN15" s="6">
        <f>日流量!DN15*24*3600/100000000</f>
        <v>1.2527999999999999</v>
      </c>
      <c r="DO15" s="6">
        <f>日流量!DO15*24*3600/100000000</f>
        <v>1.2700800000000001</v>
      </c>
      <c r="DP15" s="6">
        <f>日流量!DP15*24*3600/100000000</f>
        <v>1.296</v>
      </c>
      <c r="DQ15" s="6">
        <f>日流量!DQ15*24*3600/100000000</f>
        <v>1.30464</v>
      </c>
      <c r="DR15" s="6">
        <f>日流量!DR15*24*3600/100000000</f>
        <v>1.33056</v>
      </c>
      <c r="DS15" s="6">
        <f>日流量!DS15*24*3600/100000000</f>
        <v>1.33056</v>
      </c>
      <c r="DT15" s="6">
        <f>日流量!DT15*24*3600/100000000</f>
        <v>1.3651199999999999</v>
      </c>
      <c r="DU15" s="6">
        <f>日流量!DU15*24*3600/100000000</f>
        <v>1.4688000000000001</v>
      </c>
      <c r="DV15" s="6">
        <f>日流量!DV15*24*3600/100000000</f>
        <v>1.5551999999999999</v>
      </c>
      <c r="DW15" s="6">
        <f>日流量!DW15*24*3600/100000000</f>
        <v>1.5724800000000001</v>
      </c>
      <c r="DX15" s="6">
        <f>日流量!DX15*24*3600/100000000</f>
        <v>1.52928</v>
      </c>
      <c r="DY15" s="6">
        <f>日流量!DY15*24*3600/100000000</f>
        <v>1.50336</v>
      </c>
      <c r="DZ15" s="6">
        <f>日流量!DZ15*24*3600/100000000</f>
        <v>1.49472</v>
      </c>
      <c r="EA15" s="6">
        <f>日流量!EA15*24*3600/100000000</f>
        <v>1.512</v>
      </c>
      <c r="EB15" s="6">
        <f>日流量!EB15*24*3600/100000000</f>
        <v>1.4774400000000001</v>
      </c>
      <c r="EC15" s="6">
        <f>日流量!EC15*24*3600/100000000</f>
        <v>1.41696</v>
      </c>
      <c r="ED15" s="6">
        <f>日流量!ED15*24*3600/100000000</f>
        <v>1.3910400000000001</v>
      </c>
      <c r="EE15" s="6">
        <f>日流量!EE15*24*3600/100000000</f>
        <v>1.43424</v>
      </c>
      <c r="EF15" s="6">
        <f>日流量!EF15*24*3600/100000000</f>
        <v>1.4774400000000001</v>
      </c>
      <c r="EG15" s="6">
        <f>日流量!EG15*24*3600/100000000</f>
        <v>1.4515199999999999</v>
      </c>
      <c r="EH15" s="6">
        <f>日流量!EH15*24*3600/100000000</f>
        <v>1.43424</v>
      </c>
      <c r="EI15" s="6">
        <f>日流量!EI15*24*3600/100000000</f>
        <v>1.3824000000000001</v>
      </c>
      <c r="EJ15" s="6">
        <f>日流量!EJ15*24*3600/100000000</f>
        <v>1.3564799999999999</v>
      </c>
      <c r="EK15" s="6">
        <f>日流量!EK15*24*3600/100000000</f>
        <v>1.3391999999999999</v>
      </c>
      <c r="EL15" s="6">
        <f>日流量!EL15*24*3600/100000000</f>
        <v>1.3478399999999999</v>
      </c>
      <c r="EM15" s="6">
        <f>日流量!EM15*24*3600/100000000</f>
        <v>1.39968</v>
      </c>
      <c r="EN15" s="6">
        <f>日流量!EN15*24*3600/100000000</f>
        <v>1.43424</v>
      </c>
      <c r="EO15" s="6">
        <f>日流量!EO15*24*3600/100000000</f>
        <v>1.512</v>
      </c>
      <c r="EP15" s="6">
        <f>日流量!EP15*24*3600/100000000</f>
        <v>1.70208</v>
      </c>
      <c r="EQ15" s="6">
        <f>日流量!EQ15*24*3600/100000000</f>
        <v>1.8489599999999999</v>
      </c>
      <c r="ER15" s="6">
        <f>日流量!ER15*24*3600/100000000</f>
        <v>1.8921600000000001</v>
      </c>
      <c r="ES15" s="6">
        <f>日流量!ES15*24*3600/100000000</f>
        <v>2.0131199999999998</v>
      </c>
      <c r="ET15" s="6">
        <f>日流量!ET15*24*3600/100000000</f>
        <v>2.13408</v>
      </c>
      <c r="EU15" s="6">
        <f>日流量!EU15*24*3600/100000000</f>
        <v>2.2377600000000002</v>
      </c>
      <c r="EV15" s="6">
        <f>日流量!EV15*24*3600/100000000</f>
        <v>2.2982399999999998</v>
      </c>
      <c r="EW15" s="6">
        <f>日流量!EW15*24*3600/100000000</f>
        <v>2.4105599999999998</v>
      </c>
      <c r="EX15" s="6">
        <f>日流量!EX15*24*3600/100000000</f>
        <v>2.6006399999999998</v>
      </c>
      <c r="EY15" s="6">
        <f>日流量!EY15*24*3600/100000000</f>
        <v>2.6697600000000001</v>
      </c>
      <c r="EZ15" s="6">
        <f>日流量!EZ15*24*3600/100000000</f>
        <v>2.6006399999999998</v>
      </c>
      <c r="FA15" s="6">
        <f>日流量!FA15*24*3600/100000000</f>
        <v>2.5401600000000002</v>
      </c>
      <c r="FB15" s="6">
        <f>日流量!FB15*24*3600/100000000</f>
        <v>2.81664</v>
      </c>
      <c r="FC15" s="6">
        <f>日流量!FC15*24*3600/100000000</f>
        <v>2.81664</v>
      </c>
      <c r="FD15" s="6">
        <f>日流量!FD15*24*3600/100000000</f>
        <v>2.9030399999999998</v>
      </c>
      <c r="FE15" s="6">
        <f>日流量!FE15*24*3600/100000000</f>
        <v>3.0499200000000002</v>
      </c>
      <c r="FF15" s="6">
        <f>日流量!FF15*24*3600/100000000</f>
        <v>3.2054399999999998</v>
      </c>
      <c r="FG15" s="6">
        <f>日流量!FG15*24*3600/100000000</f>
        <v>3.55104</v>
      </c>
      <c r="FH15" s="6">
        <f>日流量!FH15*24*3600/100000000</f>
        <v>4.0953600000000003</v>
      </c>
      <c r="FI15" s="6">
        <f>日流量!FI15*24*3600/100000000</f>
        <v>4.5187200000000001</v>
      </c>
      <c r="FJ15" s="6">
        <f>日流量!FJ15*24*3600/100000000</f>
        <v>4.4755200000000004</v>
      </c>
      <c r="FK15" s="6">
        <f>日流量!FK15*24*3600/100000000</f>
        <v>4.2076799999999999</v>
      </c>
      <c r="FL15" s="6">
        <f>日流量!FL15*24*3600/100000000</f>
        <v>3.8707199999999999</v>
      </c>
      <c r="FM15" s="6">
        <f>日流量!FM15*24*3600/100000000</f>
        <v>3.72384</v>
      </c>
      <c r="FN15" s="6">
        <f>日流量!FN15*24*3600/100000000</f>
        <v>3.9916800000000001</v>
      </c>
      <c r="FO15" s="6">
        <f>日流量!FO15*24*3600/100000000</f>
        <v>3.6028799999999999</v>
      </c>
      <c r="FP15" s="6">
        <f>日流量!FP15*24*3600/100000000</f>
        <v>3.6201599999999998</v>
      </c>
      <c r="FQ15" s="6">
        <f>日流量!FQ15*24*3600/100000000</f>
        <v>4.2508800000000004</v>
      </c>
      <c r="FR15" s="6">
        <f>日流量!FR15*24*3600/100000000</f>
        <v>4.9852800000000004</v>
      </c>
      <c r="FS15" s="6">
        <f>日流量!FS15*24*3600/100000000</f>
        <v>6.3071999999999999</v>
      </c>
      <c r="FT15" s="6">
        <f>日流量!FT15*24*3600/100000000</f>
        <v>6.8688000000000002</v>
      </c>
      <c r="FU15" s="6">
        <f>日流量!FU15*24*3600/100000000</f>
        <v>6.3763199999999998</v>
      </c>
      <c r="FV15" s="6">
        <f>日流量!FV15*24*3600/100000000</f>
        <v>5.9615999999999998</v>
      </c>
      <c r="FW15" s="6">
        <f>日流量!FW15*24*3600/100000000</f>
        <v>6.0134400000000001</v>
      </c>
      <c r="FX15" s="6">
        <f>日流量!FX15*24*3600/100000000</f>
        <v>6.4713599999999998</v>
      </c>
      <c r="FY15" s="6">
        <f>日流量!FY15*24*3600/100000000</f>
        <v>6.87744</v>
      </c>
      <c r="FZ15" s="6">
        <f>日流量!FZ15*24*3600/100000000</f>
        <v>6.9292800000000003</v>
      </c>
      <c r="GA15" s="6">
        <f>日流量!GA15*24*3600/100000000</f>
        <v>7.1020799999999999</v>
      </c>
      <c r="GB15" s="6">
        <f>日流量!GB15*24*3600/100000000</f>
        <v>7.5254399999999997</v>
      </c>
      <c r="GC15" s="6">
        <f>日流量!GC15*24*3600/100000000</f>
        <v>8.5622399999999992</v>
      </c>
      <c r="GD15" s="6">
        <f>日流量!GD15*24*3600/100000000</f>
        <v>7.992</v>
      </c>
      <c r="GE15" s="6">
        <f>日流量!GE15*24*3600/100000000</f>
        <v>8.8992000000000004</v>
      </c>
      <c r="GF15" s="6">
        <f>日流量!GF15*24*3600/100000000</f>
        <v>9.9359999999999999</v>
      </c>
      <c r="GG15" s="6">
        <f>日流量!GG15*24*3600/100000000</f>
        <v>9.7631999999999994</v>
      </c>
      <c r="GH15" s="6">
        <f>日流量!GH15*24*3600/100000000</f>
        <v>9.4176000000000002</v>
      </c>
      <c r="GI15" s="6">
        <f>日流量!GI15*24*3600/100000000</f>
        <v>8.7263999999999999</v>
      </c>
      <c r="GJ15" s="6">
        <f>日流量!GJ15*24*3600/100000000</f>
        <v>7.9488000000000003</v>
      </c>
      <c r="GK15" s="6">
        <f>日流量!GK15*24*3600/100000000</f>
        <v>7.6204799999999997</v>
      </c>
      <c r="GL15" s="6">
        <f>日流量!GL15*24*3600/100000000</f>
        <v>7.4044800000000004</v>
      </c>
      <c r="GM15" s="6">
        <f>日流量!GM15*24*3600/100000000</f>
        <v>7.0588800000000003</v>
      </c>
      <c r="GN15" s="6">
        <f>日流量!GN15*24*3600/100000000</f>
        <v>6.8083200000000001</v>
      </c>
      <c r="GO15" s="6">
        <f>日流量!GO15*24*3600/100000000</f>
        <v>6.5750400000000004</v>
      </c>
      <c r="GP15" s="6">
        <f>日流量!GP15*24*3600/100000000</f>
        <v>6.1171199999999999</v>
      </c>
      <c r="GQ15" s="6">
        <f>日流量!GQ15*24*3600/100000000</f>
        <v>5.8319999999999999</v>
      </c>
      <c r="GR15" s="6">
        <f>日流量!GR15*24*3600/100000000</f>
        <v>5.8233600000000001</v>
      </c>
      <c r="GS15" s="6">
        <f>日流量!GS15*24*3600/100000000</f>
        <v>6.0652799999999996</v>
      </c>
      <c r="GT15" s="6">
        <f>日流量!GT15*24*3600/100000000</f>
        <v>6.2207999999999997</v>
      </c>
      <c r="GU15" s="6">
        <f>日流量!GU15*24*3600/100000000</f>
        <v>5.9615999999999998</v>
      </c>
      <c r="GV15" s="6">
        <f>日流量!GV15*24*3600/100000000</f>
        <v>5.9615999999999998</v>
      </c>
      <c r="GW15" s="6">
        <f>日流量!GW15*24*3600/100000000</f>
        <v>6.3158399999999997</v>
      </c>
      <c r="GX15" s="6">
        <f>日流量!GX15*24*3600/100000000</f>
        <v>6.3590400000000002</v>
      </c>
      <c r="GY15" s="6">
        <f>日流量!GY15*24*3600/100000000</f>
        <v>6.5491200000000003</v>
      </c>
      <c r="GZ15" s="6">
        <f>日流量!GZ15*24*3600/100000000</f>
        <v>6.7737600000000002</v>
      </c>
      <c r="HA15" s="6">
        <f>日流量!HA15*24*3600/100000000</f>
        <v>6.8515199999999998</v>
      </c>
      <c r="HB15" s="6">
        <f>日流量!HB15*24*3600/100000000</f>
        <v>6.6700799999999996</v>
      </c>
      <c r="HC15" s="6">
        <f>日流量!HC15*24*3600/100000000</f>
        <v>6.3849600000000004</v>
      </c>
      <c r="HD15" s="6">
        <f>日流量!HD15*24*3600/100000000</f>
        <v>6.7392000000000003</v>
      </c>
      <c r="HE15" s="6">
        <f>日流量!HE15*24*3600/100000000</f>
        <v>7.6809599999999998</v>
      </c>
      <c r="HF15" s="6">
        <f>日流量!HF15*24*3600/100000000</f>
        <v>8.3289600000000004</v>
      </c>
      <c r="HG15" s="6">
        <f>日流量!HG15*24*3600/100000000</f>
        <v>10.281599999999999</v>
      </c>
      <c r="HH15" s="6">
        <f>日流量!HH15*24*3600/100000000</f>
        <v>11.231999999999999</v>
      </c>
      <c r="HI15" s="6">
        <f>日流量!HI15*24*3600/100000000</f>
        <v>11.1456</v>
      </c>
      <c r="HJ15" s="6">
        <f>日流量!HJ15*24*3600/100000000</f>
        <v>10.8</v>
      </c>
      <c r="HK15" s="6">
        <f>日流量!HK15*24*3600/100000000</f>
        <v>10.6272</v>
      </c>
      <c r="HL15" s="6">
        <f>日流量!HL15*24*3600/100000000</f>
        <v>11.4048</v>
      </c>
      <c r="HM15" s="6">
        <f>日流量!HM15*24*3600/100000000</f>
        <v>11.664</v>
      </c>
      <c r="HN15" s="6">
        <f>日流量!HN15*24*3600/100000000</f>
        <v>12.700799999999999</v>
      </c>
      <c r="HO15" s="6">
        <f>日流量!HO15*24*3600/100000000</f>
        <v>14.9472</v>
      </c>
      <c r="HP15" s="6">
        <f>日流量!HP15*24*3600/100000000</f>
        <v>16.761600000000001</v>
      </c>
      <c r="HQ15" s="6">
        <f>日流量!HQ15*24*3600/100000000</f>
        <v>18.057600000000001</v>
      </c>
      <c r="HR15" s="6">
        <f>日流量!HR15*24*3600/100000000</f>
        <v>17.4528</v>
      </c>
      <c r="HS15" s="6">
        <f>日流量!HS15*24*3600/100000000</f>
        <v>15.7248</v>
      </c>
      <c r="HT15" s="6">
        <f>日流量!HT15*24*3600/100000000</f>
        <v>14.9472</v>
      </c>
      <c r="HU15" s="6">
        <f>日流量!HU15*24*3600/100000000</f>
        <v>14.688000000000001</v>
      </c>
      <c r="HV15" s="6">
        <f>日流量!HV15*24*3600/100000000</f>
        <v>14.860799999999999</v>
      </c>
      <c r="HW15" s="6">
        <f>日流量!HW15*24*3600/100000000</f>
        <v>15.984</v>
      </c>
      <c r="HX15" s="6">
        <f>日流量!HX15*24*3600/100000000</f>
        <v>17.4528</v>
      </c>
      <c r="HY15" s="6">
        <f>日流量!HY15*24*3600/100000000</f>
        <v>17.1936</v>
      </c>
      <c r="HZ15" s="6">
        <f>日流量!HZ15*24*3600/100000000</f>
        <v>15.811199999999999</v>
      </c>
      <c r="IA15" s="6">
        <f>日流量!IA15*24*3600/100000000</f>
        <v>15.379200000000001</v>
      </c>
      <c r="IB15" s="6">
        <f>日流量!IB15*24*3600/100000000</f>
        <v>13.824</v>
      </c>
      <c r="IC15" s="6">
        <f>日流量!IC15*24*3600/100000000</f>
        <v>12.6144</v>
      </c>
      <c r="ID15" s="6">
        <f>日流量!ID15*24*3600/100000000</f>
        <v>12.700799999999999</v>
      </c>
      <c r="IE15" s="6">
        <f>日流量!IE15*24*3600/100000000</f>
        <v>12.8736</v>
      </c>
      <c r="IF15" s="6">
        <f>日流量!IF15*24*3600/100000000</f>
        <v>12.096</v>
      </c>
      <c r="IG15" s="6">
        <f>日流量!IG15*24*3600/100000000</f>
        <v>11.491199999999999</v>
      </c>
      <c r="IH15" s="6">
        <f>日流量!IH15*24*3600/100000000</f>
        <v>11.750400000000001</v>
      </c>
      <c r="II15" s="6">
        <f>日流量!II15*24*3600/100000000</f>
        <v>11.491199999999999</v>
      </c>
      <c r="IJ15" s="6">
        <f>日流量!IJ15*24*3600/100000000</f>
        <v>10.8864</v>
      </c>
      <c r="IK15" s="6">
        <f>日流量!IK15*24*3600/100000000</f>
        <v>10.540800000000001</v>
      </c>
      <c r="IL15" s="6">
        <f>日流量!IL15*24*3600/100000000</f>
        <v>10.6272</v>
      </c>
      <c r="IM15" s="6">
        <f>日流量!IM15*24*3600/100000000</f>
        <v>10.281599999999999</v>
      </c>
      <c r="IN15" s="6">
        <f>日流量!IN15*24*3600/100000000</f>
        <v>10.1952</v>
      </c>
      <c r="IO15" s="6">
        <f>日流量!IO15*24*3600/100000000</f>
        <v>9.9359999999999999</v>
      </c>
      <c r="IP15" s="6">
        <f>日流量!IP15*24*3600/100000000</f>
        <v>9.6768000000000001</v>
      </c>
      <c r="IQ15" s="6">
        <f>日流量!IQ15*24*3600/100000000</f>
        <v>9.9359999999999999</v>
      </c>
      <c r="IR15" s="6">
        <f>日流量!IR15*24*3600/100000000</f>
        <v>10.6272</v>
      </c>
      <c r="IS15" s="6">
        <f>日流量!IS15*24*3600/100000000</f>
        <v>11.059200000000001</v>
      </c>
      <c r="IT15" s="6">
        <f>日流量!IT15*24*3600/100000000</f>
        <v>10.8864</v>
      </c>
      <c r="IU15" s="6">
        <f>日流量!IU15*24*3600/100000000</f>
        <v>10.281599999999999</v>
      </c>
      <c r="IV15" s="6">
        <f>日流量!IV15*24*3600/100000000</f>
        <v>9.6768000000000001</v>
      </c>
      <c r="IW15" s="6">
        <f>日流量!IW15*24*3600/100000000</f>
        <v>9.3312000000000008</v>
      </c>
      <c r="IX15" s="6">
        <f>日流量!IX15*24*3600/100000000</f>
        <v>9.0719999999999992</v>
      </c>
      <c r="IY15" s="6">
        <f>日流量!IY15*24*3600/100000000</f>
        <v>8.9855999999999998</v>
      </c>
      <c r="IZ15" s="6">
        <f>日流量!IZ15*24*3600/100000000</f>
        <v>8.8127999999999993</v>
      </c>
      <c r="JA15" s="6">
        <f>日流量!JA15*24*3600/100000000</f>
        <v>8.64</v>
      </c>
      <c r="JB15" s="6">
        <f>日流量!JB15*24*3600/100000000</f>
        <v>8.7263999999999999</v>
      </c>
      <c r="JC15" s="6">
        <f>日流量!JC15*24*3600/100000000</f>
        <v>8.6313600000000008</v>
      </c>
      <c r="JD15" s="6">
        <f>日流量!JD15*24*3600/100000000</f>
        <v>8.6313600000000008</v>
      </c>
      <c r="JE15" s="6">
        <f>日流量!JE15*24*3600/100000000</f>
        <v>9.4176000000000002</v>
      </c>
      <c r="JF15" s="6">
        <f>日流量!JF15*24*3600/100000000</f>
        <v>9.9359999999999999</v>
      </c>
      <c r="JG15" s="6">
        <f>日流量!JG15*24*3600/100000000</f>
        <v>9.3312000000000008</v>
      </c>
      <c r="JH15" s="6">
        <f>日流量!JH15*24*3600/100000000</f>
        <v>8.7263999999999999</v>
      </c>
      <c r="JI15" s="6">
        <f>日流量!JI15*24*3600/100000000</f>
        <v>8.1475200000000001</v>
      </c>
      <c r="JJ15" s="6">
        <f>日流量!JJ15*24*3600/100000000</f>
        <v>7.7155199999999997</v>
      </c>
      <c r="JK15" s="6">
        <f>日流量!JK15*24*3600/100000000</f>
        <v>7.4649599999999996</v>
      </c>
      <c r="JL15" s="6">
        <f>日流量!JL15*24*3600/100000000</f>
        <v>7.3267199999999999</v>
      </c>
      <c r="JM15" s="6">
        <f>日流量!JM15*24*3600/100000000</f>
        <v>7.2316799999999999</v>
      </c>
      <c r="JN15" s="6">
        <f>日流量!JN15*24*3600/100000000</f>
        <v>7.1884800000000002</v>
      </c>
      <c r="JO15" s="6">
        <f>日流量!JO15*24*3600/100000000</f>
        <v>7.1366399999999999</v>
      </c>
      <c r="JP15" s="6">
        <f>日流量!JP15*24*3600/100000000</f>
        <v>6.8169599999999999</v>
      </c>
      <c r="JQ15" s="6">
        <f>日流量!JQ15*24*3600/100000000</f>
        <v>6.4886400000000002</v>
      </c>
      <c r="JR15" s="6">
        <f>日流量!JR15*24*3600/100000000</f>
        <v>6.0911999999999997</v>
      </c>
      <c r="JS15" s="6">
        <f>日流量!JS15*24*3600/100000000</f>
        <v>5.85792</v>
      </c>
      <c r="JT15" s="6">
        <f>日流量!JT15*24*3600/100000000</f>
        <v>5.7542400000000002</v>
      </c>
      <c r="JU15" s="6">
        <f>日流量!JU15*24*3600/100000000</f>
        <v>5.6764799999999997</v>
      </c>
      <c r="JV15" s="6">
        <f>日流量!JV15*24*3600/100000000</f>
        <v>5.5296000000000003</v>
      </c>
      <c r="JW15" s="6">
        <f>日流量!JW15*24*3600/100000000</f>
        <v>5.3395200000000003</v>
      </c>
      <c r="JX15" s="6">
        <f>日流量!JX15*24*3600/100000000</f>
        <v>5.1321599999999998</v>
      </c>
      <c r="JY15" s="6">
        <f>日流量!JY15*24*3600/100000000</f>
        <v>4.9507199999999996</v>
      </c>
      <c r="JZ15" s="6">
        <f>日流量!JZ15*24*3600/100000000</f>
        <v>4.8038400000000001</v>
      </c>
      <c r="KA15" s="6">
        <f>日流量!KA15*24*3600/100000000</f>
        <v>4.6396800000000002</v>
      </c>
      <c r="KB15" s="6">
        <f>日流量!KB15*24*3600/100000000</f>
        <v>4.4668799999999997</v>
      </c>
      <c r="KC15" s="6">
        <f>日流量!KC15*24*3600/100000000</f>
        <v>4.2940800000000001</v>
      </c>
      <c r="KD15" s="6">
        <f>日流量!KD15*24*3600/100000000</f>
        <v>4.1990400000000001</v>
      </c>
      <c r="KE15" s="6">
        <f>日流量!KE15*24*3600/100000000</f>
        <v>4.0694400000000002</v>
      </c>
      <c r="KF15" s="6">
        <f>日流量!KF15*24*3600/100000000</f>
        <v>3.9830399999999999</v>
      </c>
      <c r="KG15" s="6">
        <f>日流量!KG15*24*3600/100000000</f>
        <v>3.8966400000000001</v>
      </c>
      <c r="KH15" s="6">
        <f>日流量!KH15*24*3600/100000000</f>
        <v>3.7929599999999999</v>
      </c>
      <c r="KI15" s="6">
        <f>日流量!KI15*24*3600/100000000</f>
        <v>3.6806399999999999</v>
      </c>
      <c r="KJ15" s="6">
        <f>日流量!KJ15*24*3600/100000000</f>
        <v>3.6028799999999999</v>
      </c>
      <c r="KK15" s="6">
        <f>日流量!KK15*24*3600/100000000</f>
        <v>3.5769600000000001</v>
      </c>
      <c r="KL15" s="6">
        <f>日流量!KL15*24*3600/100000000</f>
        <v>3.5424000000000002</v>
      </c>
      <c r="KM15" s="6">
        <f>日流量!KM15*24*3600/100000000</f>
        <v>3.4819200000000001</v>
      </c>
      <c r="KN15" s="6">
        <f>日流量!KN15*24*3600/100000000</f>
        <v>3.4127999999999998</v>
      </c>
      <c r="KO15" s="6">
        <f>日流量!KO15*24*3600/100000000</f>
        <v>3.3782399999999999</v>
      </c>
      <c r="KP15" s="6">
        <f>日流量!KP15*24*3600/100000000</f>
        <v>3.3782399999999999</v>
      </c>
      <c r="KQ15" s="6">
        <f>日流量!KQ15*24*3600/100000000</f>
        <v>3.3091200000000001</v>
      </c>
      <c r="KR15" s="6">
        <f>日流量!KR15*24*3600/100000000</f>
        <v>3.2659199999999999</v>
      </c>
      <c r="KS15" s="6">
        <f>日流量!KS15*24*3600/100000000</f>
        <v>3.1881599999999999</v>
      </c>
      <c r="KT15" s="6">
        <f>日流量!KT15*24*3600/100000000</f>
        <v>3.1449600000000002</v>
      </c>
      <c r="KU15" s="6">
        <f>日流量!KU15*24*3600/100000000</f>
        <v>3.24</v>
      </c>
      <c r="KV15" s="6">
        <f>日流量!KV15*24*3600/100000000</f>
        <v>3.3609599999999999</v>
      </c>
      <c r="KW15" s="6">
        <f>日流量!KW15*24*3600/100000000</f>
        <v>3.2831999999999999</v>
      </c>
      <c r="KX15" s="6">
        <f>日流量!KX15*24*3600/100000000</f>
        <v>3.2054399999999998</v>
      </c>
      <c r="KY15" s="6">
        <f>日流量!KY15*24*3600/100000000</f>
        <v>3.0585599999999999</v>
      </c>
      <c r="KZ15" s="6">
        <f>日流量!KZ15*24*3600/100000000</f>
        <v>2.94624</v>
      </c>
      <c r="LA15" s="6">
        <f>日流量!LA15*24*3600/100000000</f>
        <v>2.8684799999999999</v>
      </c>
      <c r="LB15" s="6">
        <f>日流量!LB15*24*3600/100000000</f>
        <v>2.7648000000000001</v>
      </c>
      <c r="LC15" s="6">
        <f>日流量!LC15*24*3600/100000000</f>
        <v>2.6956799999999999</v>
      </c>
      <c r="LD15" s="6">
        <f>日流量!LD15*24*3600/100000000</f>
        <v>2.6352000000000002</v>
      </c>
      <c r="LE15" s="6">
        <f>日流量!LE15*24*3600/100000000</f>
        <v>2.5401600000000002</v>
      </c>
      <c r="LF15" s="6">
        <f>日流量!LF15*24*3600/100000000</f>
        <v>2.5055999999999998</v>
      </c>
      <c r="LG15" s="6">
        <f>日流量!LG15*24*3600/100000000</f>
        <v>2.4537599999999999</v>
      </c>
      <c r="LH15" s="6">
        <f>日流量!LH15*24*3600/100000000</f>
        <v>2.4019200000000001</v>
      </c>
      <c r="LI15" s="6">
        <f>日流量!LI15*24*3600/100000000</f>
        <v>2.3587199999999999</v>
      </c>
      <c r="LJ15" s="6">
        <f>日流量!LJ15*24*3600/100000000</f>
        <v>2.3155199999999998</v>
      </c>
      <c r="LK15" s="6">
        <f>日流量!LK15*24*3600/100000000</f>
        <v>2.2896000000000001</v>
      </c>
      <c r="LL15" s="6">
        <f>日流量!LL15*24*3600/100000000</f>
        <v>2.2636799999999999</v>
      </c>
      <c r="LM15" s="6">
        <f>日流量!LM15*24*3600/100000000</f>
        <v>2.2464</v>
      </c>
      <c r="LN15" s="6">
        <f>日流量!LN15*24*3600/100000000</f>
        <v>2.2031999999999998</v>
      </c>
      <c r="LO15" s="6">
        <f>日流量!LO15*24*3600/100000000</f>
        <v>2.1859199999999999</v>
      </c>
      <c r="LP15" s="6">
        <f>日流量!LP15*24*3600/100000000</f>
        <v>2.1513599999999999</v>
      </c>
      <c r="LQ15" s="6">
        <f>日流量!LQ15*24*3600/100000000</f>
        <v>2.13408</v>
      </c>
      <c r="LR15" s="6">
        <f>日流量!LR15*24*3600/100000000</f>
        <v>2.0908799999999998</v>
      </c>
      <c r="LS15" s="6">
        <f>日流量!LS15*24*3600/100000000</f>
        <v>2.0735999999999999</v>
      </c>
      <c r="LT15" s="6">
        <f>日流量!LT15*24*3600/100000000</f>
        <v>2.0563199999999999</v>
      </c>
      <c r="LU15" s="6">
        <f>日流量!LU15*24*3600/100000000</f>
        <v>2.03904</v>
      </c>
      <c r="LV15" s="6">
        <f>日流量!LV15*24*3600/100000000</f>
        <v>2.02176</v>
      </c>
      <c r="LW15" s="6">
        <f>日流量!LW15*24*3600/100000000</f>
        <v>1.9872000000000001</v>
      </c>
      <c r="LX15" s="6">
        <f>日流量!LX15*24*3600/100000000</f>
        <v>1.9526399999999999</v>
      </c>
      <c r="LY15" s="6">
        <f>日流量!LY15*24*3600/100000000</f>
        <v>1.93536</v>
      </c>
      <c r="LZ15" s="6">
        <f>日流量!LZ15*24*3600/100000000</f>
        <v>1.91808</v>
      </c>
      <c r="MA15" s="6">
        <f>日流量!MA15*24*3600/100000000</f>
        <v>1.9008</v>
      </c>
      <c r="MB15" s="6">
        <f>日流量!MB15*24*3600/100000000</f>
        <v>1.8835200000000001</v>
      </c>
      <c r="MC15" s="6">
        <f>日流量!MC15*24*3600/100000000</f>
        <v>1.8575999999999999</v>
      </c>
      <c r="MD15" s="6">
        <f>日流量!MD15*24*3600/100000000</f>
        <v>1.82304</v>
      </c>
      <c r="ME15" s="6">
        <f>日流量!ME15*24*3600/100000000</f>
        <v>1.7884800000000001</v>
      </c>
      <c r="MF15" s="6">
        <f>日流量!MF15*24*3600/100000000</f>
        <v>1.7625599999999999</v>
      </c>
      <c r="MG15" s="6">
        <f>日流量!MG15*24*3600/100000000</f>
        <v>1.73664</v>
      </c>
      <c r="MH15" s="6">
        <f>日流量!MH15*24*3600/100000000</f>
        <v>1.71936</v>
      </c>
      <c r="MI15" s="6">
        <f>日流量!MI15*24*3600/100000000</f>
        <v>1.71936</v>
      </c>
      <c r="MJ15" s="6">
        <f>日流量!MJ15*24*3600/100000000</f>
        <v>1.70208</v>
      </c>
      <c r="MK15" s="6">
        <f>日流量!MK15*24*3600/100000000</f>
        <v>1.6848000000000001</v>
      </c>
      <c r="ML15" s="6">
        <f>日流量!ML15*24*3600/100000000</f>
        <v>1.6502399999999999</v>
      </c>
      <c r="MM15" s="6">
        <f>日流量!MM15*24*3600/100000000</f>
        <v>1.63296</v>
      </c>
      <c r="MN15" s="6">
        <f>日流量!MN15*24*3600/100000000</f>
        <v>1.61568</v>
      </c>
      <c r="MO15" s="6">
        <f>日流量!MO15*24*3600/100000000</f>
        <v>1.60704</v>
      </c>
      <c r="MP15" s="6">
        <f>日流量!MP15*24*3600/100000000</f>
        <v>1.5811200000000001</v>
      </c>
      <c r="MQ15" s="6">
        <f>日流量!MQ15*24*3600/100000000</f>
        <v>1.5551999999999999</v>
      </c>
      <c r="MR15" s="6">
        <f>日流量!MR15*24*3600/100000000</f>
        <v>1.5465599999999999</v>
      </c>
      <c r="MS15" s="6">
        <f>日流量!MS15*24*3600/100000000</f>
        <v>1.512</v>
      </c>
      <c r="MT15" s="6">
        <f>日流量!MT15*24*3600/100000000</f>
        <v>1.50336</v>
      </c>
      <c r="MU15" s="6">
        <f>日流量!MU15*24*3600/100000000</f>
        <v>1.4860800000000001</v>
      </c>
      <c r="MV15" s="6">
        <f>日流量!MV15*24*3600/100000000</f>
        <v>1.4688000000000001</v>
      </c>
      <c r="MW15" s="6">
        <f>日流量!MW15*24*3600/100000000</f>
        <v>1.4688000000000001</v>
      </c>
      <c r="MX15" s="6">
        <f>日流量!MX15*24*3600/100000000</f>
        <v>1.4515199999999999</v>
      </c>
      <c r="MY15" s="6">
        <f>日流量!MY15*24*3600/100000000</f>
        <v>1.43424</v>
      </c>
      <c r="MZ15" s="6">
        <f>日流量!MZ15*24*3600/100000000</f>
        <v>1.39968</v>
      </c>
      <c r="NA15" s="6">
        <f>日流量!NA15*24*3600/100000000</f>
        <v>1.3737600000000001</v>
      </c>
      <c r="NB15" s="6">
        <f>日流量!NB15*24*3600/100000000</f>
        <v>1.3478399999999999</v>
      </c>
      <c r="NC15" s="6"/>
      <c r="ND15" s="6">
        <f>日流量!ND15*24*3600*31/100000000</f>
        <v>32.140799999999999</v>
      </c>
      <c r="NE15" s="6">
        <f>日流量!NE15*24*3600*28/100000000</f>
        <v>26.127359999999999</v>
      </c>
      <c r="NF15" s="6">
        <f>日流量!NF15*24*3600*31/100000000</f>
        <v>26.382239999999999</v>
      </c>
      <c r="NG15" s="6">
        <f>日流量!NG15*24*3600*30/100000000</f>
        <v>30.3264</v>
      </c>
      <c r="NH15" s="6">
        <f>日流量!NH15*24*3600*31/100000000</f>
        <v>49.818240000000003</v>
      </c>
      <c r="NI15" s="6">
        <f>日流量!NI15*24*3600*30/100000000</f>
        <v>132.96960000000001</v>
      </c>
      <c r="NJ15" s="6">
        <f>日流量!NJ15*24*3600*31/100000000</f>
        <v>224.98560000000001</v>
      </c>
      <c r="NK15" s="6">
        <f>日流量!NK15*24*3600*31/100000000</f>
        <v>420.50880000000001</v>
      </c>
      <c r="NL15" s="6">
        <f>日流量!NL15*24*3600*30/100000000</f>
        <v>274.75200000000001</v>
      </c>
      <c r="NM15" s="6">
        <f>日流量!NM15*24*3600*31/100000000</f>
        <v>136.86624</v>
      </c>
      <c r="NN15" s="6">
        <f>日流量!NN15*24*3600*30/100000000</f>
        <v>74.3904</v>
      </c>
      <c r="NO15" s="6">
        <f>日流量!NO15*24*3600*31/100000000</f>
        <v>50.353920000000002</v>
      </c>
      <c r="NP15" s="14">
        <f t="shared" si="10"/>
        <v>1479.6215999999999</v>
      </c>
      <c r="NQ15" s="6">
        <f>日流量!NQ15*24*3600/100000000</f>
        <v>18.057600000000001</v>
      </c>
      <c r="NR15" s="4">
        <f>日流量!NR15</f>
        <v>42593</v>
      </c>
      <c r="NS15" s="6">
        <f>日流量!NS15*24*3600/100000000</f>
        <v>0.819936</v>
      </c>
      <c r="NT15" s="4">
        <f>日流量!NT15</f>
        <v>42449</v>
      </c>
      <c r="NU15" s="7">
        <f>日流量!NP15</f>
        <v>4683.9479452054793</v>
      </c>
      <c r="NW15" s="13">
        <f t="shared" si="0"/>
        <v>1239.90048</v>
      </c>
      <c r="NX15" s="12">
        <f t="shared" si="1"/>
        <v>83.798484693654103</v>
      </c>
      <c r="NY15" s="13">
        <f t="shared" si="2"/>
        <v>1053.2159999999999</v>
      </c>
      <c r="NZ15" s="12">
        <f t="shared" si="3"/>
        <v>71.181442606677265</v>
      </c>
      <c r="OA15" s="13">
        <f t="shared" si="4"/>
        <v>239.72111999999993</v>
      </c>
      <c r="OB15" s="12">
        <f t="shared" si="5"/>
        <v>16.201515306345886</v>
      </c>
      <c r="OC15" s="13">
        <f t="shared" si="6"/>
        <v>420.50880000000001</v>
      </c>
      <c r="OD15" s="12">
        <f t="shared" si="7"/>
        <v>28.420023065356716</v>
      </c>
      <c r="OE15" s="12">
        <f t="shared" si="8"/>
        <v>345.70598130841125</v>
      </c>
      <c r="OF15" s="12">
        <f t="shared" si="9"/>
        <v>10.96226475483293</v>
      </c>
    </row>
    <row r="16" spans="1:397" x14ac:dyDescent="0.15">
      <c r="A16" s="2">
        <v>1963</v>
      </c>
      <c r="B16" s="6">
        <f>日流量!B16*24*3600/100000000</f>
        <v>1.296</v>
      </c>
      <c r="C16" s="6">
        <f>日流量!C16*24*3600/100000000</f>
        <v>1.2873600000000001</v>
      </c>
      <c r="D16" s="6">
        <f>日流量!D16*24*3600/100000000</f>
        <v>1.2873600000000001</v>
      </c>
      <c r="E16" s="6">
        <f>日流量!E16*24*3600/100000000</f>
        <v>1.2787200000000001</v>
      </c>
      <c r="F16" s="6">
        <f>日流量!F16*24*3600/100000000</f>
        <v>1.2787200000000001</v>
      </c>
      <c r="G16" s="6">
        <f>日流量!G16*24*3600/100000000</f>
        <v>1.2614399999999999</v>
      </c>
      <c r="H16" s="6">
        <f>日流量!H16*24*3600/100000000</f>
        <v>1.2441599999999999</v>
      </c>
      <c r="I16" s="6">
        <f>日流量!I16*24*3600/100000000</f>
        <v>1.23552</v>
      </c>
      <c r="J16" s="6">
        <f>日流量!J16*24*3600/100000000</f>
        <v>1.21824</v>
      </c>
      <c r="K16" s="6">
        <f>日流量!K16*24*3600/100000000</f>
        <v>1.2096</v>
      </c>
      <c r="L16" s="6">
        <f>日流量!L16*24*3600/100000000</f>
        <v>1.19232</v>
      </c>
      <c r="M16" s="6">
        <f>日流量!M16*24*3600/100000000</f>
        <v>1.1836800000000001</v>
      </c>
      <c r="N16" s="6">
        <f>日流量!N16*24*3600/100000000</f>
        <v>1.1750400000000001</v>
      </c>
      <c r="O16" s="6">
        <f>日流量!O16*24*3600/100000000</f>
        <v>1.1750400000000001</v>
      </c>
      <c r="P16" s="6">
        <f>日流量!P16*24*3600/100000000</f>
        <v>1.1750400000000001</v>
      </c>
      <c r="Q16" s="6">
        <f>日流量!Q16*24*3600/100000000</f>
        <v>1.1750400000000001</v>
      </c>
      <c r="R16" s="6">
        <f>日流量!R16*24*3600/100000000</f>
        <v>1.1664000000000001</v>
      </c>
      <c r="S16" s="6">
        <f>日流量!S16*24*3600/100000000</f>
        <v>1.1577599999999999</v>
      </c>
      <c r="T16" s="6">
        <f>日流量!T16*24*3600/100000000</f>
        <v>1.1404799999999999</v>
      </c>
      <c r="U16" s="6">
        <f>日流量!U16*24*3600/100000000</f>
        <v>1.13184</v>
      </c>
      <c r="V16" s="6">
        <f>日流量!V16*24*3600/100000000</f>
        <v>1.13184</v>
      </c>
      <c r="W16" s="6">
        <f>日流量!W16*24*3600/100000000</f>
        <v>1.13184</v>
      </c>
      <c r="X16" s="6">
        <f>日流量!X16*24*3600/100000000</f>
        <v>1.1232</v>
      </c>
      <c r="Y16" s="6">
        <f>日流量!Y16*24*3600/100000000</f>
        <v>1.1232</v>
      </c>
      <c r="Z16" s="6">
        <f>日流量!Z16*24*3600/100000000</f>
        <v>1.1232</v>
      </c>
      <c r="AA16" s="6">
        <f>日流量!AA16*24*3600/100000000</f>
        <v>1.1232</v>
      </c>
      <c r="AB16" s="6">
        <f>日流量!AB16*24*3600/100000000</f>
        <v>1.1232</v>
      </c>
      <c r="AC16" s="6">
        <f>日流量!AC16*24*3600/100000000</f>
        <v>1.1232</v>
      </c>
      <c r="AD16" s="6">
        <f>日流量!AD16*24*3600/100000000</f>
        <v>1.1232</v>
      </c>
      <c r="AE16" s="6">
        <f>日流量!AE16*24*3600/100000000</f>
        <v>1.11456</v>
      </c>
      <c r="AF16" s="6">
        <f>日流量!AF16*24*3600/100000000</f>
        <v>1.10592</v>
      </c>
      <c r="AG16" s="6">
        <f>日流量!AG16*24*3600/100000000</f>
        <v>1.10592</v>
      </c>
      <c r="AH16" s="6">
        <f>日流量!AH16*24*3600/100000000</f>
        <v>1.08</v>
      </c>
      <c r="AI16" s="6">
        <f>日流量!AI16*24*3600/100000000</f>
        <v>1.0713600000000001</v>
      </c>
      <c r="AJ16" s="6">
        <f>日流量!AJ16*24*3600/100000000</f>
        <v>1.0627200000000001</v>
      </c>
      <c r="AK16" s="6">
        <f>日流量!AK16*24*3600/100000000</f>
        <v>1.0454399999999999</v>
      </c>
      <c r="AL16" s="6">
        <f>日流量!AL16*24*3600/100000000</f>
        <v>1.0367999999999999</v>
      </c>
      <c r="AM16" s="6">
        <f>日流量!AM16*24*3600/100000000</f>
        <v>1.01952</v>
      </c>
      <c r="AN16" s="6">
        <f>日流量!AN16*24*3600/100000000</f>
        <v>1.01952</v>
      </c>
      <c r="AO16" s="6">
        <f>日流量!AO16*24*3600/100000000</f>
        <v>1.01088</v>
      </c>
      <c r="AP16" s="6">
        <f>日流量!AP16*24*3600/100000000</f>
        <v>1.00224</v>
      </c>
      <c r="AQ16" s="6">
        <f>日流量!AQ16*24*3600/100000000</f>
        <v>1.00224</v>
      </c>
      <c r="AR16" s="6">
        <f>日流量!AR16*24*3600/100000000</f>
        <v>1.01088</v>
      </c>
      <c r="AS16" s="6">
        <f>日流量!AS16*24*3600/100000000</f>
        <v>1.01952</v>
      </c>
      <c r="AT16" s="6">
        <f>日流量!AT16*24*3600/100000000</f>
        <v>1.01952</v>
      </c>
      <c r="AU16" s="6">
        <f>日流量!AU16*24*3600/100000000</f>
        <v>1.01952</v>
      </c>
      <c r="AV16" s="6">
        <f>日流量!AV16*24*3600/100000000</f>
        <v>1.01952</v>
      </c>
      <c r="AW16" s="6">
        <f>日流量!AW16*24*3600/100000000</f>
        <v>1.01088</v>
      </c>
      <c r="AX16" s="6">
        <f>日流量!AX16*24*3600/100000000</f>
        <v>1.01088</v>
      </c>
      <c r="AY16" s="6">
        <f>日流量!AY16*24*3600/100000000</f>
        <v>1.00224</v>
      </c>
      <c r="AZ16" s="6">
        <f>日流量!AZ16*24*3600/100000000</f>
        <v>1.00224</v>
      </c>
      <c r="BA16" s="6">
        <f>日流量!BA16*24*3600/100000000</f>
        <v>1.00224</v>
      </c>
      <c r="BB16" s="6">
        <f>日流量!BB16*24*3600/100000000</f>
        <v>1.00224</v>
      </c>
      <c r="BC16" s="6">
        <f>日流量!BC16*24*3600/100000000</f>
        <v>1.00224</v>
      </c>
      <c r="BD16" s="6">
        <f>日流量!BD16*24*3600/100000000</f>
        <v>1.01088</v>
      </c>
      <c r="BE16" s="6">
        <f>日流量!BE16*24*3600/100000000</f>
        <v>1.01088</v>
      </c>
      <c r="BF16" s="6">
        <f>日流量!BF16*24*3600/100000000</f>
        <v>1.00224</v>
      </c>
      <c r="BG16" s="6">
        <f>日流量!BG16*24*3600/100000000</f>
        <v>1.00224</v>
      </c>
      <c r="BH16" s="6">
        <f>日流量!BH16*24*3600/100000000</f>
        <v>1.00224</v>
      </c>
      <c r="BI16" s="6"/>
      <c r="BJ16" s="6">
        <f>日流量!BJ16*24*3600/100000000</f>
        <v>1.00224</v>
      </c>
      <c r="BK16" s="6">
        <f>日流量!BK16*24*3600/100000000</f>
        <v>1.01088</v>
      </c>
      <c r="BL16" s="6">
        <f>日流量!BL16*24*3600/100000000</f>
        <v>1.00224</v>
      </c>
      <c r="BM16" s="6">
        <f>日流量!BM16*24*3600/100000000</f>
        <v>1.00224</v>
      </c>
      <c r="BN16" s="6">
        <f>日流量!BN16*24*3600/100000000</f>
        <v>0.98495999999999995</v>
      </c>
      <c r="BO16" s="6">
        <f>日流量!BO16*24*3600/100000000</f>
        <v>0.98495999999999995</v>
      </c>
      <c r="BP16" s="6">
        <f>日流量!BP16*24*3600/100000000</f>
        <v>1.00224</v>
      </c>
      <c r="BQ16" s="6">
        <f>日流量!BQ16*24*3600/100000000</f>
        <v>0.98495999999999995</v>
      </c>
      <c r="BR16" s="6">
        <f>日流量!BR16*24*3600/100000000</f>
        <v>0.98495999999999995</v>
      </c>
      <c r="BS16" s="6">
        <f>日流量!BS16*24*3600/100000000</f>
        <v>0.98495999999999995</v>
      </c>
      <c r="BT16" s="6">
        <f>日流量!BT16*24*3600/100000000</f>
        <v>0.98495999999999995</v>
      </c>
      <c r="BU16" s="6">
        <f>日流量!BU16*24*3600/100000000</f>
        <v>0.98495999999999995</v>
      </c>
      <c r="BV16" s="6">
        <f>日流量!BV16*24*3600/100000000</f>
        <v>0.98495999999999995</v>
      </c>
      <c r="BW16" s="6">
        <f>日流量!BW16*24*3600/100000000</f>
        <v>0.99360000000000004</v>
      </c>
      <c r="BX16" s="6">
        <f>日流量!BX16*24*3600/100000000</f>
        <v>1.00224</v>
      </c>
      <c r="BY16" s="6">
        <f>日流量!BY16*24*3600/100000000</f>
        <v>1.01088</v>
      </c>
      <c r="BZ16" s="6">
        <f>日流量!BZ16*24*3600/100000000</f>
        <v>1.01088</v>
      </c>
      <c r="CA16" s="6">
        <f>日流量!CA16*24*3600/100000000</f>
        <v>1.00224</v>
      </c>
      <c r="CB16" s="6">
        <f>日流量!CB16*24*3600/100000000</f>
        <v>0.98495999999999995</v>
      </c>
      <c r="CC16" s="6">
        <f>日流量!CC16*24*3600/100000000</f>
        <v>0.97631999999999997</v>
      </c>
      <c r="CD16" s="6">
        <f>日流量!CD16*24*3600/100000000</f>
        <v>0.96767999999999998</v>
      </c>
      <c r="CE16" s="6">
        <f>日流量!CE16*24*3600/100000000</f>
        <v>0.95904</v>
      </c>
      <c r="CF16" s="6">
        <f>日流量!CF16*24*3600/100000000</f>
        <v>0.95904</v>
      </c>
      <c r="CG16" s="6">
        <f>日流量!CG16*24*3600/100000000</f>
        <v>0.96767999999999998</v>
      </c>
      <c r="CH16" s="6">
        <f>日流量!CH16*24*3600/100000000</f>
        <v>0.95904</v>
      </c>
      <c r="CI16" s="6">
        <f>日流量!CI16*24*3600/100000000</f>
        <v>0.95904</v>
      </c>
      <c r="CJ16" s="6">
        <f>日流量!CJ16*24*3600/100000000</f>
        <v>0.94176000000000004</v>
      </c>
      <c r="CK16" s="6">
        <f>日流量!CK16*24*3600/100000000</f>
        <v>0.94176000000000004</v>
      </c>
      <c r="CL16" s="6">
        <f>日流量!CL16*24*3600/100000000</f>
        <v>0.94176000000000004</v>
      </c>
      <c r="CM16" s="6">
        <f>日流量!CM16*24*3600/100000000</f>
        <v>0.95040000000000002</v>
      </c>
      <c r="CN16" s="6">
        <f>日流量!CN16*24*3600/100000000</f>
        <v>0.97631999999999997</v>
      </c>
      <c r="CO16" s="6">
        <f>日流量!CO16*24*3600/100000000</f>
        <v>0.98495999999999995</v>
      </c>
      <c r="CP16" s="6">
        <f>日流量!CP16*24*3600/100000000</f>
        <v>0.97631999999999997</v>
      </c>
      <c r="CQ16" s="6">
        <f>日流量!CQ16*24*3600/100000000</f>
        <v>0.95904</v>
      </c>
      <c r="CR16" s="6">
        <f>日流量!CR16*24*3600/100000000</f>
        <v>0.95040000000000002</v>
      </c>
      <c r="CS16" s="6">
        <f>日流量!CS16*24*3600/100000000</f>
        <v>0.94176000000000004</v>
      </c>
      <c r="CT16" s="6">
        <f>日流量!CT16*24*3600/100000000</f>
        <v>0.95904</v>
      </c>
      <c r="CU16" s="6">
        <f>日流量!CU16*24*3600/100000000</f>
        <v>0.98495999999999995</v>
      </c>
      <c r="CV16" s="6">
        <f>日流量!CV16*24*3600/100000000</f>
        <v>1.00224</v>
      </c>
      <c r="CW16" s="6">
        <f>日流量!CW16*24*3600/100000000</f>
        <v>1.01088</v>
      </c>
      <c r="CX16" s="6">
        <f>日流量!CX16*24*3600/100000000</f>
        <v>1.01952</v>
      </c>
      <c r="CY16" s="6">
        <f>日流量!CY16*24*3600/100000000</f>
        <v>1.0367999999999999</v>
      </c>
      <c r="CZ16" s="6">
        <f>日流量!CZ16*24*3600/100000000</f>
        <v>1.0367999999999999</v>
      </c>
      <c r="DA16" s="6">
        <f>日流量!DA16*24*3600/100000000</f>
        <v>1.0454399999999999</v>
      </c>
      <c r="DB16" s="6">
        <f>日流量!DB16*24*3600/100000000</f>
        <v>1.0367999999999999</v>
      </c>
      <c r="DC16" s="6">
        <f>日流量!DC16*24*3600/100000000</f>
        <v>1.0367999999999999</v>
      </c>
      <c r="DD16" s="6">
        <f>日流量!DD16*24*3600/100000000</f>
        <v>1.0367999999999999</v>
      </c>
      <c r="DE16" s="6">
        <f>日流量!DE16*24*3600/100000000</f>
        <v>1.0367999999999999</v>
      </c>
      <c r="DF16" s="6">
        <f>日流量!DF16*24*3600/100000000</f>
        <v>1.01952</v>
      </c>
      <c r="DG16" s="6">
        <f>日流量!DG16*24*3600/100000000</f>
        <v>1.02816</v>
      </c>
      <c r="DH16" s="6">
        <f>日流量!DH16*24*3600/100000000</f>
        <v>1.0367999999999999</v>
      </c>
      <c r="DI16" s="6">
        <f>日流量!DI16*24*3600/100000000</f>
        <v>1.0627200000000001</v>
      </c>
      <c r="DJ16" s="6">
        <f>日流量!DJ16*24*3600/100000000</f>
        <v>1.09728</v>
      </c>
      <c r="DK16" s="6">
        <f>日流量!DK16*24*3600/100000000</f>
        <v>1.1232</v>
      </c>
      <c r="DL16" s="6">
        <f>日流量!DL16*24*3600/100000000</f>
        <v>1.1404799999999999</v>
      </c>
      <c r="DM16" s="6">
        <f>日流量!DM16*24*3600/100000000</f>
        <v>1.1491199999999999</v>
      </c>
      <c r="DN16" s="6">
        <f>日流量!DN16*24*3600/100000000</f>
        <v>1.1232</v>
      </c>
      <c r="DO16" s="6">
        <f>日流量!DO16*24*3600/100000000</f>
        <v>1.09728</v>
      </c>
      <c r="DP16" s="6">
        <f>日流量!DP16*24*3600/100000000</f>
        <v>1.08</v>
      </c>
      <c r="DQ16" s="6">
        <f>日流量!DQ16*24*3600/100000000</f>
        <v>1.08</v>
      </c>
      <c r="DR16" s="6">
        <f>日流量!DR16*24*3600/100000000</f>
        <v>1.10592</v>
      </c>
      <c r="DS16" s="6">
        <f>日流量!DS16*24*3600/100000000</f>
        <v>1.11456</v>
      </c>
      <c r="DT16" s="6">
        <f>日流量!DT16*24*3600/100000000</f>
        <v>1.1232</v>
      </c>
      <c r="DU16" s="6">
        <f>日流量!DU16*24*3600/100000000</f>
        <v>1.1232</v>
      </c>
      <c r="DV16" s="6">
        <f>日流量!DV16*24*3600/100000000</f>
        <v>1.1404799999999999</v>
      </c>
      <c r="DW16" s="6">
        <f>日流量!DW16*24*3600/100000000</f>
        <v>1.1664000000000001</v>
      </c>
      <c r="DX16" s="6">
        <f>日流量!DX16*24*3600/100000000</f>
        <v>1.19232</v>
      </c>
      <c r="DY16" s="6">
        <f>日流量!DY16*24*3600/100000000</f>
        <v>1.20096</v>
      </c>
      <c r="DZ16" s="6">
        <f>日流量!DZ16*24*3600/100000000</f>
        <v>1.2096</v>
      </c>
      <c r="EA16" s="6">
        <f>日流量!EA16*24*3600/100000000</f>
        <v>1.19232</v>
      </c>
      <c r="EB16" s="6">
        <f>日流量!EB16*24*3600/100000000</f>
        <v>1.1664000000000001</v>
      </c>
      <c r="EC16" s="6">
        <f>日流量!EC16*24*3600/100000000</f>
        <v>1.1404799999999999</v>
      </c>
      <c r="ED16" s="6">
        <f>日流量!ED16*24*3600/100000000</f>
        <v>1.13184</v>
      </c>
      <c r="EE16" s="6">
        <f>日流量!EE16*24*3600/100000000</f>
        <v>1.1232</v>
      </c>
      <c r="EF16" s="6">
        <f>日流量!EF16*24*3600/100000000</f>
        <v>1.13184</v>
      </c>
      <c r="EG16" s="6">
        <f>日流量!EG16*24*3600/100000000</f>
        <v>1.1577599999999999</v>
      </c>
      <c r="EH16" s="6">
        <f>日流量!EH16*24*3600/100000000</f>
        <v>1.1836800000000001</v>
      </c>
      <c r="EI16" s="6">
        <f>日流量!EI16*24*3600/100000000</f>
        <v>1.22688</v>
      </c>
      <c r="EJ16" s="6">
        <f>日流量!EJ16*24*3600/100000000</f>
        <v>1.2787200000000001</v>
      </c>
      <c r="EK16" s="6">
        <f>日流量!EK16*24*3600/100000000</f>
        <v>1.31328</v>
      </c>
      <c r="EL16" s="6">
        <f>日流量!EL16*24*3600/100000000</f>
        <v>1.32192</v>
      </c>
      <c r="EM16" s="6">
        <f>日流量!EM16*24*3600/100000000</f>
        <v>1.30464</v>
      </c>
      <c r="EN16" s="6">
        <f>日流量!EN16*24*3600/100000000</f>
        <v>1.2873600000000001</v>
      </c>
      <c r="EO16" s="6">
        <f>日流量!EO16*24*3600/100000000</f>
        <v>1.2441599999999999</v>
      </c>
      <c r="EP16" s="6">
        <f>日流量!EP16*24*3600/100000000</f>
        <v>1.21824</v>
      </c>
      <c r="EQ16" s="6">
        <f>日流量!EQ16*24*3600/100000000</f>
        <v>1.2096</v>
      </c>
      <c r="ER16" s="6">
        <f>日流量!ER16*24*3600/100000000</f>
        <v>1.20096</v>
      </c>
      <c r="ES16" s="6">
        <f>日流量!ES16*24*3600/100000000</f>
        <v>1.1836800000000001</v>
      </c>
      <c r="ET16" s="6">
        <f>日流量!ET16*24*3600/100000000</f>
        <v>1.1577599999999999</v>
      </c>
      <c r="EU16" s="6">
        <f>日流量!EU16*24*3600/100000000</f>
        <v>1.1404799999999999</v>
      </c>
      <c r="EV16" s="6">
        <f>日流量!EV16*24*3600/100000000</f>
        <v>1.13184</v>
      </c>
      <c r="EW16" s="6">
        <f>日流量!EW16*24*3600/100000000</f>
        <v>1.1491199999999999</v>
      </c>
      <c r="EX16" s="6">
        <f>日流量!EX16*24*3600/100000000</f>
        <v>1.1836800000000001</v>
      </c>
      <c r="EY16" s="6">
        <f>日流量!EY16*24*3600/100000000</f>
        <v>1.21824</v>
      </c>
      <c r="EZ16" s="6">
        <f>日流量!EZ16*24*3600/100000000</f>
        <v>1.23552</v>
      </c>
      <c r="FA16" s="6">
        <f>日流量!FA16*24*3600/100000000</f>
        <v>1.2441599999999999</v>
      </c>
      <c r="FB16" s="6">
        <f>日流量!FB16*24*3600/100000000</f>
        <v>1.2873600000000001</v>
      </c>
      <c r="FC16" s="6">
        <f>日流量!FC16*24*3600/100000000</f>
        <v>1.3564799999999999</v>
      </c>
      <c r="FD16" s="6">
        <f>日流量!FD16*24*3600/100000000</f>
        <v>1.33056</v>
      </c>
      <c r="FE16" s="6">
        <f>日流量!FE16*24*3600/100000000</f>
        <v>1.2873600000000001</v>
      </c>
      <c r="FF16" s="6">
        <f>日流量!FF16*24*3600/100000000</f>
        <v>1.22688</v>
      </c>
      <c r="FG16" s="6">
        <f>日流量!FG16*24*3600/100000000</f>
        <v>1.1836800000000001</v>
      </c>
      <c r="FH16" s="6">
        <f>日流量!FH16*24*3600/100000000</f>
        <v>1.19232</v>
      </c>
      <c r="FI16" s="6">
        <f>日流量!FI16*24*3600/100000000</f>
        <v>1.2441599999999999</v>
      </c>
      <c r="FJ16" s="6">
        <f>日流量!FJ16*24*3600/100000000</f>
        <v>1.40832</v>
      </c>
      <c r="FK16" s="6">
        <f>日流量!FK16*24*3600/100000000</f>
        <v>1.7884800000000001</v>
      </c>
      <c r="FL16" s="6">
        <f>日流量!FL16*24*3600/100000000</f>
        <v>2.2982399999999998</v>
      </c>
      <c r="FM16" s="6">
        <f>日流量!FM16*24*3600/100000000</f>
        <v>2.6006399999999998</v>
      </c>
      <c r="FN16" s="6">
        <f>日流量!FN16*24*3600/100000000</f>
        <v>2.92896</v>
      </c>
      <c r="FO16" s="6">
        <f>日流量!FO16*24*3600/100000000</f>
        <v>3.1622400000000002</v>
      </c>
      <c r="FP16" s="6">
        <f>日流量!FP16*24*3600/100000000</f>
        <v>3.21408</v>
      </c>
      <c r="FQ16" s="6">
        <f>日流量!FQ16*24*3600/100000000</f>
        <v>3.6720000000000002</v>
      </c>
      <c r="FR16" s="6">
        <f>日流量!FR16*24*3600/100000000</f>
        <v>4.4927999999999999</v>
      </c>
      <c r="FS16" s="6">
        <f>日流量!FS16*24*3600/100000000</f>
        <v>4.7519999999999998</v>
      </c>
      <c r="FT16" s="6">
        <f>日流量!FT16*24*3600/100000000</f>
        <v>5.06304</v>
      </c>
      <c r="FU16" s="6">
        <f>日流量!FU16*24*3600/100000000</f>
        <v>5.2444800000000003</v>
      </c>
      <c r="FV16" s="6">
        <f>日流量!FV16*24*3600/100000000</f>
        <v>5.7715199999999998</v>
      </c>
      <c r="FW16" s="6">
        <f>日流量!FW16*24*3600/100000000</f>
        <v>5.7023999999999999</v>
      </c>
      <c r="FX16" s="6">
        <f>日流量!FX16*24*3600/100000000</f>
        <v>6.048</v>
      </c>
      <c r="FY16" s="6">
        <f>日流量!FY16*24*3600/100000000</f>
        <v>6.2467199999999998</v>
      </c>
      <c r="FZ16" s="6">
        <f>日流量!FZ16*24*3600/100000000</f>
        <v>5.9615999999999998</v>
      </c>
      <c r="GA16" s="6">
        <f>日流量!GA16*24*3600/100000000</f>
        <v>5.5555199999999996</v>
      </c>
      <c r="GB16" s="6">
        <f>日流量!GB16*24*3600/100000000</f>
        <v>5.06304</v>
      </c>
      <c r="GC16" s="6">
        <f>日流量!GC16*24*3600/100000000</f>
        <v>5.0889600000000002</v>
      </c>
      <c r="GD16" s="6">
        <f>日流量!GD16*24*3600/100000000</f>
        <v>5.2012799999999997</v>
      </c>
      <c r="GE16" s="6">
        <f>日流量!GE16*24*3600/100000000</f>
        <v>5.5987200000000001</v>
      </c>
      <c r="GF16" s="6">
        <f>日流量!GF16*24*3600/100000000</f>
        <v>5.8060799999999997</v>
      </c>
      <c r="GG16" s="6">
        <f>日流量!GG16*24*3600/100000000</f>
        <v>5.8492800000000003</v>
      </c>
      <c r="GH16" s="6">
        <f>日流量!GH16*24*3600/100000000</f>
        <v>6.2207999999999997</v>
      </c>
      <c r="GI16" s="6">
        <f>日流量!GI16*24*3600/100000000</f>
        <v>6.7046400000000004</v>
      </c>
      <c r="GJ16" s="6">
        <f>日流量!GJ16*24*3600/100000000</f>
        <v>7.48224</v>
      </c>
      <c r="GK16" s="6">
        <f>日流量!GK16*24*3600/100000000</f>
        <v>8.9855999999999998</v>
      </c>
      <c r="GL16" s="6">
        <f>日流量!GL16*24*3600/100000000</f>
        <v>9.8496000000000006</v>
      </c>
      <c r="GM16" s="6">
        <f>日流量!GM16*24*3600/100000000</f>
        <v>10.022399999999999</v>
      </c>
      <c r="GN16" s="6">
        <f>日流量!GN16*24*3600/100000000</f>
        <v>10.4544</v>
      </c>
      <c r="GO16" s="6">
        <f>日流量!GO16*24*3600/100000000</f>
        <v>9.4176000000000002</v>
      </c>
      <c r="GP16" s="6">
        <f>日流量!GP16*24*3600/100000000</f>
        <v>8.5104000000000006</v>
      </c>
      <c r="GQ16" s="6">
        <f>日流量!GQ16*24*3600/100000000</f>
        <v>7.5340800000000003</v>
      </c>
      <c r="GR16" s="6">
        <f>日流量!GR16*24*3600/100000000</f>
        <v>6.8083200000000001</v>
      </c>
      <c r="GS16" s="6">
        <f>日流量!GS16*24*3600/100000000</f>
        <v>6.4367999999999999</v>
      </c>
      <c r="GT16" s="6">
        <f>日流量!GT16*24*3600/100000000</f>
        <v>6.5318399999999999</v>
      </c>
      <c r="GU16" s="6">
        <f>日流量!GU16*24*3600/100000000</f>
        <v>6.87744</v>
      </c>
      <c r="GV16" s="6">
        <f>日流量!GV16*24*3600/100000000</f>
        <v>7.6377600000000001</v>
      </c>
      <c r="GW16" s="6">
        <f>日流量!GW16*24*3600/100000000</f>
        <v>8.1129599999999993</v>
      </c>
      <c r="GX16" s="6">
        <f>日流量!GX16*24*3600/100000000</f>
        <v>8.4412800000000008</v>
      </c>
      <c r="GY16" s="6">
        <f>日流量!GY16*24*3600/100000000</f>
        <v>8.8992000000000004</v>
      </c>
      <c r="GZ16" s="6">
        <f>日流量!GZ16*24*3600/100000000</f>
        <v>8.9855999999999998</v>
      </c>
      <c r="HA16" s="6">
        <f>日流量!HA16*24*3600/100000000</f>
        <v>8.8992000000000004</v>
      </c>
      <c r="HB16" s="6">
        <f>日流量!HB16*24*3600/100000000</f>
        <v>8.8127999999999993</v>
      </c>
      <c r="HC16" s="6">
        <f>日流量!HC16*24*3600/100000000</f>
        <v>8.5104000000000006</v>
      </c>
      <c r="HD16" s="6">
        <f>日流量!HD16*24*3600/100000000</f>
        <v>8.0351999999999997</v>
      </c>
      <c r="HE16" s="6">
        <f>日流量!HE16*24*3600/100000000</f>
        <v>7.7414399999999999</v>
      </c>
      <c r="HF16" s="6">
        <f>日流量!HF16*24*3600/100000000</f>
        <v>8.40672</v>
      </c>
      <c r="HG16" s="6">
        <f>日流量!HG16*24*3600/100000000</f>
        <v>8.9855999999999998</v>
      </c>
      <c r="HH16" s="6">
        <f>日流量!HH16*24*3600/100000000</f>
        <v>8.8992000000000004</v>
      </c>
      <c r="HI16" s="6">
        <f>日流量!HI16*24*3600/100000000</f>
        <v>8.64</v>
      </c>
      <c r="HJ16" s="6">
        <f>日流量!HJ16*24*3600/100000000</f>
        <v>8.1734399999999994</v>
      </c>
      <c r="HK16" s="6">
        <f>日流量!HK16*24*3600/100000000</f>
        <v>7.5859199999999998</v>
      </c>
      <c r="HL16" s="6">
        <f>日流量!HL16*24*3600/100000000</f>
        <v>7.0070399999999999</v>
      </c>
      <c r="HM16" s="6">
        <f>日流量!HM16*24*3600/100000000</f>
        <v>6.7996800000000004</v>
      </c>
      <c r="HN16" s="6">
        <f>日流量!HN16*24*3600/100000000</f>
        <v>6.7046400000000004</v>
      </c>
      <c r="HO16" s="6">
        <f>日流量!HO16*24*3600/100000000</f>
        <v>6.59232</v>
      </c>
      <c r="HP16" s="6">
        <f>日流量!HP16*24*3600/100000000</f>
        <v>6.6182400000000001</v>
      </c>
      <c r="HQ16" s="6">
        <f>日流量!HQ16*24*3600/100000000</f>
        <v>6.9292800000000003</v>
      </c>
      <c r="HR16" s="6">
        <f>日流量!HR16*24*3600/100000000</f>
        <v>6.9465599999999998</v>
      </c>
      <c r="HS16" s="6">
        <f>日流量!HS16*24*3600/100000000</f>
        <v>6.7564799999999998</v>
      </c>
      <c r="HT16" s="6">
        <f>日流量!HT16*24*3600/100000000</f>
        <v>6.3936000000000002</v>
      </c>
      <c r="HU16" s="6">
        <f>日流量!HU16*24*3600/100000000</f>
        <v>5.9702400000000004</v>
      </c>
      <c r="HV16" s="6">
        <f>日流量!HV16*24*3600/100000000</f>
        <v>5.7369599999999998</v>
      </c>
      <c r="HW16" s="6">
        <f>日流量!HW16*24*3600/100000000</f>
        <v>5.5987200000000001</v>
      </c>
      <c r="HX16" s="6">
        <f>日流量!HX16*24*3600/100000000</f>
        <v>6.5232000000000001</v>
      </c>
      <c r="HY16" s="6">
        <f>日流量!HY16*24*3600/100000000</f>
        <v>7.3094400000000004</v>
      </c>
      <c r="HZ16" s="6">
        <f>日流量!HZ16*24*3600/100000000</f>
        <v>7.9315199999999999</v>
      </c>
      <c r="IA16" s="6">
        <f>日流量!IA16*24*3600/100000000</f>
        <v>8.9855999999999998</v>
      </c>
      <c r="IB16" s="6">
        <f>日流量!IB16*24*3600/100000000</f>
        <v>9.5904000000000007</v>
      </c>
      <c r="IC16" s="6">
        <f>日流量!IC16*24*3600/100000000</f>
        <v>9.4176000000000002</v>
      </c>
      <c r="ID16" s="6">
        <f>日流量!ID16*24*3600/100000000</f>
        <v>10.8</v>
      </c>
      <c r="IE16" s="6">
        <f>日流量!IE16*24*3600/100000000</f>
        <v>11.750400000000001</v>
      </c>
      <c r="IF16" s="6">
        <f>日流量!IF16*24*3600/100000000</f>
        <v>11.664</v>
      </c>
      <c r="IG16" s="6">
        <f>日流量!IG16*24*3600/100000000</f>
        <v>12.441599999999999</v>
      </c>
      <c r="IH16" s="6">
        <f>日流量!IH16*24*3600/100000000</f>
        <v>12.268800000000001</v>
      </c>
      <c r="II16" s="6">
        <f>日流量!II16*24*3600/100000000</f>
        <v>11.4048</v>
      </c>
      <c r="IJ16" s="6">
        <f>日流量!IJ16*24*3600/100000000</f>
        <v>10.368</v>
      </c>
      <c r="IK16" s="6">
        <f>日流量!IK16*24*3600/100000000</f>
        <v>9.2447999999999997</v>
      </c>
      <c r="IL16" s="6">
        <f>日流量!IL16*24*3600/100000000</f>
        <v>8.4326399999999992</v>
      </c>
      <c r="IM16" s="6">
        <f>日流量!IM16*24*3600/100000000</f>
        <v>7.9488000000000003</v>
      </c>
      <c r="IN16" s="6">
        <f>日流量!IN16*24*3600/100000000</f>
        <v>7.6463999999999999</v>
      </c>
      <c r="IO16" s="6">
        <f>日流量!IO16*24*3600/100000000</f>
        <v>7.4044800000000004</v>
      </c>
      <c r="IP16" s="6">
        <f>日流量!IP16*24*3600/100000000</f>
        <v>7.2403199999999996</v>
      </c>
      <c r="IQ16" s="6">
        <f>日流量!IQ16*24*3600/100000000</f>
        <v>7.4044800000000004</v>
      </c>
      <c r="IR16" s="6">
        <f>日流量!IR16*24*3600/100000000</f>
        <v>7.2489600000000003</v>
      </c>
      <c r="IS16" s="6">
        <f>日流量!IS16*24*3600/100000000</f>
        <v>7.0502399999999996</v>
      </c>
      <c r="IT16" s="6">
        <f>日流量!IT16*24*3600/100000000</f>
        <v>6.9379200000000001</v>
      </c>
      <c r="IU16" s="6">
        <f>日流量!IU16*24*3600/100000000</f>
        <v>7.1020799999999999</v>
      </c>
      <c r="IV16" s="6">
        <f>日流量!IV16*24*3600/100000000</f>
        <v>7.3353599999999997</v>
      </c>
      <c r="IW16" s="6">
        <f>日流量!IW16*24*3600/100000000</f>
        <v>7.4649599999999996</v>
      </c>
      <c r="IX16" s="6">
        <f>日流量!IX16*24*3600/100000000</f>
        <v>7.5427200000000001</v>
      </c>
      <c r="IY16" s="6">
        <f>日流量!IY16*24*3600/100000000</f>
        <v>7.5167999999999999</v>
      </c>
      <c r="IZ16" s="6">
        <f>日流量!IZ16*24*3600/100000000</f>
        <v>7.2403199999999996</v>
      </c>
      <c r="JA16" s="6">
        <f>日流量!JA16*24*3600/100000000</f>
        <v>6.9119999999999999</v>
      </c>
      <c r="JB16" s="6">
        <f>日流量!JB16*24*3600/100000000</f>
        <v>6.55776</v>
      </c>
      <c r="JC16" s="6">
        <f>日流量!JC16*24*3600/100000000</f>
        <v>6.2121599999999999</v>
      </c>
      <c r="JD16" s="6">
        <f>日流量!JD16*24*3600/100000000</f>
        <v>5.95296</v>
      </c>
      <c r="JE16" s="6">
        <f>日流量!JE16*24*3600/100000000</f>
        <v>5.8406399999999996</v>
      </c>
      <c r="JF16" s="6">
        <f>日流量!JF16*24*3600/100000000</f>
        <v>5.9097600000000003</v>
      </c>
      <c r="JG16" s="6">
        <f>日流量!JG16*24*3600/100000000</f>
        <v>6.0393600000000003</v>
      </c>
      <c r="JH16" s="6">
        <f>日流量!JH16*24*3600/100000000</f>
        <v>6.0307199999999996</v>
      </c>
      <c r="JI16" s="6">
        <f>日流量!JI16*24*3600/100000000</f>
        <v>6.2640000000000002</v>
      </c>
      <c r="JJ16" s="6">
        <f>日流量!JJ16*24*3600/100000000</f>
        <v>7.2316799999999999</v>
      </c>
      <c r="JK16" s="6">
        <f>日流量!JK16*24*3600/100000000</f>
        <v>7.8364799999999999</v>
      </c>
      <c r="JL16" s="6">
        <f>日流量!JL16*24*3600/100000000</f>
        <v>7.57728</v>
      </c>
      <c r="JM16" s="6">
        <f>日流量!JM16*24*3600/100000000</f>
        <v>7.0415999999999999</v>
      </c>
      <c r="JN16" s="6">
        <f>日流量!JN16*24*3600/100000000</f>
        <v>6.6268799999999999</v>
      </c>
      <c r="JO16" s="6">
        <f>日流量!JO16*24*3600/100000000</f>
        <v>6.2294400000000003</v>
      </c>
      <c r="JP16" s="6">
        <f>日流量!JP16*24*3600/100000000</f>
        <v>5.8233600000000001</v>
      </c>
      <c r="JQ16" s="6">
        <f>日流量!JQ16*24*3600/100000000</f>
        <v>5.6505599999999996</v>
      </c>
      <c r="JR16" s="6">
        <f>日流量!JR16*24*3600/100000000</f>
        <v>5.5814399999999997</v>
      </c>
      <c r="JS16" s="6">
        <f>日流量!JS16*24*3600/100000000</f>
        <v>5.4432</v>
      </c>
      <c r="JT16" s="6">
        <f>日流量!JT16*24*3600/100000000</f>
        <v>5.4604799999999996</v>
      </c>
      <c r="JU16" s="6">
        <f>日流量!JU16*24*3600/100000000</f>
        <v>5.7715199999999998</v>
      </c>
      <c r="JV16" s="6">
        <f>日流量!JV16*24*3600/100000000</f>
        <v>6.1516799999999998</v>
      </c>
      <c r="JW16" s="6">
        <f>日流量!JW16*24*3600/100000000</f>
        <v>6.8255999999999997</v>
      </c>
      <c r="JX16" s="6">
        <f>日流量!JX16*24*3600/100000000</f>
        <v>8.8127999999999993</v>
      </c>
      <c r="JY16" s="6">
        <f>日流量!JY16*24*3600/100000000</f>
        <v>8.7263999999999999</v>
      </c>
      <c r="JZ16" s="6">
        <f>日流量!JZ16*24*3600/100000000</f>
        <v>7.6550399999999996</v>
      </c>
      <c r="KA16" s="6">
        <f>日流量!KA16*24*3600/100000000</f>
        <v>6.8083200000000001</v>
      </c>
      <c r="KB16" s="6">
        <f>日流量!KB16*24*3600/100000000</f>
        <v>6.1948800000000004</v>
      </c>
      <c r="KC16" s="6">
        <f>日流量!KC16*24*3600/100000000</f>
        <v>5.7283200000000001</v>
      </c>
      <c r="KD16" s="6">
        <f>日流量!KD16*24*3600/100000000</f>
        <v>5.4</v>
      </c>
      <c r="KE16" s="6">
        <f>日流量!KE16*24*3600/100000000</f>
        <v>5.1667199999999998</v>
      </c>
      <c r="KF16" s="6">
        <f>日流量!KF16*24*3600/100000000</f>
        <v>5.0198400000000003</v>
      </c>
      <c r="KG16" s="6">
        <f>日流量!KG16*24*3600/100000000</f>
        <v>4.9507199999999996</v>
      </c>
      <c r="KH16" s="6">
        <f>日流量!KH16*24*3600/100000000</f>
        <v>4.9507199999999996</v>
      </c>
      <c r="KI16" s="6">
        <f>日流量!KI16*24*3600/100000000</f>
        <v>4.8815999999999997</v>
      </c>
      <c r="KJ16" s="6">
        <f>日流量!KJ16*24*3600/100000000</f>
        <v>4.87296</v>
      </c>
      <c r="KK16" s="6">
        <f>日流量!KK16*24*3600/100000000</f>
        <v>5.1667199999999998</v>
      </c>
      <c r="KL16" s="6">
        <f>日流量!KL16*24*3600/100000000</f>
        <v>5.2012799999999997</v>
      </c>
      <c r="KM16" s="6">
        <f>日流量!KM16*24*3600/100000000</f>
        <v>4.9593600000000002</v>
      </c>
      <c r="KN16" s="6">
        <f>日流量!KN16*24*3600/100000000</f>
        <v>4.8297600000000003</v>
      </c>
      <c r="KO16" s="6">
        <f>日流量!KO16*24*3600/100000000</f>
        <v>4.9161599999999996</v>
      </c>
      <c r="KP16" s="6">
        <f>日流量!KP16*24*3600/100000000</f>
        <v>4.8297600000000003</v>
      </c>
      <c r="KQ16" s="6">
        <f>日流量!KQ16*24*3600/100000000</f>
        <v>4.7001600000000003</v>
      </c>
      <c r="KR16" s="6">
        <f>日流量!KR16*24*3600/100000000</f>
        <v>4.4150400000000003</v>
      </c>
      <c r="KS16" s="6">
        <f>日流量!KS16*24*3600/100000000</f>
        <v>4.1126399999999999</v>
      </c>
      <c r="KT16" s="6">
        <f>日流量!KT16*24*3600/100000000</f>
        <v>3.8707199999999999</v>
      </c>
      <c r="KU16" s="6">
        <f>日流量!KU16*24*3600/100000000</f>
        <v>3.6720000000000002</v>
      </c>
      <c r="KV16" s="6">
        <f>日流量!KV16*24*3600/100000000</f>
        <v>3.5424000000000002</v>
      </c>
      <c r="KW16" s="6">
        <f>日流量!KW16*24*3600/100000000</f>
        <v>3.4732799999999999</v>
      </c>
      <c r="KX16" s="6">
        <f>日流量!KX16*24*3600/100000000</f>
        <v>3.3523200000000002</v>
      </c>
      <c r="KY16" s="6">
        <f>日流量!KY16*24*3600/100000000</f>
        <v>3.2831999999999999</v>
      </c>
      <c r="KZ16" s="6">
        <f>日流量!KZ16*24*3600/100000000</f>
        <v>3.1881599999999999</v>
      </c>
      <c r="LA16" s="6">
        <f>日流量!LA16*24*3600/100000000</f>
        <v>3.0931199999999999</v>
      </c>
      <c r="LB16" s="6">
        <f>日流量!LB16*24*3600/100000000</f>
        <v>2.9894400000000001</v>
      </c>
      <c r="LC16" s="6">
        <f>日流量!LC16*24*3600/100000000</f>
        <v>2.92896</v>
      </c>
      <c r="LD16" s="6">
        <f>日流量!LD16*24*3600/100000000</f>
        <v>2.8512</v>
      </c>
      <c r="LE16" s="6">
        <f>日流量!LE16*24*3600/100000000</f>
        <v>2.7734399999999999</v>
      </c>
      <c r="LF16" s="6">
        <f>日流量!LF16*24*3600/100000000</f>
        <v>2.6956799999999999</v>
      </c>
      <c r="LG16" s="6">
        <f>日流量!LG16*24*3600/100000000</f>
        <v>2.64384</v>
      </c>
      <c r="LH16" s="6">
        <f>日流量!LH16*24*3600/100000000</f>
        <v>2.5747200000000001</v>
      </c>
      <c r="LI16" s="6">
        <f>日流量!LI16*24*3600/100000000</f>
        <v>2.51424</v>
      </c>
      <c r="LJ16" s="6">
        <f>日流量!LJ16*24*3600/100000000</f>
        <v>2.4710399999999999</v>
      </c>
      <c r="LK16" s="6">
        <f>日流量!LK16*24*3600/100000000</f>
        <v>2.4105599999999998</v>
      </c>
      <c r="LL16" s="6">
        <f>日流量!LL16*24*3600/100000000</f>
        <v>2.3500800000000002</v>
      </c>
      <c r="LM16" s="6">
        <f>日流量!LM16*24*3600/100000000</f>
        <v>2.2723200000000001</v>
      </c>
      <c r="LN16" s="6">
        <f>日流量!LN16*24*3600/100000000</f>
        <v>2.2377600000000002</v>
      </c>
      <c r="LO16" s="6">
        <f>日流量!LO16*24*3600/100000000</f>
        <v>2.2031999999999998</v>
      </c>
      <c r="LP16" s="6">
        <f>日流量!LP16*24*3600/100000000</f>
        <v>2.16</v>
      </c>
      <c r="LQ16" s="6">
        <f>日流量!LQ16*24*3600/100000000</f>
        <v>2.1254400000000002</v>
      </c>
      <c r="LR16" s="6">
        <f>日流量!LR16*24*3600/100000000</f>
        <v>2.0908799999999998</v>
      </c>
      <c r="LS16" s="6">
        <f>日流量!LS16*24*3600/100000000</f>
        <v>2.0563199999999999</v>
      </c>
      <c r="LT16" s="6">
        <f>日流量!LT16*24*3600/100000000</f>
        <v>2.03904</v>
      </c>
      <c r="LU16" s="6">
        <f>日流量!LU16*24*3600/100000000</f>
        <v>2.02176</v>
      </c>
      <c r="LV16" s="6">
        <f>日流量!LV16*24*3600/100000000</f>
        <v>1.9872000000000001</v>
      </c>
      <c r="LW16" s="6">
        <f>日流量!LW16*24*3600/100000000</f>
        <v>1.91808</v>
      </c>
      <c r="LX16" s="6">
        <f>日流量!LX16*24*3600/100000000</f>
        <v>1.8575999999999999</v>
      </c>
      <c r="LY16" s="6">
        <f>日流量!LY16*24*3600/100000000</f>
        <v>1.83168</v>
      </c>
      <c r="LZ16" s="6">
        <f>日流量!LZ16*24*3600/100000000</f>
        <v>1.8144</v>
      </c>
      <c r="MA16" s="6">
        <f>日流量!MA16*24*3600/100000000</f>
        <v>1.7971200000000001</v>
      </c>
      <c r="MB16" s="6">
        <f>日流量!MB16*24*3600/100000000</f>
        <v>1.7798400000000001</v>
      </c>
      <c r="MC16" s="6">
        <f>日流量!MC16*24*3600/100000000</f>
        <v>1.7625599999999999</v>
      </c>
      <c r="MD16" s="6">
        <f>日流量!MD16*24*3600/100000000</f>
        <v>1.7452799999999999</v>
      </c>
      <c r="ME16" s="6">
        <f>日流量!ME16*24*3600/100000000</f>
        <v>1.73664</v>
      </c>
      <c r="MF16" s="6">
        <f>日流量!MF16*24*3600/100000000</f>
        <v>1.6934400000000001</v>
      </c>
      <c r="MG16" s="6">
        <f>日流量!MG16*24*3600/100000000</f>
        <v>1.6588799999999999</v>
      </c>
      <c r="MH16" s="6">
        <f>日流量!MH16*24*3600/100000000</f>
        <v>1.60704</v>
      </c>
      <c r="MI16" s="6">
        <f>日流量!MI16*24*3600/100000000</f>
        <v>1.5811200000000001</v>
      </c>
      <c r="MJ16" s="6">
        <f>日流量!MJ16*24*3600/100000000</f>
        <v>1.5551999999999999</v>
      </c>
      <c r="MK16" s="6">
        <f>日流量!MK16*24*3600/100000000</f>
        <v>1.5465599999999999</v>
      </c>
      <c r="ML16" s="6">
        <f>日流量!ML16*24*3600/100000000</f>
        <v>1.52928</v>
      </c>
      <c r="MM16" s="6">
        <f>日流量!MM16*24*3600/100000000</f>
        <v>1.512</v>
      </c>
      <c r="MN16" s="6">
        <f>日流量!MN16*24*3600/100000000</f>
        <v>1.49472</v>
      </c>
      <c r="MO16" s="6">
        <f>日流量!MO16*24*3600/100000000</f>
        <v>1.4688000000000001</v>
      </c>
      <c r="MP16" s="6">
        <f>日流量!MP16*24*3600/100000000</f>
        <v>1.4515199999999999</v>
      </c>
      <c r="MQ16" s="6">
        <f>日流量!MQ16*24*3600/100000000</f>
        <v>1.4515199999999999</v>
      </c>
      <c r="MR16" s="6">
        <f>日流量!MR16*24*3600/100000000</f>
        <v>1.4428799999999999</v>
      </c>
      <c r="MS16" s="6">
        <f>日流量!MS16*24*3600/100000000</f>
        <v>1.4428799999999999</v>
      </c>
      <c r="MT16" s="6">
        <f>日流量!MT16*24*3600/100000000</f>
        <v>1.41696</v>
      </c>
      <c r="MU16" s="6">
        <f>日流量!MU16*24*3600/100000000</f>
        <v>1.39968</v>
      </c>
      <c r="MV16" s="6">
        <f>日流量!MV16*24*3600/100000000</f>
        <v>1.3737600000000001</v>
      </c>
      <c r="MW16" s="6">
        <f>日流量!MW16*24*3600/100000000</f>
        <v>1.3564799999999999</v>
      </c>
      <c r="MX16" s="6">
        <f>日流量!MX16*24*3600/100000000</f>
        <v>1.33056</v>
      </c>
      <c r="MY16" s="6">
        <f>日流量!MY16*24*3600/100000000</f>
        <v>1.31328</v>
      </c>
      <c r="MZ16" s="6">
        <f>日流量!MZ16*24*3600/100000000</f>
        <v>1.30464</v>
      </c>
      <c r="NA16" s="6">
        <f>日流量!NA16*24*3600/100000000</f>
        <v>1.2873600000000001</v>
      </c>
      <c r="NB16" s="6">
        <f>日流量!NB16*24*3600/100000000</f>
        <v>1.2787200000000001</v>
      </c>
      <c r="NC16" s="6"/>
      <c r="ND16" s="6">
        <f>日流量!ND16*24*3600*31/100000000</f>
        <v>36.69408</v>
      </c>
      <c r="NE16" s="6">
        <f>日流量!NE16*24*3600*28/100000000</f>
        <v>28.546559999999999</v>
      </c>
      <c r="NF16" s="6">
        <f>日流量!NF16*24*3600*31/100000000</f>
        <v>30.533760000000001</v>
      </c>
      <c r="NG16" s="6">
        <f>日流量!NG16*24*3600*30/100000000</f>
        <v>31.103999999999999</v>
      </c>
      <c r="NH16" s="6">
        <f>日流量!NH16*24*3600*31/100000000</f>
        <v>36.961919999999999</v>
      </c>
      <c r="NI16" s="6">
        <f>日流量!NI16*24*3600*30/100000000</f>
        <v>90.979200000000006</v>
      </c>
      <c r="NJ16" s="6">
        <f>日流量!NJ16*24*3600*31/100000000</f>
        <v>237.0384</v>
      </c>
      <c r="NK16" s="6">
        <f>日流量!NK16*24*3600*31/100000000</f>
        <v>260.07263999999998</v>
      </c>
      <c r="NL16" s="6">
        <f>日流量!NL16*24*3600*30/100000000</f>
        <v>209.69280000000001</v>
      </c>
      <c r="NM16" s="6">
        <f>日流量!NM16*24*3600*31/100000000</f>
        <v>172.7568</v>
      </c>
      <c r="NN16" s="6">
        <f>日流量!NN16*24*3600*30/100000000</f>
        <v>77.760000000000005</v>
      </c>
      <c r="NO16" s="6">
        <f>日流量!NO16*24*3600*31/100000000</f>
        <v>47.13984</v>
      </c>
      <c r="NP16" s="14">
        <f t="shared" si="10"/>
        <v>1259.2800000000002</v>
      </c>
      <c r="NQ16" s="6">
        <f>日流量!NQ16*24*3600/100000000</f>
        <v>12.441599999999999</v>
      </c>
      <c r="NR16" s="4">
        <f>日流量!NR16</f>
        <v>42609</v>
      </c>
      <c r="NS16" s="6">
        <f>日流量!NS16*24*3600/100000000</f>
        <v>0.94176000000000004</v>
      </c>
      <c r="NT16" s="4">
        <f>日流量!NT16</f>
        <v>42456</v>
      </c>
      <c r="NU16" s="7">
        <f>日流量!NP16</f>
        <v>3992.9863013698632</v>
      </c>
      <c r="NW16" s="13">
        <f t="shared" si="0"/>
        <v>1007.50176</v>
      </c>
      <c r="NX16" s="12">
        <f t="shared" si="1"/>
        <v>80.006174957118333</v>
      </c>
      <c r="NY16" s="13">
        <f t="shared" si="2"/>
        <v>797.78304000000003</v>
      </c>
      <c r="NZ16" s="12">
        <f t="shared" si="3"/>
        <v>63.352315608919376</v>
      </c>
      <c r="OA16" s="13">
        <f t="shared" si="4"/>
        <v>251.77824000000021</v>
      </c>
      <c r="OB16" s="12">
        <f t="shared" si="5"/>
        <v>19.99382504288166</v>
      </c>
      <c r="OC16" s="13">
        <f t="shared" si="6"/>
        <v>260.07263999999998</v>
      </c>
      <c r="OD16" s="12">
        <f t="shared" si="7"/>
        <v>20.652487135505996</v>
      </c>
      <c r="OE16" s="12">
        <f t="shared" si="8"/>
        <v>294.22429906542055</v>
      </c>
      <c r="OF16" s="12">
        <f t="shared" si="9"/>
        <v>9.3297913199334275</v>
      </c>
    </row>
    <row r="17" spans="1:396" x14ac:dyDescent="0.15">
      <c r="A17" s="2">
        <v>1964</v>
      </c>
      <c r="B17" s="6">
        <f>日流量!B17*24*3600/100000000</f>
        <v>1.30464</v>
      </c>
      <c r="C17" s="6">
        <f>日流量!C17*24*3600/100000000</f>
        <v>1.2873600000000001</v>
      </c>
      <c r="D17" s="6">
        <f>日流量!D17*24*3600/100000000</f>
        <v>1.2787200000000001</v>
      </c>
      <c r="E17" s="6">
        <f>日流量!E17*24*3600/100000000</f>
        <v>1.2700800000000001</v>
      </c>
      <c r="F17" s="6">
        <f>日流量!F17*24*3600/100000000</f>
        <v>1.2700800000000001</v>
      </c>
      <c r="G17" s="6">
        <f>日流量!G17*24*3600/100000000</f>
        <v>1.2614399999999999</v>
      </c>
      <c r="H17" s="6">
        <f>日流量!H17*24*3600/100000000</f>
        <v>1.2441599999999999</v>
      </c>
      <c r="I17" s="6">
        <f>日流量!I17*24*3600/100000000</f>
        <v>1.22688</v>
      </c>
      <c r="J17" s="6">
        <f>日流量!J17*24*3600/100000000</f>
        <v>1.21824</v>
      </c>
      <c r="K17" s="6">
        <f>日流量!K17*24*3600/100000000</f>
        <v>1.20096</v>
      </c>
      <c r="L17" s="6">
        <f>日流量!L17*24*3600/100000000</f>
        <v>1.20096</v>
      </c>
      <c r="M17" s="6">
        <f>日流量!M17*24*3600/100000000</f>
        <v>1.20096</v>
      </c>
      <c r="N17" s="6">
        <f>日流量!N17*24*3600/100000000</f>
        <v>1.19232</v>
      </c>
      <c r="O17" s="6">
        <f>日流量!O17*24*3600/100000000</f>
        <v>1.20096</v>
      </c>
      <c r="P17" s="6">
        <f>日流量!P17*24*3600/100000000</f>
        <v>1.20096</v>
      </c>
      <c r="Q17" s="6">
        <f>日流量!Q17*24*3600/100000000</f>
        <v>1.2096</v>
      </c>
      <c r="R17" s="6">
        <f>日流量!R17*24*3600/100000000</f>
        <v>1.21824</v>
      </c>
      <c r="S17" s="6">
        <f>日流量!S17*24*3600/100000000</f>
        <v>1.21824</v>
      </c>
      <c r="T17" s="6">
        <f>日流量!T17*24*3600/100000000</f>
        <v>1.21824</v>
      </c>
      <c r="U17" s="6">
        <f>日流量!U17*24*3600/100000000</f>
        <v>1.20096</v>
      </c>
      <c r="V17" s="6">
        <f>日流量!V17*24*3600/100000000</f>
        <v>1.1836800000000001</v>
      </c>
      <c r="W17" s="6">
        <f>日流量!W17*24*3600/100000000</f>
        <v>1.1750400000000001</v>
      </c>
      <c r="X17" s="6">
        <f>日流量!X17*24*3600/100000000</f>
        <v>1.1577599999999999</v>
      </c>
      <c r="Y17" s="6">
        <f>日流量!Y17*24*3600/100000000</f>
        <v>1.1404799999999999</v>
      </c>
      <c r="Z17" s="6">
        <f>日流量!Z17*24*3600/100000000</f>
        <v>1.11456</v>
      </c>
      <c r="AA17" s="6">
        <f>日流量!AA17*24*3600/100000000</f>
        <v>1.10592</v>
      </c>
      <c r="AB17" s="6">
        <f>日流量!AB17*24*3600/100000000</f>
        <v>1.09728</v>
      </c>
      <c r="AC17" s="6">
        <f>日流量!AC17*24*3600/100000000</f>
        <v>1.11456</v>
      </c>
      <c r="AD17" s="6">
        <f>日流量!AD17*24*3600/100000000</f>
        <v>1.10592</v>
      </c>
      <c r="AE17" s="6">
        <f>日流量!AE17*24*3600/100000000</f>
        <v>1.09728</v>
      </c>
      <c r="AF17" s="6">
        <f>日流量!AF17*24*3600/100000000</f>
        <v>1.09728</v>
      </c>
      <c r="AG17" s="6">
        <f>日流量!AG17*24*3600/100000000</f>
        <v>1.09728</v>
      </c>
      <c r="AH17" s="6">
        <f>日流量!AH17*24*3600/100000000</f>
        <v>1.10592</v>
      </c>
      <c r="AI17" s="6">
        <f>日流量!AI17*24*3600/100000000</f>
        <v>1.08</v>
      </c>
      <c r="AJ17" s="6">
        <f>日流量!AJ17*24*3600/100000000</f>
        <v>1.0713600000000001</v>
      </c>
      <c r="AK17" s="6">
        <f>日流量!AK17*24*3600/100000000</f>
        <v>1.0540799999999999</v>
      </c>
      <c r="AL17" s="6">
        <f>日流量!AL17*24*3600/100000000</f>
        <v>1.0454399999999999</v>
      </c>
      <c r="AM17" s="6">
        <f>日流量!AM17*24*3600/100000000</f>
        <v>1.0367999999999999</v>
      </c>
      <c r="AN17" s="6">
        <f>日流量!AN17*24*3600/100000000</f>
        <v>1.0367999999999999</v>
      </c>
      <c r="AO17" s="6">
        <f>日流量!AO17*24*3600/100000000</f>
        <v>1.02816</v>
      </c>
      <c r="AP17" s="6">
        <f>日流量!AP17*24*3600/100000000</f>
        <v>1.01952</v>
      </c>
      <c r="AQ17" s="6">
        <f>日流量!AQ17*24*3600/100000000</f>
        <v>1.01088</v>
      </c>
      <c r="AR17" s="6">
        <f>日流量!AR17*24*3600/100000000</f>
        <v>1.00224</v>
      </c>
      <c r="AS17" s="6">
        <f>日流量!AS17*24*3600/100000000</f>
        <v>1.00224</v>
      </c>
      <c r="AT17" s="6">
        <f>日流量!AT17*24*3600/100000000</f>
        <v>1.00224</v>
      </c>
      <c r="AU17" s="6">
        <f>日流量!AU17*24*3600/100000000</f>
        <v>0.98495999999999995</v>
      </c>
      <c r="AV17" s="6">
        <f>日流量!AV17*24*3600/100000000</f>
        <v>0.99360000000000004</v>
      </c>
      <c r="AW17" s="6">
        <f>日流量!AW17*24*3600/100000000</f>
        <v>0.97631999999999997</v>
      </c>
      <c r="AX17" s="6">
        <f>日流量!AX17*24*3600/100000000</f>
        <v>0.97631999999999997</v>
      </c>
      <c r="AY17" s="6">
        <f>日流量!AY17*24*3600/100000000</f>
        <v>0.97631999999999997</v>
      </c>
      <c r="AZ17" s="6">
        <f>日流量!AZ17*24*3600/100000000</f>
        <v>0.97631999999999997</v>
      </c>
      <c r="BA17" s="6">
        <f>日流量!BA17*24*3600/100000000</f>
        <v>0.98495999999999995</v>
      </c>
      <c r="BB17" s="6">
        <f>日流量!BB17*24*3600/100000000</f>
        <v>0.98495999999999995</v>
      </c>
      <c r="BC17" s="6">
        <f>日流量!BC17*24*3600/100000000</f>
        <v>1.00224</v>
      </c>
      <c r="BD17" s="6">
        <f>日流量!BD17*24*3600/100000000</f>
        <v>1.01088</v>
      </c>
      <c r="BE17" s="6">
        <f>日流量!BE17*24*3600/100000000</f>
        <v>1.01088</v>
      </c>
      <c r="BF17" s="6">
        <f>日流量!BF17*24*3600/100000000</f>
        <v>1.00224</v>
      </c>
      <c r="BG17" s="6">
        <f>日流量!BG17*24*3600/100000000</f>
        <v>1.01952</v>
      </c>
      <c r="BH17" s="6">
        <f>日流量!BH17*24*3600/100000000</f>
        <v>1.01088</v>
      </c>
      <c r="BI17" s="6">
        <f>日流量!BI17*24*3600/100000000</f>
        <v>1.01088</v>
      </c>
      <c r="BJ17" s="6">
        <f>日流量!BJ17*24*3600/100000000</f>
        <v>1.01088</v>
      </c>
      <c r="BK17" s="6">
        <f>日流量!BK17*24*3600/100000000</f>
        <v>0.98495999999999995</v>
      </c>
      <c r="BL17" s="6">
        <f>日流量!BL17*24*3600/100000000</f>
        <v>0.97631999999999997</v>
      </c>
      <c r="BM17" s="6">
        <f>日流量!BM17*24*3600/100000000</f>
        <v>0.95904</v>
      </c>
      <c r="BN17" s="6">
        <f>日流量!BN17*24*3600/100000000</f>
        <v>0.95040000000000002</v>
      </c>
      <c r="BO17" s="6">
        <f>日流量!BO17*24*3600/100000000</f>
        <v>0.94176000000000004</v>
      </c>
      <c r="BP17" s="6">
        <f>日流量!BP17*24*3600/100000000</f>
        <v>0.94176000000000004</v>
      </c>
      <c r="BQ17" s="6">
        <f>日流量!BQ17*24*3600/100000000</f>
        <v>0.94176000000000004</v>
      </c>
      <c r="BR17" s="6">
        <f>日流量!BR17*24*3600/100000000</f>
        <v>0.93311999999999995</v>
      </c>
      <c r="BS17" s="6">
        <f>日流量!BS17*24*3600/100000000</f>
        <v>0.93311999999999995</v>
      </c>
      <c r="BT17" s="6">
        <f>日流量!BT17*24*3600/100000000</f>
        <v>0.93311999999999995</v>
      </c>
      <c r="BU17" s="6">
        <f>日流量!BU17*24*3600/100000000</f>
        <v>0.93311999999999995</v>
      </c>
      <c r="BV17" s="6">
        <f>日流量!BV17*24*3600/100000000</f>
        <v>0.91583999999999999</v>
      </c>
      <c r="BW17" s="6">
        <f>日流量!BW17*24*3600/100000000</f>
        <v>0.91583999999999999</v>
      </c>
      <c r="BX17" s="6">
        <f>日流量!BX17*24*3600/100000000</f>
        <v>0.92447999999999997</v>
      </c>
      <c r="BY17" s="6">
        <f>日流量!BY17*24*3600/100000000</f>
        <v>0.93311999999999995</v>
      </c>
      <c r="BZ17" s="6">
        <f>日流量!BZ17*24*3600/100000000</f>
        <v>0.95040000000000002</v>
      </c>
      <c r="CA17" s="6">
        <f>日流量!CA17*24*3600/100000000</f>
        <v>0.95904</v>
      </c>
      <c r="CB17" s="6">
        <f>日流量!CB17*24*3600/100000000</f>
        <v>0.95904</v>
      </c>
      <c r="CC17" s="6">
        <f>日流量!CC17*24*3600/100000000</f>
        <v>0.95040000000000002</v>
      </c>
      <c r="CD17" s="6">
        <f>日流量!CD17*24*3600/100000000</f>
        <v>0.93311999999999995</v>
      </c>
      <c r="CE17" s="6">
        <f>日流量!CE17*24*3600/100000000</f>
        <v>0.93311999999999995</v>
      </c>
      <c r="CF17" s="6">
        <f>日流量!CF17*24*3600/100000000</f>
        <v>0.95040000000000002</v>
      </c>
      <c r="CG17" s="6">
        <f>日流量!CG17*24*3600/100000000</f>
        <v>0.95040000000000002</v>
      </c>
      <c r="CH17" s="6">
        <f>日流量!CH17*24*3600/100000000</f>
        <v>0.95904</v>
      </c>
      <c r="CI17" s="6">
        <f>日流量!CI17*24*3600/100000000</f>
        <v>0.97631999999999997</v>
      </c>
      <c r="CJ17" s="6">
        <f>日流量!CJ17*24*3600/100000000</f>
        <v>0.97631999999999997</v>
      </c>
      <c r="CK17" s="6">
        <f>日流量!CK17*24*3600/100000000</f>
        <v>0.97631999999999997</v>
      </c>
      <c r="CL17" s="6">
        <f>日流量!CL17*24*3600/100000000</f>
        <v>0.97631999999999997</v>
      </c>
      <c r="CM17" s="6">
        <f>日流量!CM17*24*3600/100000000</f>
        <v>0.95904</v>
      </c>
      <c r="CN17" s="6">
        <f>日流量!CN17*24*3600/100000000</f>
        <v>0.95904</v>
      </c>
      <c r="CO17" s="6">
        <f>日流量!CO17*24*3600/100000000</f>
        <v>0.97631999999999997</v>
      </c>
      <c r="CP17" s="6">
        <f>日流量!CP17*24*3600/100000000</f>
        <v>0.98495999999999995</v>
      </c>
      <c r="CQ17" s="6">
        <f>日流量!CQ17*24*3600/100000000</f>
        <v>0.97631999999999997</v>
      </c>
      <c r="CR17" s="6">
        <f>日流量!CR17*24*3600/100000000</f>
        <v>0.97631999999999997</v>
      </c>
      <c r="CS17" s="6">
        <f>日流量!CS17*24*3600/100000000</f>
        <v>0.98495999999999995</v>
      </c>
      <c r="CT17" s="6">
        <f>日流量!CT17*24*3600/100000000</f>
        <v>1.00224</v>
      </c>
      <c r="CU17" s="6">
        <f>日流量!CU17*24*3600/100000000</f>
        <v>1.02816</v>
      </c>
      <c r="CV17" s="6">
        <f>日流量!CV17*24*3600/100000000</f>
        <v>1.0713600000000001</v>
      </c>
      <c r="CW17" s="6">
        <f>日流量!CW17*24*3600/100000000</f>
        <v>1.1404799999999999</v>
      </c>
      <c r="CX17" s="6">
        <f>日流量!CX17*24*3600/100000000</f>
        <v>1.1836800000000001</v>
      </c>
      <c r="CY17" s="6">
        <f>日流量!CY17*24*3600/100000000</f>
        <v>1.1836800000000001</v>
      </c>
      <c r="CZ17" s="6">
        <f>日流量!CZ17*24*3600/100000000</f>
        <v>1.1836800000000001</v>
      </c>
      <c r="DA17" s="6">
        <f>日流量!DA17*24*3600/100000000</f>
        <v>1.2096</v>
      </c>
      <c r="DB17" s="6">
        <f>日流量!DB17*24*3600/100000000</f>
        <v>1.21824</v>
      </c>
      <c r="DC17" s="6">
        <f>日流量!DC17*24*3600/100000000</f>
        <v>1.21824</v>
      </c>
      <c r="DD17" s="6">
        <f>日流量!DD17*24*3600/100000000</f>
        <v>1.21824</v>
      </c>
      <c r="DE17" s="6">
        <f>日流量!DE17*24*3600/100000000</f>
        <v>1.2527999999999999</v>
      </c>
      <c r="DF17" s="6">
        <f>日流量!DF17*24*3600/100000000</f>
        <v>1.30464</v>
      </c>
      <c r="DG17" s="6">
        <f>日流量!DG17*24*3600/100000000</f>
        <v>1.3564799999999999</v>
      </c>
      <c r="DH17" s="6">
        <f>日流量!DH17*24*3600/100000000</f>
        <v>1.4256</v>
      </c>
      <c r="DI17" s="6">
        <f>日流量!DI17*24*3600/100000000</f>
        <v>1.4774400000000001</v>
      </c>
      <c r="DJ17" s="6">
        <f>日流量!DJ17*24*3600/100000000</f>
        <v>1.5465599999999999</v>
      </c>
      <c r="DK17" s="6">
        <f>日流量!DK17*24*3600/100000000</f>
        <v>1.52928</v>
      </c>
      <c r="DL17" s="6">
        <f>日流量!DL17*24*3600/100000000</f>
        <v>1.4601599999999999</v>
      </c>
      <c r="DM17" s="6">
        <f>日流量!DM17*24*3600/100000000</f>
        <v>1.4256</v>
      </c>
      <c r="DN17" s="6">
        <f>日流量!DN17*24*3600/100000000</f>
        <v>1.39968</v>
      </c>
      <c r="DO17" s="6">
        <f>日流量!DO17*24*3600/100000000</f>
        <v>1.33056</v>
      </c>
      <c r="DP17" s="6">
        <f>日流量!DP17*24*3600/100000000</f>
        <v>1.33056</v>
      </c>
      <c r="DQ17" s="6">
        <f>日流量!DQ17*24*3600/100000000</f>
        <v>1.3478399999999999</v>
      </c>
      <c r="DR17" s="6">
        <f>日流量!DR17*24*3600/100000000</f>
        <v>1.3391999999999999</v>
      </c>
      <c r="DS17" s="6">
        <f>日流量!DS17*24*3600/100000000</f>
        <v>1.3391999999999999</v>
      </c>
      <c r="DT17" s="6">
        <f>日流量!DT17*24*3600/100000000</f>
        <v>1.3478399999999999</v>
      </c>
      <c r="DU17" s="6">
        <f>日流量!DU17*24*3600/100000000</f>
        <v>1.3824000000000001</v>
      </c>
      <c r="DV17" s="6">
        <f>日流量!DV17*24*3600/100000000</f>
        <v>1.4428799999999999</v>
      </c>
      <c r="DW17" s="6">
        <f>日流量!DW17*24*3600/100000000</f>
        <v>1.512</v>
      </c>
      <c r="DX17" s="6">
        <f>日流量!DX17*24*3600/100000000</f>
        <v>1.5638399999999999</v>
      </c>
      <c r="DY17" s="6">
        <f>日流量!DY17*24*3600/100000000</f>
        <v>1.60704</v>
      </c>
      <c r="DZ17" s="6">
        <f>日流量!DZ17*24*3600/100000000</f>
        <v>1.60704</v>
      </c>
      <c r="EA17" s="6">
        <f>日流量!EA17*24*3600/100000000</f>
        <v>1.5724800000000001</v>
      </c>
      <c r="EB17" s="6">
        <f>日流量!EB17*24*3600/100000000</f>
        <v>1.80576</v>
      </c>
      <c r="EC17" s="6">
        <f>日流量!EC17*24*3600/100000000</f>
        <v>2.0735999999999999</v>
      </c>
      <c r="ED17" s="6">
        <f>日流量!ED17*24*3600/100000000</f>
        <v>1.944</v>
      </c>
      <c r="EE17" s="6">
        <f>日流量!EE17*24*3600/100000000</f>
        <v>1.8748800000000001</v>
      </c>
      <c r="EF17" s="6">
        <f>日流量!EF17*24*3600/100000000</f>
        <v>1.8489599999999999</v>
      </c>
      <c r="EG17" s="6">
        <f>日流量!EG17*24*3600/100000000</f>
        <v>1.93536</v>
      </c>
      <c r="EH17" s="6">
        <f>日流量!EH17*24*3600/100000000</f>
        <v>1.9526399999999999</v>
      </c>
      <c r="EI17" s="6">
        <f>日流量!EI17*24*3600/100000000</f>
        <v>1.92672</v>
      </c>
      <c r="EJ17" s="6">
        <f>日流量!EJ17*24*3600/100000000</f>
        <v>1.93536</v>
      </c>
      <c r="EK17" s="6">
        <f>日流量!EK17*24*3600/100000000</f>
        <v>1.90944</v>
      </c>
      <c r="EL17" s="6">
        <f>日流量!EL17*24*3600/100000000</f>
        <v>1.8575999999999999</v>
      </c>
      <c r="EM17" s="6">
        <f>日流量!EM17*24*3600/100000000</f>
        <v>1.7971200000000001</v>
      </c>
      <c r="EN17" s="6">
        <f>日流量!EN17*24*3600/100000000</f>
        <v>1.7625599999999999</v>
      </c>
      <c r="EO17" s="6">
        <f>日流量!EO17*24*3600/100000000</f>
        <v>1.71072</v>
      </c>
      <c r="EP17" s="6">
        <f>日流量!EP17*24*3600/100000000</f>
        <v>1.6588799999999999</v>
      </c>
      <c r="EQ17" s="6">
        <f>日流量!EQ17*24*3600/100000000</f>
        <v>1.60704</v>
      </c>
      <c r="ER17" s="6">
        <f>日流量!ER17*24*3600/100000000</f>
        <v>1.5551999999999999</v>
      </c>
      <c r="ES17" s="6">
        <f>日流量!ES17*24*3600/100000000</f>
        <v>1.53792</v>
      </c>
      <c r="ET17" s="6">
        <f>日流量!ET17*24*3600/100000000</f>
        <v>1.5465599999999999</v>
      </c>
      <c r="EU17" s="6">
        <f>日流量!EU17*24*3600/100000000</f>
        <v>1.5811200000000001</v>
      </c>
      <c r="EV17" s="6">
        <f>日流量!EV17*24*3600/100000000</f>
        <v>1.5897600000000001</v>
      </c>
      <c r="EW17" s="6">
        <f>日流量!EW17*24*3600/100000000</f>
        <v>1.5897600000000001</v>
      </c>
      <c r="EX17" s="6">
        <f>日流量!EX17*24*3600/100000000</f>
        <v>1.5897600000000001</v>
      </c>
      <c r="EY17" s="6">
        <f>日流量!EY17*24*3600/100000000</f>
        <v>1.61568</v>
      </c>
      <c r="EZ17" s="6">
        <f>日流量!EZ17*24*3600/100000000</f>
        <v>1.71072</v>
      </c>
      <c r="FA17" s="6">
        <f>日流量!FA17*24*3600/100000000</f>
        <v>1.8748800000000001</v>
      </c>
      <c r="FB17" s="6">
        <f>日流量!FB17*24*3600/100000000</f>
        <v>2.13408</v>
      </c>
      <c r="FC17" s="6">
        <f>日流量!FC17*24*3600/100000000</f>
        <v>2.4278400000000002</v>
      </c>
      <c r="FD17" s="6">
        <f>日流量!FD17*24*3600/100000000</f>
        <v>2.6956799999999999</v>
      </c>
      <c r="FE17" s="6">
        <f>日流量!FE17*24*3600/100000000</f>
        <v>2.7475200000000002</v>
      </c>
      <c r="FF17" s="6">
        <f>日流量!FF17*24*3600/100000000</f>
        <v>2.8252799999999998</v>
      </c>
      <c r="FG17" s="6">
        <f>日流量!FG17*24*3600/100000000</f>
        <v>2.94624</v>
      </c>
      <c r="FH17" s="6">
        <f>日流量!FH17*24*3600/100000000</f>
        <v>2.9980799999999999</v>
      </c>
      <c r="FI17" s="6">
        <f>日流量!FI17*24*3600/100000000</f>
        <v>3.1708799999999999</v>
      </c>
      <c r="FJ17" s="6">
        <f>日流量!FJ17*24*3600/100000000</f>
        <v>3.3177599999999998</v>
      </c>
      <c r="FK17" s="6">
        <f>日流量!FK17*24*3600/100000000</f>
        <v>3.3523200000000002</v>
      </c>
      <c r="FL17" s="6">
        <f>日流量!FL17*24*3600/100000000</f>
        <v>3.3091200000000001</v>
      </c>
      <c r="FM17" s="6">
        <f>日流量!FM17*24*3600/100000000</f>
        <v>3.34368</v>
      </c>
      <c r="FN17" s="6">
        <f>日流量!FN17*24*3600/100000000</f>
        <v>3.4041600000000001</v>
      </c>
      <c r="FO17" s="6">
        <f>日流量!FO17*24*3600/100000000</f>
        <v>3.34368</v>
      </c>
      <c r="FP17" s="6">
        <f>日流量!FP17*24*3600/100000000</f>
        <v>3.6288</v>
      </c>
      <c r="FQ17" s="6">
        <f>日流量!FQ17*24*3600/100000000</f>
        <v>3.8620800000000002</v>
      </c>
      <c r="FR17" s="6">
        <f>日流量!FR17*24*3600/100000000</f>
        <v>4.2422399999999998</v>
      </c>
      <c r="FS17" s="6">
        <f>日流量!FS17*24*3600/100000000</f>
        <v>4.968</v>
      </c>
      <c r="FT17" s="6">
        <f>日流量!FT17*24*3600/100000000</f>
        <v>5.1321599999999998</v>
      </c>
      <c r="FU17" s="6">
        <f>日流量!FU17*24*3600/100000000</f>
        <v>5.4345600000000003</v>
      </c>
      <c r="FV17" s="6">
        <f>日流量!FV17*24*3600/100000000</f>
        <v>5.8147200000000003</v>
      </c>
      <c r="FW17" s="6">
        <f>日流量!FW17*24*3600/100000000</f>
        <v>6.0307199999999996</v>
      </c>
      <c r="FX17" s="6">
        <f>日流量!FX17*24*3600/100000000</f>
        <v>6.1257599999999996</v>
      </c>
      <c r="FY17" s="6">
        <f>日流量!FY17*24*3600/100000000</f>
        <v>6.2294400000000003</v>
      </c>
      <c r="FZ17" s="6">
        <f>日流量!FZ17*24*3600/100000000</f>
        <v>6.3849600000000004</v>
      </c>
      <c r="GA17" s="6">
        <f>日流量!GA17*24*3600/100000000</f>
        <v>6.4713599999999998</v>
      </c>
      <c r="GB17" s="6">
        <f>日流量!GB17*24*3600/100000000</f>
        <v>7.1452799999999996</v>
      </c>
      <c r="GC17" s="6">
        <f>日流量!GC17*24*3600/100000000</f>
        <v>8.0956799999999998</v>
      </c>
      <c r="GD17" s="6">
        <f>日流量!GD17*24*3600/100000000</f>
        <v>7.6550399999999996</v>
      </c>
      <c r="GE17" s="6">
        <f>日流量!GE17*24*3600/100000000</f>
        <v>6.9379200000000001</v>
      </c>
      <c r="GF17" s="6">
        <f>日流量!GF17*24*3600/100000000</f>
        <v>6.2812799999999998</v>
      </c>
      <c r="GG17" s="6">
        <f>日流量!GG17*24*3600/100000000</f>
        <v>5.76288</v>
      </c>
      <c r="GH17" s="6">
        <f>日流量!GH17*24*3600/100000000</f>
        <v>5.3567999999999998</v>
      </c>
      <c r="GI17" s="6">
        <f>日流量!GI17*24*3600/100000000</f>
        <v>5.0025599999999999</v>
      </c>
      <c r="GJ17" s="6">
        <f>日流量!GJ17*24*3600/100000000</f>
        <v>4.8902400000000004</v>
      </c>
      <c r="GK17" s="6">
        <f>日流量!GK17*24*3600/100000000</f>
        <v>4.8902400000000004</v>
      </c>
      <c r="GL17" s="6">
        <f>日流量!GL17*24*3600/100000000</f>
        <v>4.93344</v>
      </c>
      <c r="GM17" s="6">
        <f>日流量!GM17*24*3600/100000000</f>
        <v>5.1407999999999996</v>
      </c>
      <c r="GN17" s="6">
        <f>日流量!GN17*24*3600/100000000</f>
        <v>5.2185600000000001</v>
      </c>
      <c r="GO17" s="6">
        <f>日流量!GO17*24*3600/100000000</f>
        <v>5.3395200000000003</v>
      </c>
      <c r="GP17" s="6">
        <f>日流量!GP17*24*3600/100000000</f>
        <v>5.3395200000000003</v>
      </c>
      <c r="GQ17" s="6">
        <f>日流量!GQ17*24*3600/100000000</f>
        <v>5.3567999999999998</v>
      </c>
      <c r="GR17" s="6">
        <f>日流量!GR17*24*3600/100000000</f>
        <v>5.5900800000000004</v>
      </c>
      <c r="GS17" s="6">
        <f>日流量!GS17*24*3600/100000000</f>
        <v>5.66784</v>
      </c>
      <c r="GT17" s="6">
        <f>日流量!GT17*24*3600/100000000</f>
        <v>5.6332800000000001</v>
      </c>
      <c r="GU17" s="6">
        <f>日流量!GU17*24*3600/100000000</f>
        <v>5.4172799999999999</v>
      </c>
      <c r="GV17" s="6">
        <f>日流量!GV17*24*3600/100000000</f>
        <v>5.2876799999999999</v>
      </c>
      <c r="GW17" s="6">
        <f>日流量!GW17*24*3600/100000000</f>
        <v>5.1407999999999996</v>
      </c>
      <c r="GX17" s="6">
        <f>日流量!GX17*24*3600/100000000</f>
        <v>5.1062399999999997</v>
      </c>
      <c r="GY17" s="6">
        <f>日流量!GY17*24*3600/100000000</f>
        <v>5.3136000000000001</v>
      </c>
      <c r="GZ17" s="6">
        <f>日流量!GZ17*24*3600/100000000</f>
        <v>5.6505599999999996</v>
      </c>
      <c r="HA17" s="6">
        <f>日流量!HA17*24*3600/100000000</f>
        <v>6.1257599999999996</v>
      </c>
      <c r="HB17" s="6">
        <f>日流量!HB17*24*3600/100000000</f>
        <v>7.7328000000000001</v>
      </c>
      <c r="HC17" s="6">
        <f>日流量!HC17*24*3600/100000000</f>
        <v>10.4544</v>
      </c>
      <c r="HD17" s="6">
        <f>日流量!HD17*24*3600/100000000</f>
        <v>10.4544</v>
      </c>
      <c r="HE17" s="6">
        <f>日流量!HE17*24*3600/100000000</f>
        <v>9.1584000000000003</v>
      </c>
      <c r="HF17" s="6">
        <f>日流量!HF17*24*3600/100000000</f>
        <v>8.1907200000000007</v>
      </c>
      <c r="HG17" s="6">
        <f>日流量!HG17*24*3600/100000000</f>
        <v>7.9488000000000003</v>
      </c>
      <c r="HH17" s="6">
        <f>日流量!HH17*24*3600/100000000</f>
        <v>8.5276800000000001</v>
      </c>
      <c r="HI17" s="6">
        <f>日流量!HI17*24*3600/100000000</f>
        <v>9.4176000000000002</v>
      </c>
      <c r="HJ17" s="6">
        <f>日流量!HJ17*24*3600/100000000</f>
        <v>10.1088</v>
      </c>
      <c r="HK17" s="6">
        <f>日流量!HK17*24*3600/100000000</f>
        <v>10.540800000000001</v>
      </c>
      <c r="HL17" s="6">
        <f>日流量!HL17*24*3600/100000000</f>
        <v>11.1456</v>
      </c>
      <c r="HM17" s="6">
        <f>日流量!HM17*24*3600/100000000</f>
        <v>11.231999999999999</v>
      </c>
      <c r="HN17" s="6">
        <f>日流量!HN17*24*3600/100000000</f>
        <v>10.6272</v>
      </c>
      <c r="HO17" s="6">
        <f>日流量!HO17*24*3600/100000000</f>
        <v>10.281599999999999</v>
      </c>
      <c r="HP17" s="6">
        <f>日流量!HP17*24*3600/100000000</f>
        <v>9.6768000000000001</v>
      </c>
      <c r="HQ17" s="6">
        <f>日流量!HQ17*24*3600/100000000</f>
        <v>8.8992000000000004</v>
      </c>
      <c r="HR17" s="6">
        <f>日流量!HR17*24*3600/100000000</f>
        <v>8.3030399999999993</v>
      </c>
      <c r="HS17" s="6">
        <f>日流量!HS17*24*3600/100000000</f>
        <v>7.9660799999999998</v>
      </c>
      <c r="HT17" s="6">
        <f>日流量!HT17*24*3600/100000000</f>
        <v>7.7759999999999998</v>
      </c>
      <c r="HU17" s="6">
        <f>日流量!HU17*24*3600/100000000</f>
        <v>7.7932800000000002</v>
      </c>
      <c r="HV17" s="6">
        <f>日流量!HV17*24*3600/100000000</f>
        <v>7.70688</v>
      </c>
      <c r="HW17" s="6">
        <f>日流量!HW17*24*3600/100000000</f>
        <v>7.6032000000000002</v>
      </c>
      <c r="HX17" s="6">
        <f>日流量!HX17*24*3600/100000000</f>
        <v>8.6140799999999995</v>
      </c>
      <c r="HY17" s="6">
        <f>日流量!HY17*24*3600/100000000</f>
        <v>8.8992000000000004</v>
      </c>
      <c r="HZ17" s="6">
        <f>日流量!HZ17*24*3600/100000000</f>
        <v>8.2425599999999992</v>
      </c>
      <c r="IA17" s="6">
        <f>日流量!IA17*24*3600/100000000</f>
        <v>7.9315199999999999</v>
      </c>
      <c r="IB17" s="6">
        <f>日流量!IB17*24*3600/100000000</f>
        <v>8.2252799999999997</v>
      </c>
      <c r="IC17" s="6">
        <f>日流量!IC17*24*3600/100000000</f>
        <v>7.992</v>
      </c>
      <c r="ID17" s="6">
        <f>日流量!ID17*24*3600/100000000</f>
        <v>7.2230400000000001</v>
      </c>
      <c r="IE17" s="6">
        <f>日流量!IE17*24*3600/100000000</f>
        <v>6.6441600000000003</v>
      </c>
      <c r="IF17" s="6">
        <f>日流量!IF17*24*3600/100000000</f>
        <v>6.1862399999999997</v>
      </c>
      <c r="IG17" s="6">
        <f>日流量!IG17*24*3600/100000000</f>
        <v>6.0134400000000001</v>
      </c>
      <c r="IH17" s="6">
        <f>日流量!IH17*24*3600/100000000</f>
        <v>6.3503999999999996</v>
      </c>
      <c r="II17" s="6">
        <f>日流量!II17*24*3600/100000000</f>
        <v>6.4367999999999999</v>
      </c>
      <c r="IJ17" s="6">
        <f>日流量!IJ17*24*3600/100000000</f>
        <v>6.7046400000000004</v>
      </c>
      <c r="IK17" s="6">
        <f>日流量!IK17*24*3600/100000000</f>
        <v>6.68736</v>
      </c>
      <c r="IL17" s="6">
        <f>日流量!IL17*24*3600/100000000</f>
        <v>6.3244800000000003</v>
      </c>
      <c r="IM17" s="6">
        <f>日流量!IM17*24*3600/100000000</f>
        <v>6.8860799999999998</v>
      </c>
      <c r="IN17" s="6">
        <f>日流量!IN17*24*3600/100000000</f>
        <v>7.0934400000000002</v>
      </c>
      <c r="IO17" s="6">
        <f>日流量!IO17*24*3600/100000000</f>
        <v>7.3612799999999998</v>
      </c>
      <c r="IP17" s="6">
        <f>日流量!IP17*24*3600/100000000</f>
        <v>7.9574400000000001</v>
      </c>
      <c r="IQ17" s="6">
        <f>日流量!IQ17*24*3600/100000000</f>
        <v>7.8796799999999996</v>
      </c>
      <c r="IR17" s="6">
        <f>日流量!IR17*24*3600/100000000</f>
        <v>7.9228800000000001</v>
      </c>
      <c r="IS17" s="6">
        <f>日流量!IS17*24*3600/100000000</f>
        <v>7.9833600000000002</v>
      </c>
      <c r="IT17" s="6">
        <f>日流量!IT17*24*3600/100000000</f>
        <v>8.3548799999999996</v>
      </c>
      <c r="IU17" s="6">
        <f>日流量!IU17*24*3600/100000000</f>
        <v>8.9855999999999998</v>
      </c>
      <c r="IV17" s="6">
        <f>日流量!IV17*24*3600/100000000</f>
        <v>9.6768000000000001</v>
      </c>
      <c r="IW17" s="6">
        <f>日流量!IW17*24*3600/100000000</f>
        <v>9.9359999999999999</v>
      </c>
      <c r="IX17" s="6">
        <f>日流量!IX17*24*3600/100000000</f>
        <v>9.5904000000000007</v>
      </c>
      <c r="IY17" s="6">
        <f>日流量!IY17*24*3600/100000000</f>
        <v>9.4176000000000002</v>
      </c>
      <c r="IZ17" s="6">
        <f>日流量!IZ17*24*3600/100000000</f>
        <v>9.8496000000000006</v>
      </c>
      <c r="JA17" s="6">
        <f>日流量!JA17*24*3600/100000000</f>
        <v>10.540800000000001</v>
      </c>
      <c r="JB17" s="6">
        <f>日流量!JB17*24*3600/100000000</f>
        <v>10.972799999999999</v>
      </c>
      <c r="JC17" s="6">
        <f>日流量!JC17*24*3600/100000000</f>
        <v>11.8368</v>
      </c>
      <c r="JD17" s="6">
        <f>日流量!JD17*24*3600/100000000</f>
        <v>12.96</v>
      </c>
      <c r="JE17" s="6">
        <f>日流量!JE17*24*3600/100000000</f>
        <v>11.9232</v>
      </c>
      <c r="JF17" s="6">
        <f>日流量!JF17*24*3600/100000000</f>
        <v>10.972799999999999</v>
      </c>
      <c r="JG17" s="6">
        <f>日流量!JG17*24*3600/100000000</f>
        <v>10.8</v>
      </c>
      <c r="JH17" s="6">
        <f>日流量!JH17*24*3600/100000000</f>
        <v>10.7136</v>
      </c>
      <c r="JI17" s="6">
        <f>日流量!JI17*24*3600/100000000</f>
        <v>10.1952</v>
      </c>
      <c r="JJ17" s="6">
        <f>日流量!JJ17*24*3600/100000000</f>
        <v>9.7631999999999994</v>
      </c>
      <c r="JK17" s="6">
        <f>日流量!JK17*24*3600/100000000</f>
        <v>9.1584000000000003</v>
      </c>
      <c r="JL17" s="6">
        <f>日流量!JL17*24*3600/100000000</f>
        <v>8.64</v>
      </c>
      <c r="JM17" s="6">
        <f>日流量!JM17*24*3600/100000000</f>
        <v>8.2166399999999999</v>
      </c>
      <c r="JN17" s="6">
        <f>日流量!JN17*24*3600/100000000</f>
        <v>7.7932800000000002</v>
      </c>
      <c r="JO17" s="6">
        <f>日流量!JO17*24*3600/100000000</f>
        <v>7.5513599999999999</v>
      </c>
      <c r="JP17" s="6">
        <f>日流量!JP17*24*3600/100000000</f>
        <v>7.3872</v>
      </c>
      <c r="JQ17" s="6">
        <f>日流量!JQ17*24*3600/100000000</f>
        <v>7.0848000000000004</v>
      </c>
      <c r="JR17" s="6">
        <f>日流量!JR17*24*3600/100000000</f>
        <v>6.8428800000000001</v>
      </c>
      <c r="JS17" s="6">
        <f>日流量!JS17*24*3600/100000000</f>
        <v>6.7737600000000002</v>
      </c>
      <c r="JT17" s="6">
        <f>日流量!JT17*24*3600/100000000</f>
        <v>7.3180800000000001</v>
      </c>
      <c r="JU17" s="6">
        <f>日流量!JU17*24*3600/100000000</f>
        <v>8.8992000000000004</v>
      </c>
      <c r="JV17" s="6">
        <f>日流量!JV17*24*3600/100000000</f>
        <v>12.096</v>
      </c>
      <c r="JW17" s="6">
        <f>日流量!JW17*24*3600/100000000</f>
        <v>13.1328</v>
      </c>
      <c r="JX17" s="6">
        <f>日流量!JX17*24*3600/100000000</f>
        <v>11.664</v>
      </c>
      <c r="JY17" s="6">
        <f>日流量!JY17*24*3600/100000000</f>
        <v>10.1088</v>
      </c>
      <c r="JZ17" s="6">
        <f>日流量!JZ17*24*3600/100000000</f>
        <v>8.9855999999999998</v>
      </c>
      <c r="KA17" s="6">
        <f>日流量!KA17*24*3600/100000000</f>
        <v>8.0611200000000007</v>
      </c>
      <c r="KB17" s="6">
        <f>日流量!KB17*24*3600/100000000</f>
        <v>7.3958399999999997</v>
      </c>
      <c r="KC17" s="6">
        <f>日流量!KC17*24*3600/100000000</f>
        <v>6.9897600000000004</v>
      </c>
      <c r="KD17" s="6">
        <f>日流量!KD17*24*3600/100000000</f>
        <v>6.6355199999999996</v>
      </c>
      <c r="KE17" s="6">
        <f>日流量!KE17*24*3600/100000000</f>
        <v>6.2294400000000003</v>
      </c>
      <c r="KF17" s="6">
        <f>日流量!KF17*24*3600/100000000</f>
        <v>5.9097600000000003</v>
      </c>
      <c r="KG17" s="6">
        <f>日流量!KG17*24*3600/100000000</f>
        <v>5.6505599999999996</v>
      </c>
      <c r="KH17" s="6">
        <f>日流量!KH17*24*3600/100000000</f>
        <v>5.3827199999999999</v>
      </c>
      <c r="KI17" s="6">
        <f>日流量!KI17*24*3600/100000000</f>
        <v>5.1062399999999997</v>
      </c>
      <c r="KJ17" s="6">
        <f>日流量!KJ17*24*3600/100000000</f>
        <v>4.8902400000000004</v>
      </c>
      <c r="KK17" s="6">
        <f>日流量!KK17*24*3600/100000000</f>
        <v>4.7088000000000001</v>
      </c>
      <c r="KL17" s="6">
        <f>日流量!KL17*24*3600/100000000</f>
        <v>4.5446400000000002</v>
      </c>
      <c r="KM17" s="6">
        <f>日流量!KM17*24*3600/100000000</f>
        <v>4.4409599999999996</v>
      </c>
      <c r="KN17" s="6">
        <f>日流量!KN17*24*3600/100000000</f>
        <v>4.3372799999999998</v>
      </c>
      <c r="KO17" s="6">
        <f>日流量!KO17*24*3600/100000000</f>
        <v>4.1990400000000001</v>
      </c>
      <c r="KP17" s="6">
        <f>日流量!KP17*24*3600/100000000</f>
        <v>4.1126399999999999</v>
      </c>
      <c r="KQ17" s="6">
        <f>日流量!KQ17*24*3600/100000000</f>
        <v>4.0003200000000003</v>
      </c>
      <c r="KR17" s="6">
        <f>日流量!KR17*24*3600/100000000</f>
        <v>3.8620800000000002</v>
      </c>
      <c r="KS17" s="6">
        <f>日流量!KS17*24*3600/100000000</f>
        <v>3.7756799999999999</v>
      </c>
      <c r="KT17" s="6">
        <f>日流量!KT17*24*3600/100000000</f>
        <v>3.6633599999999999</v>
      </c>
      <c r="KU17" s="6">
        <f>日流量!KU17*24*3600/100000000</f>
        <v>3.5596800000000002</v>
      </c>
      <c r="KV17" s="6">
        <f>日流量!KV17*24*3600/100000000</f>
        <v>3.4819200000000001</v>
      </c>
      <c r="KW17" s="6">
        <f>日流量!KW17*24*3600/100000000</f>
        <v>3.4300799999999998</v>
      </c>
      <c r="KX17" s="6">
        <f>日流量!KX17*24*3600/100000000</f>
        <v>3.3350399999999998</v>
      </c>
      <c r="KY17" s="6">
        <f>日流量!KY17*24*3600/100000000</f>
        <v>3.23136</v>
      </c>
      <c r="KZ17" s="6">
        <f>日流量!KZ17*24*3600/100000000</f>
        <v>3.1622400000000002</v>
      </c>
      <c r="LA17" s="6">
        <f>日流量!LA17*24*3600/100000000</f>
        <v>3.0844800000000001</v>
      </c>
      <c r="LB17" s="6">
        <f>日流量!LB17*24*3600/100000000</f>
        <v>3.0067200000000001</v>
      </c>
      <c r="LC17" s="6">
        <f>日流量!LC17*24*3600/100000000</f>
        <v>2.9548800000000002</v>
      </c>
      <c r="LD17" s="6">
        <f>日流量!LD17*24*3600/100000000</f>
        <v>2.8684799999999999</v>
      </c>
      <c r="LE17" s="6">
        <f>日流量!LE17*24*3600/100000000</f>
        <v>2.81664</v>
      </c>
      <c r="LF17" s="6">
        <f>日流量!LF17*24*3600/100000000</f>
        <v>2.7993600000000001</v>
      </c>
      <c r="LG17" s="6">
        <f>日流量!LG17*24*3600/100000000</f>
        <v>2.7475200000000002</v>
      </c>
      <c r="LH17" s="6">
        <f>日流量!LH17*24*3600/100000000</f>
        <v>2.6611199999999999</v>
      </c>
      <c r="LI17" s="6">
        <f>日流量!LI17*24*3600/100000000</f>
        <v>2.5833599999999999</v>
      </c>
      <c r="LJ17" s="6">
        <f>日流量!LJ17*24*3600/100000000</f>
        <v>2.5401600000000002</v>
      </c>
      <c r="LK17" s="6">
        <f>日流量!LK17*24*3600/100000000</f>
        <v>2.4796800000000001</v>
      </c>
      <c r="LL17" s="6">
        <f>日流量!LL17*24*3600/100000000</f>
        <v>2.43648</v>
      </c>
      <c r="LM17" s="6">
        <f>日流量!LM17*24*3600/100000000</f>
        <v>2.3932799999999999</v>
      </c>
      <c r="LN17" s="6">
        <f>日流量!LN17*24*3600/100000000</f>
        <v>2.3500800000000002</v>
      </c>
      <c r="LO17" s="6">
        <f>日流量!LO17*24*3600/100000000</f>
        <v>2.2982399999999998</v>
      </c>
      <c r="LP17" s="6">
        <f>日流量!LP17*24*3600/100000000</f>
        <v>2.2723200000000001</v>
      </c>
      <c r="LQ17" s="6">
        <f>日流量!LQ17*24*3600/100000000</f>
        <v>2.2550400000000002</v>
      </c>
      <c r="LR17" s="6">
        <f>日流量!LR17*24*3600/100000000</f>
        <v>2.21184</v>
      </c>
      <c r="LS17" s="6">
        <f>日流量!LS17*24*3600/100000000</f>
        <v>2.1945600000000001</v>
      </c>
      <c r="LT17" s="6">
        <f>日流量!LT17*24*3600/100000000</f>
        <v>2.16</v>
      </c>
      <c r="LU17" s="6">
        <f>日流量!LU17*24*3600/100000000</f>
        <v>2.0995200000000001</v>
      </c>
      <c r="LV17" s="6">
        <f>日流量!LV17*24*3600/100000000</f>
        <v>2.0649600000000001</v>
      </c>
      <c r="LW17" s="6">
        <f>日流量!LW17*24*3600/100000000</f>
        <v>2.0304000000000002</v>
      </c>
      <c r="LX17" s="6">
        <f>日流量!LX17*24*3600/100000000</f>
        <v>1.9872000000000001</v>
      </c>
      <c r="LY17" s="6">
        <f>日流量!LY17*24*3600/100000000</f>
        <v>1.9526399999999999</v>
      </c>
      <c r="LZ17" s="6">
        <f>日流量!LZ17*24*3600/100000000</f>
        <v>1.92672</v>
      </c>
      <c r="MA17" s="6">
        <f>日流量!MA17*24*3600/100000000</f>
        <v>1.9008</v>
      </c>
      <c r="MB17" s="6">
        <f>日流量!MB17*24*3600/100000000</f>
        <v>1.8662399999999999</v>
      </c>
      <c r="MC17" s="6">
        <f>日流量!MC17*24*3600/100000000</f>
        <v>1.83168</v>
      </c>
      <c r="MD17" s="6">
        <f>日流量!MD17*24*3600/100000000</f>
        <v>1.82304</v>
      </c>
      <c r="ME17" s="6">
        <f>日流量!ME17*24*3600/100000000</f>
        <v>1.80576</v>
      </c>
      <c r="MF17" s="6">
        <f>日流量!MF17*24*3600/100000000</f>
        <v>1.7971200000000001</v>
      </c>
      <c r="MG17" s="6">
        <f>日流量!MG17*24*3600/100000000</f>
        <v>1.7798400000000001</v>
      </c>
      <c r="MH17" s="6">
        <f>日流量!MH17*24*3600/100000000</f>
        <v>1.73664</v>
      </c>
      <c r="MI17" s="6">
        <f>日流量!MI17*24*3600/100000000</f>
        <v>1.71072</v>
      </c>
      <c r="MJ17" s="6">
        <f>日流量!MJ17*24*3600/100000000</f>
        <v>1.6934400000000001</v>
      </c>
      <c r="MK17" s="6">
        <f>日流量!MK17*24*3600/100000000</f>
        <v>1.6761600000000001</v>
      </c>
      <c r="ML17" s="6">
        <f>日流量!ML17*24*3600/100000000</f>
        <v>1.6502399999999999</v>
      </c>
      <c r="MM17" s="6">
        <f>日流量!MM17*24*3600/100000000</f>
        <v>1.63296</v>
      </c>
      <c r="MN17" s="6">
        <f>日流量!MN17*24*3600/100000000</f>
        <v>1.61568</v>
      </c>
      <c r="MO17" s="6">
        <f>日流量!MO17*24*3600/100000000</f>
        <v>1.5897600000000001</v>
      </c>
      <c r="MP17" s="6">
        <f>日流量!MP17*24*3600/100000000</f>
        <v>1.5724800000000001</v>
      </c>
      <c r="MQ17" s="6">
        <f>日流量!MQ17*24*3600/100000000</f>
        <v>1.5551999999999999</v>
      </c>
      <c r="MR17" s="6">
        <f>日流量!MR17*24*3600/100000000</f>
        <v>1.5465599999999999</v>
      </c>
      <c r="MS17" s="6">
        <f>日流量!MS17*24*3600/100000000</f>
        <v>1.52064</v>
      </c>
      <c r="MT17" s="6">
        <f>日流量!MT17*24*3600/100000000</f>
        <v>1.4688000000000001</v>
      </c>
      <c r="MU17" s="6">
        <f>日流量!MU17*24*3600/100000000</f>
        <v>1.4428799999999999</v>
      </c>
      <c r="MV17" s="6">
        <f>日流量!MV17*24*3600/100000000</f>
        <v>1.41696</v>
      </c>
      <c r="MW17" s="6">
        <f>日流量!MW17*24*3600/100000000</f>
        <v>1.41696</v>
      </c>
      <c r="MX17" s="6">
        <f>日流量!MX17*24*3600/100000000</f>
        <v>1.43424</v>
      </c>
      <c r="MY17" s="6">
        <f>日流量!MY17*24*3600/100000000</f>
        <v>1.4428799999999999</v>
      </c>
      <c r="MZ17" s="6">
        <f>日流量!MZ17*24*3600/100000000</f>
        <v>1.4601599999999999</v>
      </c>
      <c r="NA17" s="6">
        <f>日流量!NA17*24*3600/100000000</f>
        <v>1.4601599999999999</v>
      </c>
      <c r="NB17" s="6">
        <f>日流量!NB17*24*3600/100000000</f>
        <v>1.4428799999999999</v>
      </c>
      <c r="NC17" s="6">
        <f>日流量!NC17*24*3600/100000000</f>
        <v>1.43424</v>
      </c>
      <c r="ND17" s="6">
        <f>日流量!ND17*24*3600*31/100000000</f>
        <v>36.961919999999999</v>
      </c>
      <c r="NE17" s="6">
        <f>日流量!NE17*24*3600*29/100000000</f>
        <v>29.566079999999999</v>
      </c>
      <c r="NF17" s="6">
        <f>日流量!NF17*24*3600*31/100000000</f>
        <v>29.462399999999999</v>
      </c>
      <c r="NG17" s="6">
        <f>日流量!NG17*24*3600*30/100000000</f>
        <v>37.065600000000003</v>
      </c>
      <c r="NH17" s="6">
        <f>日流量!NH17*24*3600*31/100000000</f>
        <v>52.496639999999999</v>
      </c>
      <c r="NI17" s="6">
        <f>日流量!NI17*24*3600*30/100000000</f>
        <v>113.0112</v>
      </c>
      <c r="NJ17" s="6">
        <f>日流量!NJ17*24*3600*31/100000000</f>
        <v>194.184</v>
      </c>
      <c r="NK17" s="6">
        <f>日流量!NK17*24*3600*31/100000000</f>
        <v>257.66208</v>
      </c>
      <c r="NL17" s="6">
        <f>日流量!NL17*24*3600*30/100000000</f>
        <v>277.34399999999999</v>
      </c>
      <c r="NM17" s="6">
        <f>日流量!NM17*24*3600*31/100000000</f>
        <v>204.09407999999999</v>
      </c>
      <c r="NN17" s="6">
        <f>日流量!NN17*24*3600*30/100000000</f>
        <v>79.574399999999997</v>
      </c>
      <c r="NO17" s="6">
        <f>日流量!NO17*24*3600*31/100000000</f>
        <v>50.621760000000002</v>
      </c>
      <c r="NP17" s="14">
        <f t="shared" si="10"/>
        <v>1362.0441600000001</v>
      </c>
      <c r="NQ17" s="6">
        <f>日流量!NQ17*24*3600/100000000</f>
        <v>13.1328</v>
      </c>
      <c r="NR17" s="4">
        <f>日流量!NR17</f>
        <v>42651</v>
      </c>
      <c r="NS17" s="6">
        <f>日流量!NS17*24*3600/100000000</f>
        <v>0.91583999999999999</v>
      </c>
      <c r="NT17" s="4">
        <f>日流量!NT17</f>
        <v>42442</v>
      </c>
      <c r="NU17" s="7">
        <f>日流量!NP17</f>
        <v>4307.5136612021861</v>
      </c>
      <c r="NW17" s="13">
        <f t="shared" si="0"/>
        <v>1098.7920000000001</v>
      </c>
      <c r="NX17" s="12">
        <f t="shared" si="1"/>
        <v>80.672274238156859</v>
      </c>
      <c r="NY17" s="13">
        <f t="shared" si="2"/>
        <v>842.20128</v>
      </c>
      <c r="NZ17" s="12">
        <f t="shared" si="3"/>
        <v>61.833625130039827</v>
      </c>
      <c r="OA17" s="13">
        <f t="shared" si="4"/>
        <v>263.25216</v>
      </c>
      <c r="OB17" s="12">
        <f t="shared" si="5"/>
        <v>19.327725761843141</v>
      </c>
      <c r="OC17" s="13">
        <f t="shared" si="6"/>
        <v>277.34399999999999</v>
      </c>
      <c r="OD17" s="12">
        <f t="shared" si="7"/>
        <v>20.362335388597089</v>
      </c>
      <c r="OE17" s="12">
        <f t="shared" si="8"/>
        <v>318.23461682242993</v>
      </c>
      <c r="OF17" s="12">
        <f t="shared" si="9"/>
        <v>10.091153501472284</v>
      </c>
    </row>
    <row r="18" spans="1:396" x14ac:dyDescent="0.15">
      <c r="A18" s="2">
        <v>1965</v>
      </c>
      <c r="B18" s="6">
        <f>日流量!B18*24*3600/100000000</f>
        <v>1.40832</v>
      </c>
      <c r="C18" s="6">
        <f>日流量!C18*24*3600/100000000</f>
        <v>1.3910400000000001</v>
      </c>
      <c r="D18" s="6">
        <f>日流量!D18*24*3600/100000000</f>
        <v>1.3824000000000001</v>
      </c>
      <c r="E18" s="6">
        <f>日流量!E18*24*3600/100000000</f>
        <v>1.3651199999999999</v>
      </c>
      <c r="F18" s="6">
        <f>日流量!F18*24*3600/100000000</f>
        <v>1.3478399999999999</v>
      </c>
      <c r="G18" s="6">
        <f>日流量!G18*24*3600/100000000</f>
        <v>1.3478399999999999</v>
      </c>
      <c r="H18" s="6">
        <f>日流量!H18*24*3600/100000000</f>
        <v>1.3478399999999999</v>
      </c>
      <c r="I18" s="6">
        <f>日流量!I18*24*3600/100000000</f>
        <v>1.3391999999999999</v>
      </c>
      <c r="J18" s="6">
        <f>日流量!J18*24*3600/100000000</f>
        <v>1.32192</v>
      </c>
      <c r="K18" s="6">
        <f>日流量!K18*24*3600/100000000</f>
        <v>1.31328</v>
      </c>
      <c r="L18" s="6">
        <f>日流量!L18*24*3600/100000000</f>
        <v>1.31328</v>
      </c>
      <c r="M18" s="6">
        <f>日流量!M18*24*3600/100000000</f>
        <v>1.296</v>
      </c>
      <c r="N18" s="6">
        <f>日流量!N18*24*3600/100000000</f>
        <v>1.296</v>
      </c>
      <c r="O18" s="6">
        <f>日流量!O18*24*3600/100000000</f>
        <v>1.2787200000000001</v>
      </c>
      <c r="P18" s="6">
        <f>日流量!P18*24*3600/100000000</f>
        <v>1.2787200000000001</v>
      </c>
      <c r="Q18" s="6">
        <f>日流量!Q18*24*3600/100000000</f>
        <v>1.2700800000000001</v>
      </c>
      <c r="R18" s="6">
        <f>日流量!R18*24*3600/100000000</f>
        <v>1.2614399999999999</v>
      </c>
      <c r="S18" s="6">
        <f>日流量!S18*24*3600/100000000</f>
        <v>1.23552</v>
      </c>
      <c r="T18" s="6">
        <f>日流量!T18*24*3600/100000000</f>
        <v>1.2096</v>
      </c>
      <c r="U18" s="6">
        <f>日流量!U18*24*3600/100000000</f>
        <v>1.19232</v>
      </c>
      <c r="V18" s="6">
        <f>日流量!V18*24*3600/100000000</f>
        <v>1.1836800000000001</v>
      </c>
      <c r="W18" s="6">
        <f>日流量!W18*24*3600/100000000</f>
        <v>1.1664000000000001</v>
      </c>
      <c r="X18" s="6">
        <f>日流量!X18*24*3600/100000000</f>
        <v>1.1577599999999999</v>
      </c>
      <c r="Y18" s="6">
        <f>日流量!Y18*24*3600/100000000</f>
        <v>1.1404799999999999</v>
      </c>
      <c r="Z18" s="6">
        <f>日流量!Z18*24*3600/100000000</f>
        <v>1.1404799999999999</v>
      </c>
      <c r="AA18" s="6">
        <f>日流量!AA18*24*3600/100000000</f>
        <v>1.1404799999999999</v>
      </c>
      <c r="AB18" s="6">
        <f>日流量!AB18*24*3600/100000000</f>
        <v>1.1404799999999999</v>
      </c>
      <c r="AC18" s="6">
        <f>日流量!AC18*24*3600/100000000</f>
        <v>1.13184</v>
      </c>
      <c r="AD18" s="6">
        <f>日流量!AD18*24*3600/100000000</f>
        <v>1.13184</v>
      </c>
      <c r="AE18" s="6">
        <f>日流量!AE18*24*3600/100000000</f>
        <v>1.1232</v>
      </c>
      <c r="AF18" s="6">
        <f>日流量!AF18*24*3600/100000000</f>
        <v>1.1232</v>
      </c>
      <c r="AG18" s="6">
        <f>日流量!AG18*24*3600/100000000</f>
        <v>1.1232</v>
      </c>
      <c r="AH18" s="6">
        <f>日流量!AH18*24*3600/100000000</f>
        <v>1.1232</v>
      </c>
      <c r="AI18" s="6">
        <f>日流量!AI18*24*3600/100000000</f>
        <v>1.11456</v>
      </c>
      <c r="AJ18" s="6">
        <f>日流量!AJ18*24*3600/100000000</f>
        <v>1.11456</v>
      </c>
      <c r="AK18" s="6">
        <f>日流量!AK18*24*3600/100000000</f>
        <v>1.11456</v>
      </c>
      <c r="AL18" s="6">
        <f>日流量!AL18*24*3600/100000000</f>
        <v>1.1232</v>
      </c>
      <c r="AM18" s="6">
        <f>日流量!AM18*24*3600/100000000</f>
        <v>1.1232</v>
      </c>
      <c r="AN18" s="6">
        <f>日流量!AN18*24*3600/100000000</f>
        <v>1.1232</v>
      </c>
      <c r="AO18" s="6">
        <f>日流量!AO18*24*3600/100000000</f>
        <v>1.1232</v>
      </c>
      <c r="AP18" s="6">
        <f>日流量!AP18*24*3600/100000000</f>
        <v>1.13184</v>
      </c>
      <c r="AQ18" s="6">
        <f>日流量!AQ18*24*3600/100000000</f>
        <v>1.1232</v>
      </c>
      <c r="AR18" s="6">
        <f>日流量!AR18*24*3600/100000000</f>
        <v>1.10592</v>
      </c>
      <c r="AS18" s="6">
        <f>日流量!AS18*24*3600/100000000</f>
        <v>1.09728</v>
      </c>
      <c r="AT18" s="6">
        <f>日流量!AT18*24*3600/100000000</f>
        <v>1.08</v>
      </c>
      <c r="AU18" s="6">
        <f>日流量!AU18*24*3600/100000000</f>
        <v>1.0713600000000001</v>
      </c>
      <c r="AV18" s="6">
        <f>日流量!AV18*24*3600/100000000</f>
        <v>1.0454399999999999</v>
      </c>
      <c r="AW18" s="6">
        <f>日流量!AW18*24*3600/100000000</f>
        <v>1.0367999999999999</v>
      </c>
      <c r="AX18" s="6">
        <f>日流量!AX18*24*3600/100000000</f>
        <v>1.02816</v>
      </c>
      <c r="AY18" s="6">
        <f>日流量!AY18*24*3600/100000000</f>
        <v>1.02816</v>
      </c>
      <c r="AZ18" s="6">
        <f>日流量!AZ18*24*3600/100000000</f>
        <v>1.01952</v>
      </c>
      <c r="BA18" s="6">
        <f>日流量!BA18*24*3600/100000000</f>
        <v>1.01952</v>
      </c>
      <c r="BB18" s="6">
        <f>日流量!BB18*24*3600/100000000</f>
        <v>1.01952</v>
      </c>
      <c r="BC18" s="6">
        <f>日流量!BC18*24*3600/100000000</f>
        <v>1.00224</v>
      </c>
      <c r="BD18" s="6">
        <f>日流量!BD18*24*3600/100000000</f>
        <v>1.00224</v>
      </c>
      <c r="BE18" s="6">
        <f>日流量!BE18*24*3600/100000000</f>
        <v>1.00224</v>
      </c>
      <c r="BF18" s="6">
        <f>日流量!BF18*24*3600/100000000</f>
        <v>0.99360000000000004</v>
      </c>
      <c r="BG18" s="6">
        <f>日流量!BG18*24*3600/100000000</f>
        <v>0.98495999999999995</v>
      </c>
      <c r="BH18" s="6">
        <f>日流量!BH18*24*3600/100000000</f>
        <v>0.98495999999999995</v>
      </c>
      <c r="BI18" s="6"/>
      <c r="BJ18" s="6">
        <f>日流量!BJ18*24*3600/100000000</f>
        <v>0.98495999999999995</v>
      </c>
      <c r="BK18" s="6">
        <f>日流量!BK18*24*3600/100000000</f>
        <v>0.98495999999999995</v>
      </c>
      <c r="BL18" s="6">
        <f>日流量!BL18*24*3600/100000000</f>
        <v>0.96767999999999998</v>
      </c>
      <c r="BM18" s="6">
        <f>日流量!BM18*24*3600/100000000</f>
        <v>0.96767999999999998</v>
      </c>
      <c r="BN18" s="6">
        <f>日流量!BN18*24*3600/100000000</f>
        <v>0.96767999999999998</v>
      </c>
      <c r="BO18" s="6">
        <f>日流量!BO18*24*3600/100000000</f>
        <v>0.96767999999999998</v>
      </c>
      <c r="BP18" s="6">
        <f>日流量!BP18*24*3600/100000000</f>
        <v>0.96767999999999998</v>
      </c>
      <c r="BQ18" s="6">
        <f>日流量!BQ18*24*3600/100000000</f>
        <v>0.96767999999999998</v>
      </c>
      <c r="BR18" s="6">
        <f>日流量!BR18*24*3600/100000000</f>
        <v>0.96767999999999998</v>
      </c>
      <c r="BS18" s="6">
        <f>日流量!BS18*24*3600/100000000</f>
        <v>0.96767999999999998</v>
      </c>
      <c r="BT18" s="6">
        <f>日流量!BT18*24*3600/100000000</f>
        <v>0.95904</v>
      </c>
      <c r="BU18" s="6">
        <f>日流量!BU18*24*3600/100000000</f>
        <v>0.95040000000000002</v>
      </c>
      <c r="BV18" s="6">
        <f>日流量!BV18*24*3600/100000000</f>
        <v>0.95040000000000002</v>
      </c>
      <c r="BW18" s="6">
        <f>日流量!BW18*24*3600/100000000</f>
        <v>0.95040000000000002</v>
      </c>
      <c r="BX18" s="6">
        <f>日流量!BX18*24*3600/100000000</f>
        <v>0.94176000000000004</v>
      </c>
      <c r="BY18" s="6">
        <f>日流量!BY18*24*3600/100000000</f>
        <v>0.94176000000000004</v>
      </c>
      <c r="BZ18" s="6">
        <f>日流量!BZ18*24*3600/100000000</f>
        <v>0.94176000000000004</v>
      </c>
      <c r="CA18" s="6">
        <f>日流量!CA18*24*3600/100000000</f>
        <v>0.94176000000000004</v>
      </c>
      <c r="CB18" s="6">
        <f>日流量!CB18*24*3600/100000000</f>
        <v>0.94176000000000004</v>
      </c>
      <c r="CC18" s="6">
        <f>日流量!CC18*24*3600/100000000</f>
        <v>0.94176000000000004</v>
      </c>
      <c r="CD18" s="6">
        <f>日流量!CD18*24*3600/100000000</f>
        <v>0.94176000000000004</v>
      </c>
      <c r="CE18" s="6">
        <f>日流量!CE18*24*3600/100000000</f>
        <v>0.93311999999999995</v>
      </c>
      <c r="CF18" s="6">
        <f>日流量!CF18*24*3600/100000000</f>
        <v>0.93311999999999995</v>
      </c>
      <c r="CG18" s="6">
        <f>日流量!CG18*24*3600/100000000</f>
        <v>0.93311999999999995</v>
      </c>
      <c r="CH18" s="6">
        <f>日流量!CH18*24*3600/100000000</f>
        <v>0.94176000000000004</v>
      </c>
      <c r="CI18" s="6">
        <f>日流量!CI18*24*3600/100000000</f>
        <v>0.95904</v>
      </c>
      <c r="CJ18" s="6">
        <f>日流量!CJ18*24*3600/100000000</f>
        <v>0.95904</v>
      </c>
      <c r="CK18" s="6">
        <f>日流量!CK18*24*3600/100000000</f>
        <v>0.96767999999999998</v>
      </c>
      <c r="CL18" s="6">
        <f>日流量!CL18*24*3600/100000000</f>
        <v>0.95904</v>
      </c>
      <c r="CM18" s="6">
        <f>日流量!CM18*24*3600/100000000</f>
        <v>0.95040000000000002</v>
      </c>
      <c r="CN18" s="6">
        <f>日流量!CN18*24*3600/100000000</f>
        <v>0.94176000000000004</v>
      </c>
      <c r="CO18" s="6">
        <f>日流量!CO18*24*3600/100000000</f>
        <v>0.94176000000000004</v>
      </c>
      <c r="CP18" s="6">
        <f>日流量!CP18*24*3600/100000000</f>
        <v>0.92447999999999997</v>
      </c>
      <c r="CQ18" s="6">
        <f>日流量!CQ18*24*3600/100000000</f>
        <v>0.92447999999999997</v>
      </c>
      <c r="CR18" s="6">
        <f>日流量!CR18*24*3600/100000000</f>
        <v>0.92447999999999997</v>
      </c>
      <c r="CS18" s="6">
        <f>日流量!CS18*24*3600/100000000</f>
        <v>0.92447999999999997</v>
      </c>
      <c r="CT18" s="6">
        <f>日流量!CT18*24*3600/100000000</f>
        <v>0.92447999999999997</v>
      </c>
      <c r="CU18" s="6">
        <f>日流量!CU18*24*3600/100000000</f>
        <v>0.94176000000000004</v>
      </c>
      <c r="CV18" s="6">
        <f>日流量!CV18*24*3600/100000000</f>
        <v>0.94176000000000004</v>
      </c>
      <c r="CW18" s="6">
        <f>日流量!CW18*24*3600/100000000</f>
        <v>0.94176000000000004</v>
      </c>
      <c r="CX18" s="6">
        <f>日流量!CX18*24*3600/100000000</f>
        <v>0.93311999999999995</v>
      </c>
      <c r="CY18" s="6">
        <f>日流量!CY18*24*3600/100000000</f>
        <v>0.94176000000000004</v>
      </c>
      <c r="CZ18" s="6">
        <f>日流量!CZ18*24*3600/100000000</f>
        <v>0.94176000000000004</v>
      </c>
      <c r="DA18" s="6">
        <f>日流量!DA18*24*3600/100000000</f>
        <v>0.96767999999999998</v>
      </c>
      <c r="DB18" s="6">
        <f>日流量!DB18*24*3600/100000000</f>
        <v>0.96767999999999998</v>
      </c>
      <c r="DC18" s="6">
        <f>日流量!DC18*24*3600/100000000</f>
        <v>0.98495999999999995</v>
      </c>
      <c r="DD18" s="6">
        <f>日流量!DD18*24*3600/100000000</f>
        <v>0.98495999999999995</v>
      </c>
      <c r="DE18" s="6">
        <f>日流量!DE18*24*3600/100000000</f>
        <v>0.98495999999999995</v>
      </c>
      <c r="DF18" s="6">
        <f>日流量!DF18*24*3600/100000000</f>
        <v>0.98495999999999995</v>
      </c>
      <c r="DG18" s="6">
        <f>日流量!DG18*24*3600/100000000</f>
        <v>1.01952</v>
      </c>
      <c r="DH18" s="6">
        <f>日流量!DH18*24*3600/100000000</f>
        <v>1.02816</v>
      </c>
      <c r="DI18" s="6">
        <f>日流量!DI18*24*3600/100000000</f>
        <v>1.02816</v>
      </c>
      <c r="DJ18" s="6">
        <f>日流量!DJ18*24*3600/100000000</f>
        <v>1.0540799999999999</v>
      </c>
      <c r="DK18" s="6">
        <f>日流量!DK18*24*3600/100000000</f>
        <v>1.0627200000000001</v>
      </c>
      <c r="DL18" s="6">
        <f>日流量!DL18*24*3600/100000000</f>
        <v>1.0627200000000001</v>
      </c>
      <c r="DM18" s="6">
        <f>日流量!DM18*24*3600/100000000</f>
        <v>1.0540799999999999</v>
      </c>
      <c r="DN18" s="6">
        <f>日流量!DN18*24*3600/100000000</f>
        <v>1.0627200000000001</v>
      </c>
      <c r="DO18" s="6">
        <f>日流量!DO18*24*3600/100000000</f>
        <v>1.08</v>
      </c>
      <c r="DP18" s="6">
        <f>日流量!DP18*24*3600/100000000</f>
        <v>1.0713600000000001</v>
      </c>
      <c r="DQ18" s="6">
        <f>日流量!DQ18*24*3600/100000000</f>
        <v>1.08</v>
      </c>
      <c r="DR18" s="6">
        <f>日流量!DR18*24*3600/100000000</f>
        <v>1.09728</v>
      </c>
      <c r="DS18" s="6">
        <f>日流量!DS18*24*3600/100000000</f>
        <v>1.1404799999999999</v>
      </c>
      <c r="DT18" s="6">
        <f>日流量!DT18*24*3600/100000000</f>
        <v>1.1836800000000001</v>
      </c>
      <c r="DU18" s="6">
        <f>日流量!DU18*24*3600/100000000</f>
        <v>1.2096</v>
      </c>
      <c r="DV18" s="6">
        <f>日流量!DV18*24*3600/100000000</f>
        <v>1.22688</v>
      </c>
      <c r="DW18" s="6">
        <f>日流量!DW18*24*3600/100000000</f>
        <v>1.21824</v>
      </c>
      <c r="DX18" s="6">
        <f>日流量!DX18*24*3600/100000000</f>
        <v>1.1836800000000001</v>
      </c>
      <c r="DY18" s="6">
        <f>日流量!DY18*24*3600/100000000</f>
        <v>1.1491199999999999</v>
      </c>
      <c r="DZ18" s="6">
        <f>日流量!DZ18*24*3600/100000000</f>
        <v>1.13184</v>
      </c>
      <c r="EA18" s="6">
        <f>日流量!EA18*24*3600/100000000</f>
        <v>1.13184</v>
      </c>
      <c r="EB18" s="6">
        <f>日流量!EB18*24*3600/100000000</f>
        <v>1.1404799999999999</v>
      </c>
      <c r="EC18" s="6">
        <f>日流量!EC18*24*3600/100000000</f>
        <v>1.1664000000000001</v>
      </c>
      <c r="ED18" s="6">
        <f>日流量!ED18*24*3600/100000000</f>
        <v>1.1836800000000001</v>
      </c>
      <c r="EE18" s="6">
        <f>日流量!EE18*24*3600/100000000</f>
        <v>1.19232</v>
      </c>
      <c r="EF18" s="6">
        <f>日流量!EF18*24*3600/100000000</f>
        <v>1.22688</v>
      </c>
      <c r="EG18" s="6">
        <f>日流量!EG18*24*3600/100000000</f>
        <v>1.2614399999999999</v>
      </c>
      <c r="EH18" s="6">
        <f>日流量!EH18*24*3600/100000000</f>
        <v>1.31328</v>
      </c>
      <c r="EI18" s="6">
        <f>日流量!EI18*24*3600/100000000</f>
        <v>1.3478399999999999</v>
      </c>
      <c r="EJ18" s="6">
        <f>日流量!EJ18*24*3600/100000000</f>
        <v>1.3737600000000001</v>
      </c>
      <c r="EK18" s="6">
        <f>日流量!EK18*24*3600/100000000</f>
        <v>1.39968</v>
      </c>
      <c r="EL18" s="6">
        <f>日流量!EL18*24*3600/100000000</f>
        <v>1.4515199999999999</v>
      </c>
      <c r="EM18" s="6">
        <f>日流量!EM18*24*3600/100000000</f>
        <v>1.4515199999999999</v>
      </c>
      <c r="EN18" s="6">
        <f>日流量!EN18*24*3600/100000000</f>
        <v>1.4601599999999999</v>
      </c>
      <c r="EO18" s="6">
        <f>日流量!EO18*24*3600/100000000</f>
        <v>1.52928</v>
      </c>
      <c r="EP18" s="6">
        <f>日流量!EP18*24*3600/100000000</f>
        <v>1.6588799999999999</v>
      </c>
      <c r="EQ18" s="6">
        <f>日流量!EQ18*24*3600/100000000</f>
        <v>1.6761600000000001</v>
      </c>
      <c r="ER18" s="6">
        <f>日流量!ER18*24*3600/100000000</f>
        <v>1.7539199999999999</v>
      </c>
      <c r="ES18" s="6">
        <f>日流量!ES18*24*3600/100000000</f>
        <v>1.73664</v>
      </c>
      <c r="ET18" s="6">
        <f>日流量!ET18*24*3600/100000000</f>
        <v>1.6588799999999999</v>
      </c>
      <c r="EU18" s="6">
        <f>日流量!EU18*24*3600/100000000</f>
        <v>1.62432</v>
      </c>
      <c r="EV18" s="6">
        <f>日流量!EV18*24*3600/100000000</f>
        <v>1.63296</v>
      </c>
      <c r="EW18" s="6">
        <f>日流量!EW18*24*3600/100000000</f>
        <v>1.6415999999999999</v>
      </c>
      <c r="EX18" s="6">
        <f>日流量!EX18*24*3600/100000000</f>
        <v>1.9526399999999999</v>
      </c>
      <c r="EY18" s="6">
        <f>日流量!EY18*24*3600/100000000</f>
        <v>2.02176</v>
      </c>
      <c r="EZ18" s="6">
        <f>日流量!EZ18*24*3600/100000000</f>
        <v>2.2031999999999998</v>
      </c>
      <c r="FA18" s="6">
        <f>日流量!FA18*24*3600/100000000</f>
        <v>2.43648</v>
      </c>
      <c r="FB18" s="6">
        <f>日流量!FB18*24*3600/100000000</f>
        <v>2.5747200000000001</v>
      </c>
      <c r="FC18" s="6">
        <f>日流量!FC18*24*3600/100000000</f>
        <v>3.0931199999999999</v>
      </c>
      <c r="FD18" s="6">
        <f>日流量!FD18*24*3600/100000000</f>
        <v>3.6806399999999999</v>
      </c>
      <c r="FE18" s="6">
        <f>日流量!FE18*24*3600/100000000</f>
        <v>4.0608000000000004</v>
      </c>
      <c r="FF18" s="6">
        <f>日流量!FF18*24*3600/100000000</f>
        <v>4.0521599999999998</v>
      </c>
      <c r="FG18" s="6">
        <f>日流量!FG18*24*3600/100000000</f>
        <v>3.9398399999999998</v>
      </c>
      <c r="FH18" s="6">
        <f>日流量!FH18*24*3600/100000000</f>
        <v>3.9139200000000001</v>
      </c>
      <c r="FI18" s="6">
        <f>日流量!FI18*24*3600/100000000</f>
        <v>4.1990400000000001</v>
      </c>
      <c r="FJ18" s="6">
        <f>日流量!FJ18*24*3600/100000000</f>
        <v>4.6742400000000002</v>
      </c>
      <c r="FK18" s="6">
        <f>日流量!FK18*24*3600/100000000</f>
        <v>4.9593600000000002</v>
      </c>
      <c r="FL18" s="6">
        <f>日流量!FL18*24*3600/100000000</f>
        <v>5.2963199999999997</v>
      </c>
      <c r="FM18" s="6">
        <f>日流量!FM18*24*3600/100000000</f>
        <v>5.15808</v>
      </c>
      <c r="FN18" s="6">
        <f>日流量!FN18*24*3600/100000000</f>
        <v>4.7088000000000001</v>
      </c>
      <c r="FO18" s="6">
        <f>日流量!FO18*24*3600/100000000</f>
        <v>4.8384</v>
      </c>
      <c r="FP18" s="6">
        <f>日流量!FP18*24*3600/100000000</f>
        <v>5.3049600000000003</v>
      </c>
      <c r="FQ18" s="6">
        <f>日流量!FQ18*24*3600/100000000</f>
        <v>5.6159999999999997</v>
      </c>
      <c r="FR18" s="6">
        <f>日流量!FR18*24*3600/100000000</f>
        <v>5.66784</v>
      </c>
      <c r="FS18" s="6">
        <f>日流量!FS18*24*3600/100000000</f>
        <v>5.8233600000000001</v>
      </c>
      <c r="FT18" s="6">
        <f>日流量!FT18*24*3600/100000000</f>
        <v>6.6268799999999999</v>
      </c>
      <c r="FU18" s="6">
        <f>日流量!FU18*24*3600/100000000</f>
        <v>7.4390400000000003</v>
      </c>
      <c r="FV18" s="6">
        <f>日流量!FV18*24*3600/100000000</f>
        <v>8.1475200000000001</v>
      </c>
      <c r="FW18" s="6">
        <f>日流量!FW18*24*3600/100000000</f>
        <v>9.2447999999999997</v>
      </c>
      <c r="FX18" s="6">
        <f>日流量!FX18*24*3600/100000000</f>
        <v>9.5904000000000007</v>
      </c>
      <c r="FY18" s="6">
        <f>日流量!FY18*24*3600/100000000</f>
        <v>9.7631999999999994</v>
      </c>
      <c r="FZ18" s="6">
        <f>日流量!FZ18*24*3600/100000000</f>
        <v>9.5904000000000007</v>
      </c>
      <c r="GA18" s="6">
        <f>日流量!GA18*24*3600/100000000</f>
        <v>10.4544</v>
      </c>
      <c r="GB18" s="6">
        <f>日流量!GB18*24*3600/100000000</f>
        <v>10.1952</v>
      </c>
      <c r="GC18" s="6">
        <f>日流量!GC18*24*3600/100000000</f>
        <v>9.2447999999999997</v>
      </c>
      <c r="GD18" s="6">
        <f>日流量!GD18*24*3600/100000000</f>
        <v>8.7263999999999999</v>
      </c>
      <c r="GE18" s="6">
        <f>日流量!GE18*24*3600/100000000</f>
        <v>8.7263999999999999</v>
      </c>
      <c r="GF18" s="6">
        <f>日流量!GF18*24*3600/100000000</f>
        <v>9.0719999999999992</v>
      </c>
      <c r="GG18" s="6">
        <f>日流量!GG18*24*3600/100000000</f>
        <v>9.3312000000000008</v>
      </c>
      <c r="GH18" s="6">
        <f>日流量!GH18*24*3600/100000000</f>
        <v>9.5039999999999996</v>
      </c>
      <c r="GI18" s="6">
        <f>日流量!GI18*24*3600/100000000</f>
        <v>9.4176000000000002</v>
      </c>
      <c r="GJ18" s="6">
        <f>日流量!GJ18*24*3600/100000000</f>
        <v>9.3312000000000008</v>
      </c>
      <c r="GK18" s="6">
        <f>日流量!GK18*24*3600/100000000</f>
        <v>9.8496000000000006</v>
      </c>
      <c r="GL18" s="6">
        <f>日流量!GL18*24*3600/100000000</f>
        <v>11.059200000000001</v>
      </c>
      <c r="GM18" s="6">
        <f>日流量!GM18*24*3600/100000000</f>
        <v>11.491199999999999</v>
      </c>
      <c r="GN18" s="6">
        <f>日流量!GN18*24*3600/100000000</f>
        <v>11.059200000000001</v>
      </c>
      <c r="GO18" s="6">
        <f>日流量!GO18*24*3600/100000000</f>
        <v>10.8864</v>
      </c>
      <c r="GP18" s="6">
        <f>日流量!GP18*24*3600/100000000</f>
        <v>11.1456</v>
      </c>
      <c r="GQ18" s="6">
        <f>日流量!GQ18*24*3600/100000000</f>
        <v>12.268800000000001</v>
      </c>
      <c r="GR18" s="6">
        <f>日流量!GR18*24*3600/100000000</f>
        <v>13.824</v>
      </c>
      <c r="GS18" s="6">
        <f>日流量!GS18*24*3600/100000000</f>
        <v>14.601599999999999</v>
      </c>
      <c r="GT18" s="6">
        <f>日流量!GT18*24*3600/100000000</f>
        <v>14.0832</v>
      </c>
      <c r="GU18" s="6">
        <f>日流量!GU18*24*3600/100000000</f>
        <v>13.1328</v>
      </c>
      <c r="GV18" s="6">
        <f>日流量!GV18*24*3600/100000000</f>
        <v>11.8368</v>
      </c>
      <c r="GW18" s="6">
        <f>日流量!GW18*24*3600/100000000</f>
        <v>11.1456</v>
      </c>
      <c r="GX18" s="6">
        <f>日流量!GX18*24*3600/100000000</f>
        <v>11.231999999999999</v>
      </c>
      <c r="GY18" s="6">
        <f>日流量!GY18*24*3600/100000000</f>
        <v>11.664</v>
      </c>
      <c r="GZ18" s="6">
        <f>日流量!GZ18*24*3600/100000000</f>
        <v>11.3184</v>
      </c>
      <c r="HA18" s="6">
        <f>日流量!HA18*24*3600/100000000</f>
        <v>10.540800000000001</v>
      </c>
      <c r="HB18" s="6">
        <f>日流量!HB18*24*3600/100000000</f>
        <v>10.1088</v>
      </c>
      <c r="HC18" s="6">
        <f>日流量!HC18*24*3600/100000000</f>
        <v>9.7631999999999994</v>
      </c>
      <c r="HD18" s="6">
        <f>日流量!HD18*24*3600/100000000</f>
        <v>9.0719999999999992</v>
      </c>
      <c r="HE18" s="6">
        <f>日流量!HE18*24*3600/100000000</f>
        <v>8.4758399999999998</v>
      </c>
      <c r="HF18" s="6">
        <f>日流量!HF18*24*3600/100000000</f>
        <v>7.9488000000000003</v>
      </c>
      <c r="HG18" s="6">
        <f>日流量!HG18*24*3600/100000000</f>
        <v>7.3958399999999997</v>
      </c>
      <c r="HH18" s="6">
        <f>日流量!HH18*24*3600/100000000</f>
        <v>6.9811199999999998</v>
      </c>
      <c r="HI18" s="6">
        <f>日流量!HI18*24*3600/100000000</f>
        <v>6.68736</v>
      </c>
      <c r="HJ18" s="6">
        <f>日流量!HJ18*24*3600/100000000</f>
        <v>6.9638400000000003</v>
      </c>
      <c r="HK18" s="6">
        <f>日流量!HK18*24*3600/100000000</f>
        <v>7.5686400000000003</v>
      </c>
      <c r="HL18" s="6">
        <f>日流量!HL18*24*3600/100000000</f>
        <v>8.2080000000000002</v>
      </c>
      <c r="HM18" s="6">
        <f>日流量!HM18*24*3600/100000000</f>
        <v>9.5039999999999996</v>
      </c>
      <c r="HN18" s="6">
        <f>日流量!HN18*24*3600/100000000</f>
        <v>11.059200000000001</v>
      </c>
      <c r="HO18" s="6">
        <f>日流量!HO18*24*3600/100000000</f>
        <v>13.5648</v>
      </c>
      <c r="HP18" s="6">
        <f>日流量!HP18*24*3600/100000000</f>
        <v>15.2928</v>
      </c>
      <c r="HQ18" s="6">
        <f>日流量!HQ18*24*3600/100000000</f>
        <v>18.143999999999998</v>
      </c>
      <c r="HR18" s="6">
        <f>日流量!HR18*24*3600/100000000</f>
        <v>16.761600000000001</v>
      </c>
      <c r="HS18" s="6">
        <f>日流量!HS18*24*3600/100000000</f>
        <v>15.2064</v>
      </c>
      <c r="HT18" s="6">
        <f>日流量!HT18*24*3600/100000000</f>
        <v>14.169600000000001</v>
      </c>
      <c r="HU18" s="6">
        <f>日流量!HU18*24*3600/100000000</f>
        <v>12.700799999999999</v>
      </c>
      <c r="HV18" s="6">
        <f>日流量!HV18*24*3600/100000000</f>
        <v>11.4048</v>
      </c>
      <c r="HW18" s="6">
        <f>日流量!HW18*24*3600/100000000</f>
        <v>11.059200000000001</v>
      </c>
      <c r="HX18" s="6">
        <f>日流量!HX18*24*3600/100000000</f>
        <v>11.1456</v>
      </c>
      <c r="HY18" s="6">
        <f>日流量!HY18*24*3600/100000000</f>
        <v>12.700799999999999</v>
      </c>
      <c r="HZ18" s="6">
        <f>日流量!HZ18*24*3600/100000000</f>
        <v>13.7376</v>
      </c>
      <c r="IA18" s="6">
        <f>日流量!IA18*24*3600/100000000</f>
        <v>12.441599999999999</v>
      </c>
      <c r="IB18" s="6">
        <f>日流量!IB18*24*3600/100000000</f>
        <v>10.8</v>
      </c>
      <c r="IC18" s="6">
        <f>日流量!IC18*24*3600/100000000</f>
        <v>9.6768000000000001</v>
      </c>
      <c r="ID18" s="6">
        <f>日流量!ID18*24*3600/100000000</f>
        <v>9.0719999999999992</v>
      </c>
      <c r="IE18" s="6">
        <f>日流量!IE18*24*3600/100000000</f>
        <v>8.8127999999999993</v>
      </c>
      <c r="IF18" s="6">
        <f>日流量!IF18*24*3600/100000000</f>
        <v>9.0719999999999992</v>
      </c>
      <c r="IG18" s="6">
        <f>日流量!IG18*24*3600/100000000</f>
        <v>9.3312000000000008</v>
      </c>
      <c r="IH18" s="6">
        <f>日流量!IH18*24*3600/100000000</f>
        <v>8.8127999999999993</v>
      </c>
      <c r="II18" s="6">
        <f>日流量!II18*24*3600/100000000</f>
        <v>8.3894400000000005</v>
      </c>
      <c r="IJ18" s="6">
        <f>日流量!IJ18*24*3600/100000000</f>
        <v>7.8796799999999996</v>
      </c>
      <c r="IK18" s="6">
        <f>日流量!IK18*24*3600/100000000</f>
        <v>7.5340800000000003</v>
      </c>
      <c r="IL18" s="6">
        <f>日流量!IL18*24*3600/100000000</f>
        <v>7.6118399999999999</v>
      </c>
      <c r="IM18" s="6">
        <f>日流量!IM18*24*3600/100000000</f>
        <v>7.9747199999999996</v>
      </c>
      <c r="IN18" s="6">
        <f>日流量!IN18*24*3600/100000000</f>
        <v>7.8537600000000003</v>
      </c>
      <c r="IO18" s="6">
        <f>日流量!IO18*24*3600/100000000</f>
        <v>7.6809599999999998</v>
      </c>
      <c r="IP18" s="6">
        <f>日流量!IP18*24*3600/100000000</f>
        <v>7.48224</v>
      </c>
      <c r="IQ18" s="6">
        <f>日流量!IQ18*24*3600/100000000</f>
        <v>7.3612799999999998</v>
      </c>
      <c r="IR18" s="6">
        <f>日流量!IR18*24*3600/100000000</f>
        <v>8.1129599999999993</v>
      </c>
      <c r="IS18" s="6">
        <f>日流量!IS18*24*3600/100000000</f>
        <v>8.4585600000000003</v>
      </c>
      <c r="IT18" s="6">
        <f>日流量!IT18*24*3600/100000000</f>
        <v>8.27712</v>
      </c>
      <c r="IU18" s="6">
        <f>日流量!IU18*24*3600/100000000</f>
        <v>8.2252799999999997</v>
      </c>
      <c r="IV18" s="6">
        <f>日流量!IV18*24*3600/100000000</f>
        <v>9.0719999999999992</v>
      </c>
      <c r="IW18" s="6">
        <f>日流量!IW18*24*3600/100000000</f>
        <v>9.9359999999999999</v>
      </c>
      <c r="IX18" s="6">
        <f>日流量!IX18*24*3600/100000000</f>
        <v>9.9359999999999999</v>
      </c>
      <c r="IY18" s="6">
        <f>日流量!IY18*24*3600/100000000</f>
        <v>10.281599999999999</v>
      </c>
      <c r="IZ18" s="6">
        <f>日流量!IZ18*24*3600/100000000</f>
        <v>10.8864</v>
      </c>
      <c r="JA18" s="6">
        <f>日流量!JA18*24*3600/100000000</f>
        <v>11.231999999999999</v>
      </c>
      <c r="JB18" s="6">
        <f>日流量!JB18*24*3600/100000000</f>
        <v>11.8368</v>
      </c>
      <c r="JC18" s="6">
        <f>日流量!JC18*24*3600/100000000</f>
        <v>12.182399999999999</v>
      </c>
      <c r="JD18" s="6">
        <f>日流量!JD18*24*3600/100000000</f>
        <v>13.0464</v>
      </c>
      <c r="JE18" s="6">
        <f>日流量!JE18*24*3600/100000000</f>
        <v>14.688000000000001</v>
      </c>
      <c r="JF18" s="6">
        <f>日流量!JF18*24*3600/100000000</f>
        <v>15.12</v>
      </c>
      <c r="JG18" s="6">
        <f>日流量!JG18*24*3600/100000000</f>
        <v>14.9472</v>
      </c>
      <c r="JH18" s="6">
        <f>日流量!JH18*24*3600/100000000</f>
        <v>14.256</v>
      </c>
      <c r="JI18" s="6">
        <f>日流量!JI18*24*3600/100000000</f>
        <v>13.651199999999999</v>
      </c>
      <c r="JJ18" s="6">
        <f>日流量!JJ18*24*3600/100000000</f>
        <v>12.7872</v>
      </c>
      <c r="JK18" s="6">
        <f>日流量!JK18*24*3600/100000000</f>
        <v>11.664</v>
      </c>
      <c r="JL18" s="6">
        <f>日流量!JL18*24*3600/100000000</f>
        <v>10.8</v>
      </c>
      <c r="JM18" s="6">
        <f>日流量!JM18*24*3600/100000000</f>
        <v>10.1952</v>
      </c>
      <c r="JN18" s="6">
        <f>日流量!JN18*24*3600/100000000</f>
        <v>9.7631999999999994</v>
      </c>
      <c r="JO18" s="6">
        <f>日流量!JO18*24*3600/100000000</f>
        <v>9.2447999999999997</v>
      </c>
      <c r="JP18" s="6">
        <f>日流量!JP18*24*3600/100000000</f>
        <v>8.8127999999999993</v>
      </c>
      <c r="JQ18" s="6">
        <f>日流量!JQ18*24*3600/100000000</f>
        <v>8.3721599999999992</v>
      </c>
      <c r="JR18" s="6">
        <f>日流量!JR18*24*3600/100000000</f>
        <v>8.0956799999999998</v>
      </c>
      <c r="JS18" s="6">
        <f>日流量!JS18*24*3600/100000000</f>
        <v>7.9055999999999997</v>
      </c>
      <c r="JT18" s="6">
        <f>日流量!JT18*24*3600/100000000</f>
        <v>7.6982400000000002</v>
      </c>
      <c r="JU18" s="6">
        <f>日流量!JU18*24*3600/100000000</f>
        <v>7.4390400000000003</v>
      </c>
      <c r="JV18" s="6">
        <f>日流量!JV18*24*3600/100000000</f>
        <v>7.1280000000000001</v>
      </c>
      <c r="JW18" s="6">
        <f>日流量!JW18*24*3600/100000000</f>
        <v>6.9638400000000003</v>
      </c>
      <c r="JX18" s="6">
        <f>日流量!JX18*24*3600/100000000</f>
        <v>6.9379200000000001</v>
      </c>
      <c r="JY18" s="6">
        <f>日流量!JY18*24*3600/100000000</f>
        <v>6.8255999999999997</v>
      </c>
      <c r="JZ18" s="6">
        <f>日流量!JZ18*24*3600/100000000</f>
        <v>6.7478400000000001</v>
      </c>
      <c r="KA18" s="6">
        <f>日流量!KA18*24*3600/100000000</f>
        <v>6.5836800000000002</v>
      </c>
      <c r="KB18" s="6">
        <f>日流量!KB18*24*3600/100000000</f>
        <v>6.2899200000000004</v>
      </c>
      <c r="KC18" s="6">
        <f>日流量!KC18*24*3600/100000000</f>
        <v>6.0220799999999999</v>
      </c>
      <c r="KD18" s="6">
        <f>日流量!KD18*24*3600/100000000</f>
        <v>5.9788800000000002</v>
      </c>
      <c r="KE18" s="6">
        <f>日流量!KE18*24*3600/100000000</f>
        <v>5.8147200000000003</v>
      </c>
      <c r="KF18" s="6">
        <f>日流量!KF18*24*3600/100000000</f>
        <v>5.6851200000000004</v>
      </c>
      <c r="KG18" s="6">
        <f>日流量!KG18*24*3600/100000000</f>
        <v>5.5900800000000004</v>
      </c>
      <c r="KH18" s="6">
        <f>日流量!KH18*24*3600/100000000</f>
        <v>5.47776</v>
      </c>
      <c r="KI18" s="6">
        <f>日流量!KI18*24*3600/100000000</f>
        <v>5.3049600000000003</v>
      </c>
      <c r="KJ18" s="6">
        <f>日流量!KJ18*24*3600/100000000</f>
        <v>5.3222399999999999</v>
      </c>
      <c r="KK18" s="6">
        <f>日流量!KK18*24*3600/100000000</f>
        <v>5.5382400000000001</v>
      </c>
      <c r="KL18" s="6">
        <f>日流量!KL18*24*3600/100000000</f>
        <v>6.1948800000000004</v>
      </c>
      <c r="KM18" s="6">
        <f>日流量!KM18*24*3600/100000000</f>
        <v>7.4217599999999999</v>
      </c>
      <c r="KN18" s="6">
        <f>日流量!KN18*24*3600/100000000</f>
        <v>7.4476800000000001</v>
      </c>
      <c r="KO18" s="6">
        <f>日流量!KO18*24*3600/100000000</f>
        <v>7.2144000000000004</v>
      </c>
      <c r="KP18" s="6">
        <f>日流量!KP18*24*3600/100000000</f>
        <v>6.9206399999999997</v>
      </c>
      <c r="KQ18" s="6">
        <f>日流量!KQ18*24*3600/100000000</f>
        <v>6.4886400000000002</v>
      </c>
      <c r="KR18" s="6">
        <f>日流量!KR18*24*3600/100000000</f>
        <v>6.1430400000000001</v>
      </c>
      <c r="KS18" s="6">
        <f>日流量!KS18*24*3600/100000000</f>
        <v>5.7196800000000003</v>
      </c>
      <c r="KT18" s="6">
        <f>日流量!KT18*24*3600/100000000</f>
        <v>5.3567999999999998</v>
      </c>
      <c r="KU18" s="6">
        <f>日流量!KU18*24*3600/100000000</f>
        <v>5.1840000000000002</v>
      </c>
      <c r="KV18" s="6">
        <f>日流量!KV18*24*3600/100000000</f>
        <v>4.9593600000000002</v>
      </c>
      <c r="KW18" s="6">
        <f>日流量!KW18*24*3600/100000000</f>
        <v>4.8211199999999996</v>
      </c>
      <c r="KX18" s="6">
        <f>日流量!KX18*24*3600/100000000</f>
        <v>4.7779199999999999</v>
      </c>
      <c r="KY18" s="6">
        <f>日流量!KY18*24*3600/100000000</f>
        <v>4.6310399999999996</v>
      </c>
      <c r="KZ18" s="6">
        <f>日流量!KZ18*24*3600/100000000</f>
        <v>4.4927999999999999</v>
      </c>
      <c r="LA18" s="6">
        <f>日流量!LA18*24*3600/100000000</f>
        <v>4.3459199999999996</v>
      </c>
      <c r="LB18" s="6">
        <f>日流量!LB18*24*3600/100000000</f>
        <v>4.1990400000000001</v>
      </c>
      <c r="LC18" s="6">
        <f>日流量!LC18*24*3600/100000000</f>
        <v>4.0867199999999997</v>
      </c>
      <c r="LD18" s="6">
        <f>日流量!LD18*24*3600/100000000</f>
        <v>3.9571200000000002</v>
      </c>
      <c r="LE18" s="6">
        <f>日流量!LE18*24*3600/100000000</f>
        <v>3.8448000000000002</v>
      </c>
      <c r="LF18" s="6">
        <f>日流量!LF18*24*3600/100000000</f>
        <v>3.6979199999999999</v>
      </c>
      <c r="LG18" s="6">
        <f>日流量!LG18*24*3600/100000000</f>
        <v>3.5855999999999999</v>
      </c>
      <c r="LH18" s="6">
        <f>日流量!LH18*24*3600/100000000</f>
        <v>3.4905599999999999</v>
      </c>
      <c r="LI18" s="6">
        <f>日流量!LI18*24*3600/100000000</f>
        <v>3.3868800000000001</v>
      </c>
      <c r="LJ18" s="6">
        <f>日流量!LJ18*24*3600/100000000</f>
        <v>3.3264</v>
      </c>
      <c r="LK18" s="6">
        <f>日流量!LK18*24*3600/100000000</f>
        <v>3.2745600000000001</v>
      </c>
      <c r="LL18" s="6">
        <f>日流量!LL18*24*3600/100000000</f>
        <v>3.21408</v>
      </c>
      <c r="LM18" s="6">
        <f>日流量!LM18*24*3600/100000000</f>
        <v>3.13632</v>
      </c>
      <c r="LN18" s="6">
        <f>日流量!LN18*24*3600/100000000</f>
        <v>3.0758399999999999</v>
      </c>
      <c r="LO18" s="6">
        <f>日流量!LO18*24*3600/100000000</f>
        <v>2.9980799999999999</v>
      </c>
      <c r="LP18" s="6">
        <f>日流量!LP18*24*3600/100000000</f>
        <v>2.9894400000000001</v>
      </c>
      <c r="LQ18" s="6">
        <f>日流量!LQ18*24*3600/100000000</f>
        <v>2.9980799999999999</v>
      </c>
      <c r="LR18" s="6">
        <f>日流量!LR18*24*3600/100000000</f>
        <v>2.92896</v>
      </c>
      <c r="LS18" s="6">
        <f>日流量!LS18*24*3600/100000000</f>
        <v>2.8425600000000002</v>
      </c>
      <c r="LT18" s="6">
        <f>日流量!LT18*24*3600/100000000</f>
        <v>2.7648000000000001</v>
      </c>
      <c r="LU18" s="6">
        <f>日流量!LU18*24*3600/100000000</f>
        <v>2.7216</v>
      </c>
      <c r="LV18" s="6">
        <f>日流量!LV18*24*3600/100000000</f>
        <v>2.6870400000000001</v>
      </c>
      <c r="LW18" s="6">
        <f>日流量!LW18*24*3600/100000000</f>
        <v>2.60928</v>
      </c>
      <c r="LX18" s="6">
        <f>日流量!LX18*24*3600/100000000</f>
        <v>2.5747200000000001</v>
      </c>
      <c r="LY18" s="6">
        <f>日流量!LY18*24*3600/100000000</f>
        <v>2.5401600000000002</v>
      </c>
      <c r="LZ18" s="6">
        <f>日流量!LZ18*24*3600/100000000</f>
        <v>2.5055999999999998</v>
      </c>
      <c r="MA18" s="6">
        <f>日流量!MA18*24*3600/100000000</f>
        <v>2.4710399999999999</v>
      </c>
      <c r="MB18" s="6">
        <f>日流量!MB18*24*3600/100000000</f>
        <v>2.4105599999999998</v>
      </c>
      <c r="MC18" s="6">
        <f>日流量!MC18*24*3600/100000000</f>
        <v>2.3673600000000001</v>
      </c>
      <c r="MD18" s="6">
        <f>日流量!MD18*24*3600/100000000</f>
        <v>2.32416</v>
      </c>
      <c r="ME18" s="6">
        <f>日流量!ME18*24*3600/100000000</f>
        <v>2.2809599999999999</v>
      </c>
      <c r="MF18" s="6">
        <f>日流量!MF18*24*3600/100000000</f>
        <v>2.2377600000000002</v>
      </c>
      <c r="MG18" s="6">
        <f>日流量!MG18*24*3600/100000000</f>
        <v>2.1945600000000001</v>
      </c>
      <c r="MH18" s="6">
        <f>日流量!MH18*24*3600/100000000</f>
        <v>2.1686399999999999</v>
      </c>
      <c r="MI18" s="6">
        <f>日流量!MI18*24*3600/100000000</f>
        <v>2.13408</v>
      </c>
      <c r="MJ18" s="6">
        <f>日流量!MJ18*24*3600/100000000</f>
        <v>2.1168</v>
      </c>
      <c r="MK18" s="6">
        <f>日流量!MK18*24*3600/100000000</f>
        <v>2.0822400000000001</v>
      </c>
      <c r="ML18" s="6">
        <f>日流量!ML18*24*3600/100000000</f>
        <v>2.0563199999999999</v>
      </c>
      <c r="MM18" s="6">
        <f>日流量!MM18*24*3600/100000000</f>
        <v>2.03904</v>
      </c>
      <c r="MN18" s="6">
        <f>日流量!MN18*24*3600/100000000</f>
        <v>2.0563199999999999</v>
      </c>
      <c r="MO18" s="6">
        <f>日流量!MO18*24*3600/100000000</f>
        <v>2.2031999999999998</v>
      </c>
      <c r="MP18" s="6">
        <f>日流量!MP18*24*3600/100000000</f>
        <v>2.1859199999999999</v>
      </c>
      <c r="MQ18" s="6">
        <f>日流量!MQ18*24*3600/100000000</f>
        <v>2.1427200000000002</v>
      </c>
      <c r="MR18" s="6">
        <f>日流量!MR18*24*3600/100000000</f>
        <v>2.0908799999999998</v>
      </c>
      <c r="MS18" s="6">
        <f>日流量!MS18*24*3600/100000000</f>
        <v>2.02176</v>
      </c>
      <c r="MT18" s="6">
        <f>日流量!MT18*24*3600/100000000</f>
        <v>1.9785600000000001</v>
      </c>
      <c r="MU18" s="6">
        <f>日流量!MU18*24*3600/100000000</f>
        <v>1.944</v>
      </c>
      <c r="MV18" s="6">
        <f>日流量!MV18*24*3600/100000000</f>
        <v>1.8921600000000001</v>
      </c>
      <c r="MW18" s="6">
        <f>日流量!MW18*24*3600/100000000</f>
        <v>1.8489599999999999</v>
      </c>
      <c r="MX18" s="6">
        <f>日流量!MX18*24*3600/100000000</f>
        <v>1.8144</v>
      </c>
      <c r="MY18" s="6">
        <f>日流量!MY18*24*3600/100000000</f>
        <v>1.7884800000000001</v>
      </c>
      <c r="MZ18" s="6">
        <f>日流量!MZ18*24*3600/100000000</f>
        <v>1.7712000000000001</v>
      </c>
      <c r="NA18" s="6">
        <f>日流量!NA18*24*3600/100000000</f>
        <v>1.7539199999999999</v>
      </c>
      <c r="NB18" s="6">
        <f>日流量!NB18*24*3600/100000000</f>
        <v>1.73664</v>
      </c>
      <c r="NC18" s="6"/>
      <c r="ND18" s="6">
        <f>日流量!ND18*24*3600*31/100000000</f>
        <v>38.836799999999997</v>
      </c>
      <c r="NE18" s="6">
        <f>日流量!NE18*24*3600*28/100000000</f>
        <v>29.756160000000001</v>
      </c>
      <c r="NF18" s="6">
        <f>日流量!NF18*24*3600*31/100000000</f>
        <v>29.462399999999999</v>
      </c>
      <c r="NG18" s="6">
        <f>日流量!NG18*24*3600*30/100000000</f>
        <v>29.808</v>
      </c>
      <c r="NH18" s="6">
        <f>日流量!NH18*24*3600*31/100000000</f>
        <v>42.586559999999999</v>
      </c>
      <c r="NI18" s="6">
        <f>日流量!NI18*24*3600*30/100000000</f>
        <v>160.9632</v>
      </c>
      <c r="NJ18" s="6">
        <f>日流量!NJ18*24*3600*31/100000000</f>
        <v>329.44319999999999</v>
      </c>
      <c r="NK18" s="6">
        <f>日流量!NK18*24*3600*31/100000000</f>
        <v>332.1216</v>
      </c>
      <c r="NL18" s="6">
        <f>日流量!NL18*24*3600*30/100000000</f>
        <v>313.63200000000001</v>
      </c>
      <c r="NM18" s="6">
        <f>日流量!NM18*24*3600*31/100000000</f>
        <v>205.43328</v>
      </c>
      <c r="NN18" s="6">
        <f>日流量!NN18*24*3600*30/100000000</f>
        <v>107.568</v>
      </c>
      <c r="NO18" s="6">
        <f>日流量!NO18*24*3600*31/100000000</f>
        <v>64.817279999999997</v>
      </c>
      <c r="NP18" s="14">
        <f t="shared" si="10"/>
        <v>1684.42848</v>
      </c>
      <c r="NQ18" s="6">
        <f>日流量!NQ18*24*3600/100000000</f>
        <v>18.143999999999998</v>
      </c>
      <c r="NR18" s="4">
        <f>日流量!NR18</f>
        <v>42593</v>
      </c>
      <c r="NS18" s="6">
        <f>日流量!NS18*24*3600/100000000</f>
        <v>0.92447999999999997</v>
      </c>
      <c r="NT18" s="4">
        <f>日流量!NT18</f>
        <v>42462</v>
      </c>
      <c r="NU18" s="7">
        <f>日流量!NP18</f>
        <v>5346.6575342465758</v>
      </c>
      <c r="NW18" s="13">
        <f t="shared" si="0"/>
        <v>1384.17984</v>
      </c>
      <c r="NX18" s="12">
        <f t="shared" si="1"/>
        <v>82.175043727591216</v>
      </c>
      <c r="NY18" s="13">
        <f t="shared" si="2"/>
        <v>1136.1600000000001</v>
      </c>
      <c r="NZ18" s="12">
        <f t="shared" si="3"/>
        <v>67.450771195699559</v>
      </c>
      <c r="OA18" s="13">
        <f t="shared" si="4"/>
        <v>300.24864000000002</v>
      </c>
      <c r="OB18" s="12">
        <f t="shared" si="5"/>
        <v>17.824956272408787</v>
      </c>
      <c r="OC18" s="13">
        <f t="shared" si="6"/>
        <v>332.1216</v>
      </c>
      <c r="OD18" s="12">
        <f t="shared" si="7"/>
        <v>19.717168401237195</v>
      </c>
      <c r="OE18" s="12">
        <f t="shared" si="8"/>
        <v>393.5580560747664</v>
      </c>
      <c r="OF18" s="12">
        <f t="shared" si="9"/>
        <v>12.4796440916656</v>
      </c>
    </row>
    <row r="19" spans="1:396" x14ac:dyDescent="0.15">
      <c r="A19" s="2">
        <v>1966</v>
      </c>
      <c r="B19" s="6">
        <f>日流量!B19*24*3600/100000000</f>
        <v>1.6761600000000001</v>
      </c>
      <c r="C19" s="6">
        <f>日流量!C19*24*3600/100000000</f>
        <v>1.6502399999999999</v>
      </c>
      <c r="D19" s="6">
        <f>日流量!D19*24*3600/100000000</f>
        <v>1.63296</v>
      </c>
      <c r="E19" s="6">
        <f>日流量!E19*24*3600/100000000</f>
        <v>1.5984</v>
      </c>
      <c r="F19" s="6">
        <f>日流量!F19*24*3600/100000000</f>
        <v>1.5811200000000001</v>
      </c>
      <c r="G19" s="6">
        <f>日流量!G19*24*3600/100000000</f>
        <v>1.5638399999999999</v>
      </c>
      <c r="H19" s="6">
        <f>日流量!H19*24*3600/100000000</f>
        <v>1.5465599999999999</v>
      </c>
      <c r="I19" s="6">
        <f>日流量!I19*24*3600/100000000</f>
        <v>1.53792</v>
      </c>
      <c r="J19" s="6">
        <f>日流量!J19*24*3600/100000000</f>
        <v>1.52928</v>
      </c>
      <c r="K19" s="6">
        <f>日流量!K19*24*3600/100000000</f>
        <v>1.52064</v>
      </c>
      <c r="L19" s="6">
        <f>日流量!L19*24*3600/100000000</f>
        <v>1.49472</v>
      </c>
      <c r="M19" s="6">
        <f>日流量!M19*24*3600/100000000</f>
        <v>1.4688000000000001</v>
      </c>
      <c r="N19" s="6">
        <f>日流量!N19*24*3600/100000000</f>
        <v>1.4428799999999999</v>
      </c>
      <c r="O19" s="6">
        <f>日流量!O19*24*3600/100000000</f>
        <v>1.43424</v>
      </c>
      <c r="P19" s="6">
        <f>日流量!P19*24*3600/100000000</f>
        <v>1.41696</v>
      </c>
      <c r="Q19" s="6">
        <f>日流量!Q19*24*3600/100000000</f>
        <v>1.40832</v>
      </c>
      <c r="R19" s="6">
        <f>日流量!R19*24*3600/100000000</f>
        <v>1.39968</v>
      </c>
      <c r="S19" s="6">
        <f>日流量!S19*24*3600/100000000</f>
        <v>1.3824000000000001</v>
      </c>
      <c r="T19" s="6">
        <f>日流量!T19*24*3600/100000000</f>
        <v>1.3824000000000001</v>
      </c>
      <c r="U19" s="6">
        <f>日流量!U19*24*3600/100000000</f>
        <v>1.3564799999999999</v>
      </c>
      <c r="V19" s="6">
        <f>日流量!V19*24*3600/100000000</f>
        <v>1.3478399999999999</v>
      </c>
      <c r="W19" s="6">
        <f>日流量!W19*24*3600/100000000</f>
        <v>1.3391999999999999</v>
      </c>
      <c r="X19" s="6">
        <f>日流量!X19*24*3600/100000000</f>
        <v>1.32192</v>
      </c>
      <c r="Y19" s="6">
        <f>日流量!Y19*24*3600/100000000</f>
        <v>1.31328</v>
      </c>
      <c r="Z19" s="6">
        <f>日流量!Z19*24*3600/100000000</f>
        <v>1.30464</v>
      </c>
      <c r="AA19" s="6">
        <f>日流量!AA19*24*3600/100000000</f>
        <v>1.2873600000000001</v>
      </c>
      <c r="AB19" s="6">
        <f>日流量!AB19*24*3600/100000000</f>
        <v>1.2700800000000001</v>
      </c>
      <c r="AC19" s="6">
        <f>日流量!AC19*24*3600/100000000</f>
        <v>1.2700800000000001</v>
      </c>
      <c r="AD19" s="6">
        <f>日流量!AD19*24*3600/100000000</f>
        <v>1.2700800000000001</v>
      </c>
      <c r="AE19" s="6">
        <f>日流量!AE19*24*3600/100000000</f>
        <v>1.2614399999999999</v>
      </c>
      <c r="AF19" s="6">
        <f>日流量!AF19*24*3600/100000000</f>
        <v>1.2527999999999999</v>
      </c>
      <c r="AG19" s="6">
        <f>日流量!AG19*24*3600/100000000</f>
        <v>1.2441599999999999</v>
      </c>
      <c r="AH19" s="6">
        <f>日流量!AH19*24*3600/100000000</f>
        <v>1.2441599999999999</v>
      </c>
      <c r="AI19" s="6">
        <f>日流量!AI19*24*3600/100000000</f>
        <v>1.22688</v>
      </c>
      <c r="AJ19" s="6">
        <f>日流量!AJ19*24*3600/100000000</f>
        <v>1.21824</v>
      </c>
      <c r="AK19" s="6">
        <f>日流量!AK19*24*3600/100000000</f>
        <v>1.20096</v>
      </c>
      <c r="AL19" s="6">
        <f>日流量!AL19*24*3600/100000000</f>
        <v>1.19232</v>
      </c>
      <c r="AM19" s="6">
        <f>日流量!AM19*24*3600/100000000</f>
        <v>1.19232</v>
      </c>
      <c r="AN19" s="6">
        <f>日流量!AN19*24*3600/100000000</f>
        <v>1.1836800000000001</v>
      </c>
      <c r="AO19" s="6">
        <f>日流量!AO19*24*3600/100000000</f>
        <v>1.1836800000000001</v>
      </c>
      <c r="AP19" s="6">
        <f>日流量!AP19*24*3600/100000000</f>
        <v>1.1836800000000001</v>
      </c>
      <c r="AQ19" s="6">
        <f>日流量!AQ19*24*3600/100000000</f>
        <v>1.1836800000000001</v>
      </c>
      <c r="AR19" s="6">
        <f>日流量!AR19*24*3600/100000000</f>
        <v>1.1750400000000001</v>
      </c>
      <c r="AS19" s="6">
        <f>日流量!AS19*24*3600/100000000</f>
        <v>1.1750400000000001</v>
      </c>
      <c r="AT19" s="6">
        <f>日流量!AT19*24*3600/100000000</f>
        <v>1.1750400000000001</v>
      </c>
      <c r="AU19" s="6">
        <f>日流量!AU19*24*3600/100000000</f>
        <v>1.1836800000000001</v>
      </c>
      <c r="AV19" s="6">
        <f>日流量!AV19*24*3600/100000000</f>
        <v>1.19232</v>
      </c>
      <c r="AW19" s="6">
        <f>日流量!AW19*24*3600/100000000</f>
        <v>1.1836800000000001</v>
      </c>
      <c r="AX19" s="6">
        <f>日流量!AX19*24*3600/100000000</f>
        <v>1.1750400000000001</v>
      </c>
      <c r="AY19" s="6">
        <f>日流量!AY19*24*3600/100000000</f>
        <v>1.1664000000000001</v>
      </c>
      <c r="AZ19" s="6">
        <f>日流量!AZ19*24*3600/100000000</f>
        <v>1.1664000000000001</v>
      </c>
      <c r="BA19" s="6">
        <f>日流量!BA19*24*3600/100000000</f>
        <v>1.1577599999999999</v>
      </c>
      <c r="BB19" s="6">
        <f>日流量!BB19*24*3600/100000000</f>
        <v>1.1491199999999999</v>
      </c>
      <c r="BC19" s="6">
        <f>日流量!BC19*24*3600/100000000</f>
        <v>1.1404799999999999</v>
      </c>
      <c r="BD19" s="6">
        <f>日流量!BD19*24*3600/100000000</f>
        <v>1.1404799999999999</v>
      </c>
      <c r="BE19" s="6">
        <f>日流量!BE19*24*3600/100000000</f>
        <v>1.13184</v>
      </c>
      <c r="BF19" s="6">
        <f>日流量!BF19*24*3600/100000000</f>
        <v>1.13184</v>
      </c>
      <c r="BG19" s="6">
        <f>日流量!BG19*24*3600/100000000</f>
        <v>1.1232</v>
      </c>
      <c r="BH19" s="6">
        <f>日流量!BH19*24*3600/100000000</f>
        <v>1.1232</v>
      </c>
      <c r="BI19" s="6"/>
      <c r="BJ19" s="6">
        <f>日流量!BJ19*24*3600/100000000</f>
        <v>1.11456</v>
      </c>
      <c r="BK19" s="6">
        <f>日流量!BK19*24*3600/100000000</f>
        <v>1.10592</v>
      </c>
      <c r="BL19" s="6">
        <f>日流量!BL19*24*3600/100000000</f>
        <v>1.10592</v>
      </c>
      <c r="BM19" s="6">
        <f>日流量!BM19*24*3600/100000000</f>
        <v>1.10592</v>
      </c>
      <c r="BN19" s="6">
        <f>日流量!BN19*24*3600/100000000</f>
        <v>1.10592</v>
      </c>
      <c r="BO19" s="6">
        <f>日流量!BO19*24*3600/100000000</f>
        <v>1.10592</v>
      </c>
      <c r="BP19" s="6">
        <f>日流量!BP19*24*3600/100000000</f>
        <v>1.10592</v>
      </c>
      <c r="BQ19" s="6">
        <f>日流量!BQ19*24*3600/100000000</f>
        <v>1.10592</v>
      </c>
      <c r="BR19" s="6">
        <f>日流量!BR19*24*3600/100000000</f>
        <v>1.10592</v>
      </c>
      <c r="BS19" s="6">
        <f>日流量!BS19*24*3600/100000000</f>
        <v>1.10592</v>
      </c>
      <c r="BT19" s="6">
        <f>日流量!BT19*24*3600/100000000</f>
        <v>1.11456</v>
      </c>
      <c r="BU19" s="6">
        <f>日流量!BU19*24*3600/100000000</f>
        <v>1.11456</v>
      </c>
      <c r="BV19" s="6">
        <f>日流量!BV19*24*3600/100000000</f>
        <v>1.11456</v>
      </c>
      <c r="BW19" s="6">
        <f>日流量!BW19*24*3600/100000000</f>
        <v>1.10592</v>
      </c>
      <c r="BX19" s="6">
        <f>日流量!BX19*24*3600/100000000</f>
        <v>1.10592</v>
      </c>
      <c r="BY19" s="6">
        <f>日流量!BY19*24*3600/100000000</f>
        <v>1.09728</v>
      </c>
      <c r="BZ19" s="6">
        <f>日流量!BZ19*24*3600/100000000</f>
        <v>1.09728</v>
      </c>
      <c r="CA19" s="6">
        <f>日流量!CA19*24*3600/100000000</f>
        <v>1.0886400000000001</v>
      </c>
      <c r="CB19" s="6">
        <f>日流量!CB19*24*3600/100000000</f>
        <v>1.0886400000000001</v>
      </c>
      <c r="CC19" s="6">
        <f>日流量!CC19*24*3600/100000000</f>
        <v>1.0886400000000001</v>
      </c>
      <c r="CD19" s="6">
        <f>日流量!CD19*24*3600/100000000</f>
        <v>1.0886400000000001</v>
      </c>
      <c r="CE19" s="6">
        <f>日流量!CE19*24*3600/100000000</f>
        <v>1.0886400000000001</v>
      </c>
      <c r="CF19" s="6">
        <f>日流量!CF19*24*3600/100000000</f>
        <v>1.09728</v>
      </c>
      <c r="CG19" s="6">
        <f>日流量!CG19*24*3600/100000000</f>
        <v>1.09728</v>
      </c>
      <c r="CH19" s="6">
        <f>日流量!CH19*24*3600/100000000</f>
        <v>1.09728</v>
      </c>
      <c r="CI19" s="6">
        <f>日流量!CI19*24*3600/100000000</f>
        <v>1.09728</v>
      </c>
      <c r="CJ19" s="6">
        <f>日流量!CJ19*24*3600/100000000</f>
        <v>1.09728</v>
      </c>
      <c r="CK19" s="6">
        <f>日流量!CK19*24*3600/100000000</f>
        <v>1.0886400000000001</v>
      </c>
      <c r="CL19" s="6">
        <f>日流量!CL19*24*3600/100000000</f>
        <v>1.0886400000000001</v>
      </c>
      <c r="CM19" s="6">
        <f>日流量!CM19*24*3600/100000000</f>
        <v>1.09728</v>
      </c>
      <c r="CN19" s="6">
        <f>日流量!CN19*24*3600/100000000</f>
        <v>1.09728</v>
      </c>
      <c r="CO19" s="6">
        <f>日流量!CO19*24*3600/100000000</f>
        <v>1.11456</v>
      </c>
      <c r="CP19" s="6">
        <f>日流量!CP19*24*3600/100000000</f>
        <v>1.1491199999999999</v>
      </c>
      <c r="CQ19" s="6">
        <f>日流量!CQ19*24*3600/100000000</f>
        <v>1.1750400000000001</v>
      </c>
      <c r="CR19" s="6">
        <f>日流量!CR19*24*3600/100000000</f>
        <v>1.19232</v>
      </c>
      <c r="CS19" s="6">
        <f>日流量!CS19*24*3600/100000000</f>
        <v>1.2096</v>
      </c>
      <c r="CT19" s="6">
        <f>日流量!CT19*24*3600/100000000</f>
        <v>1.2096</v>
      </c>
      <c r="CU19" s="6">
        <f>日流量!CU19*24*3600/100000000</f>
        <v>1.19232</v>
      </c>
      <c r="CV19" s="6">
        <f>日流量!CV19*24*3600/100000000</f>
        <v>1.1577599999999999</v>
      </c>
      <c r="CW19" s="6">
        <f>日流量!CW19*24*3600/100000000</f>
        <v>1.1404799999999999</v>
      </c>
      <c r="CX19" s="6">
        <f>日流量!CX19*24*3600/100000000</f>
        <v>0.93311999999999995</v>
      </c>
      <c r="CY19" s="6">
        <f>日流量!CY19*24*3600/100000000</f>
        <v>1.23552</v>
      </c>
      <c r="CZ19" s="6">
        <f>日流量!CZ19*24*3600/100000000</f>
        <v>1.1750400000000001</v>
      </c>
      <c r="DA19" s="6">
        <f>日流量!DA19*24*3600/100000000</f>
        <v>1.1404799999999999</v>
      </c>
      <c r="DB19" s="6">
        <f>日流量!DB19*24*3600/100000000</f>
        <v>1.11456</v>
      </c>
      <c r="DC19" s="6">
        <f>日流量!DC19*24*3600/100000000</f>
        <v>1.09728</v>
      </c>
      <c r="DD19" s="6">
        <f>日流量!DD19*24*3600/100000000</f>
        <v>1.09728</v>
      </c>
      <c r="DE19" s="6">
        <f>日流量!DE19*24*3600/100000000</f>
        <v>1.09728</v>
      </c>
      <c r="DF19" s="6">
        <f>日流量!DF19*24*3600/100000000</f>
        <v>1.09728</v>
      </c>
      <c r="DG19" s="6">
        <f>日流量!DG19*24*3600/100000000</f>
        <v>1.09728</v>
      </c>
      <c r="DH19" s="6">
        <f>日流量!DH19*24*3600/100000000</f>
        <v>1.09728</v>
      </c>
      <c r="DI19" s="6">
        <f>日流量!DI19*24*3600/100000000</f>
        <v>1.1577599999999999</v>
      </c>
      <c r="DJ19" s="6">
        <f>日流量!DJ19*24*3600/100000000</f>
        <v>1.19232</v>
      </c>
      <c r="DK19" s="6">
        <f>日流量!DK19*24*3600/100000000</f>
        <v>1.19232</v>
      </c>
      <c r="DL19" s="6">
        <f>日流量!DL19*24*3600/100000000</f>
        <v>1.20096</v>
      </c>
      <c r="DM19" s="6">
        <f>日流量!DM19*24*3600/100000000</f>
        <v>1.2096</v>
      </c>
      <c r="DN19" s="6">
        <f>日流量!DN19*24*3600/100000000</f>
        <v>1.22688</v>
      </c>
      <c r="DO19" s="6">
        <f>日流量!DO19*24*3600/100000000</f>
        <v>1.22688</v>
      </c>
      <c r="DP19" s="6">
        <f>日流量!DP19*24*3600/100000000</f>
        <v>1.2441599999999999</v>
      </c>
      <c r="DQ19" s="6">
        <f>日流量!DQ19*24*3600/100000000</f>
        <v>1.2441599999999999</v>
      </c>
      <c r="DR19" s="6">
        <f>日流量!DR19*24*3600/100000000</f>
        <v>1.22688</v>
      </c>
      <c r="DS19" s="6">
        <f>日流量!DS19*24*3600/100000000</f>
        <v>1.2096</v>
      </c>
      <c r="DT19" s="6">
        <f>日流量!DT19*24*3600/100000000</f>
        <v>1.1750400000000001</v>
      </c>
      <c r="DU19" s="6">
        <f>日流量!DU19*24*3600/100000000</f>
        <v>1.1836800000000001</v>
      </c>
      <c r="DV19" s="6">
        <f>日流量!DV19*24*3600/100000000</f>
        <v>1.21824</v>
      </c>
      <c r="DW19" s="6">
        <f>日流量!DW19*24*3600/100000000</f>
        <v>1.2527999999999999</v>
      </c>
      <c r="DX19" s="6">
        <f>日流量!DX19*24*3600/100000000</f>
        <v>1.33056</v>
      </c>
      <c r="DY19" s="6">
        <f>日流量!DY19*24*3600/100000000</f>
        <v>1.4256</v>
      </c>
      <c r="DZ19" s="6">
        <f>日流量!DZ19*24*3600/100000000</f>
        <v>1.4860800000000001</v>
      </c>
      <c r="EA19" s="6">
        <f>日流量!EA19*24*3600/100000000</f>
        <v>1.4774400000000001</v>
      </c>
      <c r="EB19" s="6">
        <f>日流量!EB19*24*3600/100000000</f>
        <v>1.4515199999999999</v>
      </c>
      <c r="EC19" s="6">
        <f>日流量!EC19*24*3600/100000000</f>
        <v>1.39968</v>
      </c>
      <c r="ED19" s="6">
        <f>日流量!ED19*24*3600/100000000</f>
        <v>1.33056</v>
      </c>
      <c r="EE19" s="6">
        <f>日流量!EE19*24*3600/100000000</f>
        <v>1.2873600000000001</v>
      </c>
      <c r="EF19" s="6">
        <f>日流量!EF19*24*3600/100000000</f>
        <v>1.2787200000000001</v>
      </c>
      <c r="EG19" s="6">
        <f>日流量!EG19*24*3600/100000000</f>
        <v>1.296</v>
      </c>
      <c r="EH19" s="6">
        <f>日流量!EH19*24*3600/100000000</f>
        <v>1.30464</v>
      </c>
      <c r="EI19" s="6">
        <f>日流量!EI19*24*3600/100000000</f>
        <v>1.32192</v>
      </c>
      <c r="EJ19" s="6">
        <f>日流量!EJ19*24*3600/100000000</f>
        <v>1.3564799999999999</v>
      </c>
      <c r="EK19" s="6">
        <f>日流量!EK19*24*3600/100000000</f>
        <v>1.3910400000000001</v>
      </c>
      <c r="EL19" s="6">
        <f>日流量!EL19*24*3600/100000000</f>
        <v>1.4256</v>
      </c>
      <c r="EM19" s="6">
        <f>日流量!EM19*24*3600/100000000</f>
        <v>1.41696</v>
      </c>
      <c r="EN19" s="6">
        <f>日流量!EN19*24*3600/100000000</f>
        <v>1.4428799999999999</v>
      </c>
      <c r="EO19" s="6">
        <f>日流量!EO19*24*3600/100000000</f>
        <v>1.4515199999999999</v>
      </c>
      <c r="EP19" s="6">
        <f>日流量!EP19*24*3600/100000000</f>
        <v>1.50336</v>
      </c>
      <c r="EQ19" s="6">
        <f>日流量!EQ19*24*3600/100000000</f>
        <v>1.5724800000000001</v>
      </c>
      <c r="ER19" s="6">
        <f>日流量!ER19*24*3600/100000000</f>
        <v>1.80576</v>
      </c>
      <c r="ES19" s="6">
        <f>日流量!ES19*24*3600/100000000</f>
        <v>1.7971200000000001</v>
      </c>
      <c r="ET19" s="6">
        <f>日流量!ET19*24*3600/100000000</f>
        <v>1.8662399999999999</v>
      </c>
      <c r="EU19" s="6">
        <f>日流量!EU19*24*3600/100000000</f>
        <v>1.82304</v>
      </c>
      <c r="EV19" s="6">
        <f>日流量!EV19*24*3600/100000000</f>
        <v>1.80576</v>
      </c>
      <c r="EW19" s="6">
        <f>日流量!EW19*24*3600/100000000</f>
        <v>1.8575999999999999</v>
      </c>
      <c r="EX19" s="6">
        <f>日流量!EX19*24*3600/100000000</f>
        <v>1.90944</v>
      </c>
      <c r="EY19" s="6">
        <f>日流量!EY19*24*3600/100000000</f>
        <v>1.82304</v>
      </c>
      <c r="EZ19" s="6">
        <f>日流量!EZ19*24*3600/100000000</f>
        <v>1.71936</v>
      </c>
      <c r="FA19" s="6">
        <f>日流量!FA19*24*3600/100000000</f>
        <v>1.70208</v>
      </c>
      <c r="FB19" s="6">
        <f>日流量!FB19*24*3600/100000000</f>
        <v>1.80576</v>
      </c>
      <c r="FC19" s="6">
        <f>日流量!FC19*24*3600/100000000</f>
        <v>1.8575999999999999</v>
      </c>
      <c r="FD19" s="6">
        <f>日流量!FD19*24*3600/100000000</f>
        <v>2.0649600000000001</v>
      </c>
      <c r="FE19" s="6">
        <f>日流量!FE19*24*3600/100000000</f>
        <v>2.4192</v>
      </c>
      <c r="FF19" s="6">
        <f>日流量!FF19*24*3600/100000000</f>
        <v>2.83392</v>
      </c>
      <c r="FG19" s="6">
        <f>日流量!FG19*24*3600/100000000</f>
        <v>3.3091200000000001</v>
      </c>
      <c r="FH19" s="6">
        <f>日流量!FH19*24*3600/100000000</f>
        <v>3.6374399999999998</v>
      </c>
      <c r="FI19" s="6">
        <f>日流量!FI19*24*3600/100000000</f>
        <v>3.94848</v>
      </c>
      <c r="FJ19" s="6">
        <f>日流量!FJ19*24*3600/100000000</f>
        <v>4.0867199999999997</v>
      </c>
      <c r="FK19" s="6">
        <f>日流量!FK19*24*3600/100000000</f>
        <v>3.9744000000000002</v>
      </c>
      <c r="FL19" s="6">
        <f>日流量!FL19*24*3600/100000000</f>
        <v>3.9830399999999999</v>
      </c>
      <c r="FM19" s="6">
        <f>日流量!FM19*24*3600/100000000</f>
        <v>4.26816</v>
      </c>
      <c r="FN19" s="6">
        <f>日流量!FN19*24*3600/100000000</f>
        <v>4.7692800000000002</v>
      </c>
      <c r="FO19" s="6">
        <f>日流量!FO19*24*3600/100000000</f>
        <v>4.8297600000000003</v>
      </c>
      <c r="FP19" s="6">
        <f>日流量!FP19*24*3600/100000000</f>
        <v>5.2790400000000002</v>
      </c>
      <c r="FQ19" s="6">
        <f>日流量!FQ19*24*3600/100000000</f>
        <v>4.87296</v>
      </c>
      <c r="FR19" s="6">
        <f>日流量!FR19*24*3600/100000000</f>
        <v>4.5619199999999998</v>
      </c>
      <c r="FS19" s="6">
        <f>日流量!FS19*24*3600/100000000</f>
        <v>4.1644800000000002</v>
      </c>
      <c r="FT19" s="6">
        <f>日流量!FT19*24*3600/100000000</f>
        <v>3.7670400000000002</v>
      </c>
      <c r="FU19" s="6">
        <f>日流量!FU19*24*3600/100000000</f>
        <v>3.5596800000000002</v>
      </c>
      <c r="FV19" s="6">
        <f>日流量!FV19*24*3600/100000000</f>
        <v>3.3868800000000001</v>
      </c>
      <c r="FW19" s="6">
        <f>日流量!FW19*24*3600/100000000</f>
        <v>3.3868800000000001</v>
      </c>
      <c r="FX19" s="6">
        <f>日流量!FX19*24*3600/100000000</f>
        <v>3.74112</v>
      </c>
      <c r="FY19" s="6">
        <f>日流量!FY19*24*3600/100000000</f>
        <v>3.9225599999999998</v>
      </c>
      <c r="FZ19" s="6">
        <f>日流量!FZ19*24*3600/100000000</f>
        <v>5.1494400000000002</v>
      </c>
      <c r="GA19" s="6">
        <f>日流量!GA19*24*3600/100000000</f>
        <v>5.5382400000000001</v>
      </c>
      <c r="GB19" s="6">
        <f>日流量!GB19*24*3600/100000000</f>
        <v>6.2553599999999996</v>
      </c>
      <c r="GC19" s="6">
        <f>日流量!GC19*24*3600/100000000</f>
        <v>6.2294400000000003</v>
      </c>
      <c r="GD19" s="6">
        <f>日流量!GD19*24*3600/100000000</f>
        <v>5.5296000000000003</v>
      </c>
      <c r="GE19" s="6">
        <f>日流量!GE19*24*3600/100000000</f>
        <v>6.3763199999999998</v>
      </c>
      <c r="GF19" s="6">
        <f>日流量!GF19*24*3600/100000000</f>
        <v>6.6182400000000001</v>
      </c>
      <c r="GG19" s="6">
        <f>日流量!GG19*24*3600/100000000</f>
        <v>7.06752</v>
      </c>
      <c r="GH19" s="6">
        <f>日流量!GH19*24*3600/100000000</f>
        <v>7.1539200000000003</v>
      </c>
      <c r="GI19" s="6">
        <f>日流量!GI19*24*3600/100000000</f>
        <v>6.87744</v>
      </c>
      <c r="GJ19" s="6">
        <f>日流量!GJ19*24*3600/100000000</f>
        <v>7.0070399999999999</v>
      </c>
      <c r="GK19" s="6">
        <f>日流量!GK19*24*3600/100000000</f>
        <v>7.4736000000000002</v>
      </c>
      <c r="GL19" s="6">
        <f>日流量!GL19*24*3600/100000000</f>
        <v>8.5104000000000006</v>
      </c>
      <c r="GM19" s="6">
        <f>日流量!GM19*24*3600/100000000</f>
        <v>11.5776</v>
      </c>
      <c r="GN19" s="6">
        <f>日流量!GN19*24*3600/100000000</f>
        <v>12.096</v>
      </c>
      <c r="GO19" s="6">
        <f>日流量!GO19*24*3600/100000000</f>
        <v>10.6272</v>
      </c>
      <c r="GP19" s="6">
        <f>日流量!GP19*24*3600/100000000</f>
        <v>9.1584000000000003</v>
      </c>
      <c r="GQ19" s="6">
        <f>日流量!GQ19*24*3600/100000000</f>
        <v>7.8796799999999996</v>
      </c>
      <c r="GR19" s="6">
        <f>日流量!GR19*24*3600/100000000</f>
        <v>7.29216</v>
      </c>
      <c r="GS19" s="6">
        <f>日流量!GS19*24*3600/100000000</f>
        <v>7.3785600000000002</v>
      </c>
      <c r="GT19" s="6">
        <f>日流量!GT19*24*3600/100000000</f>
        <v>7.2316799999999999</v>
      </c>
      <c r="GU19" s="6">
        <f>日流量!GU19*24*3600/100000000</f>
        <v>6.8428800000000001</v>
      </c>
      <c r="GV19" s="6">
        <f>日流量!GV19*24*3600/100000000</f>
        <v>6.3331200000000001</v>
      </c>
      <c r="GW19" s="6">
        <f>日流量!GW19*24*3600/100000000</f>
        <v>5.95296</v>
      </c>
      <c r="GX19" s="6">
        <f>日流量!GX19*24*3600/100000000</f>
        <v>5.6419199999999998</v>
      </c>
      <c r="GY19" s="6">
        <f>日流量!GY19*24*3600/100000000</f>
        <v>5.7369599999999998</v>
      </c>
      <c r="GZ19" s="6">
        <f>日流量!GZ19*24*3600/100000000</f>
        <v>5.9961599999999997</v>
      </c>
      <c r="HA19" s="6">
        <f>日流量!HA19*24*3600/100000000</f>
        <v>5.9961599999999997</v>
      </c>
      <c r="HB19" s="6">
        <f>日流量!HB19*24*3600/100000000</f>
        <v>5.9270399999999999</v>
      </c>
      <c r="HC19" s="6">
        <f>日流量!HC19*24*3600/100000000</f>
        <v>5.8752000000000004</v>
      </c>
      <c r="HD19" s="6">
        <f>日流量!HD19*24*3600/100000000</f>
        <v>5.7455999999999996</v>
      </c>
      <c r="HE19" s="6">
        <f>日流量!HE19*24*3600/100000000</f>
        <v>5.7283200000000001</v>
      </c>
      <c r="HF19" s="6">
        <f>日流量!HF19*24*3600/100000000</f>
        <v>6.1948800000000004</v>
      </c>
      <c r="HG19" s="6">
        <f>日流量!HG19*24*3600/100000000</f>
        <v>7.0848000000000004</v>
      </c>
      <c r="HH19" s="6">
        <f>日流量!HH19*24*3600/100000000</f>
        <v>7.3267199999999999</v>
      </c>
      <c r="HI19" s="6">
        <f>日流量!HI19*24*3600/100000000</f>
        <v>7.4476800000000001</v>
      </c>
      <c r="HJ19" s="6">
        <f>日流量!HJ19*24*3600/100000000</f>
        <v>8.6313600000000008</v>
      </c>
      <c r="HK19" s="6">
        <f>日流量!HK19*24*3600/100000000</f>
        <v>10.1088</v>
      </c>
      <c r="HL19" s="6">
        <f>日流量!HL19*24*3600/100000000</f>
        <v>10.1952</v>
      </c>
      <c r="HM19" s="6">
        <f>日流量!HM19*24*3600/100000000</f>
        <v>10.022399999999999</v>
      </c>
      <c r="HN19" s="6">
        <f>日流量!HN19*24*3600/100000000</f>
        <v>10.8</v>
      </c>
      <c r="HO19" s="6">
        <f>日流量!HO19*24*3600/100000000</f>
        <v>10.7136</v>
      </c>
      <c r="HP19" s="6">
        <f>日流量!HP19*24*3600/100000000</f>
        <v>10.7136</v>
      </c>
      <c r="HQ19" s="6">
        <f>日流量!HQ19*24*3600/100000000</f>
        <v>10.368</v>
      </c>
      <c r="HR19" s="6">
        <f>日流量!HR19*24*3600/100000000</f>
        <v>10.8864</v>
      </c>
      <c r="HS19" s="6">
        <f>日流量!HS19*24*3600/100000000</f>
        <v>11.9232</v>
      </c>
      <c r="HT19" s="6">
        <f>日流量!HT19*24*3600/100000000</f>
        <v>11.3184</v>
      </c>
      <c r="HU19" s="6">
        <f>日流量!HU19*24*3600/100000000</f>
        <v>9.8496000000000006</v>
      </c>
      <c r="HV19" s="6">
        <f>日流量!HV19*24*3600/100000000</f>
        <v>8.7263999999999999</v>
      </c>
      <c r="HW19" s="6">
        <f>日流量!HW19*24*3600/100000000</f>
        <v>7.9488000000000003</v>
      </c>
      <c r="HX19" s="6">
        <f>日流量!HX19*24*3600/100000000</f>
        <v>7.4044800000000004</v>
      </c>
      <c r="HY19" s="6">
        <f>日流量!HY19*24*3600/100000000</f>
        <v>6.8860799999999998</v>
      </c>
      <c r="HZ19" s="6">
        <f>日流量!HZ19*24*3600/100000000</f>
        <v>6.3936000000000002</v>
      </c>
      <c r="IA19" s="6">
        <f>日流量!IA19*24*3600/100000000</f>
        <v>6.2294400000000003</v>
      </c>
      <c r="IB19" s="6">
        <f>日流量!IB19*24*3600/100000000</f>
        <v>6.2812799999999998</v>
      </c>
      <c r="IC19" s="6">
        <f>日流量!IC19*24*3600/100000000</f>
        <v>6.55776</v>
      </c>
      <c r="ID19" s="6">
        <f>日流量!ID19*24*3600/100000000</f>
        <v>8.0006400000000006</v>
      </c>
      <c r="IE19" s="6">
        <f>日流量!IE19*24*3600/100000000</f>
        <v>11.1456</v>
      </c>
      <c r="IF19" s="6">
        <f>日流量!IF19*24*3600/100000000</f>
        <v>14.860799999999999</v>
      </c>
      <c r="IG19" s="6">
        <f>日流量!IG19*24*3600/100000000</f>
        <v>18.057600000000001</v>
      </c>
      <c r="IH19" s="6">
        <f>日流量!IH19*24*3600/100000000</f>
        <v>20.044799999999999</v>
      </c>
      <c r="II19" s="6">
        <f>日流量!II19*24*3600/100000000</f>
        <v>19.872</v>
      </c>
      <c r="IJ19" s="6">
        <f>日流量!IJ19*24*3600/100000000</f>
        <v>20.1312</v>
      </c>
      <c r="IK19" s="6">
        <f>日流量!IK19*24*3600/100000000</f>
        <v>21.081600000000002</v>
      </c>
      <c r="IL19" s="6">
        <f>日流量!IL19*24*3600/100000000</f>
        <v>22.118400000000001</v>
      </c>
      <c r="IM19" s="6">
        <f>日流量!IM19*24*3600/100000000</f>
        <v>21.2544</v>
      </c>
      <c r="IN19" s="6">
        <f>日流量!IN19*24*3600/100000000</f>
        <v>19.526399999999999</v>
      </c>
      <c r="IO19" s="6">
        <f>日流量!IO19*24*3600/100000000</f>
        <v>17.539200000000001</v>
      </c>
      <c r="IP19" s="6">
        <f>日流量!IP19*24*3600/100000000</f>
        <v>15.897600000000001</v>
      </c>
      <c r="IQ19" s="6">
        <f>日流量!IQ19*24*3600/100000000</f>
        <v>15.7248</v>
      </c>
      <c r="IR19" s="6">
        <f>日流量!IR19*24*3600/100000000</f>
        <v>17.798400000000001</v>
      </c>
      <c r="IS19" s="6">
        <f>日流量!IS19*24*3600/100000000</f>
        <v>17.020800000000001</v>
      </c>
      <c r="IT19" s="6">
        <f>日流量!IT19*24*3600/100000000</f>
        <v>15.0336</v>
      </c>
      <c r="IU19" s="6">
        <f>日流量!IU19*24*3600/100000000</f>
        <v>13.219200000000001</v>
      </c>
      <c r="IV19" s="6">
        <f>日流量!IV19*24*3600/100000000</f>
        <v>11.9232</v>
      </c>
      <c r="IW19" s="6">
        <f>日流量!IW19*24*3600/100000000</f>
        <v>10.972799999999999</v>
      </c>
      <c r="IX19" s="6">
        <f>日流量!IX19*24*3600/100000000</f>
        <v>10.368</v>
      </c>
      <c r="IY19" s="6">
        <f>日流量!IY19*24*3600/100000000</f>
        <v>10.368</v>
      </c>
      <c r="IZ19" s="6">
        <f>日流量!IZ19*24*3600/100000000</f>
        <v>11.3184</v>
      </c>
      <c r="JA19" s="6">
        <f>日流量!JA19*24*3600/100000000</f>
        <v>11.4048</v>
      </c>
      <c r="JB19" s="6">
        <f>日流量!JB19*24*3600/100000000</f>
        <v>10.8864</v>
      </c>
      <c r="JC19" s="6">
        <f>日流量!JC19*24*3600/100000000</f>
        <v>10.1952</v>
      </c>
      <c r="JD19" s="6">
        <f>日流量!JD19*24*3600/100000000</f>
        <v>9.5039999999999996</v>
      </c>
      <c r="JE19" s="6">
        <f>日流量!JE19*24*3600/100000000</f>
        <v>8.9855999999999998</v>
      </c>
      <c r="JF19" s="6">
        <f>日流量!JF19*24*3600/100000000</f>
        <v>8.7263999999999999</v>
      </c>
      <c r="JG19" s="6">
        <f>日流量!JG19*24*3600/100000000</f>
        <v>8.5449599999999997</v>
      </c>
      <c r="JH19" s="6">
        <f>日流量!JH19*24*3600/100000000</f>
        <v>8.7263999999999999</v>
      </c>
      <c r="JI19" s="6">
        <f>日流量!JI19*24*3600/100000000</f>
        <v>9.1584000000000003</v>
      </c>
      <c r="JJ19" s="6">
        <f>日流量!JJ19*24*3600/100000000</f>
        <v>9.1584000000000003</v>
      </c>
      <c r="JK19" s="6">
        <f>日流量!JK19*24*3600/100000000</f>
        <v>9.0719999999999992</v>
      </c>
      <c r="JL19" s="6">
        <f>日流量!JL19*24*3600/100000000</f>
        <v>9.1584000000000003</v>
      </c>
      <c r="JM19" s="6">
        <f>日流量!JM19*24*3600/100000000</f>
        <v>9.5039999999999996</v>
      </c>
      <c r="JN19" s="6">
        <f>日流量!JN19*24*3600/100000000</f>
        <v>10.1088</v>
      </c>
      <c r="JO19" s="6">
        <f>日流量!JO19*24*3600/100000000</f>
        <v>10.1952</v>
      </c>
      <c r="JP19" s="6">
        <f>日流量!JP19*24*3600/100000000</f>
        <v>10.6272</v>
      </c>
      <c r="JQ19" s="6">
        <f>日流量!JQ19*24*3600/100000000</f>
        <v>11.1456</v>
      </c>
      <c r="JR19" s="6">
        <f>日流量!JR19*24*3600/100000000</f>
        <v>11.750400000000001</v>
      </c>
      <c r="JS19" s="6">
        <f>日流量!JS19*24*3600/100000000</f>
        <v>10.8864</v>
      </c>
      <c r="JT19" s="6">
        <f>日流量!JT19*24*3600/100000000</f>
        <v>9.7631999999999994</v>
      </c>
      <c r="JU19" s="6">
        <f>日流量!JU19*24*3600/100000000</f>
        <v>8.9855999999999998</v>
      </c>
      <c r="JV19" s="6">
        <f>日流量!JV19*24*3600/100000000</f>
        <v>8.3116800000000008</v>
      </c>
      <c r="JW19" s="6">
        <f>日流量!JW19*24*3600/100000000</f>
        <v>7.8624000000000001</v>
      </c>
      <c r="JX19" s="6">
        <f>日流量!JX19*24*3600/100000000</f>
        <v>7.4044800000000004</v>
      </c>
      <c r="JY19" s="6">
        <f>日流量!JY19*24*3600/100000000</f>
        <v>7.0761599999999998</v>
      </c>
      <c r="JZ19" s="6">
        <f>日流量!JZ19*24*3600/100000000</f>
        <v>6.7564799999999998</v>
      </c>
      <c r="KA19" s="6">
        <f>日流量!KA19*24*3600/100000000</f>
        <v>6.46272</v>
      </c>
      <c r="KB19" s="6">
        <f>日流量!KB19*24*3600/100000000</f>
        <v>6.2294400000000003</v>
      </c>
      <c r="KC19" s="6">
        <f>日流量!KC19*24*3600/100000000</f>
        <v>6.0911999999999997</v>
      </c>
      <c r="KD19" s="6">
        <f>日流量!KD19*24*3600/100000000</f>
        <v>5.8665599999999998</v>
      </c>
      <c r="KE19" s="6">
        <f>日流量!KE19*24*3600/100000000</f>
        <v>5.7369599999999998</v>
      </c>
      <c r="KF19" s="6">
        <f>日流量!KF19*24*3600/100000000</f>
        <v>5.7110399999999997</v>
      </c>
      <c r="KG19" s="6">
        <f>日流量!KG19*24*3600/100000000</f>
        <v>5.5900800000000004</v>
      </c>
      <c r="KH19" s="6">
        <f>日流量!KH19*24*3600/100000000</f>
        <v>5.7110399999999997</v>
      </c>
      <c r="KI19" s="6">
        <f>日流量!KI19*24*3600/100000000</f>
        <v>5.6505599999999996</v>
      </c>
      <c r="KJ19" s="6">
        <f>日流量!KJ19*24*3600/100000000</f>
        <v>5.5555199999999996</v>
      </c>
      <c r="KK19" s="6">
        <f>日流量!KK19*24*3600/100000000</f>
        <v>5.4259199999999996</v>
      </c>
      <c r="KL19" s="6">
        <f>日流量!KL19*24*3600/100000000</f>
        <v>5.1321599999999998</v>
      </c>
      <c r="KM19" s="6">
        <f>日流量!KM19*24*3600/100000000</f>
        <v>4.8643200000000002</v>
      </c>
      <c r="KN19" s="6">
        <f>日流量!KN19*24*3600/100000000</f>
        <v>4.6310399999999996</v>
      </c>
      <c r="KO19" s="6">
        <f>日流量!KO19*24*3600/100000000</f>
        <v>4.4668799999999997</v>
      </c>
      <c r="KP19" s="6">
        <f>日流量!KP19*24*3600/100000000</f>
        <v>4.3372799999999998</v>
      </c>
      <c r="KQ19" s="6">
        <f>日流量!KQ19*24*3600/100000000</f>
        <v>4.1904000000000003</v>
      </c>
      <c r="KR19" s="6">
        <f>日流量!KR19*24*3600/100000000</f>
        <v>4.0953600000000003</v>
      </c>
      <c r="KS19" s="6">
        <f>日流量!KS19*24*3600/100000000</f>
        <v>3.9830399999999999</v>
      </c>
      <c r="KT19" s="6">
        <f>日流量!KT19*24*3600/100000000</f>
        <v>3.8707199999999999</v>
      </c>
      <c r="KU19" s="6">
        <f>日流量!KU19*24*3600/100000000</f>
        <v>3.7324799999999998</v>
      </c>
      <c r="KV19" s="6">
        <f>日流量!KV19*24*3600/100000000</f>
        <v>3.6288</v>
      </c>
      <c r="KW19" s="6">
        <f>日流量!KW19*24*3600/100000000</f>
        <v>3.5251199999999998</v>
      </c>
      <c r="KX19" s="6">
        <f>日流量!KX19*24*3600/100000000</f>
        <v>3.4300799999999998</v>
      </c>
      <c r="KY19" s="6">
        <f>日流量!KY19*24*3600/100000000</f>
        <v>3.34368</v>
      </c>
      <c r="KZ19" s="6">
        <f>日流量!KZ19*24*3600/100000000</f>
        <v>3.2745600000000001</v>
      </c>
      <c r="LA19" s="6">
        <f>日流量!LA19*24*3600/100000000</f>
        <v>3.21408</v>
      </c>
      <c r="LB19" s="6">
        <f>日流量!LB19*24*3600/100000000</f>
        <v>3.1449600000000002</v>
      </c>
      <c r="LC19" s="6">
        <f>日流量!LC19*24*3600/100000000</f>
        <v>3.0758399999999999</v>
      </c>
      <c r="LD19" s="6">
        <f>日流量!LD19*24*3600/100000000</f>
        <v>3.0326399999999998</v>
      </c>
      <c r="LE19" s="6">
        <f>日流量!LE19*24*3600/100000000</f>
        <v>2.9721600000000001</v>
      </c>
      <c r="LF19" s="6">
        <f>日流量!LF19*24*3600/100000000</f>
        <v>2.9203199999999998</v>
      </c>
      <c r="LG19" s="6">
        <f>日流量!LG19*24*3600/100000000</f>
        <v>2.8771200000000001</v>
      </c>
      <c r="LH19" s="6">
        <f>日流量!LH19*24*3600/100000000</f>
        <v>2.8079999999999998</v>
      </c>
      <c r="LI19" s="6">
        <f>日流量!LI19*24*3600/100000000</f>
        <v>2.7648000000000001</v>
      </c>
      <c r="LJ19" s="6">
        <f>日流量!LJ19*24*3600/100000000</f>
        <v>2.7043200000000001</v>
      </c>
      <c r="LK19" s="6">
        <f>日流量!LK19*24*3600/100000000</f>
        <v>2.6870400000000001</v>
      </c>
      <c r="LL19" s="6">
        <f>日流量!LL19*24*3600/100000000</f>
        <v>2.6352000000000002</v>
      </c>
      <c r="LM19" s="6">
        <f>日流量!LM19*24*3600/100000000</f>
        <v>2.5920000000000001</v>
      </c>
      <c r="LN19" s="6">
        <f>日流量!LN19*24*3600/100000000</f>
        <v>2.5747200000000001</v>
      </c>
      <c r="LO19" s="6">
        <f>日流量!LO19*24*3600/100000000</f>
        <v>2.5660799999999999</v>
      </c>
      <c r="LP19" s="6">
        <f>日流量!LP19*24*3600/100000000</f>
        <v>2.5228799999999998</v>
      </c>
      <c r="LQ19" s="6">
        <f>日流量!LQ19*24*3600/100000000</f>
        <v>2.4883199999999999</v>
      </c>
      <c r="LR19" s="6">
        <f>日流量!LR19*24*3600/100000000</f>
        <v>2.4451200000000002</v>
      </c>
      <c r="LS19" s="6">
        <f>日流量!LS19*24*3600/100000000</f>
        <v>2.3846400000000001</v>
      </c>
      <c r="LT19" s="6">
        <f>日流量!LT19*24*3600/100000000</f>
        <v>2.3587199999999999</v>
      </c>
      <c r="LU19" s="6">
        <f>日流量!LU19*24*3600/100000000</f>
        <v>2.3155199999999998</v>
      </c>
      <c r="LV19" s="6">
        <f>日流量!LV19*24*3600/100000000</f>
        <v>2.2982399999999998</v>
      </c>
      <c r="LW19" s="6">
        <f>日流量!LW19*24*3600/100000000</f>
        <v>2.2723200000000001</v>
      </c>
      <c r="LX19" s="6">
        <f>日流量!LX19*24*3600/100000000</f>
        <v>2.22912</v>
      </c>
      <c r="LY19" s="6">
        <f>日流量!LY19*24*3600/100000000</f>
        <v>2.2031999999999998</v>
      </c>
      <c r="LZ19" s="6">
        <f>日流量!LZ19*24*3600/100000000</f>
        <v>2.1772800000000001</v>
      </c>
      <c r="MA19" s="6">
        <f>日流量!MA19*24*3600/100000000</f>
        <v>2.1686399999999999</v>
      </c>
      <c r="MB19" s="6">
        <f>日流量!MB19*24*3600/100000000</f>
        <v>2.1513599999999999</v>
      </c>
      <c r="MC19" s="6">
        <f>日流量!MC19*24*3600/100000000</f>
        <v>2.13408</v>
      </c>
      <c r="MD19" s="6">
        <f>日流量!MD19*24*3600/100000000</f>
        <v>2.0908799999999998</v>
      </c>
      <c r="ME19" s="6">
        <f>日流量!ME19*24*3600/100000000</f>
        <v>2.0649600000000001</v>
      </c>
      <c r="MF19" s="6">
        <f>日流量!MF19*24*3600/100000000</f>
        <v>2.0304000000000002</v>
      </c>
      <c r="MG19" s="6">
        <f>日流量!MG19*24*3600/100000000</f>
        <v>1.9958400000000001</v>
      </c>
      <c r="MH19" s="6">
        <f>日流量!MH19*24*3600/100000000</f>
        <v>1.9526399999999999</v>
      </c>
      <c r="MI19" s="6">
        <f>日流量!MI19*24*3600/100000000</f>
        <v>1.92672</v>
      </c>
      <c r="MJ19" s="6">
        <f>日流量!MJ19*24*3600/100000000</f>
        <v>1.90944</v>
      </c>
      <c r="MK19" s="6">
        <f>日流量!MK19*24*3600/100000000</f>
        <v>1.8835200000000001</v>
      </c>
      <c r="ML19" s="6">
        <f>日流量!ML19*24*3600/100000000</f>
        <v>1.8662399999999999</v>
      </c>
      <c r="MM19" s="6">
        <f>日流量!MM19*24*3600/100000000</f>
        <v>1.8575999999999999</v>
      </c>
      <c r="MN19" s="6">
        <f>日流量!MN19*24*3600/100000000</f>
        <v>1.84032</v>
      </c>
      <c r="MO19" s="6">
        <f>日流量!MO19*24*3600/100000000</f>
        <v>1.83168</v>
      </c>
      <c r="MP19" s="6">
        <f>日流量!MP19*24*3600/100000000</f>
        <v>1.8144</v>
      </c>
      <c r="MQ19" s="6">
        <f>日流量!MQ19*24*3600/100000000</f>
        <v>1.7884800000000001</v>
      </c>
      <c r="MR19" s="6">
        <f>日流量!MR19*24*3600/100000000</f>
        <v>1.7539199999999999</v>
      </c>
      <c r="MS19" s="6">
        <f>日流量!MS19*24*3600/100000000</f>
        <v>1.728</v>
      </c>
      <c r="MT19" s="6">
        <f>日流量!MT19*24*3600/100000000</f>
        <v>1.71072</v>
      </c>
      <c r="MU19" s="6">
        <f>日流量!MU19*24*3600/100000000</f>
        <v>1.6848000000000001</v>
      </c>
      <c r="MV19" s="6">
        <f>日流量!MV19*24*3600/100000000</f>
        <v>1.6761600000000001</v>
      </c>
      <c r="MW19" s="6">
        <f>日流量!MW19*24*3600/100000000</f>
        <v>1.6502399999999999</v>
      </c>
      <c r="MX19" s="6">
        <f>日流量!MX19*24*3600/100000000</f>
        <v>1.61568</v>
      </c>
      <c r="MY19" s="6">
        <f>日流量!MY19*24*3600/100000000</f>
        <v>1.5811200000000001</v>
      </c>
      <c r="MZ19" s="6">
        <f>日流量!MZ19*24*3600/100000000</f>
        <v>1.5465599999999999</v>
      </c>
      <c r="NA19" s="6">
        <f>日流量!NA19*24*3600/100000000</f>
        <v>1.52064</v>
      </c>
      <c r="NB19" s="6">
        <f>日流量!NB19*24*3600/100000000</f>
        <v>1.52064</v>
      </c>
      <c r="NC19" s="6"/>
      <c r="ND19" s="6">
        <f>日流量!ND19*24*3600*31/100000000</f>
        <v>44.193600000000004</v>
      </c>
      <c r="NE19" s="6">
        <f>日流量!NE19*24*3600*28/100000000</f>
        <v>32.901119999999999</v>
      </c>
      <c r="NF19" s="6">
        <f>日流量!NF19*24*3600*31/100000000</f>
        <v>34.015680000000003</v>
      </c>
      <c r="NG19" s="6">
        <f>日流量!NG19*24*3600*30/100000000</f>
        <v>34.732799999999997</v>
      </c>
      <c r="NH19" s="6">
        <f>日流量!NH19*24*3600*31/100000000</f>
        <v>44.997120000000002</v>
      </c>
      <c r="NI19" s="6">
        <f>日流量!NI19*24*3600*30/100000000</f>
        <v>106.27200000000001</v>
      </c>
      <c r="NJ19" s="6">
        <f>日流量!NJ19*24*3600*31/100000000</f>
        <v>220.43232</v>
      </c>
      <c r="NK19" s="6">
        <f>日流量!NK19*24*3600*31/100000000</f>
        <v>337.47840000000002</v>
      </c>
      <c r="NL19" s="6">
        <f>日流量!NL19*24*3600*30/100000000</f>
        <v>373.24799999999999</v>
      </c>
      <c r="NM19" s="6">
        <f>日流量!NM19*24*3600*31/100000000</f>
        <v>204.09407999999999</v>
      </c>
      <c r="NN19" s="6">
        <f>日流量!NN19*24*3600*30/100000000</f>
        <v>84.758399999999995</v>
      </c>
      <c r="NO19" s="6">
        <f>日流量!NO19*24*3600*31/100000000</f>
        <v>57.04992</v>
      </c>
      <c r="NP19" s="14">
        <f t="shared" si="10"/>
        <v>1574.17344</v>
      </c>
      <c r="NQ19" s="6">
        <f>日流量!NQ19*24*3600/100000000</f>
        <v>22.118400000000001</v>
      </c>
      <c r="NR19" s="4">
        <f>日流量!NR19</f>
        <v>42614</v>
      </c>
      <c r="NS19" s="6">
        <f>日流量!NS19*24*3600/100000000</f>
        <v>0.93311999999999995</v>
      </c>
      <c r="NT19" s="4">
        <f>日流量!NT19</f>
        <v>42470</v>
      </c>
      <c r="NU19" s="7">
        <f>日流量!NP19</f>
        <v>4992.0273972602736</v>
      </c>
      <c r="NW19" s="13">
        <f t="shared" si="0"/>
        <v>1286.5219200000001</v>
      </c>
      <c r="NX19" s="12">
        <f t="shared" si="1"/>
        <v>81.72682166458101</v>
      </c>
      <c r="NY19" s="13">
        <f t="shared" si="2"/>
        <v>1037.4307200000001</v>
      </c>
      <c r="NZ19" s="12">
        <f t="shared" si="3"/>
        <v>65.903203143867046</v>
      </c>
      <c r="OA19" s="13">
        <f t="shared" si="4"/>
        <v>287.65151999999989</v>
      </c>
      <c r="OB19" s="12">
        <f t="shared" si="5"/>
        <v>18.27317833541899</v>
      </c>
      <c r="OC19" s="13">
        <f t="shared" si="6"/>
        <v>373.24799999999999</v>
      </c>
      <c r="OD19" s="12">
        <f t="shared" si="7"/>
        <v>23.710729104919974</v>
      </c>
      <c r="OE19" s="12">
        <f t="shared" si="8"/>
        <v>367.79753271028039</v>
      </c>
      <c r="OF19" s="12">
        <f t="shared" si="9"/>
        <v>11.662783254384845</v>
      </c>
    </row>
    <row r="20" spans="1:396" x14ac:dyDescent="0.15">
      <c r="A20" s="2">
        <v>1967</v>
      </c>
      <c r="B20" s="6">
        <f>日流量!B20*24*3600/100000000</f>
        <v>1.49472</v>
      </c>
      <c r="C20" s="6">
        <f>日流量!C20*24*3600/100000000</f>
        <v>1.4860800000000001</v>
      </c>
      <c r="D20" s="6">
        <f>日流量!D20*24*3600/100000000</f>
        <v>1.4601599999999999</v>
      </c>
      <c r="E20" s="6">
        <f>日流量!E20*24*3600/100000000</f>
        <v>1.4515199999999999</v>
      </c>
      <c r="F20" s="6">
        <f>日流量!F20*24*3600/100000000</f>
        <v>1.4428799999999999</v>
      </c>
      <c r="G20" s="6">
        <f>日流量!G20*24*3600/100000000</f>
        <v>1.43424</v>
      </c>
      <c r="H20" s="6">
        <f>日流量!H20*24*3600/100000000</f>
        <v>1.4256</v>
      </c>
      <c r="I20" s="6">
        <f>日流量!I20*24*3600/100000000</f>
        <v>1.40832</v>
      </c>
      <c r="J20" s="6">
        <f>日流量!J20*24*3600/100000000</f>
        <v>1.3910400000000001</v>
      </c>
      <c r="K20" s="6">
        <f>日流量!K20*24*3600/100000000</f>
        <v>1.3910400000000001</v>
      </c>
      <c r="L20" s="6">
        <f>日流量!L20*24*3600/100000000</f>
        <v>1.3737600000000001</v>
      </c>
      <c r="M20" s="6">
        <f>日流量!M20*24*3600/100000000</f>
        <v>1.3737600000000001</v>
      </c>
      <c r="N20" s="6">
        <f>日流量!N20*24*3600/100000000</f>
        <v>1.3737600000000001</v>
      </c>
      <c r="O20" s="6">
        <f>日流量!O20*24*3600/100000000</f>
        <v>1.3737600000000001</v>
      </c>
      <c r="P20" s="6">
        <f>日流量!P20*24*3600/100000000</f>
        <v>1.3737600000000001</v>
      </c>
      <c r="Q20" s="6">
        <f>日流量!Q20*24*3600/100000000</f>
        <v>1.3651199999999999</v>
      </c>
      <c r="R20" s="6">
        <f>日流量!R20*24*3600/100000000</f>
        <v>1.3564799999999999</v>
      </c>
      <c r="S20" s="6">
        <f>日流量!S20*24*3600/100000000</f>
        <v>1.3478399999999999</v>
      </c>
      <c r="T20" s="6">
        <f>日流量!T20*24*3600/100000000</f>
        <v>1.33056</v>
      </c>
      <c r="U20" s="6">
        <f>日流量!U20*24*3600/100000000</f>
        <v>1.30464</v>
      </c>
      <c r="V20" s="6">
        <f>日流量!V20*24*3600/100000000</f>
        <v>1.2873600000000001</v>
      </c>
      <c r="W20" s="6">
        <f>日流量!W20*24*3600/100000000</f>
        <v>1.2787200000000001</v>
      </c>
      <c r="X20" s="6">
        <f>日流量!X20*24*3600/100000000</f>
        <v>1.2700800000000001</v>
      </c>
      <c r="Y20" s="6">
        <f>日流量!Y20*24*3600/100000000</f>
        <v>1.2614399999999999</v>
      </c>
      <c r="Z20" s="6">
        <f>日流量!Z20*24*3600/100000000</f>
        <v>1.2614399999999999</v>
      </c>
      <c r="AA20" s="6">
        <f>日流量!AA20*24*3600/100000000</f>
        <v>1.2441599999999999</v>
      </c>
      <c r="AB20" s="6">
        <f>日流量!AB20*24*3600/100000000</f>
        <v>1.23552</v>
      </c>
      <c r="AC20" s="6">
        <f>日流量!AC20*24*3600/100000000</f>
        <v>1.23552</v>
      </c>
      <c r="AD20" s="6">
        <f>日流量!AD20*24*3600/100000000</f>
        <v>1.22688</v>
      </c>
      <c r="AE20" s="6">
        <f>日流量!AE20*24*3600/100000000</f>
        <v>1.21824</v>
      </c>
      <c r="AF20" s="6">
        <f>日流量!AF20*24*3600/100000000</f>
        <v>1.21824</v>
      </c>
      <c r="AG20" s="6">
        <f>日流量!AG20*24*3600/100000000</f>
        <v>1.21824</v>
      </c>
      <c r="AH20" s="6">
        <f>日流量!AH20*24*3600/100000000</f>
        <v>1.21824</v>
      </c>
      <c r="AI20" s="6">
        <f>日流量!AI20*24*3600/100000000</f>
        <v>1.21824</v>
      </c>
      <c r="AJ20" s="6">
        <f>日流量!AJ20*24*3600/100000000</f>
        <v>1.22688</v>
      </c>
      <c r="AK20" s="6">
        <f>日流量!AK20*24*3600/100000000</f>
        <v>1.21824</v>
      </c>
      <c r="AL20" s="6">
        <f>日流量!AL20*24*3600/100000000</f>
        <v>1.2096</v>
      </c>
      <c r="AM20" s="6">
        <f>日流量!AM20*24*3600/100000000</f>
        <v>1.20096</v>
      </c>
      <c r="AN20" s="6">
        <f>日流量!AN20*24*3600/100000000</f>
        <v>1.19232</v>
      </c>
      <c r="AO20" s="6">
        <f>日流量!AO20*24*3600/100000000</f>
        <v>1.19232</v>
      </c>
      <c r="AP20" s="6">
        <f>日流量!AP20*24*3600/100000000</f>
        <v>1.19232</v>
      </c>
      <c r="AQ20" s="6">
        <f>日流量!AQ20*24*3600/100000000</f>
        <v>1.1836800000000001</v>
      </c>
      <c r="AR20" s="6">
        <f>日流量!AR20*24*3600/100000000</f>
        <v>1.19232</v>
      </c>
      <c r="AS20" s="6">
        <f>日流量!AS20*24*3600/100000000</f>
        <v>1.1836800000000001</v>
      </c>
      <c r="AT20" s="6">
        <f>日流量!AT20*24*3600/100000000</f>
        <v>1.1750400000000001</v>
      </c>
      <c r="AU20" s="6">
        <f>日流量!AU20*24*3600/100000000</f>
        <v>1.1750400000000001</v>
      </c>
      <c r="AV20" s="6">
        <f>日流量!AV20*24*3600/100000000</f>
        <v>1.1664000000000001</v>
      </c>
      <c r="AW20" s="6">
        <f>日流量!AW20*24*3600/100000000</f>
        <v>1.1577599999999999</v>
      </c>
      <c r="AX20" s="6">
        <f>日流量!AX20*24*3600/100000000</f>
        <v>1.1577599999999999</v>
      </c>
      <c r="AY20" s="6">
        <f>日流量!AY20*24*3600/100000000</f>
        <v>1.1491199999999999</v>
      </c>
      <c r="AZ20" s="6">
        <f>日流量!AZ20*24*3600/100000000</f>
        <v>1.1491199999999999</v>
      </c>
      <c r="BA20" s="6">
        <f>日流量!BA20*24*3600/100000000</f>
        <v>1.1404799999999999</v>
      </c>
      <c r="BB20" s="6">
        <f>日流量!BB20*24*3600/100000000</f>
        <v>1.13184</v>
      </c>
      <c r="BC20" s="6">
        <f>日流量!BC20*24*3600/100000000</f>
        <v>1.13184</v>
      </c>
      <c r="BD20" s="6">
        <f>日流量!BD20*24*3600/100000000</f>
        <v>1.13184</v>
      </c>
      <c r="BE20" s="6">
        <f>日流量!BE20*24*3600/100000000</f>
        <v>1.13184</v>
      </c>
      <c r="BF20" s="6">
        <f>日流量!BF20*24*3600/100000000</f>
        <v>1.1404799999999999</v>
      </c>
      <c r="BG20" s="6">
        <f>日流量!BG20*24*3600/100000000</f>
        <v>1.1404799999999999</v>
      </c>
      <c r="BH20" s="6">
        <f>日流量!BH20*24*3600/100000000</f>
        <v>1.13184</v>
      </c>
      <c r="BI20" s="6"/>
      <c r="BJ20" s="6">
        <f>日流量!BJ20*24*3600/100000000</f>
        <v>1.13184</v>
      </c>
      <c r="BK20" s="6">
        <f>日流量!BK20*24*3600/100000000</f>
        <v>1.11456</v>
      </c>
      <c r="BL20" s="6">
        <f>日流量!BL20*24*3600/100000000</f>
        <v>1.10592</v>
      </c>
      <c r="BM20" s="6">
        <f>日流量!BM20*24*3600/100000000</f>
        <v>1.10592</v>
      </c>
      <c r="BN20" s="6">
        <f>日流量!BN20*24*3600/100000000</f>
        <v>1.0886400000000001</v>
      </c>
      <c r="BO20" s="6">
        <f>日流量!BO20*24*3600/100000000</f>
        <v>1.0886400000000001</v>
      </c>
      <c r="BP20" s="6">
        <f>日流量!BP20*24*3600/100000000</f>
        <v>1.0886400000000001</v>
      </c>
      <c r="BQ20" s="6">
        <f>日流量!BQ20*24*3600/100000000</f>
        <v>1.0886400000000001</v>
      </c>
      <c r="BR20" s="6">
        <f>日流量!BR20*24*3600/100000000</f>
        <v>1.0886400000000001</v>
      </c>
      <c r="BS20" s="6">
        <f>日流量!BS20*24*3600/100000000</f>
        <v>1.0886400000000001</v>
      </c>
      <c r="BT20" s="6">
        <f>日流量!BT20*24*3600/100000000</f>
        <v>1.0886400000000001</v>
      </c>
      <c r="BU20" s="6">
        <f>日流量!BU20*24*3600/100000000</f>
        <v>1.0886400000000001</v>
      </c>
      <c r="BV20" s="6">
        <f>日流量!BV20*24*3600/100000000</f>
        <v>1.08</v>
      </c>
      <c r="BW20" s="6">
        <f>日流量!BW20*24*3600/100000000</f>
        <v>1.0713600000000001</v>
      </c>
      <c r="BX20" s="6">
        <f>日流量!BX20*24*3600/100000000</f>
        <v>1.0627200000000001</v>
      </c>
      <c r="BY20" s="6">
        <f>日流量!BY20*24*3600/100000000</f>
        <v>1.0540799999999999</v>
      </c>
      <c r="BZ20" s="6">
        <f>日流量!BZ20*24*3600/100000000</f>
        <v>1.0540799999999999</v>
      </c>
      <c r="CA20" s="6">
        <f>日流量!CA20*24*3600/100000000</f>
        <v>1.0540799999999999</v>
      </c>
      <c r="CB20" s="6">
        <f>日流量!CB20*24*3600/100000000</f>
        <v>1.0540799999999999</v>
      </c>
      <c r="CC20" s="6">
        <f>日流量!CC20*24*3600/100000000</f>
        <v>1.0540799999999999</v>
      </c>
      <c r="CD20" s="6">
        <f>日流量!CD20*24*3600/100000000</f>
        <v>1.0540799999999999</v>
      </c>
      <c r="CE20" s="6">
        <f>日流量!CE20*24*3600/100000000</f>
        <v>1.0540799999999999</v>
      </c>
      <c r="CF20" s="6">
        <f>日流量!CF20*24*3600/100000000</f>
        <v>1.0540799999999999</v>
      </c>
      <c r="CG20" s="6">
        <f>日流量!CG20*24*3600/100000000</f>
        <v>1.0540799999999999</v>
      </c>
      <c r="CH20" s="6">
        <f>日流量!CH20*24*3600/100000000</f>
        <v>1.0540799999999999</v>
      </c>
      <c r="CI20" s="6">
        <f>日流量!CI20*24*3600/100000000</f>
        <v>1.0454399999999999</v>
      </c>
      <c r="CJ20" s="6">
        <f>日流量!CJ20*24*3600/100000000</f>
        <v>1.0454399999999999</v>
      </c>
      <c r="CK20" s="6">
        <f>日流量!CK20*24*3600/100000000</f>
        <v>1.0454399999999999</v>
      </c>
      <c r="CL20" s="6">
        <f>日流量!CL20*24*3600/100000000</f>
        <v>1.0367999999999999</v>
      </c>
      <c r="CM20" s="6">
        <f>日流量!CM20*24*3600/100000000</f>
        <v>1.0454399999999999</v>
      </c>
      <c r="CN20" s="6">
        <f>日流量!CN20*24*3600/100000000</f>
        <v>1.0454399999999999</v>
      </c>
      <c r="CO20" s="6">
        <f>日流量!CO20*24*3600/100000000</f>
        <v>1.0540799999999999</v>
      </c>
      <c r="CP20" s="6">
        <f>日流量!CP20*24*3600/100000000</f>
        <v>1.0540799999999999</v>
      </c>
      <c r="CQ20" s="6">
        <f>日流量!CQ20*24*3600/100000000</f>
        <v>1.0454399999999999</v>
      </c>
      <c r="CR20" s="6">
        <f>日流量!CR20*24*3600/100000000</f>
        <v>1.0454399999999999</v>
      </c>
      <c r="CS20" s="6">
        <f>日流量!CS20*24*3600/100000000</f>
        <v>1.0454399999999999</v>
      </c>
      <c r="CT20" s="6">
        <f>日流量!CT20*24*3600/100000000</f>
        <v>1.0454399999999999</v>
      </c>
      <c r="CU20" s="6">
        <f>日流量!CU20*24*3600/100000000</f>
        <v>1.0454399999999999</v>
      </c>
      <c r="CV20" s="6">
        <f>日流量!CV20*24*3600/100000000</f>
        <v>1.0454399999999999</v>
      </c>
      <c r="CW20" s="6">
        <f>日流量!CW20*24*3600/100000000</f>
        <v>1.0540799999999999</v>
      </c>
      <c r="CX20" s="6">
        <f>日流量!CX20*24*3600/100000000</f>
        <v>1.0627200000000001</v>
      </c>
      <c r="CY20" s="6">
        <f>日流量!CY20*24*3600/100000000</f>
        <v>1.0627200000000001</v>
      </c>
      <c r="CZ20" s="6">
        <f>日流量!CZ20*24*3600/100000000</f>
        <v>1.0627200000000001</v>
      </c>
      <c r="DA20" s="6">
        <f>日流量!DA20*24*3600/100000000</f>
        <v>1.0540799999999999</v>
      </c>
      <c r="DB20" s="6">
        <f>日流量!DB20*24*3600/100000000</f>
        <v>1.0454399999999999</v>
      </c>
      <c r="DC20" s="6">
        <f>日流量!DC20*24*3600/100000000</f>
        <v>1.0367999999999999</v>
      </c>
      <c r="DD20" s="6">
        <f>日流量!DD20*24*3600/100000000</f>
        <v>1.0367999999999999</v>
      </c>
      <c r="DE20" s="6">
        <f>日流量!DE20*24*3600/100000000</f>
        <v>1.0367999999999999</v>
      </c>
      <c r="DF20" s="6">
        <f>日流量!DF20*24*3600/100000000</f>
        <v>1.0627200000000001</v>
      </c>
      <c r="DG20" s="6">
        <f>日流量!DG20*24*3600/100000000</f>
        <v>1.0886400000000001</v>
      </c>
      <c r="DH20" s="6">
        <f>日流量!DH20*24*3600/100000000</f>
        <v>1.08</v>
      </c>
      <c r="DI20" s="6">
        <f>日流量!DI20*24*3600/100000000</f>
        <v>1.0886400000000001</v>
      </c>
      <c r="DJ20" s="6">
        <f>日流量!DJ20*24*3600/100000000</f>
        <v>1.09728</v>
      </c>
      <c r="DK20" s="6">
        <f>日流量!DK20*24*3600/100000000</f>
        <v>1.0886400000000001</v>
      </c>
      <c r="DL20" s="6">
        <f>日流量!DL20*24*3600/100000000</f>
        <v>1.0886400000000001</v>
      </c>
      <c r="DM20" s="6">
        <f>日流量!DM20*24*3600/100000000</f>
        <v>1.09728</v>
      </c>
      <c r="DN20" s="6">
        <f>日流量!DN20*24*3600/100000000</f>
        <v>1.13184</v>
      </c>
      <c r="DO20" s="6">
        <f>日流量!DO20*24*3600/100000000</f>
        <v>1.19232</v>
      </c>
      <c r="DP20" s="6">
        <f>日流量!DP20*24*3600/100000000</f>
        <v>1.20096</v>
      </c>
      <c r="DQ20" s="6">
        <f>日流量!DQ20*24*3600/100000000</f>
        <v>1.19232</v>
      </c>
      <c r="DR20" s="6">
        <f>日流量!DR20*24*3600/100000000</f>
        <v>1.1836800000000001</v>
      </c>
      <c r="DS20" s="6">
        <f>日流量!DS20*24*3600/100000000</f>
        <v>1.1836800000000001</v>
      </c>
      <c r="DT20" s="6">
        <f>日流量!DT20*24*3600/100000000</f>
        <v>1.20096</v>
      </c>
      <c r="DU20" s="6">
        <f>日流量!DU20*24*3600/100000000</f>
        <v>1.23552</v>
      </c>
      <c r="DV20" s="6">
        <f>日流量!DV20*24*3600/100000000</f>
        <v>1.30464</v>
      </c>
      <c r="DW20" s="6">
        <f>日流量!DW20*24*3600/100000000</f>
        <v>1.39968</v>
      </c>
      <c r="DX20" s="6">
        <f>日流量!DX20*24*3600/100000000</f>
        <v>1.50336</v>
      </c>
      <c r="DY20" s="6">
        <f>日流量!DY20*24*3600/100000000</f>
        <v>1.5638399999999999</v>
      </c>
      <c r="DZ20" s="6">
        <f>日流量!DZ20*24*3600/100000000</f>
        <v>1.6502399999999999</v>
      </c>
      <c r="EA20" s="6">
        <f>日流量!EA20*24*3600/100000000</f>
        <v>1.6761600000000001</v>
      </c>
      <c r="EB20" s="6">
        <f>日流量!EB20*24*3600/100000000</f>
        <v>1.6502399999999999</v>
      </c>
      <c r="EC20" s="6">
        <f>日流量!EC20*24*3600/100000000</f>
        <v>1.61568</v>
      </c>
      <c r="ED20" s="6">
        <f>日流量!ED20*24*3600/100000000</f>
        <v>1.5984</v>
      </c>
      <c r="EE20" s="6">
        <f>日流量!EE20*24*3600/100000000</f>
        <v>1.5811200000000001</v>
      </c>
      <c r="EF20" s="6">
        <f>日流量!EF20*24*3600/100000000</f>
        <v>1.5811200000000001</v>
      </c>
      <c r="EG20" s="6">
        <f>日流量!EG20*24*3600/100000000</f>
        <v>1.5551999999999999</v>
      </c>
      <c r="EH20" s="6">
        <f>日流量!EH20*24*3600/100000000</f>
        <v>1.5811200000000001</v>
      </c>
      <c r="EI20" s="6">
        <f>日流量!EI20*24*3600/100000000</f>
        <v>1.60704</v>
      </c>
      <c r="EJ20" s="6">
        <f>日流量!EJ20*24*3600/100000000</f>
        <v>1.63296</v>
      </c>
      <c r="EK20" s="6">
        <f>日流量!EK20*24*3600/100000000</f>
        <v>1.62432</v>
      </c>
      <c r="EL20" s="6">
        <f>日流量!EL20*24*3600/100000000</f>
        <v>1.6502399999999999</v>
      </c>
      <c r="EM20" s="6">
        <f>日流量!EM20*24*3600/100000000</f>
        <v>1.71072</v>
      </c>
      <c r="EN20" s="6">
        <f>日流量!EN20*24*3600/100000000</f>
        <v>1.84032</v>
      </c>
      <c r="EO20" s="6">
        <f>日流量!EO20*24*3600/100000000</f>
        <v>1.9526399999999999</v>
      </c>
      <c r="EP20" s="6">
        <f>日流量!EP20*24*3600/100000000</f>
        <v>2.00448</v>
      </c>
      <c r="EQ20" s="6">
        <f>日流量!EQ20*24*3600/100000000</f>
        <v>1.9872000000000001</v>
      </c>
      <c r="ER20" s="6">
        <f>日流量!ER20*24*3600/100000000</f>
        <v>1.92672</v>
      </c>
      <c r="ES20" s="6">
        <f>日流量!ES20*24*3600/100000000</f>
        <v>1.8835200000000001</v>
      </c>
      <c r="ET20" s="6">
        <f>日流量!ET20*24*3600/100000000</f>
        <v>1.8144</v>
      </c>
      <c r="EU20" s="6">
        <f>日流量!EU20*24*3600/100000000</f>
        <v>1.7625599999999999</v>
      </c>
      <c r="EV20" s="6">
        <f>日流量!EV20*24*3600/100000000</f>
        <v>1.71072</v>
      </c>
      <c r="EW20" s="6">
        <f>日流量!EW20*24*3600/100000000</f>
        <v>1.6848000000000001</v>
      </c>
      <c r="EX20" s="6">
        <f>日流量!EX20*24*3600/100000000</f>
        <v>1.71072</v>
      </c>
      <c r="EY20" s="6">
        <f>日流量!EY20*24*3600/100000000</f>
        <v>1.7539199999999999</v>
      </c>
      <c r="EZ20" s="6">
        <f>日流量!EZ20*24*3600/100000000</f>
        <v>1.91808</v>
      </c>
      <c r="FA20" s="6">
        <f>日流量!FA20*24*3600/100000000</f>
        <v>2.0563199999999999</v>
      </c>
      <c r="FB20" s="6">
        <f>日流量!FB20*24*3600/100000000</f>
        <v>2.1859199999999999</v>
      </c>
      <c r="FC20" s="6">
        <f>日流量!FC20*24*3600/100000000</f>
        <v>2.3500800000000002</v>
      </c>
      <c r="FD20" s="6">
        <f>日流量!FD20*24*3600/100000000</f>
        <v>2.43648</v>
      </c>
      <c r="FE20" s="6">
        <f>日流量!FE20*24*3600/100000000</f>
        <v>2.3587199999999999</v>
      </c>
      <c r="FF20" s="6">
        <f>日流量!FF20*24*3600/100000000</f>
        <v>2.3846400000000001</v>
      </c>
      <c r="FG20" s="6">
        <f>日流量!FG20*24*3600/100000000</f>
        <v>2.4019200000000001</v>
      </c>
      <c r="FH20" s="6">
        <f>日流量!FH20*24*3600/100000000</f>
        <v>2.2377600000000002</v>
      </c>
      <c r="FI20" s="6">
        <f>日流量!FI20*24*3600/100000000</f>
        <v>1.8835200000000001</v>
      </c>
      <c r="FJ20" s="6">
        <f>日流量!FJ20*24*3600/100000000</f>
        <v>1.8748800000000001</v>
      </c>
      <c r="FK20" s="6">
        <f>日流量!FK20*24*3600/100000000</f>
        <v>1.92672</v>
      </c>
      <c r="FL20" s="6">
        <f>日流量!FL20*24*3600/100000000</f>
        <v>1.8144</v>
      </c>
      <c r="FM20" s="6">
        <f>日流量!FM20*24*3600/100000000</f>
        <v>2.0476800000000002</v>
      </c>
      <c r="FN20" s="6">
        <f>日流量!FN20*24*3600/100000000</f>
        <v>2.2464</v>
      </c>
      <c r="FO20" s="6">
        <f>日流量!FO20*24*3600/100000000</f>
        <v>2.13408</v>
      </c>
      <c r="FP20" s="6">
        <f>日流量!FP20*24*3600/100000000</f>
        <v>5.9011199999999997</v>
      </c>
      <c r="FQ20" s="6">
        <f>日流量!FQ20*24*3600/100000000</f>
        <v>4.6310399999999996</v>
      </c>
      <c r="FR20" s="6">
        <f>日流量!FR20*24*3600/100000000</f>
        <v>3.1536</v>
      </c>
      <c r="FS20" s="6">
        <f>日流量!FS20*24*3600/100000000</f>
        <v>3.024</v>
      </c>
      <c r="FT20" s="6">
        <f>日流量!FT20*24*3600/100000000</f>
        <v>2.9635199999999999</v>
      </c>
      <c r="FU20" s="6">
        <f>日流量!FU20*24*3600/100000000</f>
        <v>2.9635199999999999</v>
      </c>
      <c r="FV20" s="6">
        <f>日流量!FV20*24*3600/100000000</f>
        <v>3.3696000000000002</v>
      </c>
      <c r="FW20" s="6">
        <f>日流量!FW20*24*3600/100000000</f>
        <v>3.7756799999999999</v>
      </c>
      <c r="FX20" s="6">
        <f>日流量!FX20*24*3600/100000000</f>
        <v>3.7324799999999998</v>
      </c>
      <c r="FY20" s="6">
        <f>日流量!FY20*24*3600/100000000</f>
        <v>4.0262399999999996</v>
      </c>
      <c r="FZ20" s="6">
        <f>日流量!FZ20*24*3600/100000000</f>
        <v>3.85344</v>
      </c>
      <c r="GA20" s="6">
        <f>日流量!GA20*24*3600/100000000</f>
        <v>3.85344</v>
      </c>
      <c r="GB20" s="6">
        <f>日流量!GB20*24*3600/100000000</f>
        <v>3.8188800000000001</v>
      </c>
      <c r="GC20" s="6">
        <f>日流量!GC20*24*3600/100000000</f>
        <v>3.6374399999999998</v>
      </c>
      <c r="GD20" s="6">
        <f>日流量!GD20*24*3600/100000000</f>
        <v>3.5855999999999999</v>
      </c>
      <c r="GE20" s="6">
        <f>日流量!GE20*24*3600/100000000</f>
        <v>3.43872</v>
      </c>
      <c r="GF20" s="6">
        <f>日流量!GF20*24*3600/100000000</f>
        <v>3.2659199999999999</v>
      </c>
      <c r="GG20" s="6">
        <f>日流量!GG20*24*3600/100000000</f>
        <v>3.1622400000000002</v>
      </c>
      <c r="GH20" s="6">
        <f>日流量!GH20*24*3600/100000000</f>
        <v>3.2572800000000002</v>
      </c>
      <c r="GI20" s="6">
        <f>日流量!GI20*24*3600/100000000</f>
        <v>3.3782399999999999</v>
      </c>
      <c r="GJ20" s="6">
        <f>日流量!GJ20*24*3600/100000000</f>
        <v>3.6028799999999999</v>
      </c>
      <c r="GK20" s="6">
        <f>日流量!GK20*24*3600/100000000</f>
        <v>3.8188800000000001</v>
      </c>
      <c r="GL20" s="6">
        <f>日流量!GL20*24*3600/100000000</f>
        <v>3.9830399999999999</v>
      </c>
      <c r="GM20" s="6">
        <f>日流量!GM20*24*3600/100000000</f>
        <v>3.9398399999999998</v>
      </c>
      <c r="GN20" s="6">
        <f>日流量!GN20*24*3600/100000000</f>
        <v>3.9052799999999999</v>
      </c>
      <c r="GO20" s="6">
        <f>日流量!GO20*24*3600/100000000</f>
        <v>4.2595200000000002</v>
      </c>
      <c r="GP20" s="6">
        <f>日流量!GP20*24*3600/100000000</f>
        <v>4.9248000000000003</v>
      </c>
      <c r="GQ20" s="6">
        <f>日流量!GQ20*24*3600/100000000</f>
        <v>4.9766399999999997</v>
      </c>
      <c r="GR20" s="6">
        <f>日流量!GR20*24*3600/100000000</f>
        <v>4.8556800000000004</v>
      </c>
      <c r="GS20" s="6">
        <f>日流量!GS20*24*3600/100000000</f>
        <v>4.8556800000000004</v>
      </c>
      <c r="GT20" s="6">
        <f>日流量!GT20*24*3600/100000000</f>
        <v>4.6569599999999998</v>
      </c>
      <c r="GU20" s="6">
        <f>日流量!GU20*24*3600/100000000</f>
        <v>4.3545600000000002</v>
      </c>
      <c r="GV20" s="6">
        <f>日流量!GV20*24*3600/100000000</f>
        <v>4.0608000000000004</v>
      </c>
      <c r="GW20" s="6">
        <f>日流量!GW20*24*3600/100000000</f>
        <v>4.1904000000000003</v>
      </c>
      <c r="GX20" s="6">
        <f>日流量!GX20*24*3600/100000000</f>
        <v>4.9507199999999996</v>
      </c>
      <c r="GY20" s="6">
        <f>日流量!GY20*24*3600/100000000</f>
        <v>6.2899200000000004</v>
      </c>
      <c r="GZ20" s="6">
        <f>日流量!GZ20*24*3600/100000000</f>
        <v>7.0415999999999999</v>
      </c>
      <c r="HA20" s="6">
        <f>日流量!HA20*24*3600/100000000</f>
        <v>6.8860799999999998</v>
      </c>
      <c r="HB20" s="6">
        <f>日流量!HB20*24*3600/100000000</f>
        <v>7.0156799999999997</v>
      </c>
      <c r="HC20" s="6">
        <f>日流量!HC20*24*3600/100000000</f>
        <v>7.1452799999999996</v>
      </c>
      <c r="HD20" s="6">
        <f>日流量!HD20*24*3600/100000000</f>
        <v>7.1193600000000004</v>
      </c>
      <c r="HE20" s="6">
        <f>日流量!HE20*24*3600/100000000</f>
        <v>6.6528</v>
      </c>
      <c r="HF20" s="6">
        <f>日流量!HF20*24*3600/100000000</f>
        <v>6.2294400000000003</v>
      </c>
      <c r="HG20" s="6">
        <f>日流量!HG20*24*3600/100000000</f>
        <v>5.9097600000000003</v>
      </c>
      <c r="HH20" s="6">
        <f>日流量!HH20*24*3600/100000000</f>
        <v>5.4518399999999998</v>
      </c>
      <c r="HI20" s="6">
        <f>日流量!HI20*24*3600/100000000</f>
        <v>4.9161599999999996</v>
      </c>
      <c r="HJ20" s="6">
        <f>日流量!HJ20*24*3600/100000000</f>
        <v>4.5878399999999999</v>
      </c>
      <c r="HK20" s="6">
        <f>日流量!HK20*24*3600/100000000</f>
        <v>4.6137600000000001</v>
      </c>
      <c r="HL20" s="6">
        <f>日流量!HL20*24*3600/100000000</f>
        <v>5.2012799999999997</v>
      </c>
      <c r="HM20" s="6">
        <f>日流量!HM20*24*3600/100000000</f>
        <v>5.6764799999999997</v>
      </c>
      <c r="HN20" s="6">
        <f>日流量!HN20*24*3600/100000000</f>
        <v>6.2985600000000002</v>
      </c>
      <c r="HO20" s="6">
        <f>日流量!HO20*24*3600/100000000</f>
        <v>7.1452799999999996</v>
      </c>
      <c r="HP20" s="6">
        <f>日流量!HP20*24*3600/100000000</f>
        <v>7.2057599999999997</v>
      </c>
      <c r="HQ20" s="6">
        <f>日流量!HQ20*24*3600/100000000</f>
        <v>6.9119999999999999</v>
      </c>
      <c r="HR20" s="6">
        <f>日流量!HR20*24*3600/100000000</f>
        <v>6.5663999999999998</v>
      </c>
      <c r="HS20" s="6">
        <f>日流量!HS20*24*3600/100000000</f>
        <v>6.1171199999999999</v>
      </c>
      <c r="HT20" s="6">
        <f>日流量!HT20*24*3600/100000000</f>
        <v>5.9270399999999999</v>
      </c>
      <c r="HU20" s="6">
        <f>日流量!HU20*24*3600/100000000</f>
        <v>5.8924799999999999</v>
      </c>
      <c r="HV20" s="6">
        <f>日流量!HV20*24*3600/100000000</f>
        <v>6.1084800000000001</v>
      </c>
      <c r="HW20" s="6">
        <f>日流量!HW20*24*3600/100000000</f>
        <v>6.3158399999999997</v>
      </c>
      <c r="HX20" s="6">
        <f>日流量!HX20*24*3600/100000000</f>
        <v>6.6959999999999997</v>
      </c>
      <c r="HY20" s="6">
        <f>日流量!HY20*24*3600/100000000</f>
        <v>6.7996800000000004</v>
      </c>
      <c r="HZ20" s="6">
        <f>日流量!HZ20*24*3600/100000000</f>
        <v>6.8860799999999998</v>
      </c>
      <c r="IA20" s="6">
        <f>日流量!IA20*24*3600/100000000</f>
        <v>6.6787200000000002</v>
      </c>
      <c r="IB20" s="6">
        <f>日流量!IB20*24*3600/100000000</f>
        <v>6.2294400000000003</v>
      </c>
      <c r="IC20" s="6">
        <f>日流量!IC20*24*3600/100000000</f>
        <v>5.7023999999999999</v>
      </c>
      <c r="ID20" s="6">
        <f>日流量!ID20*24*3600/100000000</f>
        <v>5.2271999999999998</v>
      </c>
      <c r="IE20" s="6">
        <f>日流量!IE20*24*3600/100000000</f>
        <v>4.8815999999999997</v>
      </c>
      <c r="IF20" s="6">
        <f>日流量!IF20*24*3600/100000000</f>
        <v>4.7865599999999997</v>
      </c>
      <c r="IG20" s="6">
        <f>日流量!IG20*24*3600/100000000</f>
        <v>4.7779199999999999</v>
      </c>
      <c r="IH20" s="6">
        <f>日流量!IH20*24*3600/100000000</f>
        <v>4.6915199999999997</v>
      </c>
      <c r="II20" s="6">
        <f>日流量!II20*24*3600/100000000</f>
        <v>4.6137600000000001</v>
      </c>
      <c r="IJ20" s="6">
        <f>日流量!IJ20*24*3600/100000000</f>
        <v>4.5964799999999997</v>
      </c>
      <c r="IK20" s="6">
        <f>日流量!IK20*24*3600/100000000</f>
        <v>4.4236800000000001</v>
      </c>
      <c r="IL20" s="6">
        <f>日流量!IL20*24*3600/100000000</f>
        <v>4.4150400000000003</v>
      </c>
      <c r="IM20" s="6">
        <f>日流量!IM20*24*3600/100000000</f>
        <v>4.3804800000000004</v>
      </c>
      <c r="IN20" s="6">
        <f>日流量!IN20*24*3600/100000000</f>
        <v>4.55328</v>
      </c>
      <c r="IO20" s="6">
        <f>日流量!IO20*24*3600/100000000</f>
        <v>4.6569599999999998</v>
      </c>
      <c r="IP20" s="6">
        <f>日流量!IP20*24*3600/100000000</f>
        <v>4.8470399999999998</v>
      </c>
      <c r="IQ20" s="6">
        <f>日流量!IQ20*24*3600/100000000</f>
        <v>4.8211199999999996</v>
      </c>
      <c r="IR20" s="6">
        <f>日流量!IR20*24*3600/100000000</f>
        <v>4.8384</v>
      </c>
      <c r="IS20" s="6">
        <f>日流量!IS20*24*3600/100000000</f>
        <v>4.8815999999999997</v>
      </c>
      <c r="IT20" s="6">
        <f>日流量!IT20*24*3600/100000000</f>
        <v>4.7865599999999997</v>
      </c>
      <c r="IU20" s="6">
        <f>日流量!IU20*24*3600/100000000</f>
        <v>4.87296</v>
      </c>
      <c r="IV20" s="6">
        <f>日流量!IV20*24*3600/100000000</f>
        <v>5.3049600000000003</v>
      </c>
      <c r="IW20" s="6">
        <f>日流量!IW20*24*3600/100000000</f>
        <v>5.7196800000000003</v>
      </c>
      <c r="IX20" s="6">
        <f>日流量!IX20*24*3600/100000000</f>
        <v>5.9702400000000004</v>
      </c>
      <c r="IY20" s="6">
        <f>日流量!IY20*24*3600/100000000</f>
        <v>6.1603199999999996</v>
      </c>
      <c r="IZ20" s="6">
        <f>日流量!IZ20*24*3600/100000000</f>
        <v>6.2207999999999997</v>
      </c>
      <c r="JA20" s="6">
        <f>日流量!JA20*24*3600/100000000</f>
        <v>5.8838400000000002</v>
      </c>
      <c r="JB20" s="6">
        <f>日流量!JB20*24*3600/100000000</f>
        <v>5.3913599999999997</v>
      </c>
      <c r="JC20" s="6">
        <f>日流量!JC20*24*3600/100000000</f>
        <v>5.0803200000000004</v>
      </c>
      <c r="JD20" s="6">
        <f>日流量!JD20*24*3600/100000000</f>
        <v>5.0889600000000002</v>
      </c>
      <c r="JE20" s="6">
        <f>日流量!JE20*24*3600/100000000</f>
        <v>5.2963199999999997</v>
      </c>
      <c r="JF20" s="6">
        <f>日流量!JF20*24*3600/100000000</f>
        <v>6.08256</v>
      </c>
      <c r="JG20" s="6">
        <f>日流量!JG20*24*3600/100000000</f>
        <v>6.2985600000000002</v>
      </c>
      <c r="JH20" s="6">
        <f>日流量!JH20*24*3600/100000000</f>
        <v>6.2985600000000002</v>
      </c>
      <c r="JI20" s="6">
        <f>日流量!JI20*24*3600/100000000</f>
        <v>5.9702400000000004</v>
      </c>
      <c r="JJ20" s="6">
        <f>日流量!JJ20*24*3600/100000000</f>
        <v>5.7369599999999998</v>
      </c>
      <c r="JK20" s="6">
        <f>日流量!JK20*24*3600/100000000</f>
        <v>5.6246400000000003</v>
      </c>
      <c r="JL20" s="6">
        <f>日流量!JL20*24*3600/100000000</f>
        <v>5.4691200000000002</v>
      </c>
      <c r="JM20" s="6">
        <f>日流量!JM20*24*3600/100000000</f>
        <v>5.2444800000000003</v>
      </c>
      <c r="JN20" s="6">
        <f>日流量!JN20*24*3600/100000000</f>
        <v>5.0111999999999997</v>
      </c>
      <c r="JO20" s="6">
        <f>日流量!JO20*24*3600/100000000</f>
        <v>4.9161599999999996</v>
      </c>
      <c r="JP20" s="6">
        <f>日流量!JP20*24*3600/100000000</f>
        <v>4.7260799999999996</v>
      </c>
      <c r="JQ20" s="6">
        <f>日流量!JQ20*24*3600/100000000</f>
        <v>5.0889600000000002</v>
      </c>
      <c r="JR20" s="6">
        <f>日流量!JR20*24*3600/100000000</f>
        <v>5.3913599999999997</v>
      </c>
      <c r="JS20" s="6">
        <f>日流量!JS20*24*3600/100000000</f>
        <v>5.6764799999999997</v>
      </c>
      <c r="JT20" s="6">
        <f>日流量!JT20*24*3600/100000000</f>
        <v>5.8492800000000003</v>
      </c>
      <c r="JU20" s="6">
        <f>日流量!JU20*24*3600/100000000</f>
        <v>5.7283200000000001</v>
      </c>
      <c r="JV20" s="6">
        <f>日流量!JV20*24*3600/100000000</f>
        <v>5.8147200000000003</v>
      </c>
      <c r="JW20" s="6">
        <f>日流量!JW20*24*3600/100000000</f>
        <v>5.9184000000000001</v>
      </c>
      <c r="JX20" s="6">
        <f>日流量!JX20*24*3600/100000000</f>
        <v>5.5728</v>
      </c>
      <c r="JY20" s="6">
        <f>日流量!JY20*24*3600/100000000</f>
        <v>5.3395200000000003</v>
      </c>
      <c r="JZ20" s="6">
        <f>日流量!JZ20*24*3600/100000000</f>
        <v>5.0803200000000004</v>
      </c>
      <c r="KA20" s="6">
        <f>日流量!KA20*24*3600/100000000</f>
        <v>4.87296</v>
      </c>
      <c r="KB20" s="6">
        <f>日流量!KB20*24*3600/100000000</f>
        <v>4.7088000000000001</v>
      </c>
      <c r="KC20" s="6">
        <f>日流量!KC20*24*3600/100000000</f>
        <v>4.6656000000000004</v>
      </c>
      <c r="KD20" s="6">
        <f>日流量!KD20*24*3600/100000000</f>
        <v>4.7692800000000002</v>
      </c>
      <c r="KE20" s="6">
        <f>日流量!KE20*24*3600/100000000</f>
        <v>4.9593600000000002</v>
      </c>
      <c r="KF20" s="6">
        <f>日流量!KF20*24*3600/100000000</f>
        <v>4.64832</v>
      </c>
      <c r="KG20" s="6">
        <f>日流量!KG20*24*3600/100000000</f>
        <v>4.3113599999999996</v>
      </c>
      <c r="KH20" s="6">
        <f>日流量!KH20*24*3600/100000000</f>
        <v>4.0608000000000004</v>
      </c>
      <c r="KI20" s="6">
        <f>日流量!KI20*24*3600/100000000</f>
        <v>3.8879999999999999</v>
      </c>
      <c r="KJ20" s="6">
        <f>日流量!KJ20*24*3600/100000000</f>
        <v>3.7497600000000002</v>
      </c>
      <c r="KK20" s="6">
        <f>日流量!KK20*24*3600/100000000</f>
        <v>3.64608</v>
      </c>
      <c r="KL20" s="6">
        <f>日流量!KL20*24*3600/100000000</f>
        <v>3.5424000000000002</v>
      </c>
      <c r="KM20" s="6">
        <f>日流量!KM20*24*3600/100000000</f>
        <v>3.43872</v>
      </c>
      <c r="KN20" s="6">
        <f>日流量!KN20*24*3600/100000000</f>
        <v>3.3955199999999999</v>
      </c>
      <c r="KO20" s="6">
        <f>日流量!KO20*24*3600/100000000</f>
        <v>3.4905599999999999</v>
      </c>
      <c r="KP20" s="6">
        <f>日流量!KP20*24*3600/100000000</f>
        <v>3.4473600000000002</v>
      </c>
      <c r="KQ20" s="6">
        <f>日流量!KQ20*24*3600/100000000</f>
        <v>3.3177599999999998</v>
      </c>
      <c r="KR20" s="6">
        <f>日流量!KR20*24*3600/100000000</f>
        <v>3.2054399999999998</v>
      </c>
      <c r="KS20" s="6">
        <f>日流量!KS20*24*3600/100000000</f>
        <v>3.1017600000000001</v>
      </c>
      <c r="KT20" s="6">
        <f>日流量!KT20*24*3600/100000000</f>
        <v>3.0067200000000001</v>
      </c>
      <c r="KU20" s="6">
        <f>日流量!KU20*24*3600/100000000</f>
        <v>2.9203199999999998</v>
      </c>
      <c r="KV20" s="6">
        <f>日流量!KV20*24*3600/100000000</f>
        <v>2.8512</v>
      </c>
      <c r="KW20" s="6">
        <f>日流量!KW20*24*3600/100000000</f>
        <v>2.7734399999999999</v>
      </c>
      <c r="KX20" s="6">
        <f>日流量!KX20*24*3600/100000000</f>
        <v>2.6956799999999999</v>
      </c>
      <c r="KY20" s="6">
        <f>日流量!KY20*24*3600/100000000</f>
        <v>2.62656</v>
      </c>
      <c r="KZ20" s="6">
        <f>日流量!KZ20*24*3600/100000000</f>
        <v>2.5660799999999999</v>
      </c>
      <c r="LA20" s="6">
        <f>日流量!LA20*24*3600/100000000</f>
        <v>2.4969600000000001</v>
      </c>
      <c r="LB20" s="6">
        <f>日流量!LB20*24*3600/100000000</f>
        <v>2.4278400000000002</v>
      </c>
      <c r="LC20" s="6">
        <f>日流量!LC20*24*3600/100000000</f>
        <v>2.3673600000000001</v>
      </c>
      <c r="LD20" s="6">
        <f>日流量!LD20*24*3600/100000000</f>
        <v>2.30688</v>
      </c>
      <c r="LE20" s="6">
        <f>日流量!LE20*24*3600/100000000</f>
        <v>2.2377600000000002</v>
      </c>
      <c r="LF20" s="6">
        <f>日流量!LF20*24*3600/100000000</f>
        <v>2.1772800000000001</v>
      </c>
      <c r="LG20" s="6">
        <f>日流量!LG20*24*3600/100000000</f>
        <v>2.1513599999999999</v>
      </c>
      <c r="LH20" s="6">
        <f>日流量!LH20*24*3600/100000000</f>
        <v>2.0995200000000001</v>
      </c>
      <c r="LI20" s="6">
        <f>日流量!LI20*24*3600/100000000</f>
        <v>2.0563199999999999</v>
      </c>
      <c r="LJ20" s="6">
        <f>日流量!LJ20*24*3600/100000000</f>
        <v>2.0131199999999998</v>
      </c>
      <c r="LK20" s="6">
        <f>日流量!LK20*24*3600/100000000</f>
        <v>1.9785600000000001</v>
      </c>
      <c r="LL20" s="6">
        <f>日流量!LL20*24*3600/100000000</f>
        <v>1.9526399999999999</v>
      </c>
      <c r="LM20" s="6">
        <f>日流量!LM20*24*3600/100000000</f>
        <v>1.91808</v>
      </c>
      <c r="LN20" s="6">
        <f>日流量!LN20*24*3600/100000000</f>
        <v>1.9008</v>
      </c>
      <c r="LO20" s="6">
        <f>日流量!LO20*24*3600/100000000</f>
        <v>1.8575999999999999</v>
      </c>
      <c r="LP20" s="6">
        <f>日流量!LP20*24*3600/100000000</f>
        <v>1.8489599999999999</v>
      </c>
      <c r="LQ20" s="6">
        <f>日流量!LQ20*24*3600/100000000</f>
        <v>1.83168</v>
      </c>
      <c r="LR20" s="6">
        <f>日流量!LR20*24*3600/100000000</f>
        <v>1.7971200000000001</v>
      </c>
      <c r="LS20" s="6">
        <f>日流量!LS20*24*3600/100000000</f>
        <v>1.7712000000000001</v>
      </c>
      <c r="LT20" s="6">
        <f>日流量!LT20*24*3600/100000000</f>
        <v>1.7712000000000001</v>
      </c>
      <c r="LU20" s="6">
        <f>日流量!LU20*24*3600/100000000</f>
        <v>1.7971200000000001</v>
      </c>
      <c r="LV20" s="6">
        <f>日流量!LV20*24*3600/100000000</f>
        <v>1.7539199999999999</v>
      </c>
      <c r="LW20" s="6">
        <f>日流量!LW20*24*3600/100000000</f>
        <v>1.71072</v>
      </c>
      <c r="LX20" s="6">
        <f>日流量!LX20*24*3600/100000000</f>
        <v>1.6761600000000001</v>
      </c>
      <c r="LY20" s="6">
        <f>日流量!LY20*24*3600/100000000</f>
        <v>1.6415999999999999</v>
      </c>
      <c r="LZ20" s="6">
        <f>日流量!LZ20*24*3600/100000000</f>
        <v>1.62432</v>
      </c>
      <c r="MA20" s="6">
        <f>日流量!MA20*24*3600/100000000</f>
        <v>1.60704</v>
      </c>
      <c r="MB20" s="6">
        <f>日流量!MB20*24*3600/100000000</f>
        <v>1.5811200000000001</v>
      </c>
      <c r="MC20" s="6">
        <f>日流量!MC20*24*3600/100000000</f>
        <v>1.5638399999999999</v>
      </c>
      <c r="MD20" s="6">
        <f>日流量!MD20*24*3600/100000000</f>
        <v>1.52928</v>
      </c>
      <c r="ME20" s="6">
        <f>日流量!ME20*24*3600/100000000</f>
        <v>1.49472</v>
      </c>
      <c r="MF20" s="6">
        <f>日流量!MF20*24*3600/100000000</f>
        <v>1.4601599999999999</v>
      </c>
      <c r="MG20" s="6">
        <f>日流量!MG20*24*3600/100000000</f>
        <v>1.43424</v>
      </c>
      <c r="MH20" s="6">
        <f>日流量!MH20*24*3600/100000000</f>
        <v>1.40832</v>
      </c>
      <c r="MI20" s="6">
        <f>日流量!MI20*24*3600/100000000</f>
        <v>1.3824000000000001</v>
      </c>
      <c r="MJ20" s="6">
        <f>日流量!MJ20*24*3600/100000000</f>
        <v>1.3564799999999999</v>
      </c>
      <c r="MK20" s="6">
        <f>日流量!MK20*24*3600/100000000</f>
        <v>1.3391999999999999</v>
      </c>
      <c r="ML20" s="6">
        <f>日流量!ML20*24*3600/100000000</f>
        <v>1.3391999999999999</v>
      </c>
      <c r="MM20" s="6">
        <f>日流量!MM20*24*3600/100000000</f>
        <v>1.3391999999999999</v>
      </c>
      <c r="MN20" s="6">
        <f>日流量!MN20*24*3600/100000000</f>
        <v>1.33056</v>
      </c>
      <c r="MO20" s="6">
        <f>日流量!MO20*24*3600/100000000</f>
        <v>1.33056</v>
      </c>
      <c r="MP20" s="6">
        <f>日流量!MP20*24*3600/100000000</f>
        <v>1.31328</v>
      </c>
      <c r="MQ20" s="6">
        <f>日流量!MQ20*24*3600/100000000</f>
        <v>1.296</v>
      </c>
      <c r="MR20" s="6">
        <f>日流量!MR20*24*3600/100000000</f>
        <v>1.2787200000000001</v>
      </c>
      <c r="MS20" s="6">
        <f>日流量!MS20*24*3600/100000000</f>
        <v>1.2614399999999999</v>
      </c>
      <c r="MT20" s="6">
        <f>日流量!MT20*24*3600/100000000</f>
        <v>1.23552</v>
      </c>
      <c r="MU20" s="6">
        <f>日流量!MU20*24*3600/100000000</f>
        <v>1.22688</v>
      </c>
      <c r="MV20" s="6">
        <f>日流量!MV20*24*3600/100000000</f>
        <v>1.21824</v>
      </c>
      <c r="MW20" s="6">
        <f>日流量!MW20*24*3600/100000000</f>
        <v>1.21824</v>
      </c>
      <c r="MX20" s="6">
        <f>日流量!MX20*24*3600/100000000</f>
        <v>1.20096</v>
      </c>
      <c r="MY20" s="6">
        <f>日流量!MY20*24*3600/100000000</f>
        <v>1.1836800000000001</v>
      </c>
      <c r="MZ20" s="6">
        <f>日流量!MZ20*24*3600/100000000</f>
        <v>1.1750400000000001</v>
      </c>
      <c r="NA20" s="6">
        <f>日流量!NA20*24*3600/100000000</f>
        <v>1.1664000000000001</v>
      </c>
      <c r="NB20" s="6">
        <f>日流量!NB20*24*3600/100000000</f>
        <v>1.1577599999999999</v>
      </c>
      <c r="NC20" s="6"/>
      <c r="ND20" s="6">
        <f>日流量!ND20*24*3600*31/100000000</f>
        <v>41.78304</v>
      </c>
      <c r="NE20" s="6">
        <f>日流量!NE20*24*3600*28/100000000</f>
        <v>32.901119999999999</v>
      </c>
      <c r="NF20" s="6">
        <f>日流量!NF20*24*3600*31/100000000</f>
        <v>33.212159999999997</v>
      </c>
      <c r="NG20" s="6">
        <f>日流量!NG20*24*3600*30/100000000</f>
        <v>32.4</v>
      </c>
      <c r="NH20" s="6">
        <f>日流量!NH20*24*3600*31/100000000</f>
        <v>50.621760000000002</v>
      </c>
      <c r="NI20" s="6">
        <f>日流量!NI20*24*3600*30/100000000</f>
        <v>82.944000000000003</v>
      </c>
      <c r="NJ20" s="6">
        <f>日流量!NJ20*24*3600*31/100000000</f>
        <v>147.31200000000001</v>
      </c>
      <c r="NK20" s="6">
        <f>日流量!NK20*24*3600*31/100000000</f>
        <v>177.84576000000001</v>
      </c>
      <c r="NL20" s="6">
        <f>日流量!NL20*24*3600*30/100000000</f>
        <v>159.9264</v>
      </c>
      <c r="NM20" s="6">
        <f>日流量!NM20*24*3600*31/100000000</f>
        <v>138.47327999999999</v>
      </c>
      <c r="NN20" s="6">
        <f>日流量!NN20*24*3600*30/100000000</f>
        <v>64.281599999999997</v>
      </c>
      <c r="NO20" s="6">
        <f>日流量!NO20*24*3600*31/100000000</f>
        <v>41.78304</v>
      </c>
      <c r="NP20" s="14">
        <f t="shared" si="10"/>
        <v>1003.48416</v>
      </c>
      <c r="NQ20" s="6">
        <f>日流量!NQ20*24*3600/100000000</f>
        <v>7.2057599999999997</v>
      </c>
      <c r="NR20" s="4">
        <f>日流量!NR20</f>
        <v>42592</v>
      </c>
      <c r="NS20" s="6">
        <f>日流量!NS20*24*3600/100000000</f>
        <v>1.0367999999999999</v>
      </c>
      <c r="NT20" s="4">
        <f>日流量!NT20</f>
        <v>42458</v>
      </c>
      <c r="NU20" s="7">
        <f>日流量!NP20</f>
        <v>3181.5068493150684</v>
      </c>
      <c r="NW20" s="13">
        <f t="shared" si="0"/>
        <v>757.1232</v>
      </c>
      <c r="NX20" s="12">
        <f t="shared" si="1"/>
        <v>75.449442071910738</v>
      </c>
      <c r="NY20" s="13">
        <f t="shared" si="2"/>
        <v>568.02816000000007</v>
      </c>
      <c r="NZ20" s="12">
        <f t="shared" si="3"/>
        <v>56.605593056894897</v>
      </c>
      <c r="OA20" s="13">
        <f t="shared" si="4"/>
        <v>246.36095999999998</v>
      </c>
      <c r="OB20" s="12">
        <f t="shared" si="5"/>
        <v>24.550557928089269</v>
      </c>
      <c r="OC20" s="13">
        <f t="shared" si="6"/>
        <v>177.84576000000001</v>
      </c>
      <c r="OD20" s="12">
        <f t="shared" si="7"/>
        <v>17.722826835652295</v>
      </c>
      <c r="OE20" s="12">
        <f t="shared" si="8"/>
        <v>234.45891588785045</v>
      </c>
      <c r="OF20" s="12">
        <f t="shared" si="9"/>
        <v>7.4346434515426969</v>
      </c>
    </row>
    <row r="21" spans="1:396" x14ac:dyDescent="0.15">
      <c r="A21" s="2">
        <v>1968</v>
      </c>
      <c r="B21" s="6">
        <f>日流量!B21*24*3600/100000000</f>
        <v>1.2096</v>
      </c>
      <c r="C21" s="6">
        <f>日流量!C21*24*3600/100000000</f>
        <v>1.2096</v>
      </c>
      <c r="D21" s="6">
        <f>日流量!D21*24*3600/100000000</f>
        <v>1.20096</v>
      </c>
      <c r="E21" s="6">
        <f>日流量!E21*24*3600/100000000</f>
        <v>1.19232</v>
      </c>
      <c r="F21" s="6">
        <f>日流量!F21*24*3600/100000000</f>
        <v>1.1836800000000001</v>
      </c>
      <c r="G21" s="6">
        <f>日流量!G21*24*3600/100000000</f>
        <v>1.1836800000000001</v>
      </c>
      <c r="H21" s="6">
        <f>日流量!H21*24*3600/100000000</f>
        <v>1.1664000000000001</v>
      </c>
      <c r="I21" s="6">
        <f>日流量!I21*24*3600/100000000</f>
        <v>1.1491199999999999</v>
      </c>
      <c r="J21" s="6">
        <f>日流量!J21*24*3600/100000000</f>
        <v>1.1232</v>
      </c>
      <c r="K21" s="6">
        <f>日流量!K21*24*3600/100000000</f>
        <v>1.10592</v>
      </c>
      <c r="L21" s="6">
        <f>日流量!L21*24*3600/100000000</f>
        <v>1.10592</v>
      </c>
      <c r="M21" s="6">
        <f>日流量!M21*24*3600/100000000</f>
        <v>1.09728</v>
      </c>
      <c r="N21" s="6">
        <f>日流量!N21*24*3600/100000000</f>
        <v>1.09728</v>
      </c>
      <c r="O21" s="6">
        <f>日流量!O21*24*3600/100000000</f>
        <v>1.09728</v>
      </c>
      <c r="P21" s="6">
        <f>日流量!P21*24*3600/100000000</f>
        <v>1.09728</v>
      </c>
      <c r="Q21" s="6">
        <f>日流量!Q21*24*3600/100000000</f>
        <v>1.11456</v>
      </c>
      <c r="R21" s="6">
        <f>日流量!R21*24*3600/100000000</f>
        <v>1.1232</v>
      </c>
      <c r="S21" s="6">
        <f>日流量!S21*24*3600/100000000</f>
        <v>1.1232</v>
      </c>
      <c r="T21" s="6">
        <f>日流量!T21*24*3600/100000000</f>
        <v>1.11456</v>
      </c>
      <c r="U21" s="6">
        <f>日流量!U21*24*3600/100000000</f>
        <v>1.09728</v>
      </c>
      <c r="V21" s="6">
        <f>日流量!V21*24*3600/100000000</f>
        <v>1.08</v>
      </c>
      <c r="W21" s="6">
        <f>日流量!W21*24*3600/100000000</f>
        <v>1.0540799999999999</v>
      </c>
      <c r="X21" s="6">
        <f>日流量!X21*24*3600/100000000</f>
        <v>1.02816</v>
      </c>
      <c r="Y21" s="6">
        <f>日流量!Y21*24*3600/100000000</f>
        <v>1.00224</v>
      </c>
      <c r="Z21" s="6">
        <f>日流量!Z21*24*3600/100000000</f>
        <v>0.99360000000000004</v>
      </c>
      <c r="AA21" s="6">
        <f>日流量!AA21*24*3600/100000000</f>
        <v>0.97631999999999997</v>
      </c>
      <c r="AB21" s="6">
        <f>日流量!AB21*24*3600/100000000</f>
        <v>0.96767999999999998</v>
      </c>
      <c r="AC21" s="6">
        <f>日流量!AC21*24*3600/100000000</f>
        <v>0.95904</v>
      </c>
      <c r="AD21" s="6">
        <f>日流量!AD21*24*3600/100000000</f>
        <v>0.94176000000000004</v>
      </c>
      <c r="AE21" s="6">
        <f>日流量!AE21*24*3600/100000000</f>
        <v>0.93311999999999995</v>
      </c>
      <c r="AF21" s="6">
        <f>日流量!AF21*24*3600/100000000</f>
        <v>0.93311999999999995</v>
      </c>
      <c r="AG21" s="6">
        <f>日流量!AG21*24*3600/100000000</f>
        <v>0.92447999999999997</v>
      </c>
      <c r="AH21" s="6">
        <f>日流量!AH21*24*3600/100000000</f>
        <v>0.90720000000000001</v>
      </c>
      <c r="AI21" s="6">
        <f>日流量!AI21*24*3600/100000000</f>
        <v>0.90720000000000001</v>
      </c>
      <c r="AJ21" s="6">
        <f>日流量!AJ21*24*3600/100000000</f>
        <v>0.90720000000000001</v>
      </c>
      <c r="AK21" s="6">
        <f>日流量!AK21*24*3600/100000000</f>
        <v>0.90720000000000001</v>
      </c>
      <c r="AL21" s="6">
        <f>日流量!AL21*24*3600/100000000</f>
        <v>0.89856000000000003</v>
      </c>
      <c r="AM21" s="6">
        <f>日流量!AM21*24*3600/100000000</f>
        <v>0.89856000000000003</v>
      </c>
      <c r="AN21" s="6">
        <f>日流量!AN21*24*3600/100000000</f>
        <v>0.89856000000000003</v>
      </c>
      <c r="AO21" s="6">
        <f>日流量!AO21*24*3600/100000000</f>
        <v>0.89856000000000003</v>
      </c>
      <c r="AP21" s="6">
        <f>日流量!AP21*24*3600/100000000</f>
        <v>0.88992000000000004</v>
      </c>
      <c r="AQ21" s="6">
        <f>日流量!AQ21*24*3600/100000000</f>
        <v>0.88992000000000004</v>
      </c>
      <c r="AR21" s="6">
        <f>日流量!AR21*24*3600/100000000</f>
        <v>0.88992000000000004</v>
      </c>
      <c r="AS21" s="6">
        <f>日流量!AS21*24*3600/100000000</f>
        <v>0.88127999999999995</v>
      </c>
      <c r="AT21" s="6">
        <f>日流量!AT21*24*3600/100000000</f>
        <v>0.88992000000000004</v>
      </c>
      <c r="AU21" s="6">
        <f>日流量!AU21*24*3600/100000000</f>
        <v>0.89856000000000003</v>
      </c>
      <c r="AV21" s="6">
        <f>日流量!AV21*24*3600/100000000</f>
        <v>0.90720000000000001</v>
      </c>
      <c r="AW21" s="6">
        <f>日流量!AW21*24*3600/100000000</f>
        <v>0.89856000000000003</v>
      </c>
      <c r="AX21" s="6">
        <f>日流量!AX21*24*3600/100000000</f>
        <v>0.88992000000000004</v>
      </c>
      <c r="AY21" s="6">
        <f>日流量!AY21*24*3600/100000000</f>
        <v>0.88127999999999995</v>
      </c>
      <c r="AZ21" s="6">
        <f>日流量!AZ21*24*3600/100000000</f>
        <v>0.88127999999999995</v>
      </c>
      <c r="BA21" s="6">
        <f>日流量!BA21*24*3600/100000000</f>
        <v>0.88127999999999995</v>
      </c>
      <c r="BB21" s="6">
        <f>日流量!BB21*24*3600/100000000</f>
        <v>0.88127999999999995</v>
      </c>
      <c r="BC21" s="6">
        <f>日流量!BC21*24*3600/100000000</f>
        <v>0.88127999999999995</v>
      </c>
      <c r="BD21" s="6">
        <f>日流量!BD21*24*3600/100000000</f>
        <v>0.87263999999999997</v>
      </c>
      <c r="BE21" s="6">
        <f>日流量!BE21*24*3600/100000000</f>
        <v>0.87263999999999997</v>
      </c>
      <c r="BF21" s="6">
        <f>日流量!BF21*24*3600/100000000</f>
        <v>0.87263999999999997</v>
      </c>
      <c r="BG21" s="6">
        <f>日流量!BG21*24*3600/100000000</f>
        <v>0.86399999999999999</v>
      </c>
      <c r="BH21" s="6">
        <f>日流量!BH21*24*3600/100000000</f>
        <v>0.86399999999999999</v>
      </c>
      <c r="BI21" s="6">
        <f>日流量!BI21*24*3600/100000000</f>
        <v>0.86140799999999995</v>
      </c>
      <c r="BJ21" s="6">
        <f>日流量!BJ21*24*3600/100000000</f>
        <v>0.86140799999999995</v>
      </c>
      <c r="BK21" s="6">
        <f>日流量!BK21*24*3600/100000000</f>
        <v>0.85795200000000005</v>
      </c>
      <c r="BL21" s="6">
        <f>日流量!BL21*24*3600/100000000</f>
        <v>0.85795200000000005</v>
      </c>
      <c r="BM21" s="6">
        <f>日流量!BM21*24*3600/100000000</f>
        <v>0.85536000000000001</v>
      </c>
      <c r="BN21" s="6">
        <f>日流量!BN21*24*3600/100000000</f>
        <v>0.85536000000000001</v>
      </c>
      <c r="BO21" s="6">
        <f>日流量!BO21*24*3600/100000000</f>
        <v>0.85190399999999999</v>
      </c>
      <c r="BP21" s="6">
        <f>日流量!BP21*24*3600/100000000</f>
        <v>0.84931199999999996</v>
      </c>
      <c r="BQ21" s="6">
        <f>日流量!BQ21*24*3600/100000000</f>
        <v>0.84672000000000003</v>
      </c>
      <c r="BR21" s="6">
        <f>日流量!BR21*24*3600/100000000</f>
        <v>0.84326400000000001</v>
      </c>
      <c r="BS21" s="6">
        <f>日流量!BS21*24*3600/100000000</f>
        <v>0.84067199999999997</v>
      </c>
      <c r="BT21" s="6">
        <f>日流量!BT21*24*3600/100000000</f>
        <v>0.84067199999999997</v>
      </c>
      <c r="BU21" s="6">
        <f>日流量!BU21*24*3600/100000000</f>
        <v>0.84326400000000001</v>
      </c>
      <c r="BV21" s="6">
        <f>日流量!BV21*24*3600/100000000</f>
        <v>0.84931199999999996</v>
      </c>
      <c r="BW21" s="6">
        <f>日流量!BW21*24*3600/100000000</f>
        <v>0.84931199999999996</v>
      </c>
      <c r="BX21" s="6">
        <f>日流量!BX21*24*3600/100000000</f>
        <v>0.84931199999999996</v>
      </c>
      <c r="BY21" s="6">
        <f>日流量!BY21*24*3600/100000000</f>
        <v>0.84931199999999996</v>
      </c>
      <c r="BZ21" s="6">
        <f>日流量!BZ21*24*3600/100000000</f>
        <v>0.84931199999999996</v>
      </c>
      <c r="CA21" s="6">
        <f>日流量!CA21*24*3600/100000000</f>
        <v>0.84931199999999996</v>
      </c>
      <c r="CB21" s="6">
        <f>日流量!CB21*24*3600/100000000</f>
        <v>0.85190399999999999</v>
      </c>
      <c r="CC21" s="6">
        <f>日流量!CC21*24*3600/100000000</f>
        <v>0.85536000000000001</v>
      </c>
      <c r="CD21" s="6">
        <f>日流量!CD21*24*3600/100000000</f>
        <v>0.86140799999999995</v>
      </c>
      <c r="CE21" s="6">
        <f>日流量!CE21*24*3600/100000000</f>
        <v>0.86399999999999999</v>
      </c>
      <c r="CF21" s="6">
        <f>日流量!CF21*24*3600/100000000</f>
        <v>0.87263999999999997</v>
      </c>
      <c r="CG21" s="6">
        <f>日流量!CG21*24*3600/100000000</f>
        <v>0.87263999999999997</v>
      </c>
      <c r="CH21" s="6">
        <f>日流量!CH21*24*3600/100000000</f>
        <v>0.87263999999999997</v>
      </c>
      <c r="CI21" s="6">
        <f>日流量!CI21*24*3600/100000000</f>
        <v>0.88127999999999995</v>
      </c>
      <c r="CJ21" s="6">
        <f>日流量!CJ21*24*3600/100000000</f>
        <v>0.88992000000000004</v>
      </c>
      <c r="CK21" s="6">
        <f>日流量!CK21*24*3600/100000000</f>
        <v>0.88992000000000004</v>
      </c>
      <c r="CL21" s="6">
        <f>日流量!CL21*24*3600/100000000</f>
        <v>0.88127999999999995</v>
      </c>
      <c r="CM21" s="6">
        <f>日流量!CM21*24*3600/100000000</f>
        <v>0.88127999999999995</v>
      </c>
      <c r="CN21" s="6">
        <f>日流量!CN21*24*3600/100000000</f>
        <v>0.86399999999999999</v>
      </c>
      <c r="CO21" s="6">
        <f>日流量!CO21*24*3600/100000000</f>
        <v>0.86140799999999995</v>
      </c>
      <c r="CP21" s="6">
        <f>日流量!CP21*24*3600/100000000</f>
        <v>0.85795200000000005</v>
      </c>
      <c r="CQ21" s="6">
        <f>日流量!CQ21*24*3600/100000000</f>
        <v>0.85795200000000005</v>
      </c>
      <c r="CR21" s="6">
        <f>日流量!CR21*24*3600/100000000</f>
        <v>0.86399999999999999</v>
      </c>
      <c r="CS21" s="6">
        <f>日流量!CS21*24*3600/100000000</f>
        <v>0.88127999999999995</v>
      </c>
      <c r="CT21" s="6">
        <f>日流量!CT21*24*3600/100000000</f>
        <v>0.88992000000000004</v>
      </c>
      <c r="CU21" s="6">
        <f>日流量!CU21*24*3600/100000000</f>
        <v>0.89856000000000003</v>
      </c>
      <c r="CV21" s="6">
        <f>日流量!CV21*24*3600/100000000</f>
        <v>0.90720000000000001</v>
      </c>
      <c r="CW21" s="6">
        <f>日流量!CW21*24*3600/100000000</f>
        <v>0.90720000000000001</v>
      </c>
      <c r="CX21" s="6">
        <f>日流量!CX21*24*3600/100000000</f>
        <v>0.89856000000000003</v>
      </c>
      <c r="CY21" s="6">
        <f>日流量!CY21*24*3600/100000000</f>
        <v>0.89856000000000003</v>
      </c>
      <c r="CZ21" s="6">
        <f>日流量!CZ21*24*3600/100000000</f>
        <v>0.91583999999999999</v>
      </c>
      <c r="DA21" s="6">
        <f>日流量!DA21*24*3600/100000000</f>
        <v>0.94176000000000004</v>
      </c>
      <c r="DB21" s="6">
        <f>日流量!DB21*24*3600/100000000</f>
        <v>1.01088</v>
      </c>
      <c r="DC21" s="6">
        <f>日流量!DC21*24*3600/100000000</f>
        <v>1.0627200000000001</v>
      </c>
      <c r="DD21" s="6">
        <f>日流量!DD21*24*3600/100000000</f>
        <v>1.0886400000000001</v>
      </c>
      <c r="DE21" s="6">
        <f>日流量!DE21*24*3600/100000000</f>
        <v>1.08</v>
      </c>
      <c r="DF21" s="6">
        <f>日流量!DF21*24*3600/100000000</f>
        <v>1.08</v>
      </c>
      <c r="DG21" s="6">
        <f>日流量!DG21*24*3600/100000000</f>
        <v>1.09728</v>
      </c>
      <c r="DH21" s="6">
        <f>日流量!DH21*24*3600/100000000</f>
        <v>1.1491199999999999</v>
      </c>
      <c r="DI21" s="6">
        <f>日流量!DI21*24*3600/100000000</f>
        <v>1.1750400000000001</v>
      </c>
      <c r="DJ21" s="6">
        <f>日流量!DJ21*24*3600/100000000</f>
        <v>1.1750400000000001</v>
      </c>
      <c r="DK21" s="6">
        <f>日流量!DK21*24*3600/100000000</f>
        <v>1.1404799999999999</v>
      </c>
      <c r="DL21" s="6">
        <f>日流量!DL21*24*3600/100000000</f>
        <v>1.10592</v>
      </c>
      <c r="DM21" s="6">
        <f>日流量!DM21*24*3600/100000000</f>
        <v>1.08</v>
      </c>
      <c r="DN21" s="6">
        <f>日流量!DN21*24*3600/100000000</f>
        <v>1.0627200000000001</v>
      </c>
      <c r="DO21" s="6">
        <f>日流量!DO21*24*3600/100000000</f>
        <v>1.0886400000000001</v>
      </c>
      <c r="DP21" s="6">
        <f>日流量!DP21*24*3600/100000000</f>
        <v>1.1750400000000001</v>
      </c>
      <c r="DQ21" s="6">
        <f>日流量!DQ21*24*3600/100000000</f>
        <v>1.296</v>
      </c>
      <c r="DR21" s="6">
        <f>日流量!DR21*24*3600/100000000</f>
        <v>1.3824000000000001</v>
      </c>
      <c r="DS21" s="6">
        <f>日流量!DS21*24*3600/100000000</f>
        <v>1.512</v>
      </c>
      <c r="DT21" s="6">
        <f>日流量!DT21*24*3600/100000000</f>
        <v>1.4515199999999999</v>
      </c>
      <c r="DU21" s="6">
        <f>日流量!DU21*24*3600/100000000</f>
        <v>1.4860800000000001</v>
      </c>
      <c r="DV21" s="6">
        <f>日流量!DV21*24*3600/100000000</f>
        <v>1.6761600000000001</v>
      </c>
      <c r="DW21" s="6">
        <f>日流量!DW21*24*3600/100000000</f>
        <v>1.9958400000000001</v>
      </c>
      <c r="DX21" s="6">
        <f>日流量!DX21*24*3600/100000000</f>
        <v>2.2204799999999998</v>
      </c>
      <c r="DY21" s="6">
        <f>日流量!DY21*24*3600/100000000</f>
        <v>2.4883199999999999</v>
      </c>
      <c r="DZ21" s="6">
        <f>日流量!DZ21*24*3600/100000000</f>
        <v>2.81664</v>
      </c>
      <c r="EA21" s="6">
        <f>日流量!EA21*24*3600/100000000</f>
        <v>2.92896</v>
      </c>
      <c r="EB21" s="6">
        <f>日流量!EB21*24*3600/100000000</f>
        <v>2.8857599999999999</v>
      </c>
      <c r="EC21" s="6">
        <f>日流量!EC21*24*3600/100000000</f>
        <v>2.8252799999999998</v>
      </c>
      <c r="ED21" s="6">
        <f>日流量!ED21*24*3600/100000000</f>
        <v>2.7216</v>
      </c>
      <c r="EE21" s="6">
        <f>日流量!EE21*24*3600/100000000</f>
        <v>2.6352000000000002</v>
      </c>
      <c r="EF21" s="6">
        <f>日流量!EF21*24*3600/100000000</f>
        <v>2.4969600000000001</v>
      </c>
      <c r="EG21" s="6">
        <f>日流量!EG21*24*3600/100000000</f>
        <v>2.4192</v>
      </c>
      <c r="EH21" s="6">
        <f>日流量!EH21*24*3600/100000000</f>
        <v>2.2636799999999999</v>
      </c>
      <c r="EI21" s="6">
        <f>日流量!EI21*24*3600/100000000</f>
        <v>2.03904</v>
      </c>
      <c r="EJ21" s="6">
        <f>日流量!EJ21*24*3600/100000000</f>
        <v>1.84032</v>
      </c>
      <c r="EK21" s="6">
        <f>日流量!EK21*24*3600/100000000</f>
        <v>1.70208</v>
      </c>
      <c r="EL21" s="6">
        <f>日流量!EL21*24*3600/100000000</f>
        <v>1.62432</v>
      </c>
      <c r="EM21" s="6">
        <f>日流量!EM21*24*3600/100000000</f>
        <v>1.6588799999999999</v>
      </c>
      <c r="EN21" s="6">
        <f>日流量!EN21*24*3600/100000000</f>
        <v>1.70208</v>
      </c>
      <c r="EO21" s="6">
        <f>日流量!EO21*24*3600/100000000</f>
        <v>1.7539199999999999</v>
      </c>
      <c r="EP21" s="6">
        <f>日流量!EP21*24*3600/100000000</f>
        <v>1.8575999999999999</v>
      </c>
      <c r="EQ21" s="6">
        <f>日流量!EQ21*24*3600/100000000</f>
        <v>1.83168</v>
      </c>
      <c r="ER21" s="6">
        <f>日流量!ER21*24*3600/100000000</f>
        <v>1.8662399999999999</v>
      </c>
      <c r="ES21" s="6">
        <f>日流量!ES21*24*3600/100000000</f>
        <v>2.00448</v>
      </c>
      <c r="ET21" s="6">
        <f>日流量!ET21*24*3600/100000000</f>
        <v>2.02176</v>
      </c>
      <c r="EU21" s="6">
        <f>日流量!EU21*24*3600/100000000</f>
        <v>2.1254400000000002</v>
      </c>
      <c r="EV21" s="6">
        <f>日流量!EV21*24*3600/100000000</f>
        <v>2.2636799999999999</v>
      </c>
      <c r="EW21" s="6">
        <f>日流量!EW21*24*3600/100000000</f>
        <v>2.4105599999999998</v>
      </c>
      <c r="EX21" s="6">
        <f>日流量!EX21*24*3600/100000000</f>
        <v>2.3587199999999999</v>
      </c>
      <c r="EY21" s="6">
        <f>日流量!EY21*24*3600/100000000</f>
        <v>2.3673600000000001</v>
      </c>
      <c r="EZ21" s="6">
        <f>日流量!EZ21*24*3600/100000000</f>
        <v>2.4192</v>
      </c>
      <c r="FA21" s="6">
        <f>日流量!FA21*24*3600/100000000</f>
        <v>2.3587199999999999</v>
      </c>
      <c r="FB21" s="6">
        <f>日流量!FB21*24*3600/100000000</f>
        <v>2.2723200000000001</v>
      </c>
      <c r="FC21" s="6">
        <f>日流量!FC21*24*3600/100000000</f>
        <v>2.2896000000000001</v>
      </c>
      <c r="FD21" s="6">
        <f>日流量!FD21*24*3600/100000000</f>
        <v>2.5660799999999999</v>
      </c>
      <c r="FE21" s="6">
        <f>日流量!FE21*24*3600/100000000</f>
        <v>3.3955199999999999</v>
      </c>
      <c r="FF21" s="6">
        <f>日流量!FF21*24*3600/100000000</f>
        <v>3.8016000000000001</v>
      </c>
      <c r="FG21" s="6">
        <f>日流量!FG21*24*3600/100000000</f>
        <v>4.0348800000000002</v>
      </c>
      <c r="FH21" s="6">
        <f>日流量!FH21*24*3600/100000000</f>
        <v>3.9571200000000002</v>
      </c>
      <c r="FI21" s="6">
        <f>日流量!FI21*24*3600/100000000</f>
        <v>3.9571200000000002</v>
      </c>
      <c r="FJ21" s="6">
        <f>日流量!FJ21*24*3600/100000000</f>
        <v>3.9139200000000001</v>
      </c>
      <c r="FK21" s="6">
        <f>日流量!FK21*24*3600/100000000</f>
        <v>3.7929599999999999</v>
      </c>
      <c r="FL21" s="6">
        <f>日流量!FL21*24*3600/100000000</f>
        <v>3.7324799999999998</v>
      </c>
      <c r="FM21" s="6">
        <f>日流量!FM21*24*3600/100000000</f>
        <v>3.8016000000000001</v>
      </c>
      <c r="FN21" s="6">
        <f>日流量!FN21*24*3600/100000000</f>
        <v>4.32</v>
      </c>
      <c r="FO21" s="6">
        <f>日流量!FO21*24*3600/100000000</f>
        <v>4.5359999999999996</v>
      </c>
      <c r="FP21" s="6">
        <f>日流量!FP21*24*3600/100000000</f>
        <v>5.2617599999999998</v>
      </c>
      <c r="FQ21" s="6">
        <f>日流量!FQ21*24*3600/100000000</f>
        <v>5.8060799999999997</v>
      </c>
      <c r="FR21" s="6">
        <f>日流量!FR21*24*3600/100000000</f>
        <v>6.5750400000000004</v>
      </c>
      <c r="FS21" s="6">
        <f>日流量!FS21*24*3600/100000000</f>
        <v>7.2230400000000001</v>
      </c>
      <c r="FT21" s="6">
        <f>日流量!FT21*24*3600/100000000</f>
        <v>7.9747199999999996</v>
      </c>
      <c r="FU21" s="6">
        <f>日流量!FU21*24*3600/100000000</f>
        <v>8.0956799999999998</v>
      </c>
      <c r="FV21" s="6">
        <f>日流量!FV21*24*3600/100000000</f>
        <v>8.4326399999999992</v>
      </c>
      <c r="FW21" s="6">
        <f>日流量!FW21*24*3600/100000000</f>
        <v>8.4239999999999995</v>
      </c>
      <c r="FX21" s="6">
        <f>日流量!FX21*24*3600/100000000</f>
        <v>8.3721599999999992</v>
      </c>
      <c r="FY21" s="6">
        <f>日流量!FY21*24*3600/100000000</f>
        <v>7.3872</v>
      </c>
      <c r="FZ21" s="6">
        <f>日流量!FZ21*24*3600/100000000</f>
        <v>6.5491200000000003</v>
      </c>
      <c r="GA21" s="6">
        <f>日流量!GA21*24*3600/100000000</f>
        <v>5.95296</v>
      </c>
      <c r="GB21" s="6">
        <f>日流量!GB21*24*3600/100000000</f>
        <v>5.9788800000000002</v>
      </c>
      <c r="GC21" s="6">
        <f>日流量!GC21*24*3600/100000000</f>
        <v>6.5750400000000004</v>
      </c>
      <c r="GD21" s="6">
        <f>日流量!GD21*24*3600/100000000</f>
        <v>7.4217599999999999</v>
      </c>
      <c r="GE21" s="6">
        <f>日流量!GE21*24*3600/100000000</f>
        <v>8.1993600000000004</v>
      </c>
      <c r="GF21" s="6">
        <f>日流量!GF21*24*3600/100000000</f>
        <v>8.2598400000000005</v>
      </c>
      <c r="GG21" s="6">
        <f>日流量!GG21*24*3600/100000000</f>
        <v>7.5427200000000001</v>
      </c>
      <c r="GH21" s="6">
        <f>日流量!GH21*24*3600/100000000</f>
        <v>7.1798400000000004</v>
      </c>
      <c r="GI21" s="6">
        <f>日流量!GI21*24*3600/100000000</f>
        <v>6.8255999999999997</v>
      </c>
      <c r="GJ21" s="6">
        <f>日流量!GJ21*24*3600/100000000</f>
        <v>7.2057599999999997</v>
      </c>
      <c r="GK21" s="6">
        <f>日流量!GK21*24*3600/100000000</f>
        <v>7.1798400000000004</v>
      </c>
      <c r="GL21" s="6">
        <f>日流量!GL21*24*3600/100000000</f>
        <v>6.9033600000000002</v>
      </c>
      <c r="GM21" s="6">
        <f>日流量!GM21*24*3600/100000000</f>
        <v>6.2294400000000003</v>
      </c>
      <c r="GN21" s="6">
        <f>日流量!GN21*24*3600/100000000</f>
        <v>5.8492800000000003</v>
      </c>
      <c r="GO21" s="6">
        <f>日流量!GO21*24*3600/100000000</f>
        <v>6.3331200000000001</v>
      </c>
      <c r="GP21" s="6">
        <f>日流量!GP21*24*3600/100000000</f>
        <v>6.9379200000000001</v>
      </c>
      <c r="GQ21" s="6">
        <f>日流量!GQ21*24*3600/100000000</f>
        <v>10.8</v>
      </c>
      <c r="GR21" s="6">
        <f>日流量!GR21*24*3600/100000000</f>
        <v>11.231999999999999</v>
      </c>
      <c r="GS21" s="6">
        <f>日流量!GS21*24*3600/100000000</f>
        <v>9.3312000000000008</v>
      </c>
      <c r="GT21" s="6">
        <f>日流量!GT21*24*3600/100000000</f>
        <v>8.4585600000000003</v>
      </c>
      <c r="GU21" s="6">
        <f>日流量!GU21*24*3600/100000000</f>
        <v>8.64</v>
      </c>
      <c r="GV21" s="6">
        <f>日流量!GV21*24*3600/100000000</f>
        <v>8.1216000000000008</v>
      </c>
      <c r="GW21" s="6">
        <f>日流量!GW21*24*3600/100000000</f>
        <v>7.76736</v>
      </c>
      <c r="GX21" s="6">
        <f>日流量!GX21*24*3600/100000000</f>
        <v>7.3612799999999998</v>
      </c>
      <c r="GY21" s="6">
        <f>日流量!GY21*24*3600/100000000</f>
        <v>7.0329600000000001</v>
      </c>
      <c r="GZ21" s="6">
        <f>日流量!GZ21*24*3600/100000000</f>
        <v>6.97248</v>
      </c>
      <c r="HA21" s="6">
        <f>日流量!HA21*24*3600/100000000</f>
        <v>7.57728</v>
      </c>
      <c r="HB21" s="6">
        <f>日流量!HB21*24*3600/100000000</f>
        <v>8.2598400000000005</v>
      </c>
      <c r="HC21" s="6">
        <f>日流量!HC21*24*3600/100000000</f>
        <v>8.64</v>
      </c>
      <c r="HD21" s="6">
        <f>日流量!HD21*24*3600/100000000</f>
        <v>8.8127999999999993</v>
      </c>
      <c r="HE21" s="6">
        <f>日流量!HE21*24*3600/100000000</f>
        <v>10.022399999999999</v>
      </c>
      <c r="HF21" s="6">
        <f>日流量!HF21*24*3600/100000000</f>
        <v>9.6768000000000001</v>
      </c>
      <c r="HG21" s="6">
        <f>日流量!HG21*24*3600/100000000</f>
        <v>9.0719999999999992</v>
      </c>
      <c r="HH21" s="6">
        <f>日流量!HH21*24*3600/100000000</f>
        <v>8.4585600000000003</v>
      </c>
      <c r="HI21" s="6">
        <f>日流量!HI21*24*3600/100000000</f>
        <v>8.08704</v>
      </c>
      <c r="HJ21" s="6">
        <f>日流量!HJ21*24*3600/100000000</f>
        <v>7.8710399999999998</v>
      </c>
      <c r="HK21" s="6">
        <f>日流量!HK21*24*3600/100000000</f>
        <v>7.9228800000000001</v>
      </c>
      <c r="HL21" s="6">
        <f>日流量!HL21*24*3600/100000000</f>
        <v>7.9228800000000001</v>
      </c>
      <c r="HM21" s="6">
        <f>日流量!HM21*24*3600/100000000</f>
        <v>8.8992000000000004</v>
      </c>
      <c r="HN21" s="6">
        <f>日流量!HN21*24*3600/100000000</f>
        <v>10.368</v>
      </c>
      <c r="HO21" s="6">
        <f>日流量!HO21*24*3600/100000000</f>
        <v>9.5904000000000007</v>
      </c>
      <c r="HP21" s="6">
        <f>日流量!HP21*24*3600/100000000</f>
        <v>9.5039999999999996</v>
      </c>
      <c r="HQ21" s="6">
        <f>日流量!HQ21*24*3600/100000000</f>
        <v>10.1952</v>
      </c>
      <c r="HR21" s="6">
        <f>日流量!HR21*24*3600/100000000</f>
        <v>13.910399999999999</v>
      </c>
      <c r="HS21" s="6">
        <f>日流量!HS21*24*3600/100000000</f>
        <v>15.4656</v>
      </c>
      <c r="HT21" s="6">
        <f>日流量!HT21*24*3600/100000000</f>
        <v>13.3056</v>
      </c>
      <c r="HU21" s="6">
        <f>日流量!HU21*24*3600/100000000</f>
        <v>10.8864</v>
      </c>
      <c r="HV21" s="6">
        <f>日流量!HV21*24*3600/100000000</f>
        <v>9.3312000000000008</v>
      </c>
      <c r="HW21" s="6">
        <f>日流量!HW21*24*3600/100000000</f>
        <v>8.7263999999999999</v>
      </c>
      <c r="HX21" s="6">
        <f>日流量!HX21*24*3600/100000000</f>
        <v>8.5017600000000009</v>
      </c>
      <c r="HY21" s="6">
        <f>日流量!HY21*24*3600/100000000</f>
        <v>8.08704</v>
      </c>
      <c r="HZ21" s="6">
        <f>日流量!HZ21*24*3600/100000000</f>
        <v>8.4758399999999998</v>
      </c>
      <c r="IA21" s="6">
        <f>日流量!IA21*24*3600/100000000</f>
        <v>7.9488000000000003</v>
      </c>
      <c r="IB21" s="6">
        <f>日流量!IB21*24*3600/100000000</f>
        <v>7.4649599999999996</v>
      </c>
      <c r="IC21" s="6">
        <f>日流量!IC21*24*3600/100000000</f>
        <v>7.1452799999999996</v>
      </c>
      <c r="ID21" s="6">
        <f>日流量!ID21*24*3600/100000000</f>
        <v>8.1043199999999995</v>
      </c>
      <c r="IE21" s="6">
        <f>日流量!IE21*24*3600/100000000</f>
        <v>8.1734399999999994</v>
      </c>
      <c r="IF21" s="6">
        <f>日流量!IF21*24*3600/100000000</f>
        <v>8.3635199999999994</v>
      </c>
      <c r="IG21" s="6">
        <f>日流量!IG21*24*3600/100000000</f>
        <v>8.7263999999999999</v>
      </c>
      <c r="IH21" s="6">
        <f>日流量!IH21*24*3600/100000000</f>
        <v>8.3289600000000004</v>
      </c>
      <c r="II21" s="6">
        <f>日流量!II21*24*3600/100000000</f>
        <v>7.6463999999999999</v>
      </c>
      <c r="IJ21" s="6">
        <f>日流量!IJ21*24*3600/100000000</f>
        <v>7.3353599999999997</v>
      </c>
      <c r="IK21" s="6">
        <f>日流量!IK21*24*3600/100000000</f>
        <v>7.8883200000000002</v>
      </c>
      <c r="IL21" s="6">
        <f>日流量!IL21*24*3600/100000000</f>
        <v>7.7759999999999998</v>
      </c>
      <c r="IM21" s="6">
        <f>日流量!IM21*24*3600/100000000</f>
        <v>7.9315199999999999</v>
      </c>
      <c r="IN21" s="6">
        <f>日流量!IN21*24*3600/100000000</f>
        <v>9.4176000000000002</v>
      </c>
      <c r="IO21" s="6">
        <f>日流量!IO21*24*3600/100000000</f>
        <v>11.8368</v>
      </c>
      <c r="IP21" s="6">
        <f>日流量!IP21*24*3600/100000000</f>
        <v>14.601599999999999</v>
      </c>
      <c r="IQ21" s="6">
        <f>日流量!IQ21*24*3600/100000000</f>
        <v>13.651199999999999</v>
      </c>
      <c r="IR21" s="6">
        <f>日流量!IR21*24*3600/100000000</f>
        <v>11.231999999999999</v>
      </c>
      <c r="IS21" s="6">
        <f>日流量!IS21*24*3600/100000000</f>
        <v>10.1952</v>
      </c>
      <c r="IT21" s="6">
        <f>日流量!IT21*24*3600/100000000</f>
        <v>9.7631999999999994</v>
      </c>
      <c r="IU21" s="6">
        <f>日流量!IU21*24*3600/100000000</f>
        <v>9.1584000000000003</v>
      </c>
      <c r="IV21" s="6">
        <f>日流量!IV21*24*3600/100000000</f>
        <v>8.5363199999999999</v>
      </c>
      <c r="IW21" s="6">
        <f>日流量!IW21*24*3600/100000000</f>
        <v>8.1043199999999995</v>
      </c>
      <c r="IX21" s="6">
        <f>日流量!IX21*24*3600/100000000</f>
        <v>7.8796799999999996</v>
      </c>
      <c r="IY21" s="6">
        <f>日流量!IY21*24*3600/100000000</f>
        <v>7.8883200000000002</v>
      </c>
      <c r="IZ21" s="6">
        <f>日流量!IZ21*24*3600/100000000</f>
        <v>8.3462399999999999</v>
      </c>
      <c r="JA21" s="6">
        <f>日流量!JA21*24*3600/100000000</f>
        <v>9.3312000000000008</v>
      </c>
      <c r="JB21" s="6">
        <f>日流量!JB21*24*3600/100000000</f>
        <v>9.7631999999999994</v>
      </c>
      <c r="JC21" s="6">
        <f>日流量!JC21*24*3600/100000000</f>
        <v>9.0719999999999992</v>
      </c>
      <c r="JD21" s="6">
        <f>日流量!JD21*24*3600/100000000</f>
        <v>8.4844799999999996</v>
      </c>
      <c r="JE21" s="6">
        <f>日流量!JE21*24*3600/100000000</f>
        <v>8.4239999999999995</v>
      </c>
      <c r="JF21" s="6">
        <f>日流量!JF21*24*3600/100000000</f>
        <v>9.5904000000000007</v>
      </c>
      <c r="JG21" s="6">
        <f>日流量!JG21*24*3600/100000000</f>
        <v>9.1584000000000003</v>
      </c>
      <c r="JH21" s="6">
        <f>日流量!JH21*24*3600/100000000</f>
        <v>11.1456</v>
      </c>
      <c r="JI21" s="6">
        <f>日流量!JI21*24*3600/100000000</f>
        <v>10.281599999999999</v>
      </c>
      <c r="JJ21" s="6">
        <f>日流量!JJ21*24*3600/100000000</f>
        <v>9.9359999999999999</v>
      </c>
      <c r="JK21" s="6">
        <f>日流量!JK21*24*3600/100000000</f>
        <v>9.8496000000000006</v>
      </c>
      <c r="JL21" s="6">
        <f>日流量!JL21*24*3600/100000000</f>
        <v>9.1584000000000003</v>
      </c>
      <c r="JM21" s="6">
        <f>日流量!JM21*24*3600/100000000</f>
        <v>8.8992000000000004</v>
      </c>
      <c r="JN21" s="6">
        <f>日流量!JN21*24*3600/100000000</f>
        <v>10.1088</v>
      </c>
      <c r="JO21" s="6">
        <f>日流量!JO21*24*3600/100000000</f>
        <v>9.7631999999999994</v>
      </c>
      <c r="JP21" s="6">
        <f>日流量!JP21*24*3600/100000000</f>
        <v>9.7631999999999994</v>
      </c>
      <c r="JQ21" s="6">
        <f>日流量!JQ21*24*3600/100000000</f>
        <v>9.3312000000000008</v>
      </c>
      <c r="JR21" s="6">
        <f>日流量!JR21*24*3600/100000000</f>
        <v>9.0719999999999992</v>
      </c>
      <c r="JS21" s="6">
        <f>日流量!JS21*24*3600/100000000</f>
        <v>8.7263999999999999</v>
      </c>
      <c r="JT21" s="6">
        <f>日流量!JT21*24*3600/100000000</f>
        <v>8.1907200000000007</v>
      </c>
      <c r="JU21" s="6">
        <f>日流量!JU21*24*3600/100000000</f>
        <v>7.6291200000000003</v>
      </c>
      <c r="JV21" s="6">
        <f>日流量!JV21*24*3600/100000000</f>
        <v>7.1366399999999999</v>
      </c>
      <c r="JW21" s="6">
        <f>日流量!JW21*24*3600/100000000</f>
        <v>6.6700799999999996</v>
      </c>
      <c r="JX21" s="6">
        <f>日流量!JX21*24*3600/100000000</f>
        <v>6.2640000000000002</v>
      </c>
      <c r="JY21" s="6">
        <f>日流量!JY21*24*3600/100000000</f>
        <v>5.9270399999999999</v>
      </c>
      <c r="JZ21" s="6">
        <f>日流量!JZ21*24*3600/100000000</f>
        <v>5.6592000000000002</v>
      </c>
      <c r="KA21" s="6">
        <f>日流量!KA21*24*3600/100000000</f>
        <v>5.4863999999999997</v>
      </c>
      <c r="KB21" s="6">
        <f>日流量!KB21*24*3600/100000000</f>
        <v>5.4259199999999996</v>
      </c>
      <c r="KC21" s="6">
        <f>日流量!KC21*24*3600/100000000</f>
        <v>5.3049600000000003</v>
      </c>
      <c r="KD21" s="6">
        <f>日流量!KD21*24*3600/100000000</f>
        <v>5.1321599999999998</v>
      </c>
      <c r="KE21" s="6">
        <f>日流量!KE21*24*3600/100000000</f>
        <v>4.8470399999999998</v>
      </c>
      <c r="KF21" s="6">
        <f>日流量!KF21*24*3600/100000000</f>
        <v>4.6569599999999998</v>
      </c>
      <c r="KG21" s="6">
        <f>日流量!KG21*24*3600/100000000</f>
        <v>4.5100800000000003</v>
      </c>
      <c r="KH21" s="6">
        <f>日流量!KH21*24*3600/100000000</f>
        <v>4.32864</v>
      </c>
      <c r="KI21" s="6">
        <f>日流量!KI21*24*3600/100000000</f>
        <v>4.1731199999999999</v>
      </c>
      <c r="KJ21" s="6">
        <f>日流量!KJ21*24*3600/100000000</f>
        <v>3.94848</v>
      </c>
      <c r="KK21" s="6">
        <f>日流量!KK21*24*3600/100000000</f>
        <v>3.9225599999999998</v>
      </c>
      <c r="KL21" s="6">
        <f>日流量!KL21*24*3600/100000000</f>
        <v>3.8016000000000001</v>
      </c>
      <c r="KM21" s="6">
        <f>日流量!KM21*24*3600/100000000</f>
        <v>3.7065600000000001</v>
      </c>
      <c r="KN21" s="6">
        <f>日流量!KN21*24*3600/100000000</f>
        <v>3.6806399999999999</v>
      </c>
      <c r="KO21" s="6">
        <f>日流量!KO21*24*3600/100000000</f>
        <v>3.6547200000000002</v>
      </c>
      <c r="KP21" s="6">
        <f>日流量!KP21*24*3600/100000000</f>
        <v>3.6288</v>
      </c>
      <c r="KQ21" s="6">
        <f>日流量!KQ21*24*3600/100000000</f>
        <v>3.6115200000000001</v>
      </c>
      <c r="KR21" s="6">
        <f>日流量!KR21*24*3600/100000000</f>
        <v>3.4732799999999999</v>
      </c>
      <c r="KS21" s="6">
        <f>日流量!KS21*24*3600/100000000</f>
        <v>3.3868800000000001</v>
      </c>
      <c r="KT21" s="6">
        <f>日流量!KT21*24*3600/100000000</f>
        <v>3.3091200000000001</v>
      </c>
      <c r="KU21" s="6">
        <f>日流量!KU21*24*3600/100000000</f>
        <v>3.2227199999999998</v>
      </c>
      <c r="KV21" s="6">
        <f>日流量!KV21*24*3600/100000000</f>
        <v>3.1449600000000002</v>
      </c>
      <c r="KW21" s="6">
        <f>日流量!KW21*24*3600/100000000</f>
        <v>3.0672000000000001</v>
      </c>
      <c r="KX21" s="6">
        <f>日流量!KX21*24*3600/100000000</f>
        <v>2.9980799999999999</v>
      </c>
      <c r="KY21" s="6">
        <f>日流量!KY21*24*3600/100000000</f>
        <v>2.9203199999999998</v>
      </c>
      <c r="KZ21" s="6">
        <f>日流量!KZ21*24*3600/100000000</f>
        <v>2.8598400000000002</v>
      </c>
      <c r="LA21" s="6">
        <f>日流量!LA21*24*3600/100000000</f>
        <v>2.81664</v>
      </c>
      <c r="LB21" s="6">
        <f>日流量!LB21*24*3600/100000000</f>
        <v>2.7561599999999999</v>
      </c>
      <c r="LC21" s="6">
        <f>日流量!LC21*24*3600/100000000</f>
        <v>2.7043200000000001</v>
      </c>
      <c r="LD21" s="6">
        <f>日流量!LD21*24*3600/100000000</f>
        <v>2.6524800000000002</v>
      </c>
      <c r="LE21" s="6">
        <f>日流量!LE21*24*3600/100000000</f>
        <v>2.60928</v>
      </c>
      <c r="LF21" s="6">
        <f>日流量!LF21*24*3600/100000000</f>
        <v>2.5747200000000001</v>
      </c>
      <c r="LG21" s="6">
        <f>日流量!LG21*24*3600/100000000</f>
        <v>2.51424</v>
      </c>
      <c r="LH21" s="6">
        <f>日流量!LH21*24*3600/100000000</f>
        <v>2.4624000000000001</v>
      </c>
      <c r="LI21" s="6">
        <f>日流量!LI21*24*3600/100000000</f>
        <v>2.4105599999999998</v>
      </c>
      <c r="LJ21" s="6">
        <f>日流量!LJ21*24*3600/100000000</f>
        <v>2.3587199999999999</v>
      </c>
      <c r="LK21" s="6">
        <f>日流量!LK21*24*3600/100000000</f>
        <v>2.3155199999999998</v>
      </c>
      <c r="LL21" s="6">
        <f>日流量!LL21*24*3600/100000000</f>
        <v>2.2550400000000002</v>
      </c>
      <c r="LM21" s="6">
        <f>日流量!LM21*24*3600/100000000</f>
        <v>2.2031999999999998</v>
      </c>
      <c r="LN21" s="6">
        <f>日流量!LN21*24*3600/100000000</f>
        <v>2.16</v>
      </c>
      <c r="LO21" s="6">
        <f>日流量!LO21*24*3600/100000000</f>
        <v>2.1168</v>
      </c>
      <c r="LP21" s="6">
        <f>日流量!LP21*24*3600/100000000</f>
        <v>2.0649600000000001</v>
      </c>
      <c r="LQ21" s="6">
        <f>日流量!LQ21*24*3600/100000000</f>
        <v>2.0304000000000002</v>
      </c>
      <c r="LR21" s="6">
        <f>日流量!LR21*24*3600/100000000</f>
        <v>1.9872000000000001</v>
      </c>
      <c r="LS21" s="6">
        <f>日流量!LS21*24*3600/100000000</f>
        <v>1.944</v>
      </c>
      <c r="LT21" s="6">
        <f>日流量!LT21*24*3600/100000000</f>
        <v>1.9008</v>
      </c>
      <c r="LU21" s="6">
        <f>日流量!LU21*24*3600/100000000</f>
        <v>1.8748800000000001</v>
      </c>
      <c r="LV21" s="6">
        <f>日流量!LV21*24*3600/100000000</f>
        <v>1.8489599999999999</v>
      </c>
      <c r="LW21" s="6">
        <f>日流量!LW21*24*3600/100000000</f>
        <v>1.83168</v>
      </c>
      <c r="LX21" s="6">
        <f>日流量!LX21*24*3600/100000000</f>
        <v>1.80576</v>
      </c>
      <c r="LY21" s="6">
        <f>日流量!LY21*24*3600/100000000</f>
        <v>1.7798400000000001</v>
      </c>
      <c r="LZ21" s="6">
        <f>日流量!LZ21*24*3600/100000000</f>
        <v>1.7539199999999999</v>
      </c>
      <c r="MA21" s="6">
        <f>日流量!MA21*24*3600/100000000</f>
        <v>1.71936</v>
      </c>
      <c r="MB21" s="6">
        <f>日流量!MB21*24*3600/100000000</f>
        <v>1.6934400000000001</v>
      </c>
      <c r="MC21" s="6">
        <f>日流量!MC21*24*3600/100000000</f>
        <v>1.6675199999999999</v>
      </c>
      <c r="MD21" s="6">
        <f>日流量!MD21*24*3600/100000000</f>
        <v>1.63296</v>
      </c>
      <c r="ME21" s="6">
        <f>日流量!ME21*24*3600/100000000</f>
        <v>1.60704</v>
      </c>
      <c r="MF21" s="6">
        <f>日流量!MF21*24*3600/100000000</f>
        <v>1.5811200000000001</v>
      </c>
      <c r="MG21" s="6">
        <f>日流量!MG21*24*3600/100000000</f>
        <v>1.5638399999999999</v>
      </c>
      <c r="MH21" s="6">
        <f>日流量!MH21*24*3600/100000000</f>
        <v>1.52928</v>
      </c>
      <c r="MI21" s="6">
        <f>日流量!MI21*24*3600/100000000</f>
        <v>1.50336</v>
      </c>
      <c r="MJ21" s="6">
        <f>日流量!MJ21*24*3600/100000000</f>
        <v>1.4860800000000001</v>
      </c>
      <c r="MK21" s="6">
        <f>日流量!MK21*24*3600/100000000</f>
        <v>1.4688000000000001</v>
      </c>
      <c r="ML21" s="6">
        <f>日流量!ML21*24*3600/100000000</f>
        <v>1.4428799999999999</v>
      </c>
      <c r="MM21" s="6">
        <f>日流量!MM21*24*3600/100000000</f>
        <v>1.41696</v>
      </c>
      <c r="MN21" s="6">
        <f>日流量!MN21*24*3600/100000000</f>
        <v>1.40832</v>
      </c>
      <c r="MO21" s="6">
        <f>日流量!MO21*24*3600/100000000</f>
        <v>1.3910400000000001</v>
      </c>
      <c r="MP21" s="6">
        <f>日流量!MP21*24*3600/100000000</f>
        <v>1.3910400000000001</v>
      </c>
      <c r="MQ21" s="6">
        <f>日流量!MQ21*24*3600/100000000</f>
        <v>1.3824000000000001</v>
      </c>
      <c r="MR21" s="6">
        <f>日流量!MR21*24*3600/100000000</f>
        <v>1.3737600000000001</v>
      </c>
      <c r="MS21" s="6">
        <f>日流量!MS21*24*3600/100000000</f>
        <v>1.3478399999999999</v>
      </c>
      <c r="MT21" s="6">
        <f>日流量!MT21*24*3600/100000000</f>
        <v>1.3391999999999999</v>
      </c>
      <c r="MU21" s="6">
        <f>日流量!MU21*24*3600/100000000</f>
        <v>1.32192</v>
      </c>
      <c r="MV21" s="6">
        <f>日流量!MV21*24*3600/100000000</f>
        <v>1.31328</v>
      </c>
      <c r="MW21" s="6">
        <f>日流量!MW21*24*3600/100000000</f>
        <v>1.296</v>
      </c>
      <c r="MX21" s="6">
        <f>日流量!MX21*24*3600/100000000</f>
        <v>1.2873600000000001</v>
      </c>
      <c r="MY21" s="6">
        <f>日流量!MY21*24*3600/100000000</f>
        <v>1.2787200000000001</v>
      </c>
      <c r="MZ21" s="6">
        <f>日流量!MZ21*24*3600/100000000</f>
        <v>1.2614399999999999</v>
      </c>
      <c r="NA21" s="6">
        <f>日流量!NA21*24*3600/100000000</f>
        <v>1.2527999999999999</v>
      </c>
      <c r="NB21" s="6">
        <f>日流量!NB21*24*3600/100000000</f>
        <v>1.2527999999999999</v>
      </c>
      <c r="NC21" s="6">
        <f>日流量!NC21*24*3600/100000000</f>
        <v>1.2441599999999999</v>
      </c>
      <c r="ND21" s="6">
        <f>日流量!ND21*24*3600*31/100000000</f>
        <v>33.747839999999997</v>
      </c>
      <c r="NE21" s="6">
        <f>日流量!NE21*24*3600*29/100000000</f>
        <v>25.807680000000001</v>
      </c>
      <c r="NF21" s="6">
        <f>日流量!NF21*24*3600*31/100000000</f>
        <v>26.650079999999999</v>
      </c>
      <c r="NG21" s="6">
        <f>日流量!NG21*24*3600*30/100000000</f>
        <v>30.844799999999999</v>
      </c>
      <c r="NH21" s="6">
        <f>日流量!NH21*24*3600*31/100000000</f>
        <v>65.620800000000003</v>
      </c>
      <c r="NI21" s="6">
        <f>日流量!NI21*24*3600*30/100000000</f>
        <v>145.92959999999999</v>
      </c>
      <c r="NJ21" s="6">
        <f>日流量!NJ21*24*3600*31/100000000</f>
        <v>243.19872000000001</v>
      </c>
      <c r="NK21" s="6">
        <f>日流量!NK21*24*3600*31/100000000</f>
        <v>281.23200000000003</v>
      </c>
      <c r="NL21" s="6">
        <f>日流量!NL21*24*3600*30/100000000</f>
        <v>290.30399999999997</v>
      </c>
      <c r="NM21" s="6">
        <f>日流量!NM21*24*3600*31/100000000</f>
        <v>168.47136</v>
      </c>
      <c r="NN21" s="6">
        <f>日流量!NN21*24*3600*30/100000000</f>
        <v>72.316800000000001</v>
      </c>
      <c r="NO21" s="6">
        <f>日流量!NO21*24*3600*31/100000000</f>
        <v>44.997120000000002</v>
      </c>
      <c r="NP21" s="14">
        <f t="shared" si="10"/>
        <v>1429.1208000000001</v>
      </c>
      <c r="NQ21" s="6">
        <f>日流量!NQ21*24*3600/100000000</f>
        <v>15.4656</v>
      </c>
      <c r="NR21" s="4">
        <f>日流量!NR21</f>
        <v>42595</v>
      </c>
      <c r="NS21" s="6">
        <f>日流量!NS21*24*3600/100000000</f>
        <v>0.84067199999999997</v>
      </c>
      <c r="NT21" s="4">
        <f>日流量!NT21</f>
        <v>42439</v>
      </c>
      <c r="NU21" s="7">
        <f>日流量!NP21</f>
        <v>4517.2431693989074</v>
      </c>
      <c r="NW21" s="13">
        <f t="shared" si="0"/>
        <v>1194.75648</v>
      </c>
      <c r="NX21" s="12">
        <f t="shared" si="1"/>
        <v>83.600804074784989</v>
      </c>
      <c r="NY21" s="13">
        <f t="shared" si="2"/>
        <v>960.66431999999998</v>
      </c>
      <c r="NZ21" s="12">
        <f t="shared" si="3"/>
        <v>67.220652026056854</v>
      </c>
      <c r="OA21" s="13">
        <f t="shared" si="4"/>
        <v>234.36432000000013</v>
      </c>
      <c r="OB21" s="12">
        <f t="shared" si="5"/>
        <v>16.399195925215007</v>
      </c>
      <c r="OC21" s="13">
        <f t="shared" si="6"/>
        <v>290.30399999999997</v>
      </c>
      <c r="OD21" s="12">
        <f t="shared" si="7"/>
        <v>20.313468252648757</v>
      </c>
      <c r="OE21" s="12">
        <f t="shared" si="8"/>
        <v>333.90672897196265</v>
      </c>
      <c r="OF21" s="12">
        <f t="shared" si="9"/>
        <v>10.588112917680194</v>
      </c>
    </row>
    <row r="22" spans="1:396" x14ac:dyDescent="0.15">
      <c r="A22" s="2">
        <v>1969</v>
      </c>
      <c r="B22" s="6">
        <f>日流量!B22*24*3600/100000000</f>
        <v>1.2873600000000001</v>
      </c>
      <c r="C22" s="6">
        <f>日流量!C22*24*3600/100000000</f>
        <v>1.2787200000000001</v>
      </c>
      <c r="D22" s="6">
        <f>日流量!D22*24*3600/100000000</f>
        <v>1.2527999999999999</v>
      </c>
      <c r="E22" s="6">
        <f>日流量!E22*24*3600/100000000</f>
        <v>1.23552</v>
      </c>
      <c r="F22" s="6">
        <f>日流量!F22*24*3600/100000000</f>
        <v>1.2096</v>
      </c>
      <c r="G22" s="6">
        <f>日流量!G22*24*3600/100000000</f>
        <v>1.20096</v>
      </c>
      <c r="H22" s="6">
        <f>日流量!H22*24*3600/100000000</f>
        <v>1.1836800000000001</v>
      </c>
      <c r="I22" s="6">
        <f>日流量!I22*24*3600/100000000</f>
        <v>1.1836800000000001</v>
      </c>
      <c r="J22" s="6">
        <f>日流量!J22*24*3600/100000000</f>
        <v>1.1750400000000001</v>
      </c>
      <c r="K22" s="6">
        <f>日流量!K22*24*3600/100000000</f>
        <v>1.1750400000000001</v>
      </c>
      <c r="L22" s="6">
        <f>日流量!L22*24*3600/100000000</f>
        <v>1.1836800000000001</v>
      </c>
      <c r="M22" s="6">
        <f>日流量!M22*24*3600/100000000</f>
        <v>1.1664000000000001</v>
      </c>
      <c r="N22" s="6">
        <f>日流量!N22*24*3600/100000000</f>
        <v>1.1577599999999999</v>
      </c>
      <c r="O22" s="6">
        <f>日流量!O22*24*3600/100000000</f>
        <v>1.1404799999999999</v>
      </c>
      <c r="P22" s="6">
        <f>日流量!P22*24*3600/100000000</f>
        <v>1.1232</v>
      </c>
      <c r="Q22" s="6">
        <f>日流量!Q22*24*3600/100000000</f>
        <v>1.1232</v>
      </c>
      <c r="R22" s="6">
        <f>日流量!R22*24*3600/100000000</f>
        <v>1.1232</v>
      </c>
      <c r="S22" s="6">
        <f>日流量!S22*24*3600/100000000</f>
        <v>1.1232</v>
      </c>
      <c r="T22" s="6">
        <f>日流量!T22*24*3600/100000000</f>
        <v>1.11456</v>
      </c>
      <c r="U22" s="6">
        <f>日流量!U22*24*3600/100000000</f>
        <v>1.09728</v>
      </c>
      <c r="V22" s="6">
        <f>日流量!V22*24*3600/100000000</f>
        <v>1.08</v>
      </c>
      <c r="W22" s="6">
        <f>日流量!W22*24*3600/100000000</f>
        <v>1.0713600000000001</v>
      </c>
      <c r="X22" s="6">
        <f>日流量!X22*24*3600/100000000</f>
        <v>1.0540799999999999</v>
      </c>
      <c r="Y22" s="6">
        <f>日流量!Y22*24*3600/100000000</f>
        <v>1.0367999999999999</v>
      </c>
      <c r="Z22" s="6">
        <f>日流量!Z22*24*3600/100000000</f>
        <v>1.02816</v>
      </c>
      <c r="AA22" s="6">
        <f>日流量!AA22*24*3600/100000000</f>
        <v>1.01952</v>
      </c>
      <c r="AB22" s="6">
        <f>日流量!AB22*24*3600/100000000</f>
        <v>1.01088</v>
      </c>
      <c r="AC22" s="6">
        <f>日流量!AC22*24*3600/100000000</f>
        <v>1.00224</v>
      </c>
      <c r="AD22" s="6">
        <f>日流量!AD22*24*3600/100000000</f>
        <v>1.00224</v>
      </c>
      <c r="AE22" s="6">
        <f>日流量!AE22*24*3600/100000000</f>
        <v>0.99360000000000004</v>
      </c>
      <c r="AF22" s="6">
        <f>日流量!AF22*24*3600/100000000</f>
        <v>0.99360000000000004</v>
      </c>
      <c r="AG22" s="6">
        <f>日流量!AG22*24*3600/100000000</f>
        <v>1.00224</v>
      </c>
      <c r="AH22" s="6">
        <f>日流量!AH22*24*3600/100000000</f>
        <v>1.00224</v>
      </c>
      <c r="AI22" s="6">
        <f>日流量!AI22*24*3600/100000000</f>
        <v>1.00224</v>
      </c>
      <c r="AJ22" s="6">
        <f>日流量!AJ22*24*3600/100000000</f>
        <v>0.99360000000000004</v>
      </c>
      <c r="AK22" s="6">
        <f>日流量!AK22*24*3600/100000000</f>
        <v>0.97631999999999997</v>
      </c>
      <c r="AL22" s="6">
        <f>日流量!AL22*24*3600/100000000</f>
        <v>0.97631999999999997</v>
      </c>
      <c r="AM22" s="6">
        <f>日流量!AM22*24*3600/100000000</f>
        <v>0.97631999999999997</v>
      </c>
      <c r="AN22" s="6">
        <f>日流量!AN22*24*3600/100000000</f>
        <v>0.96767999999999998</v>
      </c>
      <c r="AO22" s="6">
        <f>日流量!AO22*24*3600/100000000</f>
        <v>0.96767999999999998</v>
      </c>
      <c r="AP22" s="6">
        <f>日流量!AP22*24*3600/100000000</f>
        <v>0.95904</v>
      </c>
      <c r="AQ22" s="6">
        <f>日流量!AQ22*24*3600/100000000</f>
        <v>0.95040000000000002</v>
      </c>
      <c r="AR22" s="6">
        <f>日流量!AR22*24*3600/100000000</f>
        <v>0.95040000000000002</v>
      </c>
      <c r="AS22" s="6">
        <f>日流量!AS22*24*3600/100000000</f>
        <v>0.94176000000000004</v>
      </c>
      <c r="AT22" s="6">
        <f>日流量!AT22*24*3600/100000000</f>
        <v>0.93311999999999995</v>
      </c>
      <c r="AU22" s="6">
        <f>日流量!AU22*24*3600/100000000</f>
        <v>0.92447999999999997</v>
      </c>
      <c r="AV22" s="6">
        <f>日流量!AV22*24*3600/100000000</f>
        <v>0.91583999999999999</v>
      </c>
      <c r="AW22" s="6">
        <f>日流量!AW22*24*3600/100000000</f>
        <v>0.90720000000000001</v>
      </c>
      <c r="AX22" s="6">
        <f>日流量!AX22*24*3600/100000000</f>
        <v>0.90720000000000001</v>
      </c>
      <c r="AY22" s="6">
        <f>日流量!AY22*24*3600/100000000</f>
        <v>0.90720000000000001</v>
      </c>
      <c r="AZ22" s="6">
        <f>日流量!AZ22*24*3600/100000000</f>
        <v>0.90720000000000001</v>
      </c>
      <c r="BA22" s="6">
        <f>日流量!BA22*24*3600/100000000</f>
        <v>0.89856000000000003</v>
      </c>
      <c r="BB22" s="6">
        <f>日流量!BB22*24*3600/100000000</f>
        <v>0.88992000000000004</v>
      </c>
      <c r="BC22" s="6">
        <f>日流量!BC22*24*3600/100000000</f>
        <v>0.88127999999999995</v>
      </c>
      <c r="BD22" s="6">
        <f>日流量!BD22*24*3600/100000000</f>
        <v>0.87263999999999997</v>
      </c>
      <c r="BE22" s="6">
        <f>日流量!BE22*24*3600/100000000</f>
        <v>0.87263999999999997</v>
      </c>
      <c r="BF22" s="6">
        <f>日流量!BF22*24*3600/100000000</f>
        <v>0.86399999999999999</v>
      </c>
      <c r="BG22" s="6">
        <f>日流量!BG22*24*3600/100000000</f>
        <v>0.86227200000000004</v>
      </c>
      <c r="BH22" s="6">
        <f>日流量!BH22*24*3600/100000000</f>
        <v>0.85449600000000003</v>
      </c>
      <c r="BI22" s="6"/>
      <c r="BJ22" s="6">
        <f>日流量!BJ22*24*3600/100000000</f>
        <v>0.84672000000000003</v>
      </c>
      <c r="BK22" s="6">
        <f>日流量!BK22*24*3600/100000000</f>
        <v>0.84240000000000004</v>
      </c>
      <c r="BL22" s="6">
        <f>日流量!BL22*24*3600/100000000</f>
        <v>0.84240000000000004</v>
      </c>
      <c r="BM22" s="6">
        <f>日流量!BM22*24*3600/100000000</f>
        <v>0.83462400000000003</v>
      </c>
      <c r="BN22" s="6">
        <f>日流量!BN22*24*3600/100000000</f>
        <v>0.83894400000000002</v>
      </c>
      <c r="BO22" s="6">
        <f>日流量!BO22*24*3600/100000000</f>
        <v>0.83894400000000002</v>
      </c>
      <c r="BP22" s="6">
        <f>日流量!BP22*24*3600/100000000</f>
        <v>0.83462400000000003</v>
      </c>
      <c r="BQ22" s="6">
        <f>日流量!BQ22*24*3600/100000000</f>
        <v>0.83462400000000003</v>
      </c>
      <c r="BR22" s="6">
        <f>日流量!BR22*24*3600/100000000</f>
        <v>0.82684800000000003</v>
      </c>
      <c r="BS22" s="6">
        <f>日流量!BS22*24*3600/100000000</f>
        <v>0.82684800000000003</v>
      </c>
      <c r="BT22" s="6">
        <f>日流量!BT22*24*3600/100000000</f>
        <v>0.82684800000000003</v>
      </c>
      <c r="BU22" s="6">
        <f>日流量!BU22*24*3600/100000000</f>
        <v>0.83116800000000002</v>
      </c>
      <c r="BV22" s="6">
        <f>日流量!BV22*24*3600/100000000</f>
        <v>0.83116800000000002</v>
      </c>
      <c r="BW22" s="6">
        <f>日流量!BW22*24*3600/100000000</f>
        <v>0.82684800000000003</v>
      </c>
      <c r="BX22" s="6">
        <f>日流量!BX22*24*3600/100000000</f>
        <v>0.82684800000000003</v>
      </c>
      <c r="BY22" s="6">
        <f>日流量!BY22*24*3600/100000000</f>
        <v>0.82684800000000003</v>
      </c>
      <c r="BZ22" s="6">
        <f>日流量!BZ22*24*3600/100000000</f>
        <v>0.83116800000000002</v>
      </c>
      <c r="CA22" s="6">
        <f>日流量!CA22*24*3600/100000000</f>
        <v>0.82684800000000003</v>
      </c>
      <c r="CB22" s="6">
        <f>日流量!CB22*24*3600/100000000</f>
        <v>0.82684800000000003</v>
      </c>
      <c r="CC22" s="6">
        <f>日流量!CC22*24*3600/100000000</f>
        <v>0.82684800000000003</v>
      </c>
      <c r="CD22" s="6">
        <f>日流量!CD22*24*3600/100000000</f>
        <v>0.82684800000000003</v>
      </c>
      <c r="CE22" s="6">
        <f>日流量!CE22*24*3600/100000000</f>
        <v>0.82684800000000003</v>
      </c>
      <c r="CF22" s="6">
        <f>日流量!CF22*24*3600/100000000</f>
        <v>0.83116800000000002</v>
      </c>
      <c r="CG22" s="6">
        <f>日流量!CG22*24*3600/100000000</f>
        <v>0.83894400000000002</v>
      </c>
      <c r="CH22" s="6">
        <f>日流量!CH22*24*3600/100000000</f>
        <v>0.84672000000000003</v>
      </c>
      <c r="CI22" s="6">
        <f>日流量!CI22*24*3600/100000000</f>
        <v>0.85017600000000004</v>
      </c>
      <c r="CJ22" s="6">
        <f>日流量!CJ22*24*3600/100000000</f>
        <v>0.85449600000000003</v>
      </c>
      <c r="CK22" s="6">
        <f>日流量!CK22*24*3600/100000000</f>
        <v>0.85017600000000004</v>
      </c>
      <c r="CL22" s="6">
        <f>日流量!CL22*24*3600/100000000</f>
        <v>0.84240000000000004</v>
      </c>
      <c r="CM22" s="6">
        <f>日流量!CM22*24*3600/100000000</f>
        <v>0.84240000000000004</v>
      </c>
      <c r="CN22" s="6">
        <f>日流量!CN22*24*3600/100000000</f>
        <v>0.84240000000000004</v>
      </c>
      <c r="CO22" s="6">
        <f>日流量!CO22*24*3600/100000000</f>
        <v>0.84672000000000003</v>
      </c>
      <c r="CP22" s="6">
        <f>日流量!CP22*24*3600/100000000</f>
        <v>0.84672000000000003</v>
      </c>
      <c r="CQ22" s="6">
        <f>日流量!CQ22*24*3600/100000000</f>
        <v>0.85017600000000004</v>
      </c>
      <c r="CR22" s="6">
        <f>日流量!CR22*24*3600/100000000</f>
        <v>0.85449600000000003</v>
      </c>
      <c r="CS22" s="6">
        <f>日流量!CS22*24*3600/100000000</f>
        <v>0.85795200000000005</v>
      </c>
      <c r="CT22" s="6">
        <f>日流量!CT22*24*3600/100000000</f>
        <v>0.85017600000000004</v>
      </c>
      <c r="CU22" s="6">
        <f>日流量!CU22*24*3600/100000000</f>
        <v>0.85017600000000004</v>
      </c>
      <c r="CV22" s="6">
        <f>日流量!CV22*24*3600/100000000</f>
        <v>0.85449600000000003</v>
      </c>
      <c r="CW22" s="6">
        <f>日流量!CW22*24*3600/100000000</f>
        <v>0.85795200000000005</v>
      </c>
      <c r="CX22" s="6">
        <f>日流量!CX22*24*3600/100000000</f>
        <v>0.87263999999999997</v>
      </c>
      <c r="CY22" s="6">
        <f>日流量!CY22*24*3600/100000000</f>
        <v>0.86399999999999999</v>
      </c>
      <c r="CZ22" s="6">
        <f>日流量!CZ22*24*3600/100000000</f>
        <v>0.85449600000000003</v>
      </c>
      <c r="DA22" s="6">
        <f>日流量!DA22*24*3600/100000000</f>
        <v>0.84240000000000004</v>
      </c>
      <c r="DB22" s="6">
        <f>日流量!DB22*24*3600/100000000</f>
        <v>0.83894400000000002</v>
      </c>
      <c r="DC22" s="6">
        <f>日流量!DC22*24*3600/100000000</f>
        <v>0.85017600000000004</v>
      </c>
      <c r="DD22" s="6">
        <f>日流量!DD22*24*3600/100000000</f>
        <v>0.85795200000000005</v>
      </c>
      <c r="DE22" s="6">
        <f>日流量!DE22*24*3600/100000000</f>
        <v>0.87263999999999997</v>
      </c>
      <c r="DF22" s="6">
        <f>日流量!DF22*24*3600/100000000</f>
        <v>0.88127999999999995</v>
      </c>
      <c r="DG22" s="6">
        <f>日流量!DG22*24*3600/100000000</f>
        <v>0.88127999999999995</v>
      </c>
      <c r="DH22" s="6">
        <f>日流量!DH22*24*3600/100000000</f>
        <v>0.88992000000000004</v>
      </c>
      <c r="DI22" s="6">
        <f>日流量!DI22*24*3600/100000000</f>
        <v>0.89856000000000003</v>
      </c>
      <c r="DJ22" s="6">
        <f>日流量!DJ22*24*3600/100000000</f>
        <v>0.91583999999999999</v>
      </c>
      <c r="DK22" s="6">
        <f>日流量!DK22*24*3600/100000000</f>
        <v>0.91583999999999999</v>
      </c>
      <c r="DL22" s="6">
        <f>日流量!DL22*24*3600/100000000</f>
        <v>0.93311999999999995</v>
      </c>
      <c r="DM22" s="6">
        <f>日流量!DM22*24*3600/100000000</f>
        <v>0.93311999999999995</v>
      </c>
      <c r="DN22" s="6">
        <f>日流量!DN22*24*3600/100000000</f>
        <v>0.92447999999999997</v>
      </c>
      <c r="DO22" s="6">
        <f>日流量!DO22*24*3600/100000000</f>
        <v>0.91583999999999999</v>
      </c>
      <c r="DP22" s="6">
        <f>日流量!DP22*24*3600/100000000</f>
        <v>0.90720000000000001</v>
      </c>
      <c r="DQ22" s="6">
        <f>日流量!DQ22*24*3600/100000000</f>
        <v>0.88992000000000004</v>
      </c>
      <c r="DR22" s="6">
        <f>日流量!DR22*24*3600/100000000</f>
        <v>0.88127999999999995</v>
      </c>
      <c r="DS22" s="6">
        <f>日流量!DS22*24*3600/100000000</f>
        <v>0.87263999999999997</v>
      </c>
      <c r="DT22" s="6">
        <f>日流量!DT22*24*3600/100000000</f>
        <v>0.85017600000000004</v>
      </c>
      <c r="DU22" s="6">
        <f>日流量!DU22*24*3600/100000000</f>
        <v>0.83894400000000002</v>
      </c>
      <c r="DV22" s="6">
        <f>日流量!DV22*24*3600/100000000</f>
        <v>0.82339200000000001</v>
      </c>
      <c r="DW22" s="6">
        <f>日流量!DW22*24*3600/100000000</f>
        <v>0.81129600000000002</v>
      </c>
      <c r="DX22" s="6">
        <f>日流量!DX22*24*3600/100000000</f>
        <v>0.80352000000000001</v>
      </c>
      <c r="DY22" s="6">
        <f>日流量!DY22*24*3600/100000000</f>
        <v>0.800064</v>
      </c>
      <c r="DZ22" s="6">
        <f>日流量!DZ22*24*3600/100000000</f>
        <v>0.800064</v>
      </c>
      <c r="EA22" s="6">
        <f>日流量!EA22*24*3600/100000000</f>
        <v>0.79228799999999999</v>
      </c>
      <c r="EB22" s="6">
        <f>日流量!EB22*24*3600/100000000</f>
        <v>0.79228799999999999</v>
      </c>
      <c r="EC22" s="6">
        <f>日流量!EC22*24*3600/100000000</f>
        <v>0.800064</v>
      </c>
      <c r="ED22" s="6">
        <f>日流量!ED22*24*3600/100000000</f>
        <v>0.80784</v>
      </c>
      <c r="EE22" s="6">
        <f>日流量!EE22*24*3600/100000000</f>
        <v>0.80352000000000001</v>
      </c>
      <c r="EF22" s="6">
        <f>日流量!EF22*24*3600/100000000</f>
        <v>0.80784</v>
      </c>
      <c r="EG22" s="6">
        <f>日流量!EG22*24*3600/100000000</f>
        <v>0.81561600000000001</v>
      </c>
      <c r="EH22" s="6">
        <f>日流量!EH22*24*3600/100000000</f>
        <v>0.82684800000000003</v>
      </c>
      <c r="EI22" s="6">
        <f>日流量!EI22*24*3600/100000000</f>
        <v>0.83462400000000003</v>
      </c>
      <c r="EJ22" s="6">
        <f>日流量!EJ22*24*3600/100000000</f>
        <v>0.83894400000000002</v>
      </c>
      <c r="EK22" s="6">
        <f>日流量!EK22*24*3600/100000000</f>
        <v>0.85017600000000004</v>
      </c>
      <c r="EL22" s="6">
        <f>日流量!EL22*24*3600/100000000</f>
        <v>0.87263999999999997</v>
      </c>
      <c r="EM22" s="6">
        <f>日流量!EM22*24*3600/100000000</f>
        <v>0.88992000000000004</v>
      </c>
      <c r="EN22" s="6">
        <f>日流量!EN22*24*3600/100000000</f>
        <v>0.88992000000000004</v>
      </c>
      <c r="EO22" s="6">
        <f>日流量!EO22*24*3600/100000000</f>
        <v>0.89856000000000003</v>
      </c>
      <c r="EP22" s="6">
        <f>日流量!EP22*24*3600/100000000</f>
        <v>0.91583999999999999</v>
      </c>
      <c r="EQ22" s="6">
        <f>日流量!EQ22*24*3600/100000000</f>
        <v>0.92447999999999997</v>
      </c>
      <c r="ER22" s="6">
        <f>日流量!ER22*24*3600/100000000</f>
        <v>0.94176000000000004</v>
      </c>
      <c r="ES22" s="6">
        <f>日流量!ES22*24*3600/100000000</f>
        <v>0.95904</v>
      </c>
      <c r="ET22" s="6">
        <f>日流量!ET22*24*3600/100000000</f>
        <v>0.99360000000000004</v>
      </c>
      <c r="EU22" s="6">
        <f>日流量!EU22*24*3600/100000000</f>
        <v>0.97631999999999997</v>
      </c>
      <c r="EV22" s="6">
        <f>日流量!EV22*24*3600/100000000</f>
        <v>0.94176000000000004</v>
      </c>
      <c r="EW22" s="6">
        <f>日流量!EW22*24*3600/100000000</f>
        <v>0.92447999999999997</v>
      </c>
      <c r="EX22" s="6">
        <f>日流量!EX22*24*3600/100000000</f>
        <v>0.89856000000000003</v>
      </c>
      <c r="EY22" s="6">
        <f>日流量!EY22*24*3600/100000000</f>
        <v>0.85795200000000005</v>
      </c>
      <c r="EZ22" s="6">
        <f>日流量!EZ22*24*3600/100000000</f>
        <v>0.95904</v>
      </c>
      <c r="FA22" s="6">
        <f>日流量!FA22*24*3600/100000000</f>
        <v>0.91583999999999999</v>
      </c>
      <c r="FB22" s="6">
        <f>日流量!FB22*24*3600/100000000</f>
        <v>0.98495999999999995</v>
      </c>
      <c r="FC22" s="6">
        <f>日流量!FC22*24*3600/100000000</f>
        <v>0.94176000000000004</v>
      </c>
      <c r="FD22" s="6">
        <f>日流量!FD22*24*3600/100000000</f>
        <v>1.00224</v>
      </c>
      <c r="FE22" s="6">
        <f>日流量!FE22*24*3600/100000000</f>
        <v>1.0454399999999999</v>
      </c>
      <c r="FF22" s="6">
        <f>日流量!FF22*24*3600/100000000</f>
        <v>1.00224</v>
      </c>
      <c r="FG22" s="6">
        <f>日流量!FG22*24*3600/100000000</f>
        <v>1.02816</v>
      </c>
      <c r="FH22" s="6">
        <f>日流量!FH22*24*3600/100000000</f>
        <v>1.0886400000000001</v>
      </c>
      <c r="FI22" s="6">
        <f>日流量!FI22*24*3600/100000000</f>
        <v>1.21824</v>
      </c>
      <c r="FJ22" s="6">
        <f>日流量!FJ22*24*3600/100000000</f>
        <v>1.50336</v>
      </c>
      <c r="FK22" s="6">
        <f>日流量!FK22*24*3600/100000000</f>
        <v>1.6502399999999999</v>
      </c>
      <c r="FL22" s="6">
        <f>日流量!FL22*24*3600/100000000</f>
        <v>1.73664</v>
      </c>
      <c r="FM22" s="6">
        <f>日流量!FM22*24*3600/100000000</f>
        <v>1.7539199999999999</v>
      </c>
      <c r="FN22" s="6">
        <f>日流量!FN22*24*3600/100000000</f>
        <v>1.7539199999999999</v>
      </c>
      <c r="FO22" s="6">
        <f>日流量!FO22*24*3600/100000000</f>
        <v>1.7539199999999999</v>
      </c>
      <c r="FP22" s="6">
        <f>日流量!FP22*24*3600/100000000</f>
        <v>1.9785600000000001</v>
      </c>
      <c r="FQ22" s="6">
        <f>日流量!FQ22*24*3600/100000000</f>
        <v>2.1427200000000002</v>
      </c>
      <c r="FR22" s="6">
        <f>日流量!FR22*24*3600/100000000</f>
        <v>2.4278400000000002</v>
      </c>
      <c r="FS22" s="6">
        <f>日流量!FS22*24*3600/100000000</f>
        <v>2.9548800000000002</v>
      </c>
      <c r="FT22" s="6">
        <f>日流量!FT22*24*3600/100000000</f>
        <v>3.0499200000000002</v>
      </c>
      <c r="FU22" s="6">
        <f>日流量!FU22*24*3600/100000000</f>
        <v>3.0672000000000001</v>
      </c>
      <c r="FV22" s="6">
        <f>日流量!FV22*24*3600/100000000</f>
        <v>3.0844800000000001</v>
      </c>
      <c r="FW22" s="6">
        <f>日流量!FW22*24*3600/100000000</f>
        <v>3.1017600000000001</v>
      </c>
      <c r="FX22" s="6">
        <f>日流量!FX22*24*3600/100000000</f>
        <v>3.1881599999999999</v>
      </c>
      <c r="FY22" s="6">
        <f>日流量!FY22*24*3600/100000000</f>
        <v>3.2745600000000001</v>
      </c>
      <c r="FZ22" s="6">
        <f>日流量!FZ22*24*3600/100000000</f>
        <v>3.11904</v>
      </c>
      <c r="GA22" s="6">
        <f>日流量!GA22*24*3600/100000000</f>
        <v>3.0585599999999999</v>
      </c>
      <c r="GB22" s="6">
        <f>日流量!GB22*24*3600/100000000</f>
        <v>3.1017600000000001</v>
      </c>
      <c r="GC22" s="6">
        <f>日流量!GC22*24*3600/100000000</f>
        <v>3.6633599999999999</v>
      </c>
      <c r="GD22" s="6">
        <f>日流量!GD22*24*3600/100000000</f>
        <v>3.72384</v>
      </c>
      <c r="GE22" s="6">
        <f>日流量!GE22*24*3600/100000000</f>
        <v>3.7151999999999998</v>
      </c>
      <c r="GF22" s="6">
        <f>日流量!GF22*24*3600/100000000</f>
        <v>3.9225599999999998</v>
      </c>
      <c r="GG22" s="6">
        <f>日流量!GG22*24*3600/100000000</f>
        <v>4.4323199999999998</v>
      </c>
      <c r="GH22" s="6">
        <f>日流量!GH22*24*3600/100000000</f>
        <v>4.7088000000000001</v>
      </c>
      <c r="GI22" s="6">
        <f>日流量!GI22*24*3600/100000000</f>
        <v>5.3740800000000002</v>
      </c>
      <c r="GJ22" s="6">
        <f>日流量!GJ22*24*3600/100000000</f>
        <v>6.0220799999999999</v>
      </c>
      <c r="GK22" s="6">
        <f>日流量!GK22*24*3600/100000000</f>
        <v>5.7542400000000002</v>
      </c>
      <c r="GL22" s="6">
        <f>日流量!GL22*24*3600/100000000</f>
        <v>5.5900800000000004</v>
      </c>
      <c r="GM22" s="6">
        <f>日流量!GM22*24*3600/100000000</f>
        <v>5.5728</v>
      </c>
      <c r="GN22" s="6">
        <f>日流量!GN22*24*3600/100000000</f>
        <v>6.2985600000000002</v>
      </c>
      <c r="GO22" s="6">
        <f>日流量!GO22*24*3600/100000000</f>
        <v>5.8752000000000004</v>
      </c>
      <c r="GP22" s="6">
        <f>日流量!GP22*24*3600/100000000</f>
        <v>5.66784</v>
      </c>
      <c r="GQ22" s="6">
        <f>日流量!GQ22*24*3600/100000000</f>
        <v>6.0048000000000004</v>
      </c>
      <c r="GR22" s="6">
        <f>日流量!GR22*24*3600/100000000</f>
        <v>6.0393600000000003</v>
      </c>
      <c r="GS22" s="6">
        <f>日流量!GS22*24*3600/100000000</f>
        <v>6.59232</v>
      </c>
      <c r="GT22" s="6">
        <f>日流量!GT22*24*3600/100000000</f>
        <v>6.46272</v>
      </c>
      <c r="GU22" s="6">
        <f>日流量!GU22*24*3600/100000000</f>
        <v>6.6009599999999997</v>
      </c>
      <c r="GV22" s="6">
        <f>日流量!GV22*24*3600/100000000</f>
        <v>7.9055999999999997</v>
      </c>
      <c r="GW22" s="6">
        <f>日流量!GW22*24*3600/100000000</f>
        <v>9.4176000000000002</v>
      </c>
      <c r="GX22" s="6">
        <f>日流量!GX22*24*3600/100000000</f>
        <v>8.9855999999999998</v>
      </c>
      <c r="GY22" s="6">
        <f>日流量!GY22*24*3600/100000000</f>
        <v>7.9055999999999997</v>
      </c>
      <c r="GZ22" s="6">
        <f>日流量!GZ22*24*3600/100000000</f>
        <v>6.8083200000000001</v>
      </c>
      <c r="HA22" s="6">
        <f>日流量!HA22*24*3600/100000000</f>
        <v>6.3158399999999997</v>
      </c>
      <c r="HB22" s="6">
        <f>日流量!HB22*24*3600/100000000</f>
        <v>6.1344000000000003</v>
      </c>
      <c r="HC22" s="6">
        <f>日流量!HC22*24*3600/100000000</f>
        <v>5.9356799999999996</v>
      </c>
      <c r="HD22" s="6">
        <f>日流量!HD22*24*3600/100000000</f>
        <v>5.7801600000000004</v>
      </c>
      <c r="HE22" s="6">
        <f>日流量!HE22*24*3600/100000000</f>
        <v>5.4691200000000002</v>
      </c>
      <c r="HF22" s="6">
        <f>日流量!HF22*24*3600/100000000</f>
        <v>5.2185600000000001</v>
      </c>
      <c r="HG22" s="6">
        <f>日流量!HG22*24*3600/100000000</f>
        <v>5.0544000000000002</v>
      </c>
      <c r="HH22" s="6">
        <f>日流量!HH22*24*3600/100000000</f>
        <v>4.9766399999999997</v>
      </c>
      <c r="HI22" s="6">
        <f>日流量!HI22*24*3600/100000000</f>
        <v>4.9420799999999998</v>
      </c>
      <c r="HJ22" s="6">
        <f>日流量!HJ22*24*3600/100000000</f>
        <v>4.7952000000000004</v>
      </c>
      <c r="HK22" s="6">
        <f>日流量!HK22*24*3600/100000000</f>
        <v>4.6310399999999996</v>
      </c>
      <c r="HL22" s="6">
        <f>日流量!HL22*24*3600/100000000</f>
        <v>4.4150400000000003</v>
      </c>
      <c r="HM22" s="6">
        <f>日流量!HM22*24*3600/100000000</f>
        <v>4.26816</v>
      </c>
      <c r="HN22" s="6">
        <f>日流量!HN22*24*3600/100000000</f>
        <v>4.1990400000000001</v>
      </c>
      <c r="HO22" s="6">
        <f>日流量!HO22*24*3600/100000000</f>
        <v>4.4409599999999996</v>
      </c>
      <c r="HP22" s="6">
        <f>日流量!HP22*24*3600/100000000</f>
        <v>4.7952000000000004</v>
      </c>
      <c r="HQ22" s="6">
        <f>日流量!HQ22*24*3600/100000000</f>
        <v>5.4345600000000003</v>
      </c>
      <c r="HR22" s="6">
        <f>日流量!HR22*24*3600/100000000</f>
        <v>6.7046400000000004</v>
      </c>
      <c r="HS22" s="6">
        <f>日流量!HS22*24*3600/100000000</f>
        <v>7.0415999999999999</v>
      </c>
      <c r="HT22" s="6">
        <f>日流量!HT22*24*3600/100000000</f>
        <v>6.3158399999999997</v>
      </c>
      <c r="HU22" s="6">
        <f>日流量!HU22*24*3600/100000000</f>
        <v>5.5296000000000003</v>
      </c>
      <c r="HV22" s="6">
        <f>日流量!HV22*24*3600/100000000</f>
        <v>5.0889600000000002</v>
      </c>
      <c r="HW22" s="6">
        <f>日流量!HW22*24*3600/100000000</f>
        <v>4.8124799999999999</v>
      </c>
      <c r="HX22" s="6">
        <f>日流量!HX22*24*3600/100000000</f>
        <v>4.9852800000000004</v>
      </c>
      <c r="HY22" s="6">
        <f>日流量!HY22*24*3600/100000000</f>
        <v>6.0739200000000002</v>
      </c>
      <c r="HZ22" s="6">
        <f>日流量!HZ22*24*3600/100000000</f>
        <v>6.87744</v>
      </c>
      <c r="IA22" s="6">
        <f>日流量!IA22*24*3600/100000000</f>
        <v>6.6528</v>
      </c>
      <c r="IB22" s="6">
        <f>日流量!IB22*24*3600/100000000</f>
        <v>6.0134400000000001</v>
      </c>
      <c r="IC22" s="6">
        <f>日流量!IC22*24*3600/100000000</f>
        <v>5.7196800000000003</v>
      </c>
      <c r="ID22" s="6">
        <f>日流量!ID22*24*3600/100000000</f>
        <v>5.66784</v>
      </c>
      <c r="IE22" s="6">
        <f>日流量!IE22*24*3600/100000000</f>
        <v>5.6159999999999997</v>
      </c>
      <c r="IF22" s="6">
        <f>日流量!IF22*24*3600/100000000</f>
        <v>5.9356799999999996</v>
      </c>
      <c r="IG22" s="6">
        <f>日流量!IG22*24*3600/100000000</f>
        <v>6.2121599999999999</v>
      </c>
      <c r="IH22" s="6">
        <f>日流量!IH22*24*3600/100000000</f>
        <v>6.3763199999999998</v>
      </c>
      <c r="II22" s="6">
        <f>日流量!II22*24*3600/100000000</f>
        <v>7.4736000000000002</v>
      </c>
      <c r="IJ22" s="6">
        <f>日流量!IJ22*24*3600/100000000</f>
        <v>8.64</v>
      </c>
      <c r="IK22" s="6">
        <f>日流量!IK22*24*3600/100000000</f>
        <v>9.8496000000000006</v>
      </c>
      <c r="IL22" s="6">
        <f>日流量!IL22*24*3600/100000000</f>
        <v>10.368</v>
      </c>
      <c r="IM22" s="6">
        <f>日流量!IM22*24*3600/100000000</f>
        <v>9.7631999999999994</v>
      </c>
      <c r="IN22" s="6">
        <f>日流量!IN22*24*3600/100000000</f>
        <v>9.5904000000000007</v>
      </c>
      <c r="IO22" s="6">
        <f>日流量!IO22*24*3600/100000000</f>
        <v>11.059200000000001</v>
      </c>
      <c r="IP22" s="6">
        <f>日流量!IP22*24*3600/100000000</f>
        <v>9.3312000000000008</v>
      </c>
      <c r="IQ22" s="6">
        <f>日流量!IQ22*24*3600/100000000</f>
        <v>8.8992000000000004</v>
      </c>
      <c r="IR22" s="6">
        <f>日流量!IR22*24*3600/100000000</f>
        <v>10.022399999999999</v>
      </c>
      <c r="IS22" s="6">
        <f>日流量!IS22*24*3600/100000000</f>
        <v>10.4544</v>
      </c>
      <c r="IT22" s="6">
        <f>日流量!IT22*24*3600/100000000</f>
        <v>10.1952</v>
      </c>
      <c r="IU22" s="6">
        <f>日流量!IU22*24*3600/100000000</f>
        <v>9.5039999999999996</v>
      </c>
      <c r="IV22" s="6">
        <f>日流量!IV22*24*3600/100000000</f>
        <v>9.3312000000000008</v>
      </c>
      <c r="IW22" s="6">
        <f>日流量!IW22*24*3600/100000000</f>
        <v>9.1584000000000003</v>
      </c>
      <c r="IX22" s="6">
        <f>日流量!IX22*24*3600/100000000</f>
        <v>8.9855999999999998</v>
      </c>
      <c r="IY22" s="6">
        <f>日流量!IY22*24*3600/100000000</f>
        <v>9.1584000000000003</v>
      </c>
      <c r="IZ22" s="6">
        <f>日流量!IZ22*24*3600/100000000</f>
        <v>9.7631999999999994</v>
      </c>
      <c r="JA22" s="6">
        <f>日流量!JA22*24*3600/100000000</f>
        <v>9.5039999999999996</v>
      </c>
      <c r="JB22" s="6">
        <f>日流量!JB22*24*3600/100000000</f>
        <v>8.8127999999999993</v>
      </c>
      <c r="JC22" s="6">
        <f>日流量!JC22*24*3600/100000000</f>
        <v>8.0265599999999999</v>
      </c>
      <c r="JD22" s="6">
        <f>日流量!JD22*24*3600/100000000</f>
        <v>7.2748799999999996</v>
      </c>
      <c r="JE22" s="6">
        <f>日流量!JE22*24*3600/100000000</f>
        <v>6.7046400000000004</v>
      </c>
      <c r="JF22" s="6">
        <f>日流量!JF22*24*3600/100000000</f>
        <v>6.2207999999999997</v>
      </c>
      <c r="JG22" s="6">
        <f>日流量!JG22*24*3600/100000000</f>
        <v>5.7974399999999999</v>
      </c>
      <c r="JH22" s="6">
        <f>日流量!JH22*24*3600/100000000</f>
        <v>5.5468799999999998</v>
      </c>
      <c r="JI22" s="6">
        <f>日流量!JI22*24*3600/100000000</f>
        <v>5.3395200000000003</v>
      </c>
      <c r="JJ22" s="6">
        <f>日流量!JJ22*24*3600/100000000</f>
        <v>5.1321599999999998</v>
      </c>
      <c r="JK22" s="6">
        <f>日流量!JK22*24*3600/100000000</f>
        <v>4.93344</v>
      </c>
      <c r="JL22" s="6">
        <f>日流量!JL22*24*3600/100000000</f>
        <v>4.7952000000000004</v>
      </c>
      <c r="JM22" s="6">
        <f>日流量!JM22*24*3600/100000000</f>
        <v>4.6828799999999999</v>
      </c>
      <c r="JN22" s="6">
        <f>日流量!JN22*24*3600/100000000</f>
        <v>4.5964799999999997</v>
      </c>
      <c r="JO22" s="6">
        <f>日流量!JO22*24*3600/100000000</f>
        <v>4.5273599999999998</v>
      </c>
      <c r="JP22" s="6">
        <f>日流量!JP22*24*3600/100000000</f>
        <v>4.7692800000000002</v>
      </c>
      <c r="JQ22" s="6">
        <f>日流量!JQ22*24*3600/100000000</f>
        <v>4.9161599999999996</v>
      </c>
      <c r="JR22" s="6">
        <f>日流量!JR22*24*3600/100000000</f>
        <v>4.8384</v>
      </c>
      <c r="JS22" s="6">
        <f>日流量!JS22*24*3600/100000000</f>
        <v>4.7347200000000003</v>
      </c>
      <c r="JT22" s="6">
        <f>日流量!JT22*24*3600/100000000</f>
        <v>4.6396800000000002</v>
      </c>
      <c r="JU22" s="6">
        <f>日流量!JU22*24*3600/100000000</f>
        <v>4.5359999999999996</v>
      </c>
      <c r="JV22" s="6">
        <f>日流量!JV22*24*3600/100000000</f>
        <v>4.3545600000000002</v>
      </c>
      <c r="JW22" s="6">
        <f>日流量!JW22*24*3600/100000000</f>
        <v>4.2767999999999997</v>
      </c>
      <c r="JX22" s="6">
        <f>日流量!JX22*24*3600/100000000</f>
        <v>4.3632</v>
      </c>
      <c r="JY22" s="6">
        <f>日流量!JY22*24*3600/100000000</f>
        <v>4.2249600000000003</v>
      </c>
      <c r="JZ22" s="6">
        <f>日流量!JZ22*24*3600/100000000</f>
        <v>4.3372799999999998</v>
      </c>
      <c r="KA22" s="6">
        <f>日流量!KA22*24*3600/100000000</f>
        <v>4.3113599999999996</v>
      </c>
      <c r="KB22" s="6">
        <f>日流量!KB22*24*3600/100000000</f>
        <v>4.13856</v>
      </c>
      <c r="KC22" s="6">
        <f>日流量!KC22*24*3600/100000000</f>
        <v>4.0089600000000001</v>
      </c>
      <c r="KD22" s="6">
        <f>日流量!KD22*24*3600/100000000</f>
        <v>3.8966400000000001</v>
      </c>
      <c r="KE22" s="6">
        <f>日流量!KE22*24*3600/100000000</f>
        <v>3.7756799999999999</v>
      </c>
      <c r="KF22" s="6">
        <f>日流量!KF22*24*3600/100000000</f>
        <v>3.6201599999999998</v>
      </c>
      <c r="KG22" s="6">
        <f>日流量!KG22*24*3600/100000000</f>
        <v>3.5078399999999998</v>
      </c>
      <c r="KH22" s="6">
        <f>日流量!KH22*24*3600/100000000</f>
        <v>3.4127999999999998</v>
      </c>
      <c r="KI22" s="6">
        <f>日流量!KI22*24*3600/100000000</f>
        <v>3.3177599999999998</v>
      </c>
      <c r="KJ22" s="6">
        <f>日流量!KJ22*24*3600/100000000</f>
        <v>3.2227199999999998</v>
      </c>
      <c r="KK22" s="6">
        <f>日流量!KK22*24*3600/100000000</f>
        <v>3.1536</v>
      </c>
      <c r="KL22" s="6">
        <f>日流量!KL22*24*3600/100000000</f>
        <v>3.0931199999999999</v>
      </c>
      <c r="KM22" s="6">
        <f>日流量!KM22*24*3600/100000000</f>
        <v>3.024</v>
      </c>
      <c r="KN22" s="6">
        <f>日流量!KN22*24*3600/100000000</f>
        <v>2.9376000000000002</v>
      </c>
      <c r="KO22" s="6">
        <f>日流量!KO22*24*3600/100000000</f>
        <v>2.8771200000000001</v>
      </c>
      <c r="KP22" s="6">
        <f>日流量!KP22*24*3600/100000000</f>
        <v>2.81664</v>
      </c>
      <c r="KQ22" s="6">
        <f>日流量!KQ22*24*3600/100000000</f>
        <v>2.7475200000000002</v>
      </c>
      <c r="KR22" s="6">
        <f>日流量!KR22*24*3600/100000000</f>
        <v>2.6956799999999999</v>
      </c>
      <c r="KS22" s="6">
        <f>日流量!KS22*24*3600/100000000</f>
        <v>2.6524800000000002</v>
      </c>
      <c r="KT22" s="6">
        <f>日流量!KT22*24*3600/100000000</f>
        <v>2.5920000000000001</v>
      </c>
      <c r="KU22" s="6">
        <f>日流量!KU22*24*3600/100000000</f>
        <v>2.5228799999999998</v>
      </c>
      <c r="KV22" s="6">
        <f>日流量!KV22*24*3600/100000000</f>
        <v>2.4883199999999999</v>
      </c>
      <c r="KW22" s="6">
        <f>日流量!KW22*24*3600/100000000</f>
        <v>2.4537599999999999</v>
      </c>
      <c r="KX22" s="6">
        <f>日流量!KX22*24*3600/100000000</f>
        <v>2.4278400000000002</v>
      </c>
      <c r="KY22" s="6">
        <f>日流量!KY22*24*3600/100000000</f>
        <v>2.3846400000000001</v>
      </c>
      <c r="KZ22" s="6">
        <f>日流量!KZ22*24*3600/100000000</f>
        <v>2.3328000000000002</v>
      </c>
      <c r="LA22" s="6">
        <f>日流量!LA22*24*3600/100000000</f>
        <v>2.2809599999999999</v>
      </c>
      <c r="LB22" s="6">
        <f>日流量!LB22*24*3600/100000000</f>
        <v>2.2377600000000002</v>
      </c>
      <c r="LC22" s="6">
        <f>日流量!LC22*24*3600/100000000</f>
        <v>2.1945600000000001</v>
      </c>
      <c r="LD22" s="6">
        <f>日流量!LD22*24*3600/100000000</f>
        <v>2.1686399999999999</v>
      </c>
      <c r="LE22" s="6">
        <f>日流量!LE22*24*3600/100000000</f>
        <v>2.1168</v>
      </c>
      <c r="LF22" s="6">
        <f>日流量!LF22*24*3600/100000000</f>
        <v>2.0822400000000001</v>
      </c>
      <c r="LG22" s="6">
        <f>日流量!LG22*24*3600/100000000</f>
        <v>2.0476800000000002</v>
      </c>
      <c r="LH22" s="6">
        <f>日流量!LH22*24*3600/100000000</f>
        <v>2.00448</v>
      </c>
      <c r="LI22" s="6">
        <f>日流量!LI22*24*3600/100000000</f>
        <v>1.9785600000000001</v>
      </c>
      <c r="LJ22" s="6">
        <f>日流量!LJ22*24*3600/100000000</f>
        <v>1.9526399999999999</v>
      </c>
      <c r="LK22" s="6">
        <f>日流量!LK22*24*3600/100000000</f>
        <v>1.91808</v>
      </c>
      <c r="LL22" s="6">
        <f>日流量!LL22*24*3600/100000000</f>
        <v>1.8921600000000001</v>
      </c>
      <c r="LM22" s="6">
        <f>日流量!LM22*24*3600/100000000</f>
        <v>1.8662399999999999</v>
      </c>
      <c r="LN22" s="6">
        <f>日流量!LN22*24*3600/100000000</f>
        <v>1.82304</v>
      </c>
      <c r="LO22" s="6">
        <f>日流量!LO22*24*3600/100000000</f>
        <v>1.80576</v>
      </c>
      <c r="LP22" s="6">
        <f>日流量!LP22*24*3600/100000000</f>
        <v>1.7884800000000001</v>
      </c>
      <c r="LQ22" s="6">
        <f>日流量!LQ22*24*3600/100000000</f>
        <v>1.7452799999999999</v>
      </c>
      <c r="LR22" s="6">
        <f>日流量!LR22*24*3600/100000000</f>
        <v>1.728</v>
      </c>
      <c r="LS22" s="6">
        <f>日流量!LS22*24*3600/100000000</f>
        <v>1.70208</v>
      </c>
      <c r="LT22" s="6">
        <f>日流量!LT22*24*3600/100000000</f>
        <v>1.6848000000000001</v>
      </c>
      <c r="LU22" s="6">
        <f>日流量!LU22*24*3600/100000000</f>
        <v>1.6588799999999999</v>
      </c>
      <c r="LV22" s="6">
        <f>日流量!LV22*24*3600/100000000</f>
        <v>1.6415999999999999</v>
      </c>
      <c r="LW22" s="6">
        <f>日流量!LW22*24*3600/100000000</f>
        <v>1.62432</v>
      </c>
      <c r="LX22" s="6">
        <f>日流量!LX22*24*3600/100000000</f>
        <v>1.61568</v>
      </c>
      <c r="LY22" s="6">
        <f>日流量!LY22*24*3600/100000000</f>
        <v>1.5897600000000001</v>
      </c>
      <c r="LZ22" s="6">
        <f>日流量!LZ22*24*3600/100000000</f>
        <v>1.5551999999999999</v>
      </c>
      <c r="MA22" s="6">
        <f>日流量!MA22*24*3600/100000000</f>
        <v>1.52928</v>
      </c>
      <c r="MB22" s="6">
        <f>日流量!MB22*24*3600/100000000</f>
        <v>1.49472</v>
      </c>
      <c r="MC22" s="6">
        <f>日流量!MC22*24*3600/100000000</f>
        <v>1.4688000000000001</v>
      </c>
      <c r="MD22" s="6">
        <f>日流量!MD22*24*3600/100000000</f>
        <v>1.4515199999999999</v>
      </c>
      <c r="ME22" s="6">
        <f>日流量!ME22*24*3600/100000000</f>
        <v>1.43424</v>
      </c>
      <c r="MF22" s="6">
        <f>日流量!MF22*24*3600/100000000</f>
        <v>1.41696</v>
      </c>
      <c r="MG22" s="6">
        <f>日流量!MG22*24*3600/100000000</f>
        <v>1.40832</v>
      </c>
      <c r="MH22" s="6">
        <f>日流量!MH22*24*3600/100000000</f>
        <v>1.3910400000000001</v>
      </c>
      <c r="MI22" s="6">
        <f>日流量!MI22*24*3600/100000000</f>
        <v>1.3737600000000001</v>
      </c>
      <c r="MJ22" s="6">
        <f>日流量!MJ22*24*3600/100000000</f>
        <v>1.3651199999999999</v>
      </c>
      <c r="MK22" s="6">
        <f>日流量!MK22*24*3600/100000000</f>
        <v>1.3478399999999999</v>
      </c>
      <c r="ML22" s="6">
        <f>日流量!ML22*24*3600/100000000</f>
        <v>1.31328</v>
      </c>
      <c r="MM22" s="6">
        <f>日流量!MM22*24*3600/100000000</f>
        <v>1.30464</v>
      </c>
      <c r="MN22" s="6">
        <f>日流量!MN22*24*3600/100000000</f>
        <v>1.2873600000000001</v>
      </c>
      <c r="MO22" s="6">
        <f>日流量!MO22*24*3600/100000000</f>
        <v>1.2787200000000001</v>
      </c>
      <c r="MP22" s="6">
        <f>日流量!MP22*24*3600/100000000</f>
        <v>1.2700800000000001</v>
      </c>
      <c r="MQ22" s="6">
        <f>日流量!MQ22*24*3600/100000000</f>
        <v>1.2700800000000001</v>
      </c>
      <c r="MR22" s="6">
        <f>日流量!MR22*24*3600/100000000</f>
        <v>1.2527999999999999</v>
      </c>
      <c r="MS22" s="6">
        <f>日流量!MS22*24*3600/100000000</f>
        <v>1.23552</v>
      </c>
      <c r="MT22" s="6">
        <f>日流量!MT22*24*3600/100000000</f>
        <v>1.2096</v>
      </c>
      <c r="MU22" s="6">
        <f>日流量!MU22*24*3600/100000000</f>
        <v>1.19232</v>
      </c>
      <c r="MV22" s="6">
        <f>日流量!MV22*24*3600/100000000</f>
        <v>1.1836800000000001</v>
      </c>
      <c r="MW22" s="6">
        <f>日流量!MW22*24*3600/100000000</f>
        <v>1.1750400000000001</v>
      </c>
      <c r="MX22" s="6">
        <f>日流量!MX22*24*3600/100000000</f>
        <v>1.1577599999999999</v>
      </c>
      <c r="MY22" s="6">
        <f>日流量!MY22*24*3600/100000000</f>
        <v>1.1491199999999999</v>
      </c>
      <c r="MZ22" s="6">
        <f>日流量!MZ22*24*3600/100000000</f>
        <v>1.1404799999999999</v>
      </c>
      <c r="NA22" s="6">
        <f>日流量!NA22*24*3600/100000000</f>
        <v>1.1232</v>
      </c>
      <c r="NB22" s="6">
        <f>日流量!NB22*24*3600/100000000</f>
        <v>1.10592</v>
      </c>
      <c r="NC22" s="6"/>
      <c r="ND22" s="6">
        <f>日流量!ND22*24*3600*31/100000000</f>
        <v>34.819200000000002</v>
      </c>
      <c r="NE22" s="6">
        <f>日流量!NE22*24*3600*28/100000000</f>
        <v>26.127359999999999</v>
      </c>
      <c r="NF22" s="6">
        <f>日流量!NF22*24*3600*31/100000000</f>
        <v>25.900127999999999</v>
      </c>
      <c r="NG22" s="6">
        <f>日流量!NG22*24*3600*30/100000000</f>
        <v>26.179200000000002</v>
      </c>
      <c r="NH22" s="6">
        <f>日流量!NH22*24*3600*31/100000000</f>
        <v>26.703648000000001</v>
      </c>
      <c r="NI22" s="6">
        <f>日流量!NI22*24*3600*30/100000000</f>
        <v>56.505600000000001</v>
      </c>
      <c r="NJ22" s="6">
        <f>日流量!NJ22*24*3600*31/100000000</f>
        <v>181.05984000000001</v>
      </c>
      <c r="NK22" s="6">
        <f>日流量!NK22*24*3600*31/100000000</f>
        <v>179.4528</v>
      </c>
      <c r="NL22" s="6">
        <f>日流量!NL22*24*3600*30/100000000</f>
        <v>237.4272</v>
      </c>
      <c r="NM22" s="6">
        <f>日流量!NM22*24*3600*31/100000000</f>
        <v>115.70688</v>
      </c>
      <c r="NN22" s="6">
        <f>日流量!NN22*24*3600*30/100000000</f>
        <v>60.134399999999999</v>
      </c>
      <c r="NO22" s="6">
        <f>日流量!NO22*24*3600*31/100000000</f>
        <v>40.443840000000002</v>
      </c>
      <c r="NP22" s="14">
        <f t="shared" si="10"/>
        <v>1010.460096</v>
      </c>
      <c r="NQ22" s="6">
        <f>日流量!NQ22*24*3600/100000000</f>
        <v>11.059200000000001</v>
      </c>
      <c r="NR22" s="4">
        <f>日流量!NR22</f>
        <v>42617</v>
      </c>
      <c r="NS22" s="6">
        <f>日流量!NS22*24*3600/100000000</f>
        <v>0.79228799999999999</v>
      </c>
      <c r="NT22" s="4">
        <f>日流量!NT22</f>
        <v>42499</v>
      </c>
      <c r="NU22" s="7">
        <f>日流量!NP22</f>
        <v>3205.4712328767123</v>
      </c>
      <c r="NW22" s="13">
        <f t="shared" si="0"/>
        <v>796.85596799999996</v>
      </c>
      <c r="NX22" s="12">
        <f t="shared" si="1"/>
        <v>78.860706242080042</v>
      </c>
      <c r="NY22" s="13">
        <f t="shared" si="2"/>
        <v>654.44543999999996</v>
      </c>
      <c r="NZ22" s="12">
        <f t="shared" si="3"/>
        <v>64.767074186371431</v>
      </c>
      <c r="OA22" s="13">
        <f t="shared" si="4"/>
        <v>213.60412800000006</v>
      </c>
      <c r="OB22" s="12">
        <f t="shared" si="5"/>
        <v>21.139293757919962</v>
      </c>
      <c r="OC22" s="13">
        <f t="shared" si="6"/>
        <v>237.4272</v>
      </c>
      <c r="OD22" s="12">
        <f t="shared" si="7"/>
        <v>23.496939754462108</v>
      </c>
      <c r="OE22" s="12">
        <f t="shared" si="8"/>
        <v>236.08880747663551</v>
      </c>
      <c r="OF22" s="12">
        <f t="shared" si="9"/>
        <v>7.486326974779157</v>
      </c>
    </row>
    <row r="23" spans="1:396" x14ac:dyDescent="0.15">
      <c r="A23" s="2">
        <v>1970</v>
      </c>
      <c r="B23" s="6">
        <f>日流量!B23*24*3600/100000000</f>
        <v>1.0886400000000001</v>
      </c>
      <c r="C23" s="6">
        <f>日流量!C23*24*3600/100000000</f>
        <v>1.0713600000000001</v>
      </c>
      <c r="D23" s="6">
        <f>日流量!D23*24*3600/100000000</f>
        <v>1.0627200000000001</v>
      </c>
      <c r="E23" s="6">
        <f>日流量!E23*24*3600/100000000</f>
        <v>1.0540799999999999</v>
      </c>
      <c r="F23" s="6">
        <f>日流量!F23*24*3600/100000000</f>
        <v>1.0454399999999999</v>
      </c>
      <c r="G23" s="6">
        <f>日流量!G23*24*3600/100000000</f>
        <v>1.0454399999999999</v>
      </c>
      <c r="H23" s="6">
        <f>日流量!H23*24*3600/100000000</f>
        <v>1.02816</v>
      </c>
      <c r="I23" s="6">
        <f>日流量!I23*24*3600/100000000</f>
        <v>1.01952</v>
      </c>
      <c r="J23" s="6">
        <f>日流量!J23*24*3600/100000000</f>
        <v>1.01088</v>
      </c>
      <c r="K23" s="6">
        <f>日流量!K23*24*3600/100000000</f>
        <v>1.00224</v>
      </c>
      <c r="L23" s="6">
        <f>日流量!L23*24*3600/100000000</f>
        <v>1.00224</v>
      </c>
      <c r="M23" s="6">
        <f>日流量!M23*24*3600/100000000</f>
        <v>1.01088</v>
      </c>
      <c r="N23" s="6">
        <f>日流量!N23*24*3600/100000000</f>
        <v>1.00224</v>
      </c>
      <c r="O23" s="6">
        <f>日流量!O23*24*3600/100000000</f>
        <v>0.99360000000000004</v>
      </c>
      <c r="P23" s="6">
        <f>日流量!P23*24*3600/100000000</f>
        <v>0.98495999999999995</v>
      </c>
      <c r="Q23" s="6">
        <f>日流量!Q23*24*3600/100000000</f>
        <v>0.97631999999999997</v>
      </c>
      <c r="R23" s="6">
        <f>日流量!R23*24*3600/100000000</f>
        <v>0.96767999999999998</v>
      </c>
      <c r="S23" s="6">
        <f>日流量!S23*24*3600/100000000</f>
        <v>0.95040000000000002</v>
      </c>
      <c r="T23" s="6">
        <f>日流量!T23*24*3600/100000000</f>
        <v>0.95040000000000002</v>
      </c>
      <c r="U23" s="6">
        <f>日流量!U23*24*3600/100000000</f>
        <v>0.94176000000000004</v>
      </c>
      <c r="V23" s="6">
        <f>日流量!V23*24*3600/100000000</f>
        <v>0.94176000000000004</v>
      </c>
      <c r="W23" s="6">
        <f>日流量!W23*24*3600/100000000</f>
        <v>0.94176000000000004</v>
      </c>
      <c r="X23" s="6">
        <f>日流量!X23*24*3600/100000000</f>
        <v>0.94176000000000004</v>
      </c>
      <c r="Y23" s="6">
        <f>日流量!Y23*24*3600/100000000</f>
        <v>0.93311999999999995</v>
      </c>
      <c r="Z23" s="6">
        <f>日流量!Z23*24*3600/100000000</f>
        <v>0.93311999999999995</v>
      </c>
      <c r="AA23" s="6">
        <f>日流量!AA23*24*3600/100000000</f>
        <v>0.93311999999999995</v>
      </c>
      <c r="AB23" s="6">
        <f>日流量!AB23*24*3600/100000000</f>
        <v>0.93311999999999995</v>
      </c>
      <c r="AC23" s="6">
        <f>日流量!AC23*24*3600/100000000</f>
        <v>0.92447999999999997</v>
      </c>
      <c r="AD23" s="6">
        <f>日流量!AD23*24*3600/100000000</f>
        <v>0.91583999999999999</v>
      </c>
      <c r="AE23" s="6">
        <f>日流量!AE23*24*3600/100000000</f>
        <v>0.91583999999999999</v>
      </c>
      <c r="AF23" s="6">
        <f>日流量!AF23*24*3600/100000000</f>
        <v>0.91583999999999999</v>
      </c>
      <c r="AG23" s="6">
        <f>日流量!AG23*24*3600/100000000</f>
        <v>0.89856000000000003</v>
      </c>
      <c r="AH23" s="6">
        <f>日流量!AH23*24*3600/100000000</f>
        <v>0.88992000000000004</v>
      </c>
      <c r="AI23" s="6">
        <f>日流量!AI23*24*3600/100000000</f>
        <v>0.88992000000000004</v>
      </c>
      <c r="AJ23" s="6">
        <f>日流量!AJ23*24*3600/100000000</f>
        <v>0.88127999999999995</v>
      </c>
      <c r="AK23" s="6">
        <f>日流量!AK23*24*3600/100000000</f>
        <v>0.87263999999999997</v>
      </c>
      <c r="AL23" s="6">
        <f>日流量!AL23*24*3600/100000000</f>
        <v>0.87263999999999997</v>
      </c>
      <c r="AM23" s="6">
        <f>日流量!AM23*24*3600/100000000</f>
        <v>0.87263999999999997</v>
      </c>
      <c r="AN23" s="6">
        <f>日流量!AN23*24*3600/100000000</f>
        <v>0.87263999999999997</v>
      </c>
      <c r="AO23" s="6">
        <f>日流量!AO23*24*3600/100000000</f>
        <v>0.87263999999999997</v>
      </c>
      <c r="AP23" s="6">
        <f>日流量!AP23*24*3600/100000000</f>
        <v>0.87263999999999997</v>
      </c>
      <c r="AQ23" s="6">
        <f>日流量!AQ23*24*3600/100000000</f>
        <v>0.86399999999999999</v>
      </c>
      <c r="AR23" s="6">
        <f>日流量!AR23*24*3600/100000000</f>
        <v>0.85795200000000005</v>
      </c>
      <c r="AS23" s="6">
        <f>日流量!AS23*24*3600/100000000</f>
        <v>0.85276799999999997</v>
      </c>
      <c r="AT23" s="6">
        <f>日流量!AT23*24*3600/100000000</f>
        <v>0.84844799999999998</v>
      </c>
      <c r="AU23" s="6">
        <f>日流量!AU23*24*3600/100000000</f>
        <v>0.84326400000000001</v>
      </c>
      <c r="AV23" s="6">
        <f>日流量!AV23*24*3600/100000000</f>
        <v>0.83894400000000002</v>
      </c>
      <c r="AW23" s="6">
        <f>日流量!AW23*24*3600/100000000</f>
        <v>0.83375999999999995</v>
      </c>
      <c r="AX23" s="6">
        <f>日流量!AX23*24*3600/100000000</f>
        <v>0.82943999999999996</v>
      </c>
      <c r="AY23" s="6">
        <f>日流量!AY23*24*3600/100000000</f>
        <v>0.82943999999999996</v>
      </c>
      <c r="AZ23" s="6">
        <f>日流量!AZ23*24*3600/100000000</f>
        <v>0.82425599999999999</v>
      </c>
      <c r="BA23" s="6">
        <f>日流量!BA23*24*3600/100000000</f>
        <v>0.81475200000000003</v>
      </c>
      <c r="BB23" s="6">
        <f>日流量!BB23*24*3600/100000000</f>
        <v>0.81043200000000004</v>
      </c>
      <c r="BC23" s="6">
        <f>日流量!BC23*24*3600/100000000</f>
        <v>0.81043200000000004</v>
      </c>
      <c r="BD23" s="6">
        <f>日流量!BD23*24*3600/100000000</f>
        <v>0.80524799999999996</v>
      </c>
      <c r="BE23" s="6">
        <f>日流量!BE23*24*3600/100000000</f>
        <v>0.81475200000000003</v>
      </c>
      <c r="BF23" s="6">
        <f>日流量!BF23*24*3600/100000000</f>
        <v>0.82943999999999996</v>
      </c>
      <c r="BG23" s="6">
        <f>日流量!BG23*24*3600/100000000</f>
        <v>0.83375999999999995</v>
      </c>
      <c r="BH23" s="6">
        <f>日流量!BH23*24*3600/100000000</f>
        <v>0.82943999999999996</v>
      </c>
      <c r="BI23" s="6"/>
      <c r="BJ23" s="6">
        <f>日流量!BJ23*24*3600/100000000</f>
        <v>0.82425599999999999</v>
      </c>
      <c r="BK23" s="6">
        <f>日流量!BK23*24*3600/100000000</f>
        <v>0.819936</v>
      </c>
      <c r="BL23" s="6">
        <f>日流量!BL23*24*3600/100000000</f>
        <v>0.81043200000000004</v>
      </c>
      <c r="BM23" s="6">
        <f>日流量!BM23*24*3600/100000000</f>
        <v>0.80524799999999996</v>
      </c>
      <c r="BN23" s="6">
        <f>日流量!BN23*24*3600/100000000</f>
        <v>0.79574400000000001</v>
      </c>
      <c r="BO23" s="6">
        <f>日流量!BO23*24*3600/100000000</f>
        <v>0.80524799999999996</v>
      </c>
      <c r="BP23" s="6">
        <f>日流量!BP23*24*3600/100000000</f>
        <v>0.80092799999999997</v>
      </c>
      <c r="BQ23" s="6">
        <f>日流量!BQ23*24*3600/100000000</f>
        <v>0.80092799999999997</v>
      </c>
      <c r="BR23" s="6">
        <f>日流量!BR23*24*3600/100000000</f>
        <v>0.80092799999999997</v>
      </c>
      <c r="BS23" s="6">
        <f>日流量!BS23*24*3600/100000000</f>
        <v>0.80092799999999997</v>
      </c>
      <c r="BT23" s="6">
        <f>日流量!BT23*24*3600/100000000</f>
        <v>0.79574400000000001</v>
      </c>
      <c r="BU23" s="6">
        <f>日流量!BU23*24*3600/100000000</f>
        <v>0.79142400000000002</v>
      </c>
      <c r="BV23" s="6">
        <f>日流量!BV23*24*3600/100000000</f>
        <v>0.78624000000000005</v>
      </c>
      <c r="BW23" s="6">
        <f>日流量!BW23*24*3600/100000000</f>
        <v>0.78624000000000005</v>
      </c>
      <c r="BX23" s="6">
        <f>日流量!BX23*24*3600/100000000</f>
        <v>0.78624000000000005</v>
      </c>
      <c r="BY23" s="6">
        <f>日流量!BY23*24*3600/100000000</f>
        <v>0.79660799999999998</v>
      </c>
      <c r="BZ23" s="6">
        <f>日流量!BZ23*24*3600/100000000</f>
        <v>0.80179199999999995</v>
      </c>
      <c r="CA23" s="6">
        <f>日流量!CA23*24*3600/100000000</f>
        <v>0.80179199999999995</v>
      </c>
      <c r="CB23" s="6">
        <f>日流量!CB23*24*3600/100000000</f>
        <v>0.80179199999999995</v>
      </c>
      <c r="CC23" s="6">
        <f>日流量!CC23*24*3600/100000000</f>
        <v>0.79142400000000002</v>
      </c>
      <c r="CD23" s="6">
        <f>日流量!CD23*24*3600/100000000</f>
        <v>0.78624000000000005</v>
      </c>
      <c r="CE23" s="6">
        <f>日流量!CE23*24*3600/100000000</f>
        <v>0.79142400000000002</v>
      </c>
      <c r="CF23" s="6">
        <f>日流量!CF23*24*3600/100000000</f>
        <v>0.79660799999999998</v>
      </c>
      <c r="CG23" s="6">
        <f>日流量!CG23*24*3600/100000000</f>
        <v>0.80179199999999995</v>
      </c>
      <c r="CH23" s="6">
        <f>日流量!CH23*24*3600/100000000</f>
        <v>0.81734399999999996</v>
      </c>
      <c r="CI23" s="6">
        <f>日流量!CI23*24*3600/100000000</f>
        <v>0.827712</v>
      </c>
      <c r="CJ23" s="6">
        <f>日流量!CJ23*24*3600/100000000</f>
        <v>0.83289599999999997</v>
      </c>
      <c r="CK23" s="6">
        <f>日流量!CK23*24*3600/100000000</f>
        <v>0.84412799999999999</v>
      </c>
      <c r="CL23" s="6">
        <f>日流量!CL23*24*3600/100000000</f>
        <v>0.84412799999999999</v>
      </c>
      <c r="CM23" s="6">
        <f>日流量!CM23*24*3600/100000000</f>
        <v>0.84412799999999999</v>
      </c>
      <c r="CN23" s="6">
        <f>日流量!CN23*24*3600/100000000</f>
        <v>0.83808000000000005</v>
      </c>
      <c r="CO23" s="6">
        <f>日流量!CO23*24*3600/100000000</f>
        <v>0.84412799999999999</v>
      </c>
      <c r="CP23" s="6">
        <f>日流量!CP23*24*3600/100000000</f>
        <v>0.87263999999999997</v>
      </c>
      <c r="CQ23" s="6">
        <f>日流量!CQ23*24*3600/100000000</f>
        <v>0.90720000000000001</v>
      </c>
      <c r="CR23" s="6">
        <f>日流量!CR23*24*3600/100000000</f>
        <v>1.0627200000000001</v>
      </c>
      <c r="CS23" s="6">
        <f>日流量!CS23*24*3600/100000000</f>
        <v>1.1491199999999999</v>
      </c>
      <c r="CT23" s="6">
        <f>日流量!CT23*24*3600/100000000</f>
        <v>1.0627200000000001</v>
      </c>
      <c r="CU23" s="6">
        <f>日流量!CU23*24*3600/100000000</f>
        <v>0.97631999999999997</v>
      </c>
      <c r="CV23" s="6">
        <f>日流量!CV23*24*3600/100000000</f>
        <v>0.93311999999999995</v>
      </c>
      <c r="CW23" s="6">
        <f>日流量!CW23*24*3600/100000000</f>
        <v>0.90720000000000001</v>
      </c>
      <c r="CX23" s="6">
        <f>日流量!CX23*24*3600/100000000</f>
        <v>0.88992000000000004</v>
      </c>
      <c r="CY23" s="6">
        <f>日流量!CY23*24*3600/100000000</f>
        <v>0.88992000000000004</v>
      </c>
      <c r="CZ23" s="6">
        <f>日流量!CZ23*24*3600/100000000</f>
        <v>0.90720000000000001</v>
      </c>
      <c r="DA23" s="6">
        <f>日流量!DA23*24*3600/100000000</f>
        <v>0.92447999999999997</v>
      </c>
      <c r="DB23" s="6">
        <f>日流量!DB23*24*3600/100000000</f>
        <v>0.95040000000000002</v>
      </c>
      <c r="DC23" s="6">
        <f>日流量!DC23*24*3600/100000000</f>
        <v>0.97631999999999997</v>
      </c>
      <c r="DD23" s="6">
        <f>日流量!DD23*24*3600/100000000</f>
        <v>0.97631999999999997</v>
      </c>
      <c r="DE23" s="6">
        <f>日流量!DE23*24*3600/100000000</f>
        <v>0.94176000000000004</v>
      </c>
      <c r="DF23" s="6">
        <f>日流量!DF23*24*3600/100000000</f>
        <v>0.91583999999999999</v>
      </c>
      <c r="DG23" s="6">
        <f>日流量!DG23*24*3600/100000000</f>
        <v>0.90720000000000001</v>
      </c>
      <c r="DH23" s="6">
        <f>日流量!DH23*24*3600/100000000</f>
        <v>0.93311999999999995</v>
      </c>
      <c r="DI23" s="6">
        <f>日流量!DI23*24*3600/100000000</f>
        <v>1.00224</v>
      </c>
      <c r="DJ23" s="6">
        <f>日流量!DJ23*24*3600/100000000</f>
        <v>1.01952</v>
      </c>
      <c r="DK23" s="6">
        <f>日流量!DK23*24*3600/100000000</f>
        <v>1.0540799999999999</v>
      </c>
      <c r="DL23" s="6">
        <f>日流量!DL23*24*3600/100000000</f>
        <v>1.0367999999999999</v>
      </c>
      <c r="DM23" s="6">
        <f>日流量!DM23*24*3600/100000000</f>
        <v>1.0454399999999999</v>
      </c>
      <c r="DN23" s="6">
        <f>日流量!DN23*24*3600/100000000</f>
        <v>1.0713600000000001</v>
      </c>
      <c r="DO23" s="6">
        <f>日流量!DO23*24*3600/100000000</f>
        <v>1.11456</v>
      </c>
      <c r="DP23" s="6">
        <f>日流量!DP23*24*3600/100000000</f>
        <v>1.1577599999999999</v>
      </c>
      <c r="DQ23" s="6">
        <f>日流量!DQ23*24*3600/100000000</f>
        <v>1.21824</v>
      </c>
      <c r="DR23" s="6">
        <f>日流量!DR23*24*3600/100000000</f>
        <v>1.3564799999999999</v>
      </c>
      <c r="DS23" s="6">
        <f>日流量!DS23*24*3600/100000000</f>
        <v>1.40832</v>
      </c>
      <c r="DT23" s="6">
        <f>日流量!DT23*24*3600/100000000</f>
        <v>1.50336</v>
      </c>
      <c r="DU23" s="6">
        <f>日流量!DU23*24*3600/100000000</f>
        <v>1.728</v>
      </c>
      <c r="DV23" s="6">
        <f>日流量!DV23*24*3600/100000000</f>
        <v>1.9699199999999999</v>
      </c>
      <c r="DW23" s="6">
        <f>日流量!DW23*24*3600/100000000</f>
        <v>2.03904</v>
      </c>
      <c r="DX23" s="6">
        <f>日流量!DX23*24*3600/100000000</f>
        <v>1.92672</v>
      </c>
      <c r="DY23" s="6">
        <f>日流量!DY23*24*3600/100000000</f>
        <v>1.7884800000000001</v>
      </c>
      <c r="DZ23" s="6">
        <f>日流量!DZ23*24*3600/100000000</f>
        <v>1.6675199999999999</v>
      </c>
      <c r="EA23" s="6">
        <f>日流量!EA23*24*3600/100000000</f>
        <v>1.61568</v>
      </c>
      <c r="EB23" s="6">
        <f>日流量!EB23*24*3600/100000000</f>
        <v>1.62432</v>
      </c>
      <c r="EC23" s="6">
        <f>日流量!EC23*24*3600/100000000</f>
        <v>1.7798400000000001</v>
      </c>
      <c r="ED23" s="6">
        <f>日流量!ED23*24*3600/100000000</f>
        <v>1.8835200000000001</v>
      </c>
      <c r="EE23" s="6">
        <f>日流量!EE23*24*3600/100000000</f>
        <v>1.91808</v>
      </c>
      <c r="EF23" s="6">
        <f>日流量!EF23*24*3600/100000000</f>
        <v>1.944</v>
      </c>
      <c r="EG23" s="6">
        <f>日流量!EG23*24*3600/100000000</f>
        <v>1.9612799999999999</v>
      </c>
      <c r="EH23" s="6">
        <f>日流量!EH23*24*3600/100000000</f>
        <v>2.02176</v>
      </c>
      <c r="EI23" s="6">
        <f>日流量!EI23*24*3600/100000000</f>
        <v>2.0735999999999999</v>
      </c>
      <c r="EJ23" s="6">
        <f>日流量!EJ23*24*3600/100000000</f>
        <v>2.13408</v>
      </c>
      <c r="EK23" s="6">
        <f>日流量!EK23*24*3600/100000000</f>
        <v>2.2636799999999999</v>
      </c>
      <c r="EL23" s="6">
        <f>日流量!EL23*24*3600/100000000</f>
        <v>2.5401600000000002</v>
      </c>
      <c r="EM23" s="6">
        <f>日流量!EM23*24*3600/100000000</f>
        <v>2.5228799999999998</v>
      </c>
      <c r="EN23" s="6">
        <f>日流量!EN23*24*3600/100000000</f>
        <v>2.4969600000000001</v>
      </c>
      <c r="EO23" s="6">
        <f>日流量!EO23*24*3600/100000000</f>
        <v>2.3328000000000002</v>
      </c>
      <c r="EP23" s="6">
        <f>日流量!EP23*24*3600/100000000</f>
        <v>2.0995200000000001</v>
      </c>
      <c r="EQ23" s="6">
        <f>日流量!EQ23*24*3600/100000000</f>
        <v>1.9699199999999999</v>
      </c>
      <c r="ER23" s="6">
        <f>日流量!ER23*24*3600/100000000</f>
        <v>1.8662399999999999</v>
      </c>
      <c r="ES23" s="6">
        <f>日流量!ES23*24*3600/100000000</f>
        <v>1.83168</v>
      </c>
      <c r="ET23" s="6">
        <f>日流量!ET23*24*3600/100000000</f>
        <v>1.8748800000000001</v>
      </c>
      <c r="EU23" s="6">
        <f>日流量!EU23*24*3600/100000000</f>
        <v>1.8662399999999999</v>
      </c>
      <c r="EV23" s="6">
        <f>日流量!EV23*24*3600/100000000</f>
        <v>1.9008</v>
      </c>
      <c r="EW23" s="6">
        <f>日流量!EW23*24*3600/100000000</f>
        <v>1.8835200000000001</v>
      </c>
      <c r="EX23" s="6">
        <f>日流量!EX23*24*3600/100000000</f>
        <v>1.90944</v>
      </c>
      <c r="EY23" s="6">
        <f>日流量!EY23*24*3600/100000000</f>
        <v>1.90944</v>
      </c>
      <c r="EZ23" s="6">
        <f>日流量!EZ23*24*3600/100000000</f>
        <v>1.92672</v>
      </c>
      <c r="FA23" s="6">
        <f>日流量!FA23*24*3600/100000000</f>
        <v>1.9699199999999999</v>
      </c>
      <c r="FB23" s="6">
        <f>日流量!FB23*24*3600/100000000</f>
        <v>2.0649600000000001</v>
      </c>
      <c r="FC23" s="6">
        <f>日流量!FC23*24*3600/100000000</f>
        <v>2.03904</v>
      </c>
      <c r="FD23" s="6">
        <f>日流量!FD23*24*3600/100000000</f>
        <v>1.9785600000000001</v>
      </c>
      <c r="FE23" s="6">
        <f>日流量!FE23*24*3600/100000000</f>
        <v>1.944</v>
      </c>
      <c r="FF23" s="6">
        <f>日流量!FF23*24*3600/100000000</f>
        <v>1.92672</v>
      </c>
      <c r="FG23" s="6">
        <f>日流量!FG23*24*3600/100000000</f>
        <v>1.9008</v>
      </c>
      <c r="FH23" s="6">
        <f>日流量!FH23*24*3600/100000000</f>
        <v>1.8921600000000001</v>
      </c>
      <c r="FI23" s="6">
        <f>日流量!FI23*24*3600/100000000</f>
        <v>1.9872000000000001</v>
      </c>
      <c r="FJ23" s="6">
        <f>日流量!FJ23*24*3600/100000000</f>
        <v>2.02176</v>
      </c>
      <c r="FK23" s="6">
        <f>日流量!FK23*24*3600/100000000</f>
        <v>2.0563199999999999</v>
      </c>
      <c r="FL23" s="6">
        <f>日流量!FL23*24*3600/100000000</f>
        <v>2.1168</v>
      </c>
      <c r="FM23" s="6">
        <f>日流量!FM23*24*3600/100000000</f>
        <v>2.1168</v>
      </c>
      <c r="FN23" s="6">
        <f>日流量!FN23*24*3600/100000000</f>
        <v>1.9872000000000001</v>
      </c>
      <c r="FO23" s="6">
        <f>日流量!FO23*24*3600/100000000</f>
        <v>1.9785600000000001</v>
      </c>
      <c r="FP23" s="6">
        <f>日流量!FP23*24*3600/100000000</f>
        <v>2.0649600000000001</v>
      </c>
      <c r="FQ23" s="6">
        <f>日流量!FQ23*24*3600/100000000</f>
        <v>2.53152</v>
      </c>
      <c r="FR23" s="6">
        <f>日流量!FR23*24*3600/100000000</f>
        <v>2.7734399999999999</v>
      </c>
      <c r="FS23" s="6">
        <f>日流量!FS23*24*3600/100000000</f>
        <v>3.4473600000000002</v>
      </c>
      <c r="FT23" s="6">
        <f>日流量!FT23*24*3600/100000000</f>
        <v>4.0348800000000002</v>
      </c>
      <c r="FU23" s="6">
        <f>日流量!FU23*24*3600/100000000</f>
        <v>4.6915199999999997</v>
      </c>
      <c r="FV23" s="6">
        <f>日流量!FV23*24*3600/100000000</f>
        <v>6.0048000000000004</v>
      </c>
      <c r="FW23" s="6">
        <f>日流量!FW23*24*3600/100000000</f>
        <v>7.1798400000000004</v>
      </c>
      <c r="FX23" s="6">
        <f>日流量!FX23*24*3600/100000000</f>
        <v>7.3958399999999997</v>
      </c>
      <c r="FY23" s="6">
        <f>日流量!FY23*24*3600/100000000</f>
        <v>7.2057599999999997</v>
      </c>
      <c r="FZ23" s="6">
        <f>日流量!FZ23*24*3600/100000000</f>
        <v>6.4022399999999999</v>
      </c>
      <c r="GA23" s="6">
        <f>日流量!GA23*24*3600/100000000</f>
        <v>5.5468799999999998</v>
      </c>
      <c r="GB23" s="6">
        <f>日流量!GB23*24*3600/100000000</f>
        <v>4.8643200000000002</v>
      </c>
      <c r="GC23" s="6">
        <f>日流量!GC23*24*3600/100000000</f>
        <v>4.2163199999999996</v>
      </c>
      <c r="GD23" s="6">
        <f>日流量!GD23*24*3600/100000000</f>
        <v>3.8793600000000001</v>
      </c>
      <c r="GE23" s="6">
        <f>日流量!GE23*24*3600/100000000</f>
        <v>3.74112</v>
      </c>
      <c r="GF23" s="6">
        <f>日流量!GF23*24*3600/100000000</f>
        <v>3.5855999999999999</v>
      </c>
      <c r="GG23" s="6">
        <f>日流量!GG23*24*3600/100000000</f>
        <v>3.3868800000000001</v>
      </c>
      <c r="GH23" s="6">
        <f>日流量!GH23*24*3600/100000000</f>
        <v>3.24864</v>
      </c>
      <c r="GI23" s="6">
        <f>日流量!GI23*24*3600/100000000</f>
        <v>3.2918400000000001</v>
      </c>
      <c r="GJ23" s="6">
        <f>日流量!GJ23*24*3600/100000000</f>
        <v>3.6374399999999998</v>
      </c>
      <c r="GK23" s="6">
        <f>日流量!GK23*24*3600/100000000</f>
        <v>4.2422399999999998</v>
      </c>
      <c r="GL23" s="6">
        <f>日流量!GL23*24*3600/100000000</f>
        <v>5.76288</v>
      </c>
      <c r="GM23" s="6">
        <f>日流量!GM23*24*3600/100000000</f>
        <v>7.0848000000000004</v>
      </c>
      <c r="GN23" s="6">
        <f>日流量!GN23*24*3600/100000000</f>
        <v>7.2316799999999999</v>
      </c>
      <c r="GO23" s="6">
        <f>日流量!GO23*24*3600/100000000</f>
        <v>9.2447999999999997</v>
      </c>
      <c r="GP23" s="6">
        <f>日流量!GP23*24*3600/100000000</f>
        <v>11.750400000000001</v>
      </c>
      <c r="GQ23" s="6">
        <f>日流量!GQ23*24*3600/100000000</f>
        <v>12.441599999999999</v>
      </c>
      <c r="GR23" s="6">
        <f>日流量!GR23*24*3600/100000000</f>
        <v>11.491199999999999</v>
      </c>
      <c r="GS23" s="6">
        <f>日流量!GS23*24*3600/100000000</f>
        <v>11.059200000000001</v>
      </c>
      <c r="GT23" s="6">
        <f>日流量!GT23*24*3600/100000000</f>
        <v>12.182399999999999</v>
      </c>
      <c r="GU23" s="6">
        <f>日流量!GU23*24*3600/100000000</f>
        <v>15.984</v>
      </c>
      <c r="GV23" s="6">
        <f>日流量!GV23*24*3600/100000000</f>
        <v>15.811199999999999</v>
      </c>
      <c r="GW23" s="6">
        <f>日流量!GW23*24*3600/100000000</f>
        <v>14.169600000000001</v>
      </c>
      <c r="GX23" s="6">
        <f>日流量!GX23*24*3600/100000000</f>
        <v>12.441599999999999</v>
      </c>
      <c r="GY23" s="6">
        <f>日流量!GY23*24*3600/100000000</f>
        <v>11.491199999999999</v>
      </c>
      <c r="GZ23" s="6">
        <f>日流量!GZ23*24*3600/100000000</f>
        <v>11.5776</v>
      </c>
      <c r="HA23" s="6">
        <f>日流量!HA23*24*3600/100000000</f>
        <v>11.5776</v>
      </c>
      <c r="HB23" s="6">
        <f>日流量!HB23*24*3600/100000000</f>
        <v>11.4048</v>
      </c>
      <c r="HC23" s="6">
        <f>日流量!HC23*24*3600/100000000</f>
        <v>11.1456</v>
      </c>
      <c r="HD23" s="6">
        <f>日流量!HD23*24*3600/100000000</f>
        <v>10.8864</v>
      </c>
      <c r="HE23" s="6">
        <f>日流量!HE23*24*3600/100000000</f>
        <v>10.8864</v>
      </c>
      <c r="HF23" s="6">
        <f>日流量!HF23*24*3600/100000000</f>
        <v>11.5776</v>
      </c>
      <c r="HG23" s="6">
        <f>日流量!HG23*24*3600/100000000</f>
        <v>12.009600000000001</v>
      </c>
      <c r="HH23" s="6">
        <f>日流量!HH23*24*3600/100000000</f>
        <v>11.1456</v>
      </c>
      <c r="HI23" s="6">
        <f>日流量!HI23*24*3600/100000000</f>
        <v>10.540800000000001</v>
      </c>
      <c r="HJ23" s="6">
        <f>日流量!HJ23*24*3600/100000000</f>
        <v>10.4544</v>
      </c>
      <c r="HK23" s="6">
        <f>日流量!HK23*24*3600/100000000</f>
        <v>11.059200000000001</v>
      </c>
      <c r="HL23" s="6">
        <f>日流量!HL23*24*3600/100000000</f>
        <v>11.664</v>
      </c>
      <c r="HM23" s="6">
        <f>日流量!HM23*24*3600/100000000</f>
        <v>11.9232</v>
      </c>
      <c r="HN23" s="6">
        <f>日流量!HN23*24*3600/100000000</f>
        <v>11.664</v>
      </c>
      <c r="HO23" s="6">
        <f>日流量!HO23*24*3600/100000000</f>
        <v>11.4048</v>
      </c>
      <c r="HP23" s="6">
        <f>日流量!HP23*24*3600/100000000</f>
        <v>11.5776</v>
      </c>
      <c r="HQ23" s="6">
        <f>日流量!HQ23*24*3600/100000000</f>
        <v>11.664</v>
      </c>
      <c r="HR23" s="6">
        <f>日流量!HR23*24*3600/100000000</f>
        <v>11.231999999999999</v>
      </c>
      <c r="HS23" s="6">
        <f>日流量!HS23*24*3600/100000000</f>
        <v>10.368</v>
      </c>
      <c r="HT23" s="6">
        <f>日流量!HT23*24*3600/100000000</f>
        <v>9.6768000000000001</v>
      </c>
      <c r="HU23" s="6">
        <f>日流量!HU23*24*3600/100000000</f>
        <v>9.2447999999999997</v>
      </c>
      <c r="HV23" s="6">
        <f>日流量!HV23*24*3600/100000000</f>
        <v>8.7263999999999999</v>
      </c>
      <c r="HW23" s="6">
        <f>日流量!HW23*24*3600/100000000</f>
        <v>8.1129599999999993</v>
      </c>
      <c r="HX23" s="6">
        <f>日流量!HX23*24*3600/100000000</f>
        <v>7.57728</v>
      </c>
      <c r="HY23" s="6">
        <f>日流量!HY23*24*3600/100000000</f>
        <v>7.0502399999999996</v>
      </c>
      <c r="HZ23" s="6">
        <f>日流量!HZ23*24*3600/100000000</f>
        <v>6.7824</v>
      </c>
      <c r="IA23" s="6">
        <f>日流量!IA23*24*3600/100000000</f>
        <v>6.48</v>
      </c>
      <c r="IB23" s="6">
        <f>日流量!IB23*24*3600/100000000</f>
        <v>6.3763199999999998</v>
      </c>
      <c r="IC23" s="6">
        <f>日流量!IC23*24*3600/100000000</f>
        <v>6.5750400000000004</v>
      </c>
      <c r="ID23" s="6">
        <f>日流量!ID23*24*3600/100000000</f>
        <v>7.1193600000000004</v>
      </c>
      <c r="IE23" s="6">
        <f>日流量!IE23*24*3600/100000000</f>
        <v>7.1366399999999999</v>
      </c>
      <c r="IF23" s="6">
        <f>日流量!IF23*24*3600/100000000</f>
        <v>6.7651199999999996</v>
      </c>
      <c r="IG23" s="6">
        <f>日流量!IG23*24*3600/100000000</f>
        <v>6.3503999999999996</v>
      </c>
      <c r="IH23" s="6">
        <f>日流量!IH23*24*3600/100000000</f>
        <v>6.4281600000000001</v>
      </c>
      <c r="II23" s="6">
        <f>日流量!II23*24*3600/100000000</f>
        <v>7.2316799999999999</v>
      </c>
      <c r="IJ23" s="6">
        <f>日流量!IJ23*24*3600/100000000</f>
        <v>7.4649599999999996</v>
      </c>
      <c r="IK23" s="6">
        <f>日流量!IK23*24*3600/100000000</f>
        <v>7.3526400000000001</v>
      </c>
      <c r="IL23" s="6">
        <f>日流量!IL23*24*3600/100000000</f>
        <v>7.29216</v>
      </c>
      <c r="IM23" s="6">
        <f>日流量!IM23*24*3600/100000000</f>
        <v>6.97248</v>
      </c>
      <c r="IN23" s="6">
        <f>日流量!IN23*24*3600/100000000</f>
        <v>6.5059199999999997</v>
      </c>
      <c r="IO23" s="6">
        <f>日流量!IO23*24*3600/100000000</f>
        <v>5.9270399999999999</v>
      </c>
      <c r="IP23" s="6">
        <f>日流量!IP23*24*3600/100000000</f>
        <v>5.5123199999999999</v>
      </c>
      <c r="IQ23" s="6">
        <f>日流量!IQ23*24*3600/100000000</f>
        <v>5.15808</v>
      </c>
      <c r="IR23" s="6">
        <f>日流量!IR23*24*3600/100000000</f>
        <v>4.9248000000000003</v>
      </c>
      <c r="IS23" s="6">
        <f>日流量!IS23*24*3600/100000000</f>
        <v>4.7174399999999999</v>
      </c>
      <c r="IT23" s="6">
        <f>日流量!IT23*24*3600/100000000</f>
        <v>4.5187200000000001</v>
      </c>
      <c r="IU23" s="6">
        <f>日流量!IU23*24*3600/100000000</f>
        <v>4.3459199999999996</v>
      </c>
      <c r="IV23" s="6">
        <f>日流量!IV23*24*3600/100000000</f>
        <v>4.2854400000000004</v>
      </c>
      <c r="IW23" s="6">
        <f>日流量!IW23*24*3600/100000000</f>
        <v>4.3632</v>
      </c>
      <c r="IX23" s="6">
        <f>日流量!IX23*24*3600/100000000</f>
        <v>4.64832</v>
      </c>
      <c r="IY23" s="6">
        <f>日流量!IY23*24*3600/100000000</f>
        <v>4.4063999999999997</v>
      </c>
      <c r="IZ23" s="6">
        <f>日流量!IZ23*24*3600/100000000</f>
        <v>4.4841600000000001</v>
      </c>
      <c r="JA23" s="6">
        <f>日流量!JA23*24*3600/100000000</f>
        <v>5.06304</v>
      </c>
      <c r="JB23" s="6">
        <f>日流量!JB23*24*3600/100000000</f>
        <v>4.5187200000000001</v>
      </c>
      <c r="JC23" s="6">
        <f>日流量!JC23*24*3600/100000000</f>
        <v>4.3372799999999998</v>
      </c>
      <c r="JD23" s="6">
        <f>日流量!JD23*24*3600/100000000</f>
        <v>4.6742400000000002</v>
      </c>
      <c r="JE23" s="6">
        <f>日流量!JE23*24*3600/100000000</f>
        <v>4.7519999999999998</v>
      </c>
      <c r="JF23" s="6">
        <f>日流量!JF23*24*3600/100000000</f>
        <v>5.1407999999999996</v>
      </c>
      <c r="JG23" s="6">
        <f>日流量!JG23*24*3600/100000000</f>
        <v>4.8470399999999998</v>
      </c>
      <c r="JH23" s="6">
        <f>日流量!JH23*24*3600/100000000</f>
        <v>4.5187200000000001</v>
      </c>
      <c r="JI23" s="6">
        <f>日流量!JI23*24*3600/100000000</f>
        <v>4.5359999999999996</v>
      </c>
      <c r="JJ23" s="6">
        <f>日流量!JJ23*24*3600/100000000</f>
        <v>5.4172799999999999</v>
      </c>
      <c r="JK23" s="6">
        <f>日流量!JK23*24*3600/100000000</f>
        <v>5.9097600000000003</v>
      </c>
      <c r="JL23" s="6">
        <f>日流量!JL23*24*3600/100000000</f>
        <v>6.4540800000000003</v>
      </c>
      <c r="JM23" s="6">
        <f>日流量!JM23*24*3600/100000000</f>
        <v>6.8342400000000003</v>
      </c>
      <c r="JN23" s="6">
        <f>日流量!JN23*24*3600/100000000</f>
        <v>7.89696</v>
      </c>
      <c r="JO23" s="6">
        <f>日流量!JO23*24*3600/100000000</f>
        <v>7.9401599999999997</v>
      </c>
      <c r="JP23" s="6">
        <f>日流量!JP23*24*3600/100000000</f>
        <v>7.4995200000000004</v>
      </c>
      <c r="JQ23" s="6">
        <f>日流量!JQ23*24*3600/100000000</f>
        <v>7.2057599999999997</v>
      </c>
      <c r="JR23" s="6">
        <f>日流量!JR23*24*3600/100000000</f>
        <v>6.9465599999999998</v>
      </c>
      <c r="JS23" s="6">
        <f>日流量!JS23*24*3600/100000000</f>
        <v>6.97248</v>
      </c>
      <c r="JT23" s="6">
        <f>日流量!JT23*24*3600/100000000</f>
        <v>7.0934400000000002</v>
      </c>
      <c r="JU23" s="6">
        <f>日流量!JU23*24*3600/100000000</f>
        <v>6.8688000000000002</v>
      </c>
      <c r="JV23" s="6">
        <f>日流量!JV23*24*3600/100000000</f>
        <v>6.27264</v>
      </c>
      <c r="JW23" s="6">
        <f>日流量!JW23*24*3600/100000000</f>
        <v>5.8319999999999999</v>
      </c>
      <c r="JX23" s="6">
        <f>日流量!JX23*24*3600/100000000</f>
        <v>5.5036800000000001</v>
      </c>
      <c r="JY23" s="6">
        <f>日流量!JY23*24*3600/100000000</f>
        <v>5.3222399999999999</v>
      </c>
      <c r="JZ23" s="6">
        <f>日流量!JZ23*24*3600/100000000</f>
        <v>5.34816</v>
      </c>
      <c r="KA23" s="6">
        <f>日流量!KA23*24*3600/100000000</f>
        <v>5.2099200000000003</v>
      </c>
      <c r="KB23" s="6">
        <f>日流量!KB23*24*3600/100000000</f>
        <v>5.4</v>
      </c>
      <c r="KC23" s="6">
        <f>日流量!KC23*24*3600/100000000</f>
        <v>5.2790400000000002</v>
      </c>
      <c r="KD23" s="6">
        <f>日流量!KD23*24*3600/100000000</f>
        <v>4.9852800000000004</v>
      </c>
      <c r="KE23" s="6">
        <f>日流量!KE23*24*3600/100000000</f>
        <v>4.8297600000000003</v>
      </c>
      <c r="KF23" s="6">
        <f>日流量!KF23*24*3600/100000000</f>
        <v>4.7260799999999996</v>
      </c>
      <c r="KG23" s="6">
        <f>日流量!KG23*24*3600/100000000</f>
        <v>4.5187200000000001</v>
      </c>
      <c r="KH23" s="6">
        <f>日流量!KH23*24*3600/100000000</f>
        <v>4.3113599999999996</v>
      </c>
      <c r="KI23" s="6">
        <f>日流量!KI23*24*3600/100000000</f>
        <v>4.13856</v>
      </c>
      <c r="KJ23" s="6">
        <f>日流量!KJ23*24*3600/100000000</f>
        <v>3.9744000000000002</v>
      </c>
      <c r="KK23" s="6">
        <f>日流量!KK23*24*3600/100000000</f>
        <v>3.7929599999999999</v>
      </c>
      <c r="KL23" s="6">
        <f>日流量!KL23*24*3600/100000000</f>
        <v>3.6806399999999999</v>
      </c>
      <c r="KM23" s="6">
        <f>日流量!KM23*24*3600/100000000</f>
        <v>3.5683199999999999</v>
      </c>
      <c r="KN23" s="6">
        <f>日流量!KN23*24*3600/100000000</f>
        <v>3.4819200000000001</v>
      </c>
      <c r="KO23" s="6">
        <f>日流量!KO23*24*3600/100000000</f>
        <v>3.42144</v>
      </c>
      <c r="KP23" s="6">
        <f>日流量!KP23*24*3600/100000000</f>
        <v>3.3696000000000002</v>
      </c>
      <c r="KQ23" s="6">
        <f>日流量!KQ23*24*3600/100000000</f>
        <v>3.3177599999999998</v>
      </c>
      <c r="KR23" s="6">
        <f>日流量!KR23*24*3600/100000000</f>
        <v>3.2831999999999999</v>
      </c>
      <c r="KS23" s="6">
        <f>日流量!KS23*24*3600/100000000</f>
        <v>3.24864</v>
      </c>
      <c r="KT23" s="6">
        <f>日流量!KT23*24*3600/100000000</f>
        <v>3.2054399999999998</v>
      </c>
      <c r="KU23" s="6">
        <f>日流量!KU23*24*3600/100000000</f>
        <v>3.2054399999999998</v>
      </c>
      <c r="KV23" s="6">
        <f>日流量!KV23*24*3600/100000000</f>
        <v>3.21408</v>
      </c>
      <c r="KW23" s="6">
        <f>日流量!KW23*24*3600/100000000</f>
        <v>3.1103999999999998</v>
      </c>
      <c r="KX23" s="6">
        <f>日流量!KX23*24*3600/100000000</f>
        <v>3.0326399999999998</v>
      </c>
      <c r="KY23" s="6">
        <f>日流量!KY23*24*3600/100000000</f>
        <v>2.9807999999999999</v>
      </c>
      <c r="KZ23" s="6">
        <f>日流量!KZ23*24*3600/100000000</f>
        <v>2.9030399999999998</v>
      </c>
      <c r="LA23" s="6">
        <f>日流量!LA23*24*3600/100000000</f>
        <v>2.8425600000000002</v>
      </c>
      <c r="LB23" s="6">
        <f>日流量!LB23*24*3600/100000000</f>
        <v>2.7993600000000001</v>
      </c>
      <c r="LC23" s="6">
        <f>日流量!LC23*24*3600/100000000</f>
        <v>2.73888</v>
      </c>
      <c r="LD23" s="6">
        <f>日流量!LD23*24*3600/100000000</f>
        <v>2.7043200000000001</v>
      </c>
      <c r="LE23" s="6">
        <f>日流量!LE23*24*3600/100000000</f>
        <v>2.6697600000000001</v>
      </c>
      <c r="LF23" s="6">
        <f>日流量!LF23*24*3600/100000000</f>
        <v>2.6870400000000001</v>
      </c>
      <c r="LG23" s="6">
        <f>日流量!LG23*24*3600/100000000</f>
        <v>2.6956799999999999</v>
      </c>
      <c r="LH23" s="6">
        <f>日流量!LH23*24*3600/100000000</f>
        <v>2.6783999999999999</v>
      </c>
      <c r="LI23" s="6">
        <f>日流量!LI23*24*3600/100000000</f>
        <v>2.6697600000000001</v>
      </c>
      <c r="LJ23" s="6">
        <f>日流量!LJ23*24*3600/100000000</f>
        <v>2.7648000000000001</v>
      </c>
      <c r="LK23" s="6">
        <f>日流量!LK23*24*3600/100000000</f>
        <v>2.7129599999999998</v>
      </c>
      <c r="LL23" s="6">
        <f>日流量!LL23*24*3600/100000000</f>
        <v>2.6524800000000002</v>
      </c>
      <c r="LM23" s="6">
        <f>日流量!LM23*24*3600/100000000</f>
        <v>2.5660799999999999</v>
      </c>
      <c r="LN23" s="6">
        <f>日流量!LN23*24*3600/100000000</f>
        <v>2.4969600000000001</v>
      </c>
      <c r="LO23" s="6">
        <f>日流量!LO23*24*3600/100000000</f>
        <v>2.4278400000000002</v>
      </c>
      <c r="LP23" s="6">
        <f>日流量!LP23*24*3600/100000000</f>
        <v>2.34144</v>
      </c>
      <c r="LQ23" s="6">
        <f>日流量!LQ23*24*3600/100000000</f>
        <v>2.2896000000000001</v>
      </c>
      <c r="LR23" s="6">
        <f>日流量!LR23*24*3600/100000000</f>
        <v>2.2464</v>
      </c>
      <c r="LS23" s="6">
        <f>日流量!LS23*24*3600/100000000</f>
        <v>2.1945600000000001</v>
      </c>
      <c r="LT23" s="6">
        <f>日流量!LT23*24*3600/100000000</f>
        <v>2.1427200000000002</v>
      </c>
      <c r="LU23" s="6">
        <f>日流量!LU23*24*3600/100000000</f>
        <v>2.1081599999999998</v>
      </c>
      <c r="LV23" s="6">
        <f>日流量!LV23*24*3600/100000000</f>
        <v>2.0649600000000001</v>
      </c>
      <c r="LW23" s="6">
        <f>日流量!LW23*24*3600/100000000</f>
        <v>2.0304000000000002</v>
      </c>
      <c r="LX23" s="6">
        <f>日流量!LX23*24*3600/100000000</f>
        <v>1.9872000000000001</v>
      </c>
      <c r="LY23" s="6">
        <f>日流量!LY23*24*3600/100000000</f>
        <v>1.9612799999999999</v>
      </c>
      <c r="LZ23" s="6">
        <f>日流量!LZ23*24*3600/100000000</f>
        <v>2.0131199999999998</v>
      </c>
      <c r="MA23" s="6">
        <f>日流量!MA23*24*3600/100000000</f>
        <v>2.1686399999999999</v>
      </c>
      <c r="MB23" s="6">
        <f>日流量!MB23*24*3600/100000000</f>
        <v>2.1945600000000001</v>
      </c>
      <c r="MC23" s="6">
        <f>日流量!MC23*24*3600/100000000</f>
        <v>2.0908799999999998</v>
      </c>
      <c r="MD23" s="6">
        <f>日流量!MD23*24*3600/100000000</f>
        <v>2.0131199999999998</v>
      </c>
      <c r="ME23" s="6">
        <f>日流量!ME23*24*3600/100000000</f>
        <v>1.93536</v>
      </c>
      <c r="MF23" s="6">
        <f>日流量!MF23*24*3600/100000000</f>
        <v>1.8835200000000001</v>
      </c>
      <c r="MG23" s="6">
        <f>日流量!MG23*24*3600/100000000</f>
        <v>1.83168</v>
      </c>
      <c r="MH23" s="6">
        <f>日流量!MH23*24*3600/100000000</f>
        <v>1.7884800000000001</v>
      </c>
      <c r="MI23" s="6">
        <f>日流量!MI23*24*3600/100000000</f>
        <v>1.7539199999999999</v>
      </c>
      <c r="MJ23" s="6">
        <f>日流量!MJ23*24*3600/100000000</f>
        <v>1.7452799999999999</v>
      </c>
      <c r="MK23" s="6">
        <f>日流量!MK23*24*3600/100000000</f>
        <v>1.71072</v>
      </c>
      <c r="ML23" s="6">
        <f>日流量!ML23*24*3600/100000000</f>
        <v>1.6848000000000001</v>
      </c>
      <c r="MM23" s="6">
        <f>日流量!MM23*24*3600/100000000</f>
        <v>1.6588799999999999</v>
      </c>
      <c r="MN23" s="6">
        <f>日流量!MN23*24*3600/100000000</f>
        <v>1.6588799999999999</v>
      </c>
      <c r="MO23" s="6">
        <f>日流量!MO23*24*3600/100000000</f>
        <v>1.6588799999999999</v>
      </c>
      <c r="MP23" s="6">
        <f>日流量!MP23*24*3600/100000000</f>
        <v>1.6415999999999999</v>
      </c>
      <c r="MQ23" s="6">
        <f>日流量!MQ23*24*3600/100000000</f>
        <v>1.61568</v>
      </c>
      <c r="MR23" s="6">
        <f>日流量!MR23*24*3600/100000000</f>
        <v>1.5897600000000001</v>
      </c>
      <c r="MS23" s="6">
        <f>日流量!MS23*24*3600/100000000</f>
        <v>1.5811200000000001</v>
      </c>
      <c r="MT23" s="6">
        <f>日流量!MT23*24*3600/100000000</f>
        <v>1.5638399999999999</v>
      </c>
      <c r="MU23" s="6">
        <f>日流量!MU23*24*3600/100000000</f>
        <v>1.5465599999999999</v>
      </c>
      <c r="MV23" s="6">
        <f>日流量!MV23*24*3600/100000000</f>
        <v>1.53792</v>
      </c>
      <c r="MW23" s="6">
        <f>日流量!MW23*24*3600/100000000</f>
        <v>1.52064</v>
      </c>
      <c r="MX23" s="6">
        <f>日流量!MX23*24*3600/100000000</f>
        <v>1.50336</v>
      </c>
      <c r="MY23" s="6">
        <f>日流量!MY23*24*3600/100000000</f>
        <v>1.4860800000000001</v>
      </c>
      <c r="MZ23" s="6">
        <f>日流量!MZ23*24*3600/100000000</f>
        <v>1.4774400000000001</v>
      </c>
      <c r="NA23" s="6">
        <f>日流量!NA23*24*3600/100000000</f>
        <v>1.4601599999999999</v>
      </c>
      <c r="NB23" s="6">
        <f>日流量!NB23*24*3600/100000000</f>
        <v>1.4515199999999999</v>
      </c>
      <c r="NC23" s="6"/>
      <c r="ND23" s="6">
        <f>日流量!ND23*24*3600*31/100000000</f>
        <v>30.533760000000001</v>
      </c>
      <c r="NE23" s="6">
        <f>日流量!NE23*24*3600*28/100000000</f>
        <v>23.756544000000002</v>
      </c>
      <c r="NF23" s="6">
        <f>日流量!NF23*24*3600*31/100000000</f>
        <v>25.016255999999998</v>
      </c>
      <c r="NG23" s="6">
        <f>日流量!NG23*24*3600*30/100000000</f>
        <v>30.0672</v>
      </c>
      <c r="NH23" s="6">
        <f>日流量!NH23*24*3600*31/100000000</f>
        <v>60.531840000000003</v>
      </c>
      <c r="NI23" s="6">
        <f>日流量!NI23*24*3600*30/100000000</f>
        <v>95.126400000000004</v>
      </c>
      <c r="NJ23" s="6">
        <f>日流量!NJ23*24*3600*31/100000000</f>
        <v>275.87520000000001</v>
      </c>
      <c r="NK23" s="6">
        <f>日流量!NK23*24*3600*31/100000000</f>
        <v>278.55360000000002</v>
      </c>
      <c r="NL23" s="6">
        <f>日流量!NL23*24*3600*30/100000000</f>
        <v>160.9632</v>
      </c>
      <c r="NM23" s="6">
        <f>日流量!NM23*24*3600*31/100000000</f>
        <v>152.6688</v>
      </c>
      <c r="NN23" s="6">
        <f>日流量!NN23*24*3600*30/100000000</f>
        <v>78.019199999999998</v>
      </c>
      <c r="NO23" s="6">
        <f>日流量!NO23*24*3600*31/100000000</f>
        <v>53.300159999999998</v>
      </c>
      <c r="NP23" s="14">
        <f t="shared" si="10"/>
        <v>1264.4121600000001</v>
      </c>
      <c r="NQ23" s="6">
        <f>日流量!NQ23*24*3600/100000000</f>
        <v>15.984</v>
      </c>
      <c r="NR23" s="4">
        <f>日流量!NR23</f>
        <v>42571</v>
      </c>
      <c r="NS23" s="6">
        <f>日流量!NS23*24*3600/100000000</f>
        <v>0.78624000000000005</v>
      </c>
      <c r="NT23" s="4">
        <f>日流量!NT23</f>
        <v>42442</v>
      </c>
      <c r="NU23" s="7">
        <f>日流量!NP23</f>
        <v>4007.4027397260274</v>
      </c>
      <c r="NW23" s="13">
        <f t="shared" si="0"/>
        <v>1023.7190400000002</v>
      </c>
      <c r="NX23" s="12">
        <f t="shared" si="1"/>
        <v>80.964029956814088</v>
      </c>
      <c r="NY23" s="13">
        <f t="shared" si="2"/>
        <v>810.51840000000004</v>
      </c>
      <c r="NZ23" s="12">
        <f t="shared" si="3"/>
        <v>64.10238889192587</v>
      </c>
      <c r="OA23" s="13">
        <f t="shared" si="4"/>
        <v>240.69311999999991</v>
      </c>
      <c r="OB23" s="12">
        <f t="shared" si="5"/>
        <v>19.035970043185909</v>
      </c>
      <c r="OC23" s="13">
        <f t="shared" si="6"/>
        <v>278.55360000000002</v>
      </c>
      <c r="OD23" s="12">
        <f t="shared" si="7"/>
        <v>22.030284808396654</v>
      </c>
      <c r="OE23" s="12">
        <f t="shared" si="8"/>
        <v>295.42340186915891</v>
      </c>
      <c r="OF23" s="12">
        <f t="shared" si="9"/>
        <v>9.3678146204071187</v>
      </c>
    </row>
    <row r="24" spans="1:396" x14ac:dyDescent="0.15">
      <c r="A24" s="2">
        <v>1971</v>
      </c>
      <c r="B24" s="6">
        <f>日流量!B24*24*3600/100000000</f>
        <v>1.4256</v>
      </c>
      <c r="C24" s="6">
        <f>日流量!C24*24*3600/100000000</f>
        <v>1.4256</v>
      </c>
      <c r="D24" s="6">
        <f>日流量!D24*24*3600/100000000</f>
        <v>1.40832</v>
      </c>
      <c r="E24" s="6">
        <f>日流量!E24*24*3600/100000000</f>
        <v>1.3824000000000001</v>
      </c>
      <c r="F24" s="6">
        <f>日流量!F24*24*3600/100000000</f>
        <v>1.3651199999999999</v>
      </c>
      <c r="G24" s="6">
        <f>日流量!G24*24*3600/100000000</f>
        <v>1.3478399999999999</v>
      </c>
      <c r="H24" s="6">
        <f>日流量!H24*24*3600/100000000</f>
        <v>1.33056</v>
      </c>
      <c r="I24" s="6">
        <f>日流量!I24*24*3600/100000000</f>
        <v>1.32192</v>
      </c>
      <c r="J24" s="6">
        <f>日流量!J24*24*3600/100000000</f>
        <v>1.30464</v>
      </c>
      <c r="K24" s="6">
        <f>日流量!K24*24*3600/100000000</f>
        <v>1.296</v>
      </c>
      <c r="L24" s="6">
        <f>日流量!L24*24*3600/100000000</f>
        <v>1.2787200000000001</v>
      </c>
      <c r="M24" s="6">
        <f>日流量!M24*24*3600/100000000</f>
        <v>1.2700800000000001</v>
      </c>
      <c r="N24" s="6">
        <f>日流量!N24*24*3600/100000000</f>
        <v>1.2441599999999999</v>
      </c>
      <c r="O24" s="6">
        <f>日流量!O24*24*3600/100000000</f>
        <v>1.2096</v>
      </c>
      <c r="P24" s="6">
        <f>日流量!P24*24*3600/100000000</f>
        <v>1.1836800000000001</v>
      </c>
      <c r="Q24" s="6">
        <f>日流量!Q24*24*3600/100000000</f>
        <v>1.1664000000000001</v>
      </c>
      <c r="R24" s="6">
        <f>日流量!R24*24*3600/100000000</f>
        <v>1.1577599999999999</v>
      </c>
      <c r="S24" s="6">
        <f>日流量!S24*24*3600/100000000</f>
        <v>1.1577599999999999</v>
      </c>
      <c r="T24" s="6">
        <f>日流量!T24*24*3600/100000000</f>
        <v>1.1750400000000001</v>
      </c>
      <c r="U24" s="6">
        <f>日流量!U24*24*3600/100000000</f>
        <v>1.1836800000000001</v>
      </c>
      <c r="V24" s="6">
        <f>日流量!V24*24*3600/100000000</f>
        <v>1.1836800000000001</v>
      </c>
      <c r="W24" s="6">
        <f>日流量!W24*24*3600/100000000</f>
        <v>1.1750400000000001</v>
      </c>
      <c r="X24" s="6">
        <f>日流量!X24*24*3600/100000000</f>
        <v>1.1577599999999999</v>
      </c>
      <c r="Y24" s="6">
        <f>日流量!Y24*24*3600/100000000</f>
        <v>1.1404799999999999</v>
      </c>
      <c r="Z24" s="6">
        <f>日流量!Z24*24*3600/100000000</f>
        <v>1.1404799999999999</v>
      </c>
      <c r="AA24" s="6">
        <f>日流量!AA24*24*3600/100000000</f>
        <v>1.1404799999999999</v>
      </c>
      <c r="AB24" s="6">
        <f>日流量!AB24*24*3600/100000000</f>
        <v>1.1232</v>
      </c>
      <c r="AC24" s="6">
        <f>日流量!AC24*24*3600/100000000</f>
        <v>1.10592</v>
      </c>
      <c r="AD24" s="6">
        <f>日流量!AD24*24*3600/100000000</f>
        <v>1.10592</v>
      </c>
      <c r="AE24" s="6">
        <f>日流量!AE24*24*3600/100000000</f>
        <v>1.10592</v>
      </c>
      <c r="AF24" s="6">
        <f>日流量!AF24*24*3600/100000000</f>
        <v>1.10592</v>
      </c>
      <c r="AG24" s="6">
        <f>日流量!AG24*24*3600/100000000</f>
        <v>1.10592</v>
      </c>
      <c r="AH24" s="6">
        <f>日流量!AH24*24*3600/100000000</f>
        <v>1.09728</v>
      </c>
      <c r="AI24" s="6">
        <f>日流量!AI24*24*3600/100000000</f>
        <v>1.09728</v>
      </c>
      <c r="AJ24" s="6">
        <f>日流量!AJ24*24*3600/100000000</f>
        <v>1.0886400000000001</v>
      </c>
      <c r="AK24" s="6">
        <f>日流量!AK24*24*3600/100000000</f>
        <v>1.08</v>
      </c>
      <c r="AL24" s="6">
        <f>日流量!AL24*24*3600/100000000</f>
        <v>1.08</v>
      </c>
      <c r="AM24" s="6">
        <f>日流量!AM24*24*3600/100000000</f>
        <v>1.08</v>
      </c>
      <c r="AN24" s="6">
        <f>日流量!AN24*24*3600/100000000</f>
        <v>1.0627200000000001</v>
      </c>
      <c r="AO24" s="6">
        <f>日流量!AO24*24*3600/100000000</f>
        <v>1.0540799999999999</v>
      </c>
      <c r="AP24" s="6">
        <f>日流量!AP24*24*3600/100000000</f>
        <v>1.0454399999999999</v>
      </c>
      <c r="AQ24" s="6">
        <f>日流量!AQ24*24*3600/100000000</f>
        <v>1.0367999999999999</v>
      </c>
      <c r="AR24" s="6">
        <f>日流量!AR24*24*3600/100000000</f>
        <v>1.0367999999999999</v>
      </c>
      <c r="AS24" s="6">
        <f>日流量!AS24*24*3600/100000000</f>
        <v>1.02816</v>
      </c>
      <c r="AT24" s="6">
        <f>日流量!AT24*24*3600/100000000</f>
        <v>1.01952</v>
      </c>
      <c r="AU24" s="6">
        <f>日流量!AU24*24*3600/100000000</f>
        <v>1.01088</v>
      </c>
      <c r="AV24" s="6">
        <f>日流量!AV24*24*3600/100000000</f>
        <v>1.01088</v>
      </c>
      <c r="AW24" s="6">
        <f>日流量!AW24*24*3600/100000000</f>
        <v>1.01088</v>
      </c>
      <c r="AX24" s="6">
        <f>日流量!AX24*24*3600/100000000</f>
        <v>1.01088</v>
      </c>
      <c r="AY24" s="6">
        <f>日流量!AY24*24*3600/100000000</f>
        <v>1.00224</v>
      </c>
      <c r="AZ24" s="6">
        <f>日流量!AZ24*24*3600/100000000</f>
        <v>0.99360000000000004</v>
      </c>
      <c r="BA24" s="6">
        <f>日流量!BA24*24*3600/100000000</f>
        <v>0.98495999999999995</v>
      </c>
      <c r="BB24" s="6">
        <f>日流量!BB24*24*3600/100000000</f>
        <v>0.97631999999999997</v>
      </c>
      <c r="BC24" s="6">
        <f>日流量!BC24*24*3600/100000000</f>
        <v>0.97631999999999997</v>
      </c>
      <c r="BD24" s="6">
        <f>日流量!BD24*24*3600/100000000</f>
        <v>0.97631999999999997</v>
      </c>
      <c r="BE24" s="6">
        <f>日流量!BE24*24*3600/100000000</f>
        <v>0.98495999999999995</v>
      </c>
      <c r="BF24" s="6">
        <f>日流量!BF24*24*3600/100000000</f>
        <v>0.98495999999999995</v>
      </c>
      <c r="BG24" s="6">
        <f>日流量!BG24*24*3600/100000000</f>
        <v>0.98495999999999995</v>
      </c>
      <c r="BH24" s="6">
        <f>日流量!BH24*24*3600/100000000</f>
        <v>0.97631999999999997</v>
      </c>
      <c r="BI24" s="6"/>
      <c r="BJ24" s="6">
        <f>日流量!BJ24*24*3600/100000000</f>
        <v>0.97631999999999997</v>
      </c>
      <c r="BK24" s="6">
        <f>日流量!BK24*24*3600/100000000</f>
        <v>0.96767999999999998</v>
      </c>
      <c r="BL24" s="6">
        <f>日流量!BL24*24*3600/100000000</f>
        <v>0.95904</v>
      </c>
      <c r="BM24" s="6">
        <f>日流量!BM24*24*3600/100000000</f>
        <v>0.95904</v>
      </c>
      <c r="BN24" s="6">
        <f>日流量!BN24*24*3600/100000000</f>
        <v>0.95040000000000002</v>
      </c>
      <c r="BO24" s="6">
        <f>日流量!BO24*24*3600/100000000</f>
        <v>0.95040000000000002</v>
      </c>
      <c r="BP24" s="6">
        <f>日流量!BP24*24*3600/100000000</f>
        <v>0.95040000000000002</v>
      </c>
      <c r="BQ24" s="6">
        <f>日流量!BQ24*24*3600/100000000</f>
        <v>0.95040000000000002</v>
      </c>
      <c r="BR24" s="6">
        <f>日流量!BR24*24*3600/100000000</f>
        <v>0.95904</v>
      </c>
      <c r="BS24" s="6">
        <f>日流量!BS24*24*3600/100000000</f>
        <v>0.95904</v>
      </c>
      <c r="BT24" s="6">
        <f>日流量!BT24*24*3600/100000000</f>
        <v>0.96767999999999998</v>
      </c>
      <c r="BU24" s="6">
        <f>日流量!BU24*24*3600/100000000</f>
        <v>0.96767999999999998</v>
      </c>
      <c r="BV24" s="6">
        <f>日流量!BV24*24*3600/100000000</f>
        <v>0.96767999999999998</v>
      </c>
      <c r="BW24" s="6">
        <f>日流量!BW24*24*3600/100000000</f>
        <v>0.96767999999999998</v>
      </c>
      <c r="BX24" s="6">
        <f>日流量!BX24*24*3600/100000000</f>
        <v>0.96767999999999998</v>
      </c>
      <c r="BY24" s="6">
        <f>日流量!BY24*24*3600/100000000</f>
        <v>0.97631999999999997</v>
      </c>
      <c r="BZ24" s="6">
        <f>日流量!BZ24*24*3600/100000000</f>
        <v>0.97631999999999997</v>
      </c>
      <c r="CA24" s="6">
        <f>日流量!CA24*24*3600/100000000</f>
        <v>0.97631999999999997</v>
      </c>
      <c r="CB24" s="6">
        <f>日流量!CB24*24*3600/100000000</f>
        <v>0.97631999999999997</v>
      </c>
      <c r="CC24" s="6">
        <f>日流量!CC24*24*3600/100000000</f>
        <v>0.97631999999999997</v>
      </c>
      <c r="CD24" s="6">
        <f>日流量!CD24*24*3600/100000000</f>
        <v>0.95904</v>
      </c>
      <c r="CE24" s="6">
        <f>日流量!CE24*24*3600/100000000</f>
        <v>0.95904</v>
      </c>
      <c r="CF24" s="6">
        <f>日流量!CF24*24*3600/100000000</f>
        <v>0.95040000000000002</v>
      </c>
      <c r="CG24" s="6">
        <f>日流量!CG24*24*3600/100000000</f>
        <v>0.95040000000000002</v>
      </c>
      <c r="CH24" s="6">
        <f>日流量!CH24*24*3600/100000000</f>
        <v>0.95040000000000002</v>
      </c>
      <c r="CI24" s="6">
        <f>日流量!CI24*24*3600/100000000</f>
        <v>0.95040000000000002</v>
      </c>
      <c r="CJ24" s="6">
        <f>日流量!CJ24*24*3600/100000000</f>
        <v>0.95040000000000002</v>
      </c>
      <c r="CK24" s="6">
        <f>日流量!CK24*24*3600/100000000</f>
        <v>0.95040000000000002</v>
      </c>
      <c r="CL24" s="6">
        <f>日流量!CL24*24*3600/100000000</f>
        <v>0.95040000000000002</v>
      </c>
      <c r="CM24" s="6">
        <f>日流量!CM24*24*3600/100000000</f>
        <v>0.95040000000000002</v>
      </c>
      <c r="CN24" s="6">
        <f>日流量!CN24*24*3600/100000000</f>
        <v>0.95040000000000002</v>
      </c>
      <c r="CO24" s="6">
        <f>日流量!CO24*24*3600/100000000</f>
        <v>0.95904</v>
      </c>
      <c r="CP24" s="6">
        <f>日流量!CP24*24*3600/100000000</f>
        <v>0.96767999999999998</v>
      </c>
      <c r="CQ24" s="6">
        <f>日流量!CQ24*24*3600/100000000</f>
        <v>0.98495999999999995</v>
      </c>
      <c r="CR24" s="6">
        <f>日流量!CR24*24*3600/100000000</f>
        <v>1.00224</v>
      </c>
      <c r="CS24" s="6">
        <f>日流量!CS24*24*3600/100000000</f>
        <v>1.00224</v>
      </c>
      <c r="CT24" s="6">
        <f>日流量!CT24*24*3600/100000000</f>
        <v>1.00224</v>
      </c>
      <c r="CU24" s="6">
        <f>日流量!CU24*24*3600/100000000</f>
        <v>0.99360000000000004</v>
      </c>
      <c r="CV24" s="6">
        <f>日流量!CV24*24*3600/100000000</f>
        <v>0.99360000000000004</v>
      </c>
      <c r="CW24" s="6">
        <f>日流量!CW24*24*3600/100000000</f>
        <v>1.02816</v>
      </c>
      <c r="CX24" s="6">
        <f>日流量!CX24*24*3600/100000000</f>
        <v>1.0367999999999999</v>
      </c>
      <c r="CY24" s="6">
        <f>日流量!CY24*24*3600/100000000</f>
        <v>1.0367999999999999</v>
      </c>
      <c r="CZ24" s="6">
        <f>日流量!CZ24*24*3600/100000000</f>
        <v>1.0367999999999999</v>
      </c>
      <c r="DA24" s="6">
        <f>日流量!DA24*24*3600/100000000</f>
        <v>1.0454399999999999</v>
      </c>
      <c r="DB24" s="6">
        <f>日流量!DB24*24*3600/100000000</f>
        <v>1.0367999999999999</v>
      </c>
      <c r="DC24" s="6">
        <f>日流量!DC24*24*3600/100000000</f>
        <v>1.0367999999999999</v>
      </c>
      <c r="DD24" s="6">
        <f>日流量!DD24*24*3600/100000000</f>
        <v>1.0454399999999999</v>
      </c>
      <c r="DE24" s="6">
        <f>日流量!DE24*24*3600/100000000</f>
        <v>1.08</v>
      </c>
      <c r="DF24" s="6">
        <f>日流量!DF24*24*3600/100000000</f>
        <v>1.10592</v>
      </c>
      <c r="DG24" s="6">
        <f>日流量!DG24*24*3600/100000000</f>
        <v>1.11456</v>
      </c>
      <c r="DH24" s="6">
        <f>日流量!DH24*24*3600/100000000</f>
        <v>1.11456</v>
      </c>
      <c r="DI24" s="6">
        <f>日流量!DI24*24*3600/100000000</f>
        <v>1.10592</v>
      </c>
      <c r="DJ24" s="6">
        <f>日流量!DJ24*24*3600/100000000</f>
        <v>1.10592</v>
      </c>
      <c r="DK24" s="6">
        <f>日流量!DK24*24*3600/100000000</f>
        <v>1.09728</v>
      </c>
      <c r="DL24" s="6">
        <f>日流量!DL24*24*3600/100000000</f>
        <v>1.0886400000000001</v>
      </c>
      <c r="DM24" s="6">
        <f>日流量!DM24*24*3600/100000000</f>
        <v>1.09728</v>
      </c>
      <c r="DN24" s="6">
        <f>日流量!DN24*24*3600/100000000</f>
        <v>1.10592</v>
      </c>
      <c r="DO24" s="6">
        <f>日流量!DO24*24*3600/100000000</f>
        <v>1.10592</v>
      </c>
      <c r="DP24" s="6">
        <f>日流量!DP24*24*3600/100000000</f>
        <v>1.09728</v>
      </c>
      <c r="DQ24" s="6">
        <f>日流量!DQ24*24*3600/100000000</f>
        <v>1.10592</v>
      </c>
      <c r="DR24" s="6">
        <f>日流量!DR24*24*3600/100000000</f>
        <v>1.10592</v>
      </c>
      <c r="DS24" s="6">
        <f>日流量!DS24*24*3600/100000000</f>
        <v>1.10592</v>
      </c>
      <c r="DT24" s="6">
        <f>日流量!DT24*24*3600/100000000</f>
        <v>1.10592</v>
      </c>
      <c r="DU24" s="6">
        <f>日流量!DU24*24*3600/100000000</f>
        <v>1.0886400000000001</v>
      </c>
      <c r="DV24" s="6">
        <f>日流量!DV24*24*3600/100000000</f>
        <v>1.0627200000000001</v>
      </c>
      <c r="DW24" s="6">
        <f>日流量!DW24*24*3600/100000000</f>
        <v>1.0454399999999999</v>
      </c>
      <c r="DX24" s="6">
        <f>日流量!DX24*24*3600/100000000</f>
        <v>1.0454399999999999</v>
      </c>
      <c r="DY24" s="6">
        <f>日流量!DY24*24*3600/100000000</f>
        <v>1.0627200000000001</v>
      </c>
      <c r="DZ24" s="6">
        <f>日流量!DZ24*24*3600/100000000</f>
        <v>1.10592</v>
      </c>
      <c r="EA24" s="6">
        <f>日流量!EA24*24*3600/100000000</f>
        <v>1.19232</v>
      </c>
      <c r="EB24" s="6">
        <f>日流量!EB24*24*3600/100000000</f>
        <v>1.23552</v>
      </c>
      <c r="EC24" s="6">
        <f>日流量!EC24*24*3600/100000000</f>
        <v>1.30464</v>
      </c>
      <c r="ED24" s="6">
        <f>日流量!ED24*24*3600/100000000</f>
        <v>1.3910400000000001</v>
      </c>
      <c r="EE24" s="6">
        <f>日流量!EE24*24*3600/100000000</f>
        <v>1.512</v>
      </c>
      <c r="EF24" s="6">
        <f>日流量!EF24*24*3600/100000000</f>
        <v>1.5724800000000001</v>
      </c>
      <c r="EG24" s="6">
        <f>日流量!EG24*24*3600/100000000</f>
        <v>1.6675199999999999</v>
      </c>
      <c r="EH24" s="6">
        <f>日流量!EH24*24*3600/100000000</f>
        <v>1.70208</v>
      </c>
      <c r="EI24" s="6">
        <f>日流量!EI24*24*3600/100000000</f>
        <v>1.7452799999999999</v>
      </c>
      <c r="EJ24" s="6">
        <f>日流量!EJ24*24*3600/100000000</f>
        <v>1.7884800000000001</v>
      </c>
      <c r="EK24" s="6">
        <f>日流量!EK24*24*3600/100000000</f>
        <v>1.91808</v>
      </c>
      <c r="EL24" s="6">
        <f>日流量!EL24*24*3600/100000000</f>
        <v>1.93536</v>
      </c>
      <c r="EM24" s="6">
        <f>日流量!EM24*24*3600/100000000</f>
        <v>1.9699199999999999</v>
      </c>
      <c r="EN24" s="6">
        <f>日流量!EN24*24*3600/100000000</f>
        <v>2.02176</v>
      </c>
      <c r="EO24" s="6">
        <f>日流量!EO24*24*3600/100000000</f>
        <v>2.0563199999999999</v>
      </c>
      <c r="EP24" s="6">
        <f>日流量!EP24*24*3600/100000000</f>
        <v>2.0908799999999998</v>
      </c>
      <c r="EQ24" s="6">
        <f>日流量!EQ24*24*3600/100000000</f>
        <v>2.1168</v>
      </c>
      <c r="ER24" s="6">
        <f>日流量!ER24*24*3600/100000000</f>
        <v>2.0304000000000002</v>
      </c>
      <c r="ES24" s="6">
        <f>日流量!ES24*24*3600/100000000</f>
        <v>2.02176</v>
      </c>
      <c r="ET24" s="6">
        <f>日流量!ET24*24*3600/100000000</f>
        <v>1.9785600000000001</v>
      </c>
      <c r="EU24" s="6">
        <f>日流量!EU24*24*3600/100000000</f>
        <v>2.0304000000000002</v>
      </c>
      <c r="EV24" s="6">
        <f>日流量!EV24*24*3600/100000000</f>
        <v>2.0995200000000001</v>
      </c>
      <c r="EW24" s="6">
        <f>日流量!EW24*24*3600/100000000</f>
        <v>2.1513599999999999</v>
      </c>
      <c r="EX24" s="6">
        <f>日流量!EX24*24*3600/100000000</f>
        <v>2.32416</v>
      </c>
      <c r="EY24" s="6">
        <f>日流量!EY24*24*3600/100000000</f>
        <v>2.2809599999999999</v>
      </c>
      <c r="EZ24" s="6">
        <f>日流量!EZ24*24*3600/100000000</f>
        <v>2.34144</v>
      </c>
      <c r="FA24" s="6">
        <f>日流量!FA24*24*3600/100000000</f>
        <v>2.5228799999999998</v>
      </c>
      <c r="FB24" s="6">
        <f>日流量!FB24*24*3600/100000000</f>
        <v>2.30688</v>
      </c>
      <c r="FC24" s="6">
        <f>日流量!FC24*24*3600/100000000</f>
        <v>2.2464</v>
      </c>
      <c r="FD24" s="6">
        <f>日流量!FD24*24*3600/100000000</f>
        <v>2.4105599999999998</v>
      </c>
      <c r="FE24" s="6">
        <f>日流量!FE24*24*3600/100000000</f>
        <v>2.60928</v>
      </c>
      <c r="FF24" s="6">
        <f>日流量!FF24*24*3600/100000000</f>
        <v>2.94624</v>
      </c>
      <c r="FG24" s="6">
        <f>日流量!FG24*24*3600/100000000</f>
        <v>2.9894400000000001</v>
      </c>
      <c r="FH24" s="6">
        <f>日流量!FH24*24*3600/100000000</f>
        <v>2.8944000000000001</v>
      </c>
      <c r="FI24" s="6">
        <f>日流量!FI24*24*3600/100000000</f>
        <v>2.8425600000000002</v>
      </c>
      <c r="FJ24" s="6">
        <f>日流量!FJ24*24*3600/100000000</f>
        <v>2.9894400000000001</v>
      </c>
      <c r="FK24" s="6">
        <f>日流量!FK24*24*3600/100000000</f>
        <v>3.0758399999999999</v>
      </c>
      <c r="FL24" s="6">
        <f>日流量!FL24*24*3600/100000000</f>
        <v>3.4992000000000001</v>
      </c>
      <c r="FM24" s="6">
        <f>日流量!FM24*24*3600/100000000</f>
        <v>4.1299200000000003</v>
      </c>
      <c r="FN24" s="6">
        <f>日流量!FN24*24*3600/100000000</f>
        <v>4.64832</v>
      </c>
      <c r="FO24" s="6">
        <f>日流量!FO24*24*3600/100000000</f>
        <v>4.8643200000000002</v>
      </c>
      <c r="FP24" s="6">
        <f>日流量!FP24*24*3600/100000000</f>
        <v>5.47776</v>
      </c>
      <c r="FQ24" s="6">
        <f>日流量!FQ24*24*3600/100000000</f>
        <v>5.8838400000000002</v>
      </c>
      <c r="FR24" s="6">
        <f>日流量!FR24*24*3600/100000000</f>
        <v>5.7023999999999999</v>
      </c>
      <c r="FS24" s="6">
        <f>日流量!FS24*24*3600/100000000</f>
        <v>5.8406399999999996</v>
      </c>
      <c r="FT24" s="6">
        <f>日流量!FT24*24*3600/100000000</f>
        <v>6.4022399999999999</v>
      </c>
      <c r="FU24" s="6">
        <f>日流量!FU24*24*3600/100000000</f>
        <v>6.2467199999999998</v>
      </c>
      <c r="FV24" s="6">
        <f>日流量!FV24*24*3600/100000000</f>
        <v>5.6764799999999997</v>
      </c>
      <c r="FW24" s="6">
        <f>日流量!FW24*24*3600/100000000</f>
        <v>5.47776</v>
      </c>
      <c r="FX24" s="6">
        <f>日流量!FX24*24*3600/100000000</f>
        <v>5.4</v>
      </c>
      <c r="FY24" s="6">
        <f>日流量!FY24*24*3600/100000000</f>
        <v>5.06304</v>
      </c>
      <c r="FZ24" s="6">
        <f>日流量!FZ24*24*3600/100000000</f>
        <v>4.6828799999999999</v>
      </c>
      <c r="GA24" s="6">
        <f>日流量!GA24*24*3600/100000000</f>
        <v>4.6915199999999997</v>
      </c>
      <c r="GB24" s="6">
        <f>日流量!GB24*24*3600/100000000</f>
        <v>5.4345600000000003</v>
      </c>
      <c r="GC24" s="6">
        <f>日流量!GC24*24*3600/100000000</f>
        <v>5.8233600000000001</v>
      </c>
      <c r="GD24" s="6">
        <f>日流量!GD24*24*3600/100000000</f>
        <v>5.2963199999999997</v>
      </c>
      <c r="GE24" s="6">
        <f>日流量!GE24*24*3600/100000000</f>
        <v>4.6223999999999998</v>
      </c>
      <c r="GF24" s="6">
        <f>日流量!GF24*24*3600/100000000</f>
        <v>4.5792000000000002</v>
      </c>
      <c r="GG24" s="6">
        <f>日流量!GG24*24*3600/100000000</f>
        <v>5.3308799999999996</v>
      </c>
      <c r="GH24" s="6">
        <f>日流量!GH24*24*3600/100000000</f>
        <v>5.0111999999999997</v>
      </c>
      <c r="GI24" s="6">
        <f>日流量!GI24*24*3600/100000000</f>
        <v>4.5446400000000002</v>
      </c>
      <c r="GJ24" s="6">
        <f>日流量!GJ24*24*3600/100000000</f>
        <v>4.32</v>
      </c>
      <c r="GK24" s="6">
        <f>日流量!GK24*24*3600/100000000</f>
        <v>4.3459199999999996</v>
      </c>
      <c r="GL24" s="6">
        <f>日流量!GL24*24*3600/100000000</f>
        <v>5.06304</v>
      </c>
      <c r="GM24" s="6">
        <f>日流量!GM24*24*3600/100000000</f>
        <v>6.4454399999999996</v>
      </c>
      <c r="GN24" s="6">
        <f>日流量!GN24*24*3600/100000000</f>
        <v>7.67232</v>
      </c>
      <c r="GO24" s="6">
        <f>日流量!GO24*24*3600/100000000</f>
        <v>9.0719999999999992</v>
      </c>
      <c r="GP24" s="6">
        <f>日流量!GP24*24*3600/100000000</f>
        <v>9.9359999999999999</v>
      </c>
      <c r="GQ24" s="6">
        <f>日流量!GQ24*24*3600/100000000</f>
        <v>9.2447999999999997</v>
      </c>
      <c r="GR24" s="6">
        <f>日流量!GR24*24*3600/100000000</f>
        <v>7.9488000000000003</v>
      </c>
      <c r="GS24" s="6">
        <f>日流量!GS24*24*3600/100000000</f>
        <v>7.2748799999999996</v>
      </c>
      <c r="GT24" s="6">
        <f>日流量!GT24*24*3600/100000000</f>
        <v>6.6959999999999997</v>
      </c>
      <c r="GU24" s="6">
        <f>日流量!GU24*24*3600/100000000</f>
        <v>6.2121599999999999</v>
      </c>
      <c r="GV24" s="6">
        <f>日流量!GV24*24*3600/100000000</f>
        <v>5.9270399999999999</v>
      </c>
      <c r="GW24" s="6">
        <f>日流量!GW24*24*3600/100000000</f>
        <v>6.0652799999999996</v>
      </c>
      <c r="GX24" s="6">
        <f>日流量!GX24*24*3600/100000000</f>
        <v>6.2294400000000003</v>
      </c>
      <c r="GY24" s="6">
        <f>日流量!GY24*24*3600/100000000</f>
        <v>6.1948800000000004</v>
      </c>
      <c r="GZ24" s="6">
        <f>日流量!GZ24*24*3600/100000000</f>
        <v>5.8838400000000002</v>
      </c>
      <c r="HA24" s="6">
        <f>日流量!HA24*24*3600/100000000</f>
        <v>5.5555199999999996</v>
      </c>
      <c r="HB24" s="6">
        <f>日流量!HB24*24*3600/100000000</f>
        <v>5.2185600000000001</v>
      </c>
      <c r="HC24" s="6">
        <f>日流量!HC24*24*3600/100000000</f>
        <v>5.0716799999999997</v>
      </c>
      <c r="HD24" s="6">
        <f>日流量!HD24*24*3600/100000000</f>
        <v>5.0025599999999999</v>
      </c>
      <c r="HE24" s="6">
        <f>日流量!HE24*24*3600/100000000</f>
        <v>5.0371199999999998</v>
      </c>
      <c r="HF24" s="6">
        <f>日流量!HF24*24*3600/100000000</f>
        <v>5.2444800000000003</v>
      </c>
      <c r="HG24" s="6">
        <f>日流量!HG24*24*3600/100000000</f>
        <v>6.2467199999999998</v>
      </c>
      <c r="HH24" s="6">
        <f>日流量!HH24*24*3600/100000000</f>
        <v>7.3872</v>
      </c>
      <c r="HI24" s="6">
        <f>日流量!HI24*24*3600/100000000</f>
        <v>7.57728</v>
      </c>
      <c r="HJ24" s="6">
        <f>日流量!HJ24*24*3600/100000000</f>
        <v>7.0415999999999999</v>
      </c>
      <c r="HK24" s="6">
        <f>日流量!HK24*24*3600/100000000</f>
        <v>6.5491200000000003</v>
      </c>
      <c r="HL24" s="6">
        <f>日流量!HL24*24*3600/100000000</f>
        <v>6.0134400000000001</v>
      </c>
      <c r="HM24" s="6">
        <f>日流量!HM24*24*3600/100000000</f>
        <v>5.8060799999999997</v>
      </c>
      <c r="HN24" s="6">
        <f>日流量!HN24*24*3600/100000000</f>
        <v>6.048</v>
      </c>
      <c r="HO24" s="6">
        <f>日流量!HO24*24*3600/100000000</f>
        <v>6.0048000000000004</v>
      </c>
      <c r="HP24" s="6">
        <f>日流量!HP24*24*3600/100000000</f>
        <v>5.7974399999999999</v>
      </c>
      <c r="HQ24" s="6">
        <f>日流量!HQ24*24*3600/100000000</f>
        <v>6.1776</v>
      </c>
      <c r="HR24" s="6">
        <f>日流量!HR24*24*3600/100000000</f>
        <v>6.6787200000000002</v>
      </c>
      <c r="HS24" s="6">
        <f>日流量!HS24*24*3600/100000000</f>
        <v>6.9984000000000002</v>
      </c>
      <c r="HT24" s="6">
        <f>日流量!HT24*24*3600/100000000</f>
        <v>7.9488000000000003</v>
      </c>
      <c r="HU24" s="6">
        <f>日流量!HU24*24*3600/100000000</f>
        <v>8.4153599999999997</v>
      </c>
      <c r="HV24" s="6">
        <f>日流量!HV24*24*3600/100000000</f>
        <v>8.5104000000000006</v>
      </c>
      <c r="HW24" s="6">
        <f>日流量!HW24*24*3600/100000000</f>
        <v>9.7631999999999994</v>
      </c>
      <c r="HX24" s="6">
        <f>日流量!HX24*24*3600/100000000</f>
        <v>10.368</v>
      </c>
      <c r="HY24" s="6">
        <f>日流量!HY24*24*3600/100000000</f>
        <v>9.5039999999999996</v>
      </c>
      <c r="HZ24" s="6">
        <f>日流量!HZ24*24*3600/100000000</f>
        <v>8.3376000000000001</v>
      </c>
      <c r="IA24" s="6">
        <f>日流量!IA24*24*3600/100000000</f>
        <v>7.3612799999999998</v>
      </c>
      <c r="IB24" s="6">
        <f>日流量!IB24*24*3600/100000000</f>
        <v>6.6009599999999997</v>
      </c>
      <c r="IC24" s="6">
        <f>日流量!IC24*24*3600/100000000</f>
        <v>6.1171199999999999</v>
      </c>
      <c r="ID24" s="6">
        <f>日流量!ID24*24*3600/100000000</f>
        <v>6.4540800000000003</v>
      </c>
      <c r="IE24" s="6">
        <f>日流量!IE24*24*3600/100000000</f>
        <v>8.3376000000000001</v>
      </c>
      <c r="IF24" s="6">
        <f>日流量!IF24*24*3600/100000000</f>
        <v>8.8992000000000004</v>
      </c>
      <c r="IG24" s="6">
        <f>日流量!IG24*24*3600/100000000</f>
        <v>9.2447999999999997</v>
      </c>
      <c r="IH24" s="6">
        <f>日流量!IH24*24*3600/100000000</f>
        <v>8.7263999999999999</v>
      </c>
      <c r="II24" s="6">
        <f>日流量!II24*24*3600/100000000</f>
        <v>7.8883200000000002</v>
      </c>
      <c r="IJ24" s="6">
        <f>日流量!IJ24*24*3600/100000000</f>
        <v>7.2230400000000001</v>
      </c>
      <c r="IK24" s="6">
        <f>日流量!IK24*24*3600/100000000</f>
        <v>6.8688000000000002</v>
      </c>
      <c r="IL24" s="6">
        <f>日流量!IL24*24*3600/100000000</f>
        <v>6.4108799999999997</v>
      </c>
      <c r="IM24" s="6">
        <f>日流量!IM24*24*3600/100000000</f>
        <v>5.8752000000000004</v>
      </c>
      <c r="IN24" s="6">
        <f>日流量!IN24*24*3600/100000000</f>
        <v>5.3827199999999999</v>
      </c>
      <c r="IO24" s="6">
        <f>日流量!IO24*24*3600/100000000</f>
        <v>4.9852800000000004</v>
      </c>
      <c r="IP24" s="6">
        <f>日流量!IP24*24*3600/100000000</f>
        <v>4.6656000000000004</v>
      </c>
      <c r="IQ24" s="6">
        <f>日流量!IQ24*24*3600/100000000</f>
        <v>4.3718399999999997</v>
      </c>
      <c r="IR24" s="6">
        <f>日流量!IR24*24*3600/100000000</f>
        <v>4.2854400000000004</v>
      </c>
      <c r="IS24" s="6">
        <f>日流量!IS24*24*3600/100000000</f>
        <v>4.32</v>
      </c>
      <c r="IT24" s="6">
        <f>日流量!IT24*24*3600/100000000</f>
        <v>4.3718399999999997</v>
      </c>
      <c r="IU24" s="6">
        <f>日流量!IU24*24*3600/100000000</f>
        <v>4.4409599999999996</v>
      </c>
      <c r="IV24" s="6">
        <f>日流量!IV24*24*3600/100000000</f>
        <v>4.4496000000000002</v>
      </c>
      <c r="IW24" s="6">
        <f>日流量!IW24*24*3600/100000000</f>
        <v>4.5187200000000001</v>
      </c>
      <c r="IX24" s="6">
        <f>日流量!IX24*24*3600/100000000</f>
        <v>4.6051200000000003</v>
      </c>
      <c r="IY24" s="6">
        <f>日流量!IY24*24*3600/100000000</f>
        <v>4.8038400000000001</v>
      </c>
      <c r="IZ24" s="6">
        <f>日流量!IZ24*24*3600/100000000</f>
        <v>5.8060799999999997</v>
      </c>
      <c r="JA24" s="6">
        <f>日流量!JA24*24*3600/100000000</f>
        <v>6.1430400000000001</v>
      </c>
      <c r="JB24" s="6">
        <f>日流量!JB24*24*3600/100000000</f>
        <v>8.1043199999999995</v>
      </c>
      <c r="JC24" s="6">
        <f>日流量!JC24*24*3600/100000000</f>
        <v>7.6463999999999999</v>
      </c>
      <c r="JD24" s="6">
        <f>日流量!JD24*24*3600/100000000</f>
        <v>7.4131200000000002</v>
      </c>
      <c r="JE24" s="6">
        <f>日流量!JE24*24*3600/100000000</f>
        <v>7.4476800000000001</v>
      </c>
      <c r="JF24" s="6">
        <f>日流量!JF24*24*3600/100000000</f>
        <v>7.0761599999999998</v>
      </c>
      <c r="JG24" s="6">
        <f>日流量!JG24*24*3600/100000000</f>
        <v>6.6441600000000003</v>
      </c>
      <c r="JH24" s="6">
        <f>日流量!JH24*24*3600/100000000</f>
        <v>6.08256</v>
      </c>
      <c r="JI24" s="6">
        <f>日流量!JI24*24*3600/100000000</f>
        <v>6.1344000000000003</v>
      </c>
      <c r="JJ24" s="6">
        <f>日流量!JJ24*24*3600/100000000</f>
        <v>6.4713599999999998</v>
      </c>
      <c r="JK24" s="6">
        <f>日流量!JK24*24*3600/100000000</f>
        <v>7.4476800000000001</v>
      </c>
      <c r="JL24" s="6">
        <f>日流量!JL24*24*3600/100000000</f>
        <v>6.8601599999999996</v>
      </c>
      <c r="JM24" s="6">
        <f>日流量!JM24*24*3600/100000000</f>
        <v>6.1776</v>
      </c>
      <c r="JN24" s="6">
        <f>日流量!JN24*24*3600/100000000</f>
        <v>5.6332800000000001</v>
      </c>
      <c r="JO24" s="6">
        <f>日流量!JO24*24*3600/100000000</f>
        <v>5.2444800000000003</v>
      </c>
      <c r="JP24" s="6">
        <f>日流量!JP24*24*3600/100000000</f>
        <v>4.9507199999999996</v>
      </c>
      <c r="JQ24" s="6">
        <f>日流量!JQ24*24*3600/100000000</f>
        <v>4.8470399999999998</v>
      </c>
      <c r="JR24" s="6">
        <f>日流量!JR24*24*3600/100000000</f>
        <v>4.6828799999999999</v>
      </c>
      <c r="JS24" s="6">
        <f>日流量!JS24*24*3600/100000000</f>
        <v>4.5792000000000002</v>
      </c>
      <c r="JT24" s="6">
        <f>日流量!JT24*24*3600/100000000</f>
        <v>4.7865599999999997</v>
      </c>
      <c r="JU24" s="6">
        <f>日流量!JU24*24*3600/100000000</f>
        <v>5.2099200000000003</v>
      </c>
      <c r="JV24" s="6">
        <f>日流量!JV24*24*3600/100000000</f>
        <v>4.8988800000000001</v>
      </c>
      <c r="JW24" s="6">
        <f>日流量!JW24*24*3600/100000000</f>
        <v>4.8902400000000004</v>
      </c>
      <c r="JX24" s="6">
        <f>日流量!JX24*24*3600/100000000</f>
        <v>4.8988800000000001</v>
      </c>
      <c r="JY24" s="6">
        <f>日流量!JY24*24*3600/100000000</f>
        <v>5.0716799999999997</v>
      </c>
      <c r="JZ24" s="6">
        <f>日流量!JZ24*24*3600/100000000</f>
        <v>5.1407999999999996</v>
      </c>
      <c r="KA24" s="6">
        <f>日流量!KA24*24*3600/100000000</f>
        <v>5.0025599999999999</v>
      </c>
      <c r="KB24" s="6">
        <f>日流量!KB24*24*3600/100000000</f>
        <v>5.0544000000000002</v>
      </c>
      <c r="KC24" s="6">
        <f>日流量!KC24*24*3600/100000000</f>
        <v>5.15808</v>
      </c>
      <c r="KD24" s="6">
        <f>日流量!KD24*24*3600/100000000</f>
        <v>4.9939200000000001</v>
      </c>
      <c r="KE24" s="6">
        <f>日流量!KE24*24*3600/100000000</f>
        <v>4.7606400000000004</v>
      </c>
      <c r="KF24" s="6">
        <f>日流量!KF24*24*3600/100000000</f>
        <v>4.6051200000000003</v>
      </c>
      <c r="KG24" s="6">
        <f>日流量!KG24*24*3600/100000000</f>
        <v>4.4496000000000002</v>
      </c>
      <c r="KH24" s="6">
        <f>日流量!KH24*24*3600/100000000</f>
        <v>4.3113599999999996</v>
      </c>
      <c r="KI24" s="6">
        <f>日流量!KI24*24*3600/100000000</f>
        <v>4.0867199999999997</v>
      </c>
      <c r="KJ24" s="6">
        <f>日流量!KJ24*24*3600/100000000</f>
        <v>3.96576</v>
      </c>
      <c r="KK24" s="6">
        <f>日流量!KK24*24*3600/100000000</f>
        <v>3.8620800000000002</v>
      </c>
      <c r="KL24" s="6">
        <f>日流量!KL24*24*3600/100000000</f>
        <v>3.8102399999999998</v>
      </c>
      <c r="KM24" s="6">
        <f>日流量!KM24*24*3600/100000000</f>
        <v>3.7497600000000002</v>
      </c>
      <c r="KN24" s="6">
        <f>日流量!KN24*24*3600/100000000</f>
        <v>3.6806399999999999</v>
      </c>
      <c r="KO24" s="6">
        <f>日流量!KO24*24*3600/100000000</f>
        <v>3.6720000000000002</v>
      </c>
      <c r="KP24" s="6">
        <f>日流量!KP24*24*3600/100000000</f>
        <v>3.74112</v>
      </c>
      <c r="KQ24" s="6">
        <f>日流量!KQ24*24*3600/100000000</f>
        <v>3.8016000000000001</v>
      </c>
      <c r="KR24" s="6">
        <f>日流量!KR24*24*3600/100000000</f>
        <v>4.0694400000000002</v>
      </c>
      <c r="KS24" s="6">
        <f>日流量!KS24*24*3600/100000000</f>
        <v>3.8275199999999998</v>
      </c>
      <c r="KT24" s="6">
        <f>日流量!KT24*24*3600/100000000</f>
        <v>3.5683199999999999</v>
      </c>
      <c r="KU24" s="6">
        <f>日流量!KU24*24*3600/100000000</f>
        <v>3.3868800000000001</v>
      </c>
      <c r="KV24" s="6">
        <f>日流量!KV24*24*3600/100000000</f>
        <v>3.2572800000000002</v>
      </c>
      <c r="KW24" s="6">
        <f>日流量!KW24*24*3600/100000000</f>
        <v>3.1449600000000002</v>
      </c>
      <c r="KX24" s="6">
        <f>日流量!KX24*24*3600/100000000</f>
        <v>3.0672000000000001</v>
      </c>
      <c r="KY24" s="6">
        <f>日流量!KY24*24*3600/100000000</f>
        <v>2.9980799999999999</v>
      </c>
      <c r="KZ24" s="6">
        <f>日流量!KZ24*24*3600/100000000</f>
        <v>2.91168</v>
      </c>
      <c r="LA24" s="6">
        <f>日流量!LA24*24*3600/100000000</f>
        <v>2.8425600000000002</v>
      </c>
      <c r="LB24" s="6">
        <f>日流量!LB24*24*3600/100000000</f>
        <v>2.7820800000000001</v>
      </c>
      <c r="LC24" s="6">
        <f>日流量!LC24*24*3600/100000000</f>
        <v>2.7216</v>
      </c>
      <c r="LD24" s="6">
        <f>日流量!LD24*24*3600/100000000</f>
        <v>2.6524800000000002</v>
      </c>
      <c r="LE24" s="6">
        <f>日流量!LE24*24*3600/100000000</f>
        <v>2.5920000000000001</v>
      </c>
      <c r="LF24" s="6">
        <f>日流量!LF24*24*3600/100000000</f>
        <v>2.5574400000000002</v>
      </c>
      <c r="LG24" s="6">
        <f>日流量!LG24*24*3600/100000000</f>
        <v>2.51424</v>
      </c>
      <c r="LH24" s="6">
        <f>日流量!LH24*24*3600/100000000</f>
        <v>2.4796800000000001</v>
      </c>
      <c r="LI24" s="6">
        <f>日流量!LI24*24*3600/100000000</f>
        <v>2.4451200000000002</v>
      </c>
      <c r="LJ24" s="6">
        <f>日流量!LJ24*24*3600/100000000</f>
        <v>2.3846400000000001</v>
      </c>
      <c r="LK24" s="6">
        <f>日流量!LK24*24*3600/100000000</f>
        <v>2.30688</v>
      </c>
      <c r="LL24" s="6">
        <f>日流量!LL24*24*3600/100000000</f>
        <v>2.2464</v>
      </c>
      <c r="LM24" s="6">
        <f>日流量!LM24*24*3600/100000000</f>
        <v>2.1772800000000001</v>
      </c>
      <c r="LN24" s="6">
        <f>日流量!LN24*24*3600/100000000</f>
        <v>2.1427200000000002</v>
      </c>
      <c r="LO24" s="6">
        <f>日流量!LO24*24*3600/100000000</f>
        <v>2.0908799999999998</v>
      </c>
      <c r="LP24" s="6">
        <f>日流量!LP24*24*3600/100000000</f>
        <v>2.0735999999999999</v>
      </c>
      <c r="LQ24" s="6">
        <f>日流量!LQ24*24*3600/100000000</f>
        <v>2.03904</v>
      </c>
      <c r="LR24" s="6">
        <f>日流量!LR24*24*3600/100000000</f>
        <v>1.9872000000000001</v>
      </c>
      <c r="LS24" s="6">
        <f>日流量!LS24*24*3600/100000000</f>
        <v>1.944</v>
      </c>
      <c r="LT24" s="6">
        <f>日流量!LT24*24*3600/100000000</f>
        <v>1.9008</v>
      </c>
      <c r="LU24" s="6">
        <f>日流量!LU24*24*3600/100000000</f>
        <v>1.8575999999999999</v>
      </c>
      <c r="LV24" s="6">
        <f>日流量!LV24*24*3600/100000000</f>
        <v>1.83168</v>
      </c>
      <c r="LW24" s="6">
        <f>日流量!LW24*24*3600/100000000</f>
        <v>1.8144</v>
      </c>
      <c r="LX24" s="6">
        <f>日流量!LX24*24*3600/100000000</f>
        <v>1.7798400000000001</v>
      </c>
      <c r="LY24" s="6">
        <f>日流量!LY24*24*3600/100000000</f>
        <v>1.7452799999999999</v>
      </c>
      <c r="LZ24" s="6">
        <f>日流量!LZ24*24*3600/100000000</f>
        <v>1.728</v>
      </c>
      <c r="MA24" s="6">
        <f>日流量!MA24*24*3600/100000000</f>
        <v>1.71072</v>
      </c>
      <c r="MB24" s="6">
        <f>日流量!MB24*24*3600/100000000</f>
        <v>1.6675199999999999</v>
      </c>
      <c r="MC24" s="6">
        <f>日流量!MC24*24*3600/100000000</f>
        <v>1.6502399999999999</v>
      </c>
      <c r="MD24" s="6">
        <f>日流量!MD24*24*3600/100000000</f>
        <v>1.62432</v>
      </c>
      <c r="ME24" s="6">
        <f>日流量!ME24*24*3600/100000000</f>
        <v>1.5984</v>
      </c>
      <c r="MF24" s="6">
        <f>日流量!MF24*24*3600/100000000</f>
        <v>1.5724800000000001</v>
      </c>
      <c r="MG24" s="6">
        <f>日流量!MG24*24*3600/100000000</f>
        <v>1.53792</v>
      </c>
      <c r="MH24" s="6">
        <f>日流量!MH24*24*3600/100000000</f>
        <v>1.512</v>
      </c>
      <c r="MI24" s="6">
        <f>日流量!MI24*24*3600/100000000</f>
        <v>1.49472</v>
      </c>
      <c r="MJ24" s="6">
        <f>日流量!MJ24*24*3600/100000000</f>
        <v>1.4774400000000001</v>
      </c>
      <c r="MK24" s="6">
        <f>日流量!MK24*24*3600/100000000</f>
        <v>1.4601599999999999</v>
      </c>
      <c r="ML24" s="6">
        <f>日流量!ML24*24*3600/100000000</f>
        <v>1.4428799999999999</v>
      </c>
      <c r="MM24" s="6">
        <f>日流量!MM24*24*3600/100000000</f>
        <v>1.40832</v>
      </c>
      <c r="MN24" s="6">
        <f>日流量!MN24*24*3600/100000000</f>
        <v>1.3737600000000001</v>
      </c>
      <c r="MO24" s="6">
        <f>日流量!MO24*24*3600/100000000</f>
        <v>1.3478399999999999</v>
      </c>
      <c r="MP24" s="6">
        <f>日流量!MP24*24*3600/100000000</f>
        <v>1.3391999999999999</v>
      </c>
      <c r="MQ24" s="6">
        <f>日流量!MQ24*24*3600/100000000</f>
        <v>1.32192</v>
      </c>
      <c r="MR24" s="6">
        <f>日流量!MR24*24*3600/100000000</f>
        <v>1.32192</v>
      </c>
      <c r="MS24" s="6">
        <f>日流量!MS24*24*3600/100000000</f>
        <v>1.31328</v>
      </c>
      <c r="MT24" s="6">
        <f>日流量!MT24*24*3600/100000000</f>
        <v>1.2787200000000001</v>
      </c>
      <c r="MU24" s="6">
        <f>日流量!MU24*24*3600/100000000</f>
        <v>1.2527999999999999</v>
      </c>
      <c r="MV24" s="6">
        <f>日流量!MV24*24*3600/100000000</f>
        <v>1.2441599999999999</v>
      </c>
      <c r="MW24" s="6">
        <f>日流量!MW24*24*3600/100000000</f>
        <v>1.22688</v>
      </c>
      <c r="MX24" s="6">
        <f>日流量!MX24*24*3600/100000000</f>
        <v>1.21824</v>
      </c>
      <c r="MY24" s="6">
        <f>日流量!MY24*24*3600/100000000</f>
        <v>1.22688</v>
      </c>
      <c r="MZ24" s="6">
        <f>日流量!MZ24*24*3600/100000000</f>
        <v>1.22688</v>
      </c>
      <c r="NA24" s="6">
        <f>日流量!NA24*24*3600/100000000</f>
        <v>1.22688</v>
      </c>
      <c r="NB24" s="6">
        <f>日流量!NB24*24*3600/100000000</f>
        <v>1.21824</v>
      </c>
      <c r="NC24" s="6"/>
      <c r="ND24" s="6">
        <f>日流量!ND24*24*3600*31/100000000</f>
        <v>38.033279999999998</v>
      </c>
      <c r="NE24" s="6">
        <f>日流量!NE24*24*3600*28/100000000</f>
        <v>28.78848</v>
      </c>
      <c r="NF24" s="6">
        <f>日流量!NF24*24*3600*31/100000000</f>
        <v>29.730239999999998</v>
      </c>
      <c r="NG24" s="6">
        <f>日流量!NG24*24*3600*30/100000000</f>
        <v>31.622399999999999</v>
      </c>
      <c r="NH24" s="6">
        <f>日流量!NH24*24*3600*31/100000000</f>
        <v>50.086080000000003</v>
      </c>
      <c r="NI24" s="6">
        <f>日流量!NI24*24*3600*30/100000000</f>
        <v>120.52800000000001</v>
      </c>
      <c r="NJ24" s="6">
        <f>日流量!NJ24*24*3600*31/100000000</f>
        <v>186.41664</v>
      </c>
      <c r="NK24" s="6">
        <f>日流量!NK24*24*3600*31/100000000</f>
        <v>230.87808000000001</v>
      </c>
      <c r="NL24" s="6">
        <f>日流量!NL24*24*3600*30/100000000</f>
        <v>173.92320000000001</v>
      </c>
      <c r="NM24" s="6">
        <f>日流量!NM24*24*3600*31/100000000</f>
        <v>138.20544000000001</v>
      </c>
      <c r="NN24" s="6">
        <f>日流量!NN24*24*3600*30/100000000</f>
        <v>72.8352</v>
      </c>
      <c r="NO24" s="6">
        <f>日流量!NO24*24*3600*31/100000000</f>
        <v>43.925759999999997</v>
      </c>
      <c r="NP24" s="14">
        <f t="shared" si="10"/>
        <v>1144.9728</v>
      </c>
      <c r="NQ24" s="6">
        <f>日流量!NQ24*24*3600/100000000</f>
        <v>10.368</v>
      </c>
      <c r="NR24" s="4">
        <f>日流量!NR24</f>
        <v>42600</v>
      </c>
      <c r="NS24" s="6">
        <f>日流量!NS24*24*3600/100000000</f>
        <v>0.95040000000000002</v>
      </c>
      <c r="NT24" s="4">
        <f>日流量!NT24</f>
        <v>42434</v>
      </c>
      <c r="NU24" s="7">
        <f>日流量!NP24</f>
        <v>3630.821917808219</v>
      </c>
      <c r="NW24" s="13">
        <f t="shared" si="0"/>
        <v>900.03743999999983</v>
      </c>
      <c r="NX24" s="12">
        <f t="shared" si="1"/>
        <v>78.607757319649849</v>
      </c>
      <c r="NY24" s="13">
        <f t="shared" si="2"/>
        <v>711.74592000000007</v>
      </c>
      <c r="NZ24" s="12">
        <f t="shared" si="3"/>
        <v>62.162692423785096</v>
      </c>
      <c r="OA24" s="13">
        <f t="shared" si="4"/>
        <v>244.93536000000017</v>
      </c>
      <c r="OB24" s="12">
        <f t="shared" si="5"/>
        <v>21.392242680350151</v>
      </c>
      <c r="OC24" s="13">
        <f t="shared" si="6"/>
        <v>230.87808000000001</v>
      </c>
      <c r="OD24" s="12">
        <f t="shared" si="7"/>
        <v>20.164503471174164</v>
      </c>
      <c r="OE24" s="12">
        <f t="shared" si="8"/>
        <v>267.51700934579435</v>
      </c>
      <c r="OF24" s="12">
        <f t="shared" si="9"/>
        <v>8.4829087184739471</v>
      </c>
    </row>
    <row r="25" spans="1:396" x14ac:dyDescent="0.15">
      <c r="A25" s="2">
        <v>1972</v>
      </c>
      <c r="B25" s="6">
        <f>日流量!B25*24*3600/100000000</f>
        <v>1.23552</v>
      </c>
      <c r="C25" s="6">
        <f>日流量!C25*24*3600/100000000</f>
        <v>1.21824</v>
      </c>
      <c r="D25" s="6">
        <f>日流量!D25*24*3600/100000000</f>
        <v>1.21824</v>
      </c>
      <c r="E25" s="6">
        <f>日流量!E25*24*3600/100000000</f>
        <v>1.21824</v>
      </c>
      <c r="F25" s="6">
        <f>日流量!F25*24*3600/100000000</f>
        <v>1.2096</v>
      </c>
      <c r="G25" s="6">
        <f>日流量!G25*24*3600/100000000</f>
        <v>1.20096</v>
      </c>
      <c r="H25" s="6">
        <f>日流量!H25*24*3600/100000000</f>
        <v>1.19232</v>
      </c>
      <c r="I25" s="6">
        <f>日流量!I25*24*3600/100000000</f>
        <v>1.20096</v>
      </c>
      <c r="J25" s="6">
        <f>日流量!J25*24*3600/100000000</f>
        <v>1.19232</v>
      </c>
      <c r="K25" s="6">
        <f>日流量!K25*24*3600/100000000</f>
        <v>1.1836800000000001</v>
      </c>
      <c r="L25" s="6">
        <f>日流量!L25*24*3600/100000000</f>
        <v>1.1836800000000001</v>
      </c>
      <c r="M25" s="6">
        <f>日流量!M25*24*3600/100000000</f>
        <v>1.1750400000000001</v>
      </c>
      <c r="N25" s="6">
        <f>日流量!N25*24*3600/100000000</f>
        <v>1.1664000000000001</v>
      </c>
      <c r="O25" s="6">
        <f>日流量!O25*24*3600/100000000</f>
        <v>1.1577599999999999</v>
      </c>
      <c r="P25" s="6">
        <f>日流量!P25*24*3600/100000000</f>
        <v>1.1491199999999999</v>
      </c>
      <c r="Q25" s="6">
        <f>日流量!Q25*24*3600/100000000</f>
        <v>1.13184</v>
      </c>
      <c r="R25" s="6">
        <f>日流量!R25*24*3600/100000000</f>
        <v>1.1232</v>
      </c>
      <c r="S25" s="6">
        <f>日流量!S25*24*3600/100000000</f>
        <v>1.11456</v>
      </c>
      <c r="T25" s="6">
        <f>日流量!T25*24*3600/100000000</f>
        <v>1.09728</v>
      </c>
      <c r="U25" s="6">
        <f>日流量!U25*24*3600/100000000</f>
        <v>1.0886400000000001</v>
      </c>
      <c r="V25" s="6">
        <f>日流量!V25*24*3600/100000000</f>
        <v>1.08</v>
      </c>
      <c r="W25" s="6">
        <f>日流量!W25*24*3600/100000000</f>
        <v>1.0713600000000001</v>
      </c>
      <c r="X25" s="6">
        <f>日流量!X25*24*3600/100000000</f>
        <v>1.0540799999999999</v>
      </c>
      <c r="Y25" s="6">
        <f>日流量!Y25*24*3600/100000000</f>
        <v>1.0454399999999999</v>
      </c>
      <c r="Z25" s="6">
        <f>日流量!Z25*24*3600/100000000</f>
        <v>1.0367999999999999</v>
      </c>
      <c r="AA25" s="6">
        <f>日流量!AA25*24*3600/100000000</f>
        <v>1.02816</v>
      </c>
      <c r="AB25" s="6">
        <f>日流量!AB25*24*3600/100000000</f>
        <v>1.02816</v>
      </c>
      <c r="AC25" s="6">
        <f>日流量!AC25*24*3600/100000000</f>
        <v>1.01088</v>
      </c>
      <c r="AD25" s="6">
        <f>日流量!AD25*24*3600/100000000</f>
        <v>1.00224</v>
      </c>
      <c r="AE25" s="6">
        <f>日流量!AE25*24*3600/100000000</f>
        <v>1.01088</v>
      </c>
      <c r="AF25" s="6">
        <f>日流量!AF25*24*3600/100000000</f>
        <v>1.01088</v>
      </c>
      <c r="AG25" s="6">
        <f>日流量!AG25*24*3600/100000000</f>
        <v>1.00224</v>
      </c>
      <c r="AH25" s="6">
        <f>日流量!AH25*24*3600/100000000</f>
        <v>0.99360000000000004</v>
      </c>
      <c r="AI25" s="6">
        <f>日流量!AI25*24*3600/100000000</f>
        <v>0.99360000000000004</v>
      </c>
      <c r="AJ25" s="6">
        <f>日流量!AJ25*24*3600/100000000</f>
        <v>0.99360000000000004</v>
      </c>
      <c r="AK25" s="6">
        <f>日流量!AK25*24*3600/100000000</f>
        <v>0.98495999999999995</v>
      </c>
      <c r="AL25" s="6">
        <f>日流量!AL25*24*3600/100000000</f>
        <v>0.99360000000000004</v>
      </c>
      <c r="AM25" s="6">
        <f>日流量!AM25*24*3600/100000000</f>
        <v>1.00224</v>
      </c>
      <c r="AN25" s="6">
        <f>日流量!AN25*24*3600/100000000</f>
        <v>1.00224</v>
      </c>
      <c r="AO25" s="6">
        <f>日流量!AO25*24*3600/100000000</f>
        <v>1.01088</v>
      </c>
      <c r="AP25" s="6">
        <f>日流量!AP25*24*3600/100000000</f>
        <v>1.01088</v>
      </c>
      <c r="AQ25" s="6">
        <f>日流量!AQ25*24*3600/100000000</f>
        <v>1.00224</v>
      </c>
      <c r="AR25" s="6">
        <f>日流量!AR25*24*3600/100000000</f>
        <v>0.99360000000000004</v>
      </c>
      <c r="AS25" s="6">
        <f>日流量!AS25*24*3600/100000000</f>
        <v>0.98495999999999995</v>
      </c>
      <c r="AT25" s="6">
        <f>日流量!AT25*24*3600/100000000</f>
        <v>0.97631999999999997</v>
      </c>
      <c r="AU25" s="6">
        <f>日流量!AU25*24*3600/100000000</f>
        <v>0.96767999999999998</v>
      </c>
      <c r="AV25" s="6">
        <f>日流量!AV25*24*3600/100000000</f>
        <v>0.95904</v>
      </c>
      <c r="AW25" s="6">
        <f>日流量!AW25*24*3600/100000000</f>
        <v>0.95904</v>
      </c>
      <c r="AX25" s="6">
        <f>日流量!AX25*24*3600/100000000</f>
        <v>0.95040000000000002</v>
      </c>
      <c r="AY25" s="6">
        <f>日流量!AY25*24*3600/100000000</f>
        <v>0.95040000000000002</v>
      </c>
      <c r="AZ25" s="6">
        <f>日流量!AZ25*24*3600/100000000</f>
        <v>0.94176000000000004</v>
      </c>
      <c r="BA25" s="6">
        <f>日流量!BA25*24*3600/100000000</f>
        <v>0.94176000000000004</v>
      </c>
      <c r="BB25" s="6">
        <f>日流量!BB25*24*3600/100000000</f>
        <v>0.92447999999999997</v>
      </c>
      <c r="BC25" s="6">
        <f>日流量!BC25*24*3600/100000000</f>
        <v>0.92447999999999997</v>
      </c>
      <c r="BD25" s="6">
        <f>日流量!BD25*24*3600/100000000</f>
        <v>0.91583999999999999</v>
      </c>
      <c r="BE25" s="6">
        <f>日流量!BE25*24*3600/100000000</f>
        <v>0.90720000000000001</v>
      </c>
      <c r="BF25" s="6">
        <f>日流量!BF25*24*3600/100000000</f>
        <v>0.90720000000000001</v>
      </c>
      <c r="BG25" s="6">
        <f>日流量!BG25*24*3600/100000000</f>
        <v>0.90720000000000001</v>
      </c>
      <c r="BH25" s="6">
        <f>日流量!BH25*24*3600/100000000</f>
        <v>0.89856000000000003</v>
      </c>
      <c r="BI25" s="6">
        <f>日流量!BI25*24*3600/100000000</f>
        <v>0.90720000000000001</v>
      </c>
      <c r="BJ25" s="6">
        <f>日流量!BJ25*24*3600/100000000</f>
        <v>0.90720000000000001</v>
      </c>
      <c r="BK25" s="6">
        <f>日流量!BK25*24*3600/100000000</f>
        <v>0.92447999999999997</v>
      </c>
      <c r="BL25" s="6">
        <f>日流量!BL25*24*3600/100000000</f>
        <v>0.93311999999999995</v>
      </c>
      <c r="BM25" s="6">
        <f>日流量!BM25*24*3600/100000000</f>
        <v>0.94176000000000004</v>
      </c>
      <c r="BN25" s="6">
        <f>日流量!BN25*24*3600/100000000</f>
        <v>0.95904</v>
      </c>
      <c r="BO25" s="6">
        <f>日流量!BO25*24*3600/100000000</f>
        <v>0.95904</v>
      </c>
      <c r="BP25" s="6">
        <f>日流量!BP25*24*3600/100000000</f>
        <v>0.95904</v>
      </c>
      <c r="BQ25" s="6">
        <f>日流量!BQ25*24*3600/100000000</f>
        <v>0.94176000000000004</v>
      </c>
      <c r="BR25" s="6">
        <f>日流量!BR25*24*3600/100000000</f>
        <v>0.93311999999999995</v>
      </c>
      <c r="BS25" s="6">
        <f>日流量!BS25*24*3600/100000000</f>
        <v>0.93311999999999995</v>
      </c>
      <c r="BT25" s="6">
        <f>日流量!BT25*24*3600/100000000</f>
        <v>0.92447999999999997</v>
      </c>
      <c r="BU25" s="6">
        <f>日流量!BU25*24*3600/100000000</f>
        <v>0.93311999999999995</v>
      </c>
      <c r="BV25" s="6">
        <f>日流量!BV25*24*3600/100000000</f>
        <v>0.92447999999999997</v>
      </c>
      <c r="BW25" s="6">
        <f>日流量!BW25*24*3600/100000000</f>
        <v>0.92447999999999997</v>
      </c>
      <c r="BX25" s="6">
        <f>日流量!BX25*24*3600/100000000</f>
        <v>0.92447999999999997</v>
      </c>
      <c r="BY25" s="6">
        <f>日流量!BY25*24*3600/100000000</f>
        <v>0.91583999999999999</v>
      </c>
      <c r="BZ25" s="6">
        <f>日流量!BZ25*24*3600/100000000</f>
        <v>0.90720000000000001</v>
      </c>
      <c r="CA25" s="6">
        <f>日流量!CA25*24*3600/100000000</f>
        <v>0.90720000000000001</v>
      </c>
      <c r="CB25" s="6">
        <f>日流量!CB25*24*3600/100000000</f>
        <v>0.92447999999999997</v>
      </c>
      <c r="CC25" s="6">
        <f>日流量!CC25*24*3600/100000000</f>
        <v>0.93311999999999995</v>
      </c>
      <c r="CD25" s="6">
        <f>日流量!CD25*24*3600/100000000</f>
        <v>0.93311999999999995</v>
      </c>
      <c r="CE25" s="6">
        <f>日流量!CE25*24*3600/100000000</f>
        <v>0.93311999999999995</v>
      </c>
      <c r="CF25" s="6">
        <f>日流量!CF25*24*3600/100000000</f>
        <v>0.93311999999999995</v>
      </c>
      <c r="CG25" s="6">
        <f>日流量!CG25*24*3600/100000000</f>
        <v>0.94176000000000004</v>
      </c>
      <c r="CH25" s="6">
        <f>日流量!CH25*24*3600/100000000</f>
        <v>0.94176000000000004</v>
      </c>
      <c r="CI25" s="6">
        <f>日流量!CI25*24*3600/100000000</f>
        <v>0.94176000000000004</v>
      </c>
      <c r="CJ25" s="6">
        <f>日流量!CJ25*24*3600/100000000</f>
        <v>0.95904</v>
      </c>
      <c r="CK25" s="6">
        <f>日流量!CK25*24*3600/100000000</f>
        <v>0.95904</v>
      </c>
      <c r="CL25" s="6">
        <f>日流量!CL25*24*3600/100000000</f>
        <v>0.94176000000000004</v>
      </c>
      <c r="CM25" s="6">
        <f>日流量!CM25*24*3600/100000000</f>
        <v>0.93311999999999995</v>
      </c>
      <c r="CN25" s="6">
        <f>日流量!CN25*24*3600/100000000</f>
        <v>0.92447999999999997</v>
      </c>
      <c r="CO25" s="6">
        <f>日流量!CO25*24*3600/100000000</f>
        <v>0.92447999999999997</v>
      </c>
      <c r="CP25" s="6">
        <f>日流量!CP25*24*3600/100000000</f>
        <v>0.95904</v>
      </c>
      <c r="CQ25" s="6">
        <f>日流量!CQ25*24*3600/100000000</f>
        <v>0.97631999999999997</v>
      </c>
      <c r="CR25" s="6">
        <f>日流量!CR25*24*3600/100000000</f>
        <v>1.00224</v>
      </c>
      <c r="CS25" s="6">
        <f>日流量!CS25*24*3600/100000000</f>
        <v>1.01088</v>
      </c>
      <c r="CT25" s="6">
        <f>日流量!CT25*24*3600/100000000</f>
        <v>1.02816</v>
      </c>
      <c r="CU25" s="6">
        <f>日流量!CU25*24*3600/100000000</f>
        <v>1.0627200000000001</v>
      </c>
      <c r="CV25" s="6">
        <f>日流量!CV25*24*3600/100000000</f>
        <v>1.0713600000000001</v>
      </c>
      <c r="CW25" s="6">
        <f>日流量!CW25*24*3600/100000000</f>
        <v>1.0713600000000001</v>
      </c>
      <c r="CX25" s="6">
        <f>日流量!CX25*24*3600/100000000</f>
        <v>1.0540799999999999</v>
      </c>
      <c r="CY25" s="6">
        <f>日流量!CY25*24*3600/100000000</f>
        <v>1.0454399999999999</v>
      </c>
      <c r="CZ25" s="6">
        <f>日流量!CZ25*24*3600/100000000</f>
        <v>1.0367999999999999</v>
      </c>
      <c r="DA25" s="6">
        <f>日流量!DA25*24*3600/100000000</f>
        <v>1.02816</v>
      </c>
      <c r="DB25" s="6">
        <f>日流量!DB25*24*3600/100000000</f>
        <v>1.01952</v>
      </c>
      <c r="DC25" s="6">
        <f>日流量!DC25*24*3600/100000000</f>
        <v>1.01088</v>
      </c>
      <c r="DD25" s="6">
        <f>日流量!DD25*24*3600/100000000</f>
        <v>1.00224</v>
      </c>
      <c r="DE25" s="6">
        <f>日流量!DE25*24*3600/100000000</f>
        <v>1.00224</v>
      </c>
      <c r="DF25" s="6">
        <f>日流量!DF25*24*3600/100000000</f>
        <v>1.00224</v>
      </c>
      <c r="DG25" s="6">
        <f>日流量!DG25*24*3600/100000000</f>
        <v>1.00224</v>
      </c>
      <c r="DH25" s="6">
        <f>日流量!DH25*24*3600/100000000</f>
        <v>1.00224</v>
      </c>
      <c r="DI25" s="6">
        <f>日流量!DI25*24*3600/100000000</f>
        <v>0.98495999999999995</v>
      </c>
      <c r="DJ25" s="6">
        <f>日流量!DJ25*24*3600/100000000</f>
        <v>0.97631999999999997</v>
      </c>
      <c r="DK25" s="6">
        <f>日流量!DK25*24*3600/100000000</f>
        <v>0.98495999999999995</v>
      </c>
      <c r="DL25" s="6">
        <f>日流量!DL25*24*3600/100000000</f>
        <v>1.00224</v>
      </c>
      <c r="DM25" s="6">
        <f>日流量!DM25*24*3600/100000000</f>
        <v>1.0540799999999999</v>
      </c>
      <c r="DN25" s="6">
        <f>日流量!DN25*24*3600/100000000</f>
        <v>1.1664000000000001</v>
      </c>
      <c r="DO25" s="6">
        <f>日流量!DO25*24*3600/100000000</f>
        <v>1.2787200000000001</v>
      </c>
      <c r="DP25" s="6">
        <f>日流量!DP25*24*3600/100000000</f>
        <v>1.3391999999999999</v>
      </c>
      <c r="DQ25" s="6">
        <f>日流量!DQ25*24*3600/100000000</f>
        <v>1.3478399999999999</v>
      </c>
      <c r="DR25" s="6">
        <f>日流量!DR25*24*3600/100000000</f>
        <v>1.30464</v>
      </c>
      <c r="DS25" s="6">
        <f>日流量!DS25*24*3600/100000000</f>
        <v>1.2700800000000001</v>
      </c>
      <c r="DT25" s="6">
        <f>日流量!DT25*24*3600/100000000</f>
        <v>1.2614399999999999</v>
      </c>
      <c r="DU25" s="6">
        <f>日流量!DU25*24*3600/100000000</f>
        <v>1.2700800000000001</v>
      </c>
      <c r="DV25" s="6">
        <f>日流量!DV25*24*3600/100000000</f>
        <v>1.2614399999999999</v>
      </c>
      <c r="DW25" s="6">
        <f>日流量!DW25*24*3600/100000000</f>
        <v>1.2700800000000001</v>
      </c>
      <c r="DX25" s="6">
        <f>日流量!DX25*24*3600/100000000</f>
        <v>1.2873600000000001</v>
      </c>
      <c r="DY25" s="6">
        <f>日流量!DY25*24*3600/100000000</f>
        <v>1.33056</v>
      </c>
      <c r="DZ25" s="6">
        <f>日流量!DZ25*24*3600/100000000</f>
        <v>1.3737600000000001</v>
      </c>
      <c r="EA25" s="6">
        <f>日流量!EA25*24*3600/100000000</f>
        <v>1.3737600000000001</v>
      </c>
      <c r="EB25" s="6">
        <f>日流量!EB25*24*3600/100000000</f>
        <v>1.3824000000000001</v>
      </c>
      <c r="EC25" s="6">
        <f>日流量!EC25*24*3600/100000000</f>
        <v>1.39968</v>
      </c>
      <c r="ED25" s="6">
        <f>日流量!ED25*24*3600/100000000</f>
        <v>1.4688000000000001</v>
      </c>
      <c r="EE25" s="6">
        <f>日流量!EE25*24*3600/100000000</f>
        <v>1.5551999999999999</v>
      </c>
      <c r="EF25" s="6">
        <f>日流量!EF25*24*3600/100000000</f>
        <v>1.5551999999999999</v>
      </c>
      <c r="EG25" s="6">
        <f>日流量!EG25*24*3600/100000000</f>
        <v>1.6415999999999999</v>
      </c>
      <c r="EH25" s="6">
        <f>日流量!EH25*24*3600/100000000</f>
        <v>1.63296</v>
      </c>
      <c r="EI25" s="6">
        <f>日流量!EI25*24*3600/100000000</f>
        <v>1.6761600000000001</v>
      </c>
      <c r="EJ25" s="6">
        <f>日流量!EJ25*24*3600/100000000</f>
        <v>1.6848000000000001</v>
      </c>
      <c r="EK25" s="6">
        <f>日流量!EK25*24*3600/100000000</f>
        <v>1.73664</v>
      </c>
      <c r="EL25" s="6">
        <f>日流量!EL25*24*3600/100000000</f>
        <v>1.80576</v>
      </c>
      <c r="EM25" s="6">
        <f>日流量!EM25*24*3600/100000000</f>
        <v>1.91808</v>
      </c>
      <c r="EN25" s="6">
        <f>日流量!EN25*24*3600/100000000</f>
        <v>2.00448</v>
      </c>
      <c r="EO25" s="6">
        <f>日流量!EO25*24*3600/100000000</f>
        <v>2.00448</v>
      </c>
      <c r="EP25" s="6">
        <f>日流量!EP25*24*3600/100000000</f>
        <v>1.9612799999999999</v>
      </c>
      <c r="EQ25" s="6">
        <f>日流量!EQ25*24*3600/100000000</f>
        <v>1.9958400000000001</v>
      </c>
      <c r="ER25" s="6">
        <f>日流量!ER25*24*3600/100000000</f>
        <v>2.0304000000000002</v>
      </c>
      <c r="ES25" s="6">
        <f>日流量!ES25*24*3600/100000000</f>
        <v>1.9872000000000001</v>
      </c>
      <c r="ET25" s="6">
        <f>日流量!ET25*24*3600/100000000</f>
        <v>1.93536</v>
      </c>
      <c r="EU25" s="6">
        <f>日流量!EU25*24*3600/100000000</f>
        <v>1.8835200000000001</v>
      </c>
      <c r="EV25" s="6">
        <f>日流量!EV25*24*3600/100000000</f>
        <v>1.9008</v>
      </c>
      <c r="EW25" s="6">
        <f>日流量!EW25*24*3600/100000000</f>
        <v>2.1168</v>
      </c>
      <c r="EX25" s="6">
        <f>日流量!EX25*24*3600/100000000</f>
        <v>2.2550400000000002</v>
      </c>
      <c r="EY25" s="6">
        <f>日流量!EY25*24*3600/100000000</f>
        <v>2.3846400000000001</v>
      </c>
      <c r="EZ25" s="6">
        <f>日流量!EZ25*24*3600/100000000</f>
        <v>2.5401600000000002</v>
      </c>
      <c r="FA25" s="6">
        <f>日流量!FA25*24*3600/100000000</f>
        <v>2.7043200000000001</v>
      </c>
      <c r="FB25" s="6">
        <f>日流量!FB25*24*3600/100000000</f>
        <v>2.7475200000000002</v>
      </c>
      <c r="FC25" s="6">
        <f>日流量!FC25*24*3600/100000000</f>
        <v>2.5920000000000001</v>
      </c>
      <c r="FD25" s="6">
        <f>日流量!FD25*24*3600/100000000</f>
        <v>2.32416</v>
      </c>
      <c r="FE25" s="6">
        <f>日流量!FE25*24*3600/100000000</f>
        <v>2.2896000000000001</v>
      </c>
      <c r="FF25" s="6">
        <f>日流量!FF25*24*3600/100000000</f>
        <v>2.2809599999999999</v>
      </c>
      <c r="FG25" s="6">
        <f>日流量!FG25*24*3600/100000000</f>
        <v>2.1168</v>
      </c>
      <c r="FH25" s="6">
        <f>日流量!FH25*24*3600/100000000</f>
        <v>2.1772800000000001</v>
      </c>
      <c r="FI25" s="6">
        <f>日流量!FI25*24*3600/100000000</f>
        <v>2.32416</v>
      </c>
      <c r="FJ25" s="6">
        <f>日流量!FJ25*24*3600/100000000</f>
        <v>2.8512</v>
      </c>
      <c r="FK25" s="6">
        <f>日流量!FK25*24*3600/100000000</f>
        <v>2.6870400000000001</v>
      </c>
      <c r="FL25" s="6">
        <f>日流量!FL25*24*3600/100000000</f>
        <v>2.7302399999999998</v>
      </c>
      <c r="FM25" s="6">
        <f>日流量!FM25*24*3600/100000000</f>
        <v>2.9203199999999998</v>
      </c>
      <c r="FN25" s="6">
        <f>日流量!FN25*24*3600/100000000</f>
        <v>3.4905599999999999</v>
      </c>
      <c r="FO25" s="6">
        <f>日流量!FO25*24*3600/100000000</f>
        <v>4.5878399999999999</v>
      </c>
      <c r="FP25" s="6">
        <f>日流量!FP25*24*3600/100000000</f>
        <v>5.2185600000000001</v>
      </c>
      <c r="FQ25" s="6">
        <f>日流量!FQ25*24*3600/100000000</f>
        <v>5.2876799999999999</v>
      </c>
      <c r="FR25" s="6">
        <f>日流量!FR25*24*3600/100000000</f>
        <v>5.1321599999999998</v>
      </c>
      <c r="FS25" s="6">
        <f>日流量!FS25*24*3600/100000000</f>
        <v>4.7174399999999999</v>
      </c>
      <c r="FT25" s="6">
        <f>日流量!FT25*24*3600/100000000</f>
        <v>4.2249600000000003</v>
      </c>
      <c r="FU25" s="6">
        <f>日流量!FU25*24*3600/100000000</f>
        <v>4.1817599999999997</v>
      </c>
      <c r="FV25" s="6">
        <f>日流量!FV25*24*3600/100000000</f>
        <v>4.0953600000000003</v>
      </c>
      <c r="FW25" s="6">
        <f>日流量!FW25*24*3600/100000000</f>
        <v>4.1212799999999996</v>
      </c>
      <c r="FX25" s="6">
        <f>日流量!FX25*24*3600/100000000</f>
        <v>3.9744000000000002</v>
      </c>
      <c r="FY25" s="6">
        <f>日流量!FY25*24*3600/100000000</f>
        <v>3.9744000000000002</v>
      </c>
      <c r="FZ25" s="6">
        <f>日流量!FZ25*24*3600/100000000</f>
        <v>4.0953600000000003</v>
      </c>
      <c r="GA25" s="6">
        <f>日流量!GA25*24*3600/100000000</f>
        <v>3.8966400000000001</v>
      </c>
      <c r="GB25" s="6">
        <f>日流量!GB25*24*3600/100000000</f>
        <v>3.7929599999999999</v>
      </c>
      <c r="GC25" s="6">
        <f>日流量!GC25*24*3600/100000000</f>
        <v>3.6633599999999999</v>
      </c>
      <c r="GD25" s="6">
        <f>日流量!GD25*24*3600/100000000</f>
        <v>3.5596800000000002</v>
      </c>
      <c r="GE25" s="6">
        <f>日流量!GE25*24*3600/100000000</f>
        <v>3.6028799999999999</v>
      </c>
      <c r="GF25" s="6">
        <f>日流量!GF25*24*3600/100000000</f>
        <v>3.5251199999999998</v>
      </c>
      <c r="GG25" s="6">
        <f>日流量!GG25*24*3600/100000000</f>
        <v>3.5855999999999999</v>
      </c>
      <c r="GH25" s="6">
        <f>日流量!GH25*24*3600/100000000</f>
        <v>3.456</v>
      </c>
      <c r="GI25" s="6">
        <f>日流量!GI25*24*3600/100000000</f>
        <v>3.3004799999999999</v>
      </c>
      <c r="GJ25" s="6">
        <f>日流量!GJ25*24*3600/100000000</f>
        <v>3.1622400000000002</v>
      </c>
      <c r="GK25" s="6">
        <f>日流量!GK25*24*3600/100000000</f>
        <v>3.024</v>
      </c>
      <c r="GL25" s="6">
        <f>日流量!GL25*24*3600/100000000</f>
        <v>2.9980799999999999</v>
      </c>
      <c r="GM25" s="6">
        <f>日流量!GM25*24*3600/100000000</f>
        <v>3.0931199999999999</v>
      </c>
      <c r="GN25" s="6">
        <f>日流量!GN25*24*3600/100000000</f>
        <v>3.8102399999999998</v>
      </c>
      <c r="GO25" s="6">
        <f>日流量!GO25*24*3600/100000000</f>
        <v>4.2076799999999999</v>
      </c>
      <c r="GP25" s="6">
        <f>日流量!GP25*24*3600/100000000</f>
        <v>4.7779199999999999</v>
      </c>
      <c r="GQ25" s="6">
        <f>日流量!GQ25*24*3600/100000000</f>
        <v>6.3158399999999997</v>
      </c>
      <c r="GR25" s="6">
        <f>日流量!GR25*24*3600/100000000</f>
        <v>6.5750400000000004</v>
      </c>
      <c r="GS25" s="6">
        <f>日流量!GS25*24*3600/100000000</f>
        <v>6.2812799999999998</v>
      </c>
      <c r="GT25" s="6">
        <f>日流量!GT25*24*3600/100000000</f>
        <v>6.1603199999999996</v>
      </c>
      <c r="GU25" s="6">
        <f>日流量!GU25*24*3600/100000000</f>
        <v>5.8665599999999998</v>
      </c>
      <c r="GV25" s="6">
        <f>日流量!GV25*24*3600/100000000</f>
        <v>5.6505599999999996</v>
      </c>
      <c r="GW25" s="6">
        <f>日流量!GW25*24*3600/100000000</f>
        <v>6.36768</v>
      </c>
      <c r="GX25" s="6">
        <f>日流量!GX25*24*3600/100000000</f>
        <v>6.5145600000000004</v>
      </c>
      <c r="GY25" s="6">
        <f>日流量!GY25*24*3600/100000000</f>
        <v>6.8860799999999998</v>
      </c>
      <c r="GZ25" s="6">
        <f>日流量!GZ25*24*3600/100000000</f>
        <v>7.6291200000000003</v>
      </c>
      <c r="HA25" s="6">
        <f>日流量!HA25*24*3600/100000000</f>
        <v>9.6768000000000001</v>
      </c>
      <c r="HB25" s="6">
        <f>日流量!HB25*24*3600/100000000</f>
        <v>11.059200000000001</v>
      </c>
      <c r="HC25" s="6">
        <f>日流量!HC25*24*3600/100000000</f>
        <v>12.528</v>
      </c>
      <c r="HD25" s="6">
        <f>日流量!HD25*24*3600/100000000</f>
        <v>13.1328</v>
      </c>
      <c r="HE25" s="6">
        <f>日流量!HE25*24*3600/100000000</f>
        <v>12.96</v>
      </c>
      <c r="HF25" s="6">
        <f>日流量!HF25*24*3600/100000000</f>
        <v>12.528</v>
      </c>
      <c r="HG25" s="6">
        <f>日流量!HG25*24*3600/100000000</f>
        <v>13.3056</v>
      </c>
      <c r="HH25" s="6">
        <f>日流量!HH25*24*3600/100000000</f>
        <v>14.601599999999999</v>
      </c>
      <c r="HI25" s="6">
        <f>日流量!HI25*24*3600/100000000</f>
        <v>14.5152</v>
      </c>
      <c r="HJ25" s="6">
        <f>日流量!HJ25*24*3600/100000000</f>
        <v>13.0464</v>
      </c>
      <c r="HK25" s="6">
        <f>日流量!HK25*24*3600/100000000</f>
        <v>11.3184</v>
      </c>
      <c r="HL25" s="6">
        <f>日流量!HL25*24*3600/100000000</f>
        <v>10.368</v>
      </c>
      <c r="HM25" s="6">
        <f>日流量!HM25*24*3600/100000000</f>
        <v>9.5904000000000007</v>
      </c>
      <c r="HN25" s="6">
        <f>日流量!HN25*24*3600/100000000</f>
        <v>8.9855999999999998</v>
      </c>
      <c r="HO25" s="6">
        <f>日流量!HO25*24*3600/100000000</f>
        <v>9.0719999999999992</v>
      </c>
      <c r="HP25" s="6">
        <f>日流量!HP25*24*3600/100000000</f>
        <v>9.0719999999999992</v>
      </c>
      <c r="HQ25" s="6">
        <f>日流量!HQ25*24*3600/100000000</f>
        <v>8.3980800000000002</v>
      </c>
      <c r="HR25" s="6">
        <f>日流量!HR25*24*3600/100000000</f>
        <v>7.6377600000000001</v>
      </c>
      <c r="HS25" s="6">
        <f>日流量!HS25*24*3600/100000000</f>
        <v>6.9638400000000003</v>
      </c>
      <c r="HT25" s="6">
        <f>日流量!HT25*24*3600/100000000</f>
        <v>6.4454399999999996</v>
      </c>
      <c r="HU25" s="6">
        <f>日流量!HU25*24*3600/100000000</f>
        <v>5.9961599999999997</v>
      </c>
      <c r="HV25" s="6">
        <f>日流量!HV25*24*3600/100000000</f>
        <v>5.5900800000000004</v>
      </c>
      <c r="HW25" s="6">
        <f>日流量!HW25*24*3600/100000000</f>
        <v>5.2185600000000001</v>
      </c>
      <c r="HX25" s="6">
        <f>日流量!HX25*24*3600/100000000</f>
        <v>4.9161599999999996</v>
      </c>
      <c r="HY25" s="6">
        <f>日流量!HY25*24*3600/100000000</f>
        <v>4.6396800000000002</v>
      </c>
      <c r="HZ25" s="6">
        <f>日流量!HZ25*24*3600/100000000</f>
        <v>4.3977599999999999</v>
      </c>
      <c r="IA25" s="6">
        <f>日流量!IA25*24*3600/100000000</f>
        <v>4.1644800000000002</v>
      </c>
      <c r="IB25" s="6">
        <f>日流量!IB25*24*3600/100000000</f>
        <v>4.1299200000000003</v>
      </c>
      <c r="IC25" s="6">
        <f>日流量!IC25*24*3600/100000000</f>
        <v>4.04352</v>
      </c>
      <c r="ID25" s="6">
        <f>日流量!ID25*24*3600/100000000</f>
        <v>3.8707199999999999</v>
      </c>
      <c r="IE25" s="6">
        <f>日流量!IE25*24*3600/100000000</f>
        <v>4.0608000000000004</v>
      </c>
      <c r="IF25" s="6">
        <f>日流量!IF25*24*3600/100000000</f>
        <v>4.2854400000000004</v>
      </c>
      <c r="IG25" s="6">
        <f>日流量!IG25*24*3600/100000000</f>
        <v>4.1644800000000002</v>
      </c>
      <c r="IH25" s="6">
        <f>日流量!IH25*24*3600/100000000</f>
        <v>4.0953600000000003</v>
      </c>
      <c r="II25" s="6">
        <f>日流量!II25*24*3600/100000000</f>
        <v>4.0262399999999996</v>
      </c>
      <c r="IJ25" s="6">
        <f>日流量!IJ25*24*3600/100000000</f>
        <v>3.9052799999999999</v>
      </c>
      <c r="IK25" s="6">
        <f>日流量!IK25*24*3600/100000000</f>
        <v>3.7497600000000002</v>
      </c>
      <c r="IL25" s="6">
        <f>日流量!IL25*24*3600/100000000</f>
        <v>3.5942400000000001</v>
      </c>
      <c r="IM25" s="6">
        <f>日流量!IM25*24*3600/100000000</f>
        <v>3.55104</v>
      </c>
      <c r="IN25" s="6">
        <f>日流量!IN25*24*3600/100000000</f>
        <v>4.0780799999999999</v>
      </c>
      <c r="IO25" s="6">
        <f>日流量!IO25*24*3600/100000000</f>
        <v>5.0198400000000003</v>
      </c>
      <c r="IP25" s="6">
        <f>日流量!IP25*24*3600/100000000</f>
        <v>4.8815999999999997</v>
      </c>
      <c r="IQ25" s="6">
        <f>日流量!IQ25*24*3600/100000000</f>
        <v>5.0111999999999997</v>
      </c>
      <c r="IR25" s="6">
        <f>日流量!IR25*24*3600/100000000</f>
        <v>5.4432</v>
      </c>
      <c r="IS25" s="6">
        <f>日流量!IS25*24*3600/100000000</f>
        <v>6.4454399999999996</v>
      </c>
      <c r="IT25" s="6">
        <f>日流量!IT25*24*3600/100000000</f>
        <v>6.6787200000000002</v>
      </c>
      <c r="IU25" s="6">
        <f>日流量!IU25*24*3600/100000000</f>
        <v>6.4454399999999996</v>
      </c>
      <c r="IV25" s="6">
        <f>日流量!IV25*24*3600/100000000</f>
        <v>6.2985600000000002</v>
      </c>
      <c r="IW25" s="6">
        <f>日流量!IW25*24*3600/100000000</f>
        <v>6.1344000000000003</v>
      </c>
      <c r="IX25" s="6">
        <f>日流量!IX25*24*3600/100000000</f>
        <v>5.8147200000000003</v>
      </c>
      <c r="IY25" s="6">
        <f>日流量!IY25*24*3600/100000000</f>
        <v>5.8924799999999999</v>
      </c>
      <c r="IZ25" s="6">
        <f>日流量!IZ25*24*3600/100000000</f>
        <v>5.5036800000000001</v>
      </c>
      <c r="JA25" s="6">
        <f>日流量!JA25*24*3600/100000000</f>
        <v>5.1494400000000002</v>
      </c>
      <c r="JB25" s="6">
        <f>日流量!JB25*24*3600/100000000</f>
        <v>5.5641600000000002</v>
      </c>
      <c r="JC25" s="6">
        <f>日流量!JC25*24*3600/100000000</f>
        <v>5.4691200000000002</v>
      </c>
      <c r="JD25" s="6">
        <f>日流量!JD25*24*3600/100000000</f>
        <v>5.7283200000000001</v>
      </c>
      <c r="JE25" s="6">
        <f>日流量!JE25*24*3600/100000000</f>
        <v>6.4108799999999997</v>
      </c>
      <c r="JF25" s="6">
        <f>日流量!JF25*24*3600/100000000</f>
        <v>6.5059199999999997</v>
      </c>
      <c r="JG25" s="6">
        <f>日流量!JG25*24*3600/100000000</f>
        <v>6.3763199999999998</v>
      </c>
      <c r="JH25" s="6">
        <f>日流量!JH25*24*3600/100000000</f>
        <v>6.1862399999999997</v>
      </c>
      <c r="JI25" s="6">
        <f>日流量!JI25*24*3600/100000000</f>
        <v>5.7196800000000003</v>
      </c>
      <c r="JJ25" s="6">
        <f>日流量!JJ25*24*3600/100000000</f>
        <v>5.5382400000000001</v>
      </c>
      <c r="JK25" s="6">
        <f>日流量!JK25*24*3600/100000000</f>
        <v>5.1235200000000001</v>
      </c>
      <c r="JL25" s="6">
        <f>日流量!JL25*24*3600/100000000</f>
        <v>4.9248000000000003</v>
      </c>
      <c r="JM25" s="6">
        <f>日流量!JM25*24*3600/100000000</f>
        <v>4.8902400000000004</v>
      </c>
      <c r="JN25" s="6">
        <f>日流量!JN25*24*3600/100000000</f>
        <v>4.8556800000000004</v>
      </c>
      <c r="JO25" s="6">
        <f>日流量!JO25*24*3600/100000000</f>
        <v>4.7088000000000001</v>
      </c>
      <c r="JP25" s="6">
        <f>日流量!JP25*24*3600/100000000</f>
        <v>4.5964799999999997</v>
      </c>
      <c r="JQ25" s="6">
        <f>日流量!JQ25*24*3600/100000000</f>
        <v>4.45824</v>
      </c>
      <c r="JR25" s="6">
        <f>日流量!JR25*24*3600/100000000</f>
        <v>4.3804800000000004</v>
      </c>
      <c r="JS25" s="6">
        <f>日流量!JS25*24*3600/100000000</f>
        <v>4.2422399999999998</v>
      </c>
      <c r="JT25" s="6">
        <f>日流量!JT25*24*3600/100000000</f>
        <v>4.1558400000000004</v>
      </c>
      <c r="JU25" s="6">
        <f>日流量!JU25*24*3600/100000000</f>
        <v>4.0003200000000003</v>
      </c>
      <c r="JV25" s="6">
        <f>日流量!JV25*24*3600/100000000</f>
        <v>3.8448000000000002</v>
      </c>
      <c r="JW25" s="6">
        <f>日流量!JW25*24*3600/100000000</f>
        <v>3.7584</v>
      </c>
      <c r="JX25" s="6">
        <f>日流量!JX25*24*3600/100000000</f>
        <v>3.6806399999999999</v>
      </c>
      <c r="JY25" s="6">
        <f>日流量!JY25*24*3600/100000000</f>
        <v>3.7151999999999998</v>
      </c>
      <c r="JZ25" s="6">
        <f>日流量!JZ25*24*3600/100000000</f>
        <v>3.6720000000000002</v>
      </c>
      <c r="KA25" s="6">
        <f>日流量!KA25*24*3600/100000000</f>
        <v>3.6547200000000002</v>
      </c>
      <c r="KB25" s="6">
        <f>日流量!KB25*24*3600/100000000</f>
        <v>3.7065600000000001</v>
      </c>
      <c r="KC25" s="6">
        <f>日流量!KC25*24*3600/100000000</f>
        <v>3.6547200000000002</v>
      </c>
      <c r="KD25" s="6">
        <f>日流量!KD25*24*3600/100000000</f>
        <v>3.55104</v>
      </c>
      <c r="KE25" s="6">
        <f>日流量!KE25*24*3600/100000000</f>
        <v>3.456</v>
      </c>
      <c r="KF25" s="6">
        <f>日流量!KF25*24*3600/100000000</f>
        <v>3.3609599999999999</v>
      </c>
      <c r="KG25" s="6">
        <f>日流量!KG25*24*3600/100000000</f>
        <v>3.24864</v>
      </c>
      <c r="KH25" s="6">
        <f>日流量!KH25*24*3600/100000000</f>
        <v>3.1449600000000002</v>
      </c>
      <c r="KI25" s="6">
        <f>日流量!KI25*24*3600/100000000</f>
        <v>3.0672000000000001</v>
      </c>
      <c r="KJ25" s="6">
        <f>日流量!KJ25*24*3600/100000000</f>
        <v>2.9980799999999999</v>
      </c>
      <c r="KK25" s="6">
        <f>日流量!KK25*24*3600/100000000</f>
        <v>2.92896</v>
      </c>
      <c r="KL25" s="6">
        <f>日流量!KL25*24*3600/100000000</f>
        <v>2.8512</v>
      </c>
      <c r="KM25" s="6">
        <f>日流量!KM25*24*3600/100000000</f>
        <v>2.7820800000000001</v>
      </c>
      <c r="KN25" s="6">
        <f>日流量!KN25*24*3600/100000000</f>
        <v>2.7216</v>
      </c>
      <c r="KO25" s="6">
        <f>日流量!KO25*24*3600/100000000</f>
        <v>2.64384</v>
      </c>
      <c r="KP25" s="6">
        <f>日流量!KP25*24*3600/100000000</f>
        <v>2.5747200000000001</v>
      </c>
      <c r="KQ25" s="6">
        <f>日流量!KQ25*24*3600/100000000</f>
        <v>2.5228799999999998</v>
      </c>
      <c r="KR25" s="6">
        <f>日流量!KR25*24*3600/100000000</f>
        <v>2.4624000000000001</v>
      </c>
      <c r="KS25" s="6">
        <f>日流量!KS25*24*3600/100000000</f>
        <v>2.4105599999999998</v>
      </c>
      <c r="KT25" s="6">
        <f>日流量!KT25*24*3600/100000000</f>
        <v>2.3587199999999999</v>
      </c>
      <c r="KU25" s="6">
        <f>日流量!KU25*24*3600/100000000</f>
        <v>2.3155199999999998</v>
      </c>
      <c r="KV25" s="6">
        <f>日流量!KV25*24*3600/100000000</f>
        <v>2.2723200000000001</v>
      </c>
      <c r="KW25" s="6">
        <f>日流量!KW25*24*3600/100000000</f>
        <v>2.2204799999999998</v>
      </c>
      <c r="KX25" s="6">
        <f>日流量!KX25*24*3600/100000000</f>
        <v>2.1859199999999999</v>
      </c>
      <c r="KY25" s="6">
        <f>日流量!KY25*24*3600/100000000</f>
        <v>2.1686399999999999</v>
      </c>
      <c r="KZ25" s="6">
        <f>日流量!KZ25*24*3600/100000000</f>
        <v>2.13408</v>
      </c>
      <c r="LA25" s="6">
        <f>日流量!LA25*24*3600/100000000</f>
        <v>2.1254400000000002</v>
      </c>
      <c r="LB25" s="6">
        <f>日流量!LB25*24*3600/100000000</f>
        <v>2.1859199999999999</v>
      </c>
      <c r="LC25" s="6">
        <f>日流量!LC25*24*3600/100000000</f>
        <v>2.2636799999999999</v>
      </c>
      <c r="LD25" s="6">
        <f>日流量!LD25*24*3600/100000000</f>
        <v>2.1772800000000001</v>
      </c>
      <c r="LE25" s="6">
        <f>日流量!LE25*24*3600/100000000</f>
        <v>2.0735999999999999</v>
      </c>
      <c r="LF25" s="6">
        <f>日流量!LF25*24*3600/100000000</f>
        <v>1.9872000000000001</v>
      </c>
      <c r="LG25" s="6">
        <f>日流量!LG25*24*3600/100000000</f>
        <v>1.93536</v>
      </c>
      <c r="LH25" s="6">
        <f>日流量!LH25*24*3600/100000000</f>
        <v>1.8921600000000001</v>
      </c>
      <c r="LI25" s="6">
        <f>日流量!LI25*24*3600/100000000</f>
        <v>1.8575999999999999</v>
      </c>
      <c r="LJ25" s="6">
        <f>日流量!LJ25*24*3600/100000000</f>
        <v>1.8144</v>
      </c>
      <c r="LK25" s="6">
        <f>日流量!LK25*24*3600/100000000</f>
        <v>1.7971200000000001</v>
      </c>
      <c r="LL25" s="6">
        <f>日流量!LL25*24*3600/100000000</f>
        <v>1.7712000000000001</v>
      </c>
      <c r="LM25" s="6">
        <f>日流量!LM25*24*3600/100000000</f>
        <v>1.7539199999999999</v>
      </c>
      <c r="LN25" s="6">
        <f>日流量!LN25*24*3600/100000000</f>
        <v>1.728</v>
      </c>
      <c r="LO25" s="6">
        <f>日流量!LO25*24*3600/100000000</f>
        <v>1.6934400000000001</v>
      </c>
      <c r="LP25" s="6">
        <f>日流量!LP25*24*3600/100000000</f>
        <v>1.6588799999999999</v>
      </c>
      <c r="LQ25" s="6">
        <f>日流量!LQ25*24*3600/100000000</f>
        <v>1.6415999999999999</v>
      </c>
      <c r="LR25" s="6">
        <f>日流量!LR25*24*3600/100000000</f>
        <v>1.5984</v>
      </c>
      <c r="LS25" s="6">
        <f>日流量!LS25*24*3600/100000000</f>
        <v>1.5724800000000001</v>
      </c>
      <c r="LT25" s="6">
        <f>日流量!LT25*24*3600/100000000</f>
        <v>1.53792</v>
      </c>
      <c r="LU25" s="6">
        <f>日流量!LU25*24*3600/100000000</f>
        <v>1.50336</v>
      </c>
      <c r="LV25" s="6">
        <f>日流量!LV25*24*3600/100000000</f>
        <v>1.4774400000000001</v>
      </c>
      <c r="LW25" s="6">
        <f>日流量!LW25*24*3600/100000000</f>
        <v>1.4774400000000001</v>
      </c>
      <c r="LX25" s="6">
        <f>日流量!LX25*24*3600/100000000</f>
        <v>1.4860800000000001</v>
      </c>
      <c r="LY25" s="6">
        <f>日流量!LY25*24*3600/100000000</f>
        <v>1.50336</v>
      </c>
      <c r="LZ25" s="6">
        <f>日流量!LZ25*24*3600/100000000</f>
        <v>1.53792</v>
      </c>
      <c r="MA25" s="6">
        <f>日流量!MA25*24*3600/100000000</f>
        <v>1.50336</v>
      </c>
      <c r="MB25" s="6">
        <f>日流量!MB25*24*3600/100000000</f>
        <v>1.4774400000000001</v>
      </c>
      <c r="MC25" s="6">
        <f>日流量!MC25*24*3600/100000000</f>
        <v>1.4774400000000001</v>
      </c>
      <c r="MD25" s="6">
        <f>日流量!MD25*24*3600/100000000</f>
        <v>1.43424</v>
      </c>
      <c r="ME25" s="6">
        <f>日流量!ME25*24*3600/100000000</f>
        <v>1.40832</v>
      </c>
      <c r="MF25" s="6">
        <f>日流量!MF25*24*3600/100000000</f>
        <v>1.3824000000000001</v>
      </c>
      <c r="MG25" s="6">
        <f>日流量!MG25*24*3600/100000000</f>
        <v>1.3651199999999999</v>
      </c>
      <c r="MH25" s="6">
        <f>日流量!MH25*24*3600/100000000</f>
        <v>1.3391999999999999</v>
      </c>
      <c r="MI25" s="6">
        <f>日流量!MI25*24*3600/100000000</f>
        <v>1.32192</v>
      </c>
      <c r="MJ25" s="6">
        <f>日流量!MJ25*24*3600/100000000</f>
        <v>1.31328</v>
      </c>
      <c r="MK25" s="6">
        <f>日流量!MK25*24*3600/100000000</f>
        <v>1.30464</v>
      </c>
      <c r="ML25" s="6">
        <f>日流量!ML25*24*3600/100000000</f>
        <v>1.296</v>
      </c>
      <c r="MM25" s="6">
        <f>日流量!MM25*24*3600/100000000</f>
        <v>1.296</v>
      </c>
      <c r="MN25" s="6">
        <f>日流量!MN25*24*3600/100000000</f>
        <v>1.2873600000000001</v>
      </c>
      <c r="MO25" s="6">
        <f>日流量!MO25*24*3600/100000000</f>
        <v>1.2787200000000001</v>
      </c>
      <c r="MP25" s="6">
        <f>日流量!MP25*24*3600/100000000</f>
        <v>1.2787200000000001</v>
      </c>
      <c r="MQ25" s="6">
        <f>日流量!MQ25*24*3600/100000000</f>
        <v>1.2527999999999999</v>
      </c>
      <c r="MR25" s="6">
        <f>日流量!MR25*24*3600/100000000</f>
        <v>1.22688</v>
      </c>
      <c r="MS25" s="6">
        <f>日流量!MS25*24*3600/100000000</f>
        <v>1.2096</v>
      </c>
      <c r="MT25" s="6">
        <f>日流量!MT25*24*3600/100000000</f>
        <v>1.19232</v>
      </c>
      <c r="MU25" s="6">
        <f>日流量!MU25*24*3600/100000000</f>
        <v>1.1836800000000001</v>
      </c>
      <c r="MV25" s="6">
        <f>日流量!MV25*24*3600/100000000</f>
        <v>1.1750400000000001</v>
      </c>
      <c r="MW25" s="6">
        <f>日流量!MW25*24*3600/100000000</f>
        <v>1.1750400000000001</v>
      </c>
      <c r="MX25" s="6">
        <f>日流量!MX25*24*3600/100000000</f>
        <v>1.1577599999999999</v>
      </c>
      <c r="MY25" s="6">
        <f>日流量!MY25*24*3600/100000000</f>
        <v>1.1664000000000001</v>
      </c>
      <c r="MZ25" s="6">
        <f>日流量!MZ25*24*3600/100000000</f>
        <v>1.1577599999999999</v>
      </c>
      <c r="NA25" s="6">
        <f>日流量!NA25*24*3600/100000000</f>
        <v>1.1577599999999999</v>
      </c>
      <c r="NB25" s="6">
        <f>日流量!NB25*24*3600/100000000</f>
        <v>1.1404799999999999</v>
      </c>
      <c r="NC25" s="6">
        <f>日流量!NC25*24*3600/100000000</f>
        <v>1.13184</v>
      </c>
      <c r="ND25" s="6">
        <f>日流量!ND25*24*3600*31/100000000</f>
        <v>34.819200000000002</v>
      </c>
      <c r="NE25" s="6">
        <f>日流量!NE25*24*3600*29/100000000</f>
        <v>27.812159999999999</v>
      </c>
      <c r="NF25" s="6">
        <f>日流量!NF25*24*3600*31/100000000</f>
        <v>28.92672</v>
      </c>
      <c r="NG25" s="6">
        <f>日流量!NG25*24*3600*30/100000000</f>
        <v>31.881599999999999</v>
      </c>
      <c r="NH25" s="6">
        <f>日流量!NH25*24*3600*31/100000000</f>
        <v>50.889600000000002</v>
      </c>
      <c r="NI25" s="6">
        <f>日流量!NI25*24*3600*30/100000000</f>
        <v>100.8288</v>
      </c>
      <c r="NJ25" s="6">
        <f>日流量!NJ25*24*3600*31/100000000</f>
        <v>189.63072</v>
      </c>
      <c r="NK25" s="6">
        <f>日流量!NK25*24*3600*31/100000000</f>
        <v>218.55744000000001</v>
      </c>
      <c r="NL25" s="6">
        <f>日流量!NL25*24*3600*30/100000000</f>
        <v>164.0736</v>
      </c>
      <c r="NM25" s="6">
        <f>日流量!NM25*24*3600*31/100000000</f>
        <v>104.72544000000001</v>
      </c>
      <c r="NN25" s="6">
        <f>日流量!NN25*24*3600*30/100000000</f>
        <v>56.246400000000001</v>
      </c>
      <c r="NO25" s="6">
        <f>日流量!NO25*24*3600*31/100000000</f>
        <v>40.176000000000002</v>
      </c>
      <c r="NP25" s="14">
        <f t="shared" si="10"/>
        <v>1048.5676800000001</v>
      </c>
      <c r="NQ25" s="6">
        <f>日流量!NQ25*24*3600/100000000</f>
        <v>14.601599999999999</v>
      </c>
      <c r="NR25" s="4">
        <f>日流量!NR25</f>
        <v>42584</v>
      </c>
      <c r="NS25" s="6">
        <f>日流量!NS25*24*3600/100000000</f>
        <v>0.89856000000000003</v>
      </c>
      <c r="NT25" s="4">
        <f>日流量!NT25</f>
        <v>42428</v>
      </c>
      <c r="NU25" s="7">
        <f>日流量!NP25</f>
        <v>3316.0109289617485</v>
      </c>
      <c r="NW25" s="13">
        <f t="shared" si="0"/>
        <v>828.70560000000012</v>
      </c>
      <c r="NX25" s="12">
        <f t="shared" si="1"/>
        <v>79.032151744368093</v>
      </c>
      <c r="NY25" s="13">
        <f t="shared" si="2"/>
        <v>673.0905600000001</v>
      </c>
      <c r="NZ25" s="12">
        <f t="shared" si="3"/>
        <v>64.191427300143374</v>
      </c>
      <c r="OA25" s="13">
        <f t="shared" si="4"/>
        <v>219.86207999999999</v>
      </c>
      <c r="OB25" s="12">
        <f t="shared" si="5"/>
        <v>20.967848255631907</v>
      </c>
      <c r="OC25" s="13">
        <f t="shared" si="6"/>
        <v>218.55744000000001</v>
      </c>
      <c r="OD25" s="12">
        <f t="shared" si="7"/>
        <v>20.843427102387896</v>
      </c>
      <c r="OE25" s="12">
        <f t="shared" si="8"/>
        <v>244.99244859813089</v>
      </c>
      <c r="OF25" s="12">
        <f t="shared" si="9"/>
        <v>7.7686595826398674</v>
      </c>
    </row>
    <row r="26" spans="1:396" x14ac:dyDescent="0.15">
      <c r="A26" s="2">
        <v>1973</v>
      </c>
      <c r="B26" s="6">
        <f>日流量!B26*24*3600/100000000</f>
        <v>1.1232</v>
      </c>
      <c r="C26" s="6">
        <f>日流量!C26*24*3600/100000000</f>
        <v>1.11456</v>
      </c>
      <c r="D26" s="6">
        <f>日流量!D26*24*3600/100000000</f>
        <v>1.11456</v>
      </c>
      <c r="E26" s="6">
        <f>日流量!E26*24*3600/100000000</f>
        <v>1.10592</v>
      </c>
      <c r="F26" s="6">
        <f>日流量!F26*24*3600/100000000</f>
        <v>1.09728</v>
      </c>
      <c r="G26" s="6">
        <f>日流量!G26*24*3600/100000000</f>
        <v>1.09728</v>
      </c>
      <c r="H26" s="6">
        <f>日流量!H26*24*3600/100000000</f>
        <v>1.0886400000000001</v>
      </c>
      <c r="I26" s="6">
        <f>日流量!I26*24*3600/100000000</f>
        <v>1.08</v>
      </c>
      <c r="J26" s="6">
        <f>日流量!J26*24*3600/100000000</f>
        <v>1.0713600000000001</v>
      </c>
      <c r="K26" s="6">
        <f>日流量!K26*24*3600/100000000</f>
        <v>1.0713600000000001</v>
      </c>
      <c r="L26" s="6">
        <f>日流量!L26*24*3600/100000000</f>
        <v>1.0540799999999999</v>
      </c>
      <c r="M26" s="6">
        <f>日流量!M26*24*3600/100000000</f>
        <v>1.0454399999999999</v>
      </c>
      <c r="N26" s="6">
        <f>日流量!N26*24*3600/100000000</f>
        <v>1.02816</v>
      </c>
      <c r="O26" s="6">
        <f>日流量!O26*24*3600/100000000</f>
        <v>1.02816</v>
      </c>
      <c r="P26" s="6">
        <f>日流量!P26*24*3600/100000000</f>
        <v>1.01952</v>
      </c>
      <c r="Q26" s="6">
        <f>日流量!Q26*24*3600/100000000</f>
        <v>1.01088</v>
      </c>
      <c r="R26" s="6">
        <f>日流量!R26*24*3600/100000000</f>
        <v>1.00224</v>
      </c>
      <c r="S26" s="6">
        <f>日流量!S26*24*3600/100000000</f>
        <v>0.99360000000000004</v>
      </c>
      <c r="T26" s="6">
        <f>日流量!T26*24*3600/100000000</f>
        <v>0.99360000000000004</v>
      </c>
      <c r="U26" s="6">
        <f>日流量!U26*24*3600/100000000</f>
        <v>0.99360000000000004</v>
      </c>
      <c r="V26" s="6">
        <f>日流量!V26*24*3600/100000000</f>
        <v>0.98495999999999995</v>
      </c>
      <c r="W26" s="6">
        <f>日流量!W26*24*3600/100000000</f>
        <v>0.97631999999999997</v>
      </c>
      <c r="X26" s="6">
        <f>日流量!X26*24*3600/100000000</f>
        <v>0.96767999999999998</v>
      </c>
      <c r="Y26" s="6">
        <f>日流量!Y26*24*3600/100000000</f>
        <v>0.95040000000000002</v>
      </c>
      <c r="Z26" s="6">
        <f>日流量!Z26*24*3600/100000000</f>
        <v>0.94176000000000004</v>
      </c>
      <c r="AA26" s="6">
        <f>日流量!AA26*24*3600/100000000</f>
        <v>0.93311999999999995</v>
      </c>
      <c r="AB26" s="6">
        <f>日流量!AB26*24*3600/100000000</f>
        <v>0.93311999999999995</v>
      </c>
      <c r="AC26" s="6">
        <f>日流量!AC26*24*3600/100000000</f>
        <v>0.92447999999999997</v>
      </c>
      <c r="AD26" s="6">
        <f>日流量!AD26*24*3600/100000000</f>
        <v>0.92447999999999997</v>
      </c>
      <c r="AE26" s="6">
        <f>日流量!AE26*24*3600/100000000</f>
        <v>0.92447999999999997</v>
      </c>
      <c r="AF26" s="6">
        <f>日流量!AF26*24*3600/100000000</f>
        <v>0.92447999999999997</v>
      </c>
      <c r="AG26" s="6">
        <f>日流量!AG26*24*3600/100000000</f>
        <v>0.91583999999999999</v>
      </c>
      <c r="AH26" s="6">
        <f>日流量!AH26*24*3600/100000000</f>
        <v>0.91583999999999999</v>
      </c>
      <c r="AI26" s="6">
        <f>日流量!AI26*24*3600/100000000</f>
        <v>0.90720000000000001</v>
      </c>
      <c r="AJ26" s="6">
        <f>日流量!AJ26*24*3600/100000000</f>
        <v>0.90720000000000001</v>
      </c>
      <c r="AK26" s="6">
        <f>日流量!AK26*24*3600/100000000</f>
        <v>0.90720000000000001</v>
      </c>
      <c r="AL26" s="6">
        <f>日流量!AL26*24*3600/100000000</f>
        <v>0.89856000000000003</v>
      </c>
      <c r="AM26" s="6">
        <f>日流量!AM26*24*3600/100000000</f>
        <v>0.89856000000000003</v>
      </c>
      <c r="AN26" s="6">
        <f>日流量!AN26*24*3600/100000000</f>
        <v>0.89856000000000003</v>
      </c>
      <c r="AO26" s="6">
        <f>日流量!AO26*24*3600/100000000</f>
        <v>0.88992000000000004</v>
      </c>
      <c r="AP26" s="6">
        <f>日流量!AP26*24*3600/100000000</f>
        <v>0.88127999999999995</v>
      </c>
      <c r="AQ26" s="6">
        <f>日流量!AQ26*24*3600/100000000</f>
        <v>0.87263999999999997</v>
      </c>
      <c r="AR26" s="6">
        <f>日流量!AR26*24*3600/100000000</f>
        <v>0.87263999999999997</v>
      </c>
      <c r="AS26" s="6">
        <f>日流量!AS26*24*3600/100000000</f>
        <v>0.87263999999999997</v>
      </c>
      <c r="AT26" s="6">
        <f>日流量!AT26*24*3600/100000000</f>
        <v>0.88992000000000004</v>
      </c>
      <c r="AU26" s="6">
        <f>日流量!AU26*24*3600/100000000</f>
        <v>0.90720000000000001</v>
      </c>
      <c r="AV26" s="6">
        <f>日流量!AV26*24*3600/100000000</f>
        <v>0.90720000000000001</v>
      </c>
      <c r="AW26" s="6">
        <f>日流量!AW26*24*3600/100000000</f>
        <v>0.91583999999999999</v>
      </c>
      <c r="AX26" s="6">
        <f>日流量!AX26*24*3600/100000000</f>
        <v>0.92447999999999997</v>
      </c>
      <c r="AY26" s="6">
        <f>日流量!AY26*24*3600/100000000</f>
        <v>0.92447999999999997</v>
      </c>
      <c r="AZ26" s="6">
        <f>日流量!AZ26*24*3600/100000000</f>
        <v>0.93311999999999995</v>
      </c>
      <c r="BA26" s="6">
        <f>日流量!BA26*24*3600/100000000</f>
        <v>0.92447999999999997</v>
      </c>
      <c r="BB26" s="6">
        <f>日流量!BB26*24*3600/100000000</f>
        <v>0.92447999999999997</v>
      </c>
      <c r="BC26" s="6">
        <f>日流量!BC26*24*3600/100000000</f>
        <v>0.90720000000000001</v>
      </c>
      <c r="BD26" s="6">
        <f>日流量!BD26*24*3600/100000000</f>
        <v>0.90720000000000001</v>
      </c>
      <c r="BE26" s="6">
        <f>日流量!BE26*24*3600/100000000</f>
        <v>0.89856000000000003</v>
      </c>
      <c r="BF26" s="6">
        <f>日流量!BF26*24*3600/100000000</f>
        <v>0.89856000000000003</v>
      </c>
      <c r="BG26" s="6">
        <f>日流量!BG26*24*3600/100000000</f>
        <v>0.88992000000000004</v>
      </c>
      <c r="BH26" s="6">
        <f>日流量!BH26*24*3600/100000000</f>
        <v>0.88127999999999995</v>
      </c>
      <c r="BI26" s="6"/>
      <c r="BJ26" s="6">
        <f>日流量!BJ26*24*3600/100000000</f>
        <v>0.88992000000000004</v>
      </c>
      <c r="BK26" s="6">
        <f>日流量!BK26*24*3600/100000000</f>
        <v>0.88992000000000004</v>
      </c>
      <c r="BL26" s="6">
        <f>日流量!BL26*24*3600/100000000</f>
        <v>0.88992000000000004</v>
      </c>
      <c r="BM26" s="6">
        <f>日流量!BM26*24*3600/100000000</f>
        <v>0.88992000000000004</v>
      </c>
      <c r="BN26" s="6">
        <f>日流量!BN26*24*3600/100000000</f>
        <v>0.88127999999999995</v>
      </c>
      <c r="BO26" s="6">
        <f>日流量!BO26*24*3600/100000000</f>
        <v>0.88992000000000004</v>
      </c>
      <c r="BP26" s="6">
        <f>日流量!BP26*24*3600/100000000</f>
        <v>0.88127999999999995</v>
      </c>
      <c r="BQ26" s="6">
        <f>日流量!BQ26*24*3600/100000000</f>
        <v>0.88127999999999995</v>
      </c>
      <c r="BR26" s="6">
        <f>日流量!BR26*24*3600/100000000</f>
        <v>0.88127999999999995</v>
      </c>
      <c r="BS26" s="6">
        <f>日流量!BS26*24*3600/100000000</f>
        <v>0.89856000000000003</v>
      </c>
      <c r="BT26" s="6">
        <f>日流量!BT26*24*3600/100000000</f>
        <v>0.89856000000000003</v>
      </c>
      <c r="BU26" s="6">
        <f>日流量!BU26*24*3600/100000000</f>
        <v>0.89856000000000003</v>
      </c>
      <c r="BV26" s="6">
        <f>日流量!BV26*24*3600/100000000</f>
        <v>0.89856000000000003</v>
      </c>
      <c r="BW26" s="6">
        <f>日流量!BW26*24*3600/100000000</f>
        <v>0.88992000000000004</v>
      </c>
      <c r="BX26" s="6">
        <f>日流量!BX26*24*3600/100000000</f>
        <v>0.88127999999999995</v>
      </c>
      <c r="BY26" s="6">
        <f>日流量!BY26*24*3600/100000000</f>
        <v>0.88127999999999995</v>
      </c>
      <c r="BZ26" s="6">
        <f>日流量!BZ26*24*3600/100000000</f>
        <v>0.88127999999999995</v>
      </c>
      <c r="CA26" s="6">
        <f>日流量!CA26*24*3600/100000000</f>
        <v>0.88127999999999995</v>
      </c>
      <c r="CB26" s="6">
        <f>日流量!CB26*24*3600/100000000</f>
        <v>0.88127999999999995</v>
      </c>
      <c r="CC26" s="6">
        <f>日流量!CC26*24*3600/100000000</f>
        <v>0.88992000000000004</v>
      </c>
      <c r="CD26" s="6">
        <f>日流量!CD26*24*3600/100000000</f>
        <v>0.89856000000000003</v>
      </c>
      <c r="CE26" s="6">
        <f>日流量!CE26*24*3600/100000000</f>
        <v>0.90720000000000001</v>
      </c>
      <c r="CF26" s="6">
        <f>日流量!CF26*24*3600/100000000</f>
        <v>0.91583999999999999</v>
      </c>
      <c r="CG26" s="6">
        <f>日流量!CG26*24*3600/100000000</f>
        <v>0.91583999999999999</v>
      </c>
      <c r="CH26" s="6">
        <f>日流量!CH26*24*3600/100000000</f>
        <v>0.90720000000000001</v>
      </c>
      <c r="CI26" s="6">
        <f>日流量!CI26*24*3600/100000000</f>
        <v>0.89856000000000003</v>
      </c>
      <c r="CJ26" s="6">
        <f>日流量!CJ26*24*3600/100000000</f>
        <v>0.88992000000000004</v>
      </c>
      <c r="CK26" s="6">
        <f>日流量!CK26*24*3600/100000000</f>
        <v>0.88127999999999995</v>
      </c>
      <c r="CL26" s="6">
        <f>日流量!CL26*24*3600/100000000</f>
        <v>0.87263999999999997</v>
      </c>
      <c r="CM26" s="6">
        <f>日流量!CM26*24*3600/100000000</f>
        <v>0.85968</v>
      </c>
      <c r="CN26" s="6">
        <f>日流量!CN26*24*3600/100000000</f>
        <v>0.86399999999999999</v>
      </c>
      <c r="CO26" s="6">
        <f>日流量!CO26*24*3600/100000000</f>
        <v>0.87263999999999997</v>
      </c>
      <c r="CP26" s="6">
        <f>日流量!CP26*24*3600/100000000</f>
        <v>0.89856000000000003</v>
      </c>
      <c r="CQ26" s="6">
        <f>日流量!CQ26*24*3600/100000000</f>
        <v>0.92447999999999997</v>
      </c>
      <c r="CR26" s="6">
        <f>日流量!CR26*24*3600/100000000</f>
        <v>0.95040000000000002</v>
      </c>
      <c r="CS26" s="6">
        <f>日流量!CS26*24*3600/100000000</f>
        <v>0.95904</v>
      </c>
      <c r="CT26" s="6">
        <f>日流量!CT26*24*3600/100000000</f>
        <v>0.96767999999999998</v>
      </c>
      <c r="CU26" s="6">
        <f>日流量!CU26*24*3600/100000000</f>
        <v>0.97631999999999997</v>
      </c>
      <c r="CV26" s="6">
        <f>日流量!CV26*24*3600/100000000</f>
        <v>0.99360000000000004</v>
      </c>
      <c r="CW26" s="6">
        <f>日流量!CW26*24*3600/100000000</f>
        <v>1.00224</v>
      </c>
      <c r="CX26" s="6">
        <f>日流量!CX26*24*3600/100000000</f>
        <v>1.00224</v>
      </c>
      <c r="CY26" s="6">
        <f>日流量!CY26*24*3600/100000000</f>
        <v>0.99360000000000004</v>
      </c>
      <c r="CZ26" s="6">
        <f>日流量!CZ26*24*3600/100000000</f>
        <v>0.98495999999999995</v>
      </c>
      <c r="DA26" s="6">
        <f>日流量!DA26*24*3600/100000000</f>
        <v>1.00224</v>
      </c>
      <c r="DB26" s="6">
        <f>日流量!DB26*24*3600/100000000</f>
        <v>1.02816</v>
      </c>
      <c r="DC26" s="6">
        <f>日流量!DC26*24*3600/100000000</f>
        <v>1.0367999999999999</v>
      </c>
      <c r="DD26" s="6">
        <f>日流量!DD26*24*3600/100000000</f>
        <v>1.02816</v>
      </c>
      <c r="DE26" s="6">
        <f>日流量!DE26*24*3600/100000000</f>
        <v>1.01952</v>
      </c>
      <c r="DF26" s="6">
        <f>日流量!DF26*24*3600/100000000</f>
        <v>1.01088</v>
      </c>
      <c r="DG26" s="6">
        <f>日流量!DG26*24*3600/100000000</f>
        <v>1.02816</v>
      </c>
      <c r="DH26" s="6">
        <f>日流量!DH26*24*3600/100000000</f>
        <v>1.1491199999999999</v>
      </c>
      <c r="DI26" s="6">
        <f>日流量!DI26*24*3600/100000000</f>
        <v>1.19232</v>
      </c>
      <c r="DJ26" s="6">
        <f>日流量!DJ26*24*3600/100000000</f>
        <v>1.19232</v>
      </c>
      <c r="DK26" s="6">
        <f>日流量!DK26*24*3600/100000000</f>
        <v>1.1577599999999999</v>
      </c>
      <c r="DL26" s="6">
        <f>日流量!DL26*24*3600/100000000</f>
        <v>1.0886400000000001</v>
      </c>
      <c r="DM26" s="6">
        <f>日流量!DM26*24*3600/100000000</f>
        <v>1.0713600000000001</v>
      </c>
      <c r="DN26" s="6">
        <f>日流量!DN26*24*3600/100000000</f>
        <v>1.0713600000000001</v>
      </c>
      <c r="DO26" s="6">
        <f>日流量!DO26*24*3600/100000000</f>
        <v>1.0540799999999999</v>
      </c>
      <c r="DP26" s="6">
        <f>日流量!DP26*24*3600/100000000</f>
        <v>1.0627200000000001</v>
      </c>
      <c r="DQ26" s="6">
        <f>日流量!DQ26*24*3600/100000000</f>
        <v>1.09728</v>
      </c>
      <c r="DR26" s="6">
        <f>日流量!DR26*24*3600/100000000</f>
        <v>1.1404799999999999</v>
      </c>
      <c r="DS26" s="6">
        <f>日流量!DS26*24*3600/100000000</f>
        <v>1.22688</v>
      </c>
      <c r="DT26" s="6">
        <f>日流量!DT26*24*3600/100000000</f>
        <v>1.32192</v>
      </c>
      <c r="DU26" s="6">
        <f>日流量!DU26*24*3600/100000000</f>
        <v>1.40832</v>
      </c>
      <c r="DV26" s="6">
        <f>日流量!DV26*24*3600/100000000</f>
        <v>1.4688000000000001</v>
      </c>
      <c r="DW26" s="6">
        <f>日流量!DW26*24*3600/100000000</f>
        <v>1.4860800000000001</v>
      </c>
      <c r="DX26" s="6">
        <f>日流量!DX26*24*3600/100000000</f>
        <v>1.4860800000000001</v>
      </c>
      <c r="DY26" s="6">
        <f>日流量!DY26*24*3600/100000000</f>
        <v>1.4688000000000001</v>
      </c>
      <c r="DZ26" s="6">
        <f>日流量!DZ26*24*3600/100000000</f>
        <v>1.4428799999999999</v>
      </c>
      <c r="EA26" s="6">
        <f>日流量!EA26*24*3600/100000000</f>
        <v>1.4428799999999999</v>
      </c>
      <c r="EB26" s="6">
        <f>日流量!EB26*24*3600/100000000</f>
        <v>1.5638399999999999</v>
      </c>
      <c r="EC26" s="6">
        <f>日流量!EC26*24*3600/100000000</f>
        <v>1.6502399999999999</v>
      </c>
      <c r="ED26" s="6">
        <f>日流量!ED26*24*3600/100000000</f>
        <v>1.62432</v>
      </c>
      <c r="EE26" s="6">
        <f>日流量!EE26*24*3600/100000000</f>
        <v>1.6934400000000001</v>
      </c>
      <c r="EF26" s="6">
        <f>日流量!EF26*24*3600/100000000</f>
        <v>1.7539199999999999</v>
      </c>
      <c r="EG26" s="6">
        <f>日流量!EG26*24*3600/100000000</f>
        <v>1.7884800000000001</v>
      </c>
      <c r="EH26" s="6">
        <f>日流量!EH26*24*3600/100000000</f>
        <v>1.7625599999999999</v>
      </c>
      <c r="EI26" s="6">
        <f>日流量!EI26*24*3600/100000000</f>
        <v>1.6934400000000001</v>
      </c>
      <c r="EJ26" s="6">
        <f>日流量!EJ26*24*3600/100000000</f>
        <v>1.62432</v>
      </c>
      <c r="EK26" s="6">
        <f>日流量!EK26*24*3600/100000000</f>
        <v>1.5897600000000001</v>
      </c>
      <c r="EL26" s="6">
        <f>日流量!EL26*24*3600/100000000</f>
        <v>1.5551999999999999</v>
      </c>
      <c r="EM26" s="6">
        <f>日流量!EM26*24*3600/100000000</f>
        <v>1.512</v>
      </c>
      <c r="EN26" s="6">
        <f>日流量!EN26*24*3600/100000000</f>
        <v>1.512</v>
      </c>
      <c r="EO26" s="6">
        <f>日流量!EO26*24*3600/100000000</f>
        <v>1.5465599999999999</v>
      </c>
      <c r="EP26" s="6">
        <f>日流量!EP26*24*3600/100000000</f>
        <v>1.4428799999999999</v>
      </c>
      <c r="EQ26" s="6">
        <f>日流量!EQ26*24*3600/100000000</f>
        <v>1.3824000000000001</v>
      </c>
      <c r="ER26" s="6">
        <f>日流量!ER26*24*3600/100000000</f>
        <v>1.4774400000000001</v>
      </c>
      <c r="ES26" s="6">
        <f>日流量!ES26*24*3600/100000000</f>
        <v>1.63296</v>
      </c>
      <c r="ET26" s="6">
        <f>日流量!ET26*24*3600/100000000</f>
        <v>1.6934400000000001</v>
      </c>
      <c r="EU26" s="6">
        <f>日流量!EU26*24*3600/100000000</f>
        <v>1.71936</v>
      </c>
      <c r="EV26" s="6">
        <f>日流量!EV26*24*3600/100000000</f>
        <v>1.728</v>
      </c>
      <c r="EW26" s="6">
        <f>日流量!EW26*24*3600/100000000</f>
        <v>1.71072</v>
      </c>
      <c r="EX26" s="6">
        <f>日流量!EX26*24*3600/100000000</f>
        <v>1.62432</v>
      </c>
      <c r="EY26" s="6">
        <f>日流量!EY26*24*3600/100000000</f>
        <v>1.5551999999999999</v>
      </c>
      <c r="EZ26" s="6">
        <f>日流量!EZ26*24*3600/100000000</f>
        <v>1.5638399999999999</v>
      </c>
      <c r="FA26" s="6">
        <f>日流量!FA26*24*3600/100000000</f>
        <v>1.5811200000000001</v>
      </c>
      <c r="FB26" s="6">
        <f>日流量!FB26*24*3600/100000000</f>
        <v>1.5984</v>
      </c>
      <c r="FC26" s="6">
        <f>日流量!FC26*24*3600/100000000</f>
        <v>1.61568</v>
      </c>
      <c r="FD26" s="6">
        <f>日流量!FD26*24*3600/100000000</f>
        <v>1.7625599999999999</v>
      </c>
      <c r="FE26" s="6">
        <f>日流量!FE26*24*3600/100000000</f>
        <v>2.0649600000000001</v>
      </c>
      <c r="FF26" s="6">
        <f>日流量!FF26*24*3600/100000000</f>
        <v>2.3759999999999999</v>
      </c>
      <c r="FG26" s="6">
        <f>日流量!FG26*24*3600/100000000</f>
        <v>2.6179199999999998</v>
      </c>
      <c r="FH26" s="6">
        <f>日流量!FH26*24*3600/100000000</f>
        <v>2.3932799999999999</v>
      </c>
      <c r="FI26" s="6">
        <f>日流量!FI26*24*3600/100000000</f>
        <v>2.4883199999999999</v>
      </c>
      <c r="FJ26" s="6">
        <f>日流量!FJ26*24*3600/100000000</f>
        <v>2.5747200000000001</v>
      </c>
      <c r="FK26" s="6">
        <f>日流量!FK26*24*3600/100000000</f>
        <v>3.0153599999999998</v>
      </c>
      <c r="FL26" s="6">
        <f>日流量!FL26*24*3600/100000000</f>
        <v>3.0153599999999998</v>
      </c>
      <c r="FM26" s="6">
        <f>日流量!FM26*24*3600/100000000</f>
        <v>3.3350399999999998</v>
      </c>
      <c r="FN26" s="6">
        <f>日流量!FN26*24*3600/100000000</f>
        <v>3.8188800000000001</v>
      </c>
      <c r="FO26" s="6">
        <f>日流量!FO26*24*3600/100000000</f>
        <v>5.0198400000000003</v>
      </c>
      <c r="FP26" s="6">
        <f>日流量!FP26*24*3600/100000000</f>
        <v>5.3136000000000001</v>
      </c>
      <c r="FQ26" s="6">
        <f>日流量!FQ26*24*3600/100000000</f>
        <v>5.5814399999999997</v>
      </c>
      <c r="FR26" s="6">
        <f>日流量!FR26*24*3600/100000000</f>
        <v>5.3913599999999997</v>
      </c>
      <c r="FS26" s="6">
        <f>日流量!FS26*24*3600/100000000</f>
        <v>4.9593600000000002</v>
      </c>
      <c r="FT26" s="6">
        <f>日流量!FT26*24*3600/100000000</f>
        <v>4.5619199999999998</v>
      </c>
      <c r="FU26" s="6">
        <f>日流量!FU26*24*3600/100000000</f>
        <v>4.3632</v>
      </c>
      <c r="FV26" s="6">
        <f>日流量!FV26*24*3600/100000000</f>
        <v>4.2940800000000001</v>
      </c>
      <c r="FW26" s="6">
        <f>日流量!FW26*24*3600/100000000</f>
        <v>4.1990400000000001</v>
      </c>
      <c r="FX26" s="6">
        <f>日流量!FX26*24*3600/100000000</f>
        <v>4.32</v>
      </c>
      <c r="FY26" s="6">
        <f>日流量!FY26*24*3600/100000000</f>
        <v>4.2767999999999997</v>
      </c>
      <c r="FZ26" s="6">
        <f>日流量!FZ26*24*3600/100000000</f>
        <v>4.2076799999999999</v>
      </c>
      <c r="GA26" s="6">
        <f>日流量!GA26*24*3600/100000000</f>
        <v>4.1126399999999999</v>
      </c>
      <c r="GB26" s="6">
        <f>日流量!GB26*24*3600/100000000</f>
        <v>4.0521599999999998</v>
      </c>
      <c r="GC26" s="6">
        <f>日流量!GC26*24*3600/100000000</f>
        <v>4.32864</v>
      </c>
      <c r="GD26" s="6">
        <f>日流量!GD26*24*3600/100000000</f>
        <v>4.3632</v>
      </c>
      <c r="GE26" s="6">
        <f>日流量!GE26*24*3600/100000000</f>
        <v>3.96576</v>
      </c>
      <c r="GF26" s="6">
        <f>日流量!GF26*24*3600/100000000</f>
        <v>3.6201599999999998</v>
      </c>
      <c r="GG26" s="6">
        <f>日流量!GG26*24*3600/100000000</f>
        <v>3.3350399999999998</v>
      </c>
      <c r="GH26" s="6">
        <f>日流量!GH26*24*3600/100000000</f>
        <v>3.1622400000000002</v>
      </c>
      <c r="GI26" s="6">
        <f>日流量!GI26*24*3600/100000000</f>
        <v>3.1103999999999998</v>
      </c>
      <c r="GJ26" s="6">
        <f>日流量!GJ26*24*3600/100000000</f>
        <v>2.94624</v>
      </c>
      <c r="GK26" s="6">
        <f>日流量!GK26*24*3600/100000000</f>
        <v>2.8252799999999998</v>
      </c>
      <c r="GL26" s="6">
        <f>日流量!GL26*24*3600/100000000</f>
        <v>2.83392</v>
      </c>
      <c r="GM26" s="6">
        <f>日流量!GM26*24*3600/100000000</f>
        <v>2.8252799999999998</v>
      </c>
      <c r="GN26" s="6">
        <f>日流量!GN26*24*3600/100000000</f>
        <v>2.8944000000000001</v>
      </c>
      <c r="GO26" s="6">
        <f>日流量!GO26*24*3600/100000000</f>
        <v>3.2659199999999999</v>
      </c>
      <c r="GP26" s="6">
        <f>日流量!GP26*24*3600/100000000</f>
        <v>4.32</v>
      </c>
      <c r="GQ26" s="6">
        <f>日流量!GQ26*24*3600/100000000</f>
        <v>5.7369599999999998</v>
      </c>
      <c r="GR26" s="6">
        <f>日流量!GR26*24*3600/100000000</f>
        <v>5.6764799999999997</v>
      </c>
      <c r="GS26" s="6">
        <f>日流量!GS26*24*3600/100000000</f>
        <v>4.93344</v>
      </c>
      <c r="GT26" s="6">
        <f>日流量!GT26*24*3600/100000000</f>
        <v>4.1644800000000002</v>
      </c>
      <c r="GU26" s="6">
        <f>日流量!GU26*24*3600/100000000</f>
        <v>3.7756799999999999</v>
      </c>
      <c r="GV26" s="6">
        <f>日流量!GV26*24*3600/100000000</f>
        <v>3.4300799999999998</v>
      </c>
      <c r="GW26" s="6">
        <f>日流量!GW26*24*3600/100000000</f>
        <v>3.1276799999999998</v>
      </c>
      <c r="GX26" s="6">
        <f>日流量!GX26*24*3600/100000000</f>
        <v>3.3264</v>
      </c>
      <c r="GY26" s="6">
        <f>日流量!GY26*24*3600/100000000</f>
        <v>3.3868800000000001</v>
      </c>
      <c r="GZ26" s="6">
        <f>日流量!GZ26*24*3600/100000000</f>
        <v>3.1968000000000001</v>
      </c>
      <c r="HA26" s="6">
        <f>日流量!HA26*24*3600/100000000</f>
        <v>3.1708799999999999</v>
      </c>
      <c r="HB26" s="6">
        <f>日流量!HB26*24*3600/100000000</f>
        <v>4.1644800000000002</v>
      </c>
      <c r="HC26" s="6">
        <f>日流量!HC26*24*3600/100000000</f>
        <v>5.47776</v>
      </c>
      <c r="HD26" s="6">
        <f>日流量!HD26*24*3600/100000000</f>
        <v>5.9184000000000001</v>
      </c>
      <c r="HE26" s="6">
        <f>日流量!HE26*24*3600/100000000</f>
        <v>6.1344000000000003</v>
      </c>
      <c r="HF26" s="6">
        <f>日流量!HF26*24*3600/100000000</f>
        <v>6.0134400000000001</v>
      </c>
      <c r="HG26" s="6">
        <f>日流量!HG26*24*3600/100000000</f>
        <v>5.5728</v>
      </c>
      <c r="HH26" s="6">
        <f>日流量!HH26*24*3600/100000000</f>
        <v>5.4432</v>
      </c>
      <c r="HI26" s="6">
        <f>日流量!HI26*24*3600/100000000</f>
        <v>6.3071999999999999</v>
      </c>
      <c r="HJ26" s="6">
        <f>日流量!HJ26*24*3600/100000000</f>
        <v>8.7263999999999999</v>
      </c>
      <c r="HK26" s="6">
        <f>日流量!HK26*24*3600/100000000</f>
        <v>9.6768000000000001</v>
      </c>
      <c r="HL26" s="6">
        <f>日流量!HL26*24*3600/100000000</f>
        <v>9.3312000000000008</v>
      </c>
      <c r="HM26" s="6">
        <f>日流量!HM26*24*3600/100000000</f>
        <v>8.2252799999999997</v>
      </c>
      <c r="HN26" s="6">
        <f>日流量!HN26*24*3600/100000000</f>
        <v>7.5167999999999999</v>
      </c>
      <c r="HO26" s="6">
        <f>日流量!HO26*24*3600/100000000</f>
        <v>7.9574400000000001</v>
      </c>
      <c r="HP26" s="6">
        <f>日流量!HP26*24*3600/100000000</f>
        <v>7.7759999999999998</v>
      </c>
      <c r="HQ26" s="6">
        <f>日流量!HQ26*24*3600/100000000</f>
        <v>7.3872</v>
      </c>
      <c r="HR26" s="6">
        <f>日流量!HR26*24*3600/100000000</f>
        <v>6.7392000000000003</v>
      </c>
      <c r="HS26" s="6">
        <f>日流量!HS26*24*3600/100000000</f>
        <v>5.8752000000000004</v>
      </c>
      <c r="HT26" s="6">
        <f>日流量!HT26*24*3600/100000000</f>
        <v>5.3395200000000003</v>
      </c>
      <c r="HU26" s="6">
        <f>日流量!HU26*24*3600/100000000</f>
        <v>5.2790400000000002</v>
      </c>
      <c r="HV26" s="6">
        <f>日流量!HV26*24*3600/100000000</f>
        <v>5.6937600000000002</v>
      </c>
      <c r="HW26" s="6">
        <f>日流量!HW26*24*3600/100000000</f>
        <v>5.9702400000000004</v>
      </c>
      <c r="HX26" s="6">
        <f>日流量!HX26*24*3600/100000000</f>
        <v>5.4</v>
      </c>
      <c r="HY26" s="6">
        <f>日流量!HY26*24*3600/100000000</f>
        <v>5.4172799999999999</v>
      </c>
      <c r="HZ26" s="6">
        <f>日流量!HZ26*24*3600/100000000</f>
        <v>5.5468799999999998</v>
      </c>
      <c r="IA26" s="6">
        <f>日流量!IA26*24*3600/100000000</f>
        <v>5.4345600000000003</v>
      </c>
      <c r="IB26" s="6">
        <f>日流量!IB26*24*3600/100000000</f>
        <v>5.3654400000000004</v>
      </c>
      <c r="IC26" s="6">
        <f>日流量!IC26*24*3600/100000000</f>
        <v>5.2185600000000001</v>
      </c>
      <c r="ID26" s="6">
        <f>日流量!ID26*24*3600/100000000</f>
        <v>4.9420799999999998</v>
      </c>
      <c r="IE26" s="6">
        <f>日流量!IE26*24*3600/100000000</f>
        <v>4.64832</v>
      </c>
      <c r="IF26" s="6">
        <f>日流量!IF26*24*3600/100000000</f>
        <v>4.3372799999999998</v>
      </c>
      <c r="IG26" s="6">
        <f>日流量!IG26*24*3600/100000000</f>
        <v>4.2508800000000004</v>
      </c>
      <c r="IH26" s="6">
        <f>日流量!IH26*24*3600/100000000</f>
        <v>4.5187200000000001</v>
      </c>
      <c r="II26" s="6">
        <f>日流量!II26*24*3600/100000000</f>
        <v>4.8297600000000003</v>
      </c>
      <c r="IJ26" s="6">
        <f>日流量!IJ26*24*3600/100000000</f>
        <v>5.0716799999999997</v>
      </c>
      <c r="IK26" s="6">
        <f>日流量!IK26*24*3600/100000000</f>
        <v>5.4172799999999999</v>
      </c>
      <c r="IL26" s="6">
        <f>日流量!IL26*24*3600/100000000</f>
        <v>6.4022399999999999</v>
      </c>
      <c r="IM26" s="6">
        <f>日流量!IM26*24*3600/100000000</f>
        <v>6.2640000000000002</v>
      </c>
      <c r="IN26" s="6">
        <f>日流量!IN26*24*3600/100000000</f>
        <v>5.5987200000000001</v>
      </c>
      <c r="IO26" s="6">
        <f>日流量!IO26*24*3600/100000000</f>
        <v>5.0025599999999999</v>
      </c>
      <c r="IP26" s="6">
        <f>日流量!IP26*24*3600/100000000</f>
        <v>4.55328</v>
      </c>
      <c r="IQ26" s="6">
        <f>日流量!IQ26*24*3600/100000000</f>
        <v>4.1904000000000003</v>
      </c>
      <c r="IR26" s="6">
        <f>日流量!IR26*24*3600/100000000</f>
        <v>3.9225599999999998</v>
      </c>
      <c r="IS26" s="6">
        <f>日流量!IS26*24*3600/100000000</f>
        <v>3.74112</v>
      </c>
      <c r="IT26" s="6">
        <f>日流量!IT26*24*3600/100000000</f>
        <v>4.04352</v>
      </c>
      <c r="IU26" s="6">
        <f>日流量!IU26*24*3600/100000000</f>
        <v>4.4496000000000002</v>
      </c>
      <c r="IV26" s="6">
        <f>日流量!IV26*24*3600/100000000</f>
        <v>4.4236800000000001</v>
      </c>
      <c r="IW26" s="6">
        <f>日流量!IW26*24*3600/100000000</f>
        <v>5.3913599999999997</v>
      </c>
      <c r="IX26" s="6">
        <f>日流量!IX26*24*3600/100000000</f>
        <v>7.3180800000000001</v>
      </c>
      <c r="IY26" s="6">
        <f>日流量!IY26*24*3600/100000000</f>
        <v>6.3417599999999998</v>
      </c>
      <c r="IZ26" s="6">
        <f>日流量!IZ26*24*3600/100000000</f>
        <v>5.7023999999999999</v>
      </c>
      <c r="JA26" s="6">
        <f>日流量!JA26*24*3600/100000000</f>
        <v>6.4886400000000002</v>
      </c>
      <c r="JB26" s="6">
        <f>日流量!JB26*24*3600/100000000</f>
        <v>7.2576000000000001</v>
      </c>
      <c r="JC26" s="6">
        <f>日流量!JC26*24*3600/100000000</f>
        <v>9.5039999999999996</v>
      </c>
      <c r="JD26" s="6">
        <f>日流量!JD26*24*3600/100000000</f>
        <v>12.3552</v>
      </c>
      <c r="JE26" s="6">
        <f>日流量!JE26*24*3600/100000000</f>
        <v>12.96</v>
      </c>
      <c r="JF26" s="6">
        <f>日流量!JF26*24*3600/100000000</f>
        <v>11.059200000000001</v>
      </c>
      <c r="JG26" s="6">
        <f>日流量!JG26*24*3600/100000000</f>
        <v>9.1584000000000003</v>
      </c>
      <c r="JH26" s="6">
        <f>日流量!JH26*24*3600/100000000</f>
        <v>7.7241600000000004</v>
      </c>
      <c r="JI26" s="6">
        <f>日流量!JI26*24*3600/100000000</f>
        <v>6.7305599999999997</v>
      </c>
      <c r="JJ26" s="6">
        <f>日流量!JJ26*24*3600/100000000</f>
        <v>6.0048000000000004</v>
      </c>
      <c r="JK26" s="6">
        <f>日流量!JK26*24*3600/100000000</f>
        <v>5.7369599999999998</v>
      </c>
      <c r="JL26" s="6">
        <f>日流量!JL26*24*3600/100000000</f>
        <v>5.7196800000000003</v>
      </c>
      <c r="JM26" s="6">
        <f>日流量!JM26*24*3600/100000000</f>
        <v>5.3740800000000002</v>
      </c>
      <c r="JN26" s="6">
        <f>日流量!JN26*24*3600/100000000</f>
        <v>5.0975999999999999</v>
      </c>
      <c r="JO26" s="6">
        <f>日流量!JO26*24*3600/100000000</f>
        <v>4.9939200000000001</v>
      </c>
      <c r="JP26" s="6">
        <f>日流量!JP26*24*3600/100000000</f>
        <v>5.0025599999999999</v>
      </c>
      <c r="JQ26" s="6">
        <f>日流量!JQ26*24*3600/100000000</f>
        <v>4.7088000000000001</v>
      </c>
      <c r="JR26" s="6">
        <f>日流量!JR26*24*3600/100000000</f>
        <v>4.2854400000000004</v>
      </c>
      <c r="JS26" s="6">
        <f>日流量!JS26*24*3600/100000000</f>
        <v>4.0089600000000001</v>
      </c>
      <c r="JT26" s="6">
        <f>日流量!JT26*24*3600/100000000</f>
        <v>3.7843200000000001</v>
      </c>
      <c r="JU26" s="6">
        <f>日流量!JU26*24*3600/100000000</f>
        <v>3.6115200000000001</v>
      </c>
      <c r="JV26" s="6">
        <f>日流量!JV26*24*3600/100000000</f>
        <v>3.5683199999999999</v>
      </c>
      <c r="JW26" s="6">
        <f>日流量!JW26*24*3600/100000000</f>
        <v>3.6979199999999999</v>
      </c>
      <c r="JX26" s="6">
        <f>日流量!JX26*24*3600/100000000</f>
        <v>3.74112</v>
      </c>
      <c r="JY26" s="6">
        <f>日流量!JY26*24*3600/100000000</f>
        <v>3.4992000000000001</v>
      </c>
      <c r="JZ26" s="6">
        <f>日流量!JZ26*24*3600/100000000</f>
        <v>3.3091200000000001</v>
      </c>
      <c r="KA26" s="6">
        <f>日流量!KA26*24*3600/100000000</f>
        <v>3.21408</v>
      </c>
      <c r="KB26" s="6">
        <f>日流量!KB26*24*3600/100000000</f>
        <v>3.1708799999999999</v>
      </c>
      <c r="KC26" s="6">
        <f>日流量!KC26*24*3600/100000000</f>
        <v>3.1276799999999998</v>
      </c>
      <c r="KD26" s="6">
        <f>日流量!KD26*24*3600/100000000</f>
        <v>3.13632</v>
      </c>
      <c r="KE26" s="6">
        <f>日流量!KE26*24*3600/100000000</f>
        <v>3.1103999999999998</v>
      </c>
      <c r="KF26" s="6">
        <f>日流量!KF26*24*3600/100000000</f>
        <v>3.1795200000000001</v>
      </c>
      <c r="KG26" s="6">
        <f>日流量!KG26*24*3600/100000000</f>
        <v>3.3091200000000001</v>
      </c>
      <c r="KH26" s="6">
        <f>日流量!KH26*24*3600/100000000</f>
        <v>3.3264</v>
      </c>
      <c r="KI26" s="6">
        <f>日流量!KI26*24*3600/100000000</f>
        <v>3.21408</v>
      </c>
      <c r="KJ26" s="6">
        <f>日流量!KJ26*24*3600/100000000</f>
        <v>3.0931199999999999</v>
      </c>
      <c r="KK26" s="6">
        <f>日流量!KK26*24*3600/100000000</f>
        <v>3.0067200000000001</v>
      </c>
      <c r="KL26" s="6">
        <f>日流量!KL26*24*3600/100000000</f>
        <v>2.94624</v>
      </c>
      <c r="KM26" s="6">
        <f>日流量!KM26*24*3600/100000000</f>
        <v>2.8771200000000001</v>
      </c>
      <c r="KN26" s="6">
        <f>日流量!KN26*24*3600/100000000</f>
        <v>2.91168</v>
      </c>
      <c r="KO26" s="6">
        <f>日流量!KO26*24*3600/100000000</f>
        <v>3.0672000000000001</v>
      </c>
      <c r="KP26" s="6">
        <f>日流量!KP26*24*3600/100000000</f>
        <v>3.0067200000000001</v>
      </c>
      <c r="KQ26" s="6">
        <f>日流量!KQ26*24*3600/100000000</f>
        <v>2.8684799999999999</v>
      </c>
      <c r="KR26" s="6">
        <f>日流量!KR26*24*3600/100000000</f>
        <v>2.73888</v>
      </c>
      <c r="KS26" s="6">
        <f>日流量!KS26*24*3600/100000000</f>
        <v>2.6352000000000002</v>
      </c>
      <c r="KT26" s="6">
        <f>日流量!KT26*24*3600/100000000</f>
        <v>2.5833599999999999</v>
      </c>
      <c r="KU26" s="6">
        <f>日流量!KU26*24*3600/100000000</f>
        <v>2.5660799999999999</v>
      </c>
      <c r="KV26" s="6">
        <f>日流量!KV26*24*3600/100000000</f>
        <v>2.53152</v>
      </c>
      <c r="KW26" s="6">
        <f>日流量!KW26*24*3600/100000000</f>
        <v>2.4624000000000001</v>
      </c>
      <c r="KX26" s="6">
        <f>日流量!KX26*24*3600/100000000</f>
        <v>2.4019200000000001</v>
      </c>
      <c r="KY26" s="6">
        <f>日流量!KY26*24*3600/100000000</f>
        <v>2.3500800000000002</v>
      </c>
      <c r="KZ26" s="6">
        <f>日流量!KZ26*24*3600/100000000</f>
        <v>2.32416</v>
      </c>
      <c r="LA26" s="6">
        <f>日流量!LA26*24*3600/100000000</f>
        <v>2.3759999999999999</v>
      </c>
      <c r="LB26" s="6">
        <f>日流量!LB26*24*3600/100000000</f>
        <v>2.7129599999999998</v>
      </c>
      <c r="LC26" s="6">
        <f>日流量!LC26*24*3600/100000000</f>
        <v>2.8771200000000001</v>
      </c>
      <c r="LD26" s="6">
        <f>日流量!LD26*24*3600/100000000</f>
        <v>2.6352000000000002</v>
      </c>
      <c r="LE26" s="6">
        <f>日流量!LE26*24*3600/100000000</f>
        <v>2.4883199999999999</v>
      </c>
      <c r="LF26" s="6">
        <f>日流量!LF26*24*3600/100000000</f>
        <v>2.3759999999999999</v>
      </c>
      <c r="LG26" s="6">
        <f>日流量!LG26*24*3600/100000000</f>
        <v>2.2982399999999998</v>
      </c>
      <c r="LH26" s="6">
        <f>日流量!LH26*24*3600/100000000</f>
        <v>2.22912</v>
      </c>
      <c r="LI26" s="6">
        <f>日流量!LI26*24*3600/100000000</f>
        <v>2.1686399999999999</v>
      </c>
      <c r="LJ26" s="6">
        <f>日流量!LJ26*24*3600/100000000</f>
        <v>2.1081599999999998</v>
      </c>
      <c r="LK26" s="6">
        <f>日流量!LK26*24*3600/100000000</f>
        <v>2.0649600000000001</v>
      </c>
      <c r="LL26" s="6">
        <f>日流量!LL26*24*3600/100000000</f>
        <v>2.03904</v>
      </c>
      <c r="LM26" s="6">
        <f>日流量!LM26*24*3600/100000000</f>
        <v>2.1513599999999999</v>
      </c>
      <c r="LN26" s="6">
        <f>日流量!LN26*24*3600/100000000</f>
        <v>2.4019200000000001</v>
      </c>
      <c r="LO26" s="6">
        <f>日流量!LO26*24*3600/100000000</f>
        <v>2.6179199999999998</v>
      </c>
      <c r="LP26" s="6">
        <f>日流量!LP26*24*3600/100000000</f>
        <v>2.4883199999999999</v>
      </c>
      <c r="LQ26" s="6">
        <f>日流量!LQ26*24*3600/100000000</f>
        <v>2.3155199999999998</v>
      </c>
      <c r="LR26" s="6">
        <f>日流量!LR26*24*3600/100000000</f>
        <v>2.1686399999999999</v>
      </c>
      <c r="LS26" s="6">
        <f>日流量!LS26*24*3600/100000000</f>
        <v>2.0649600000000001</v>
      </c>
      <c r="LT26" s="6">
        <f>日流量!LT26*24*3600/100000000</f>
        <v>1.9872000000000001</v>
      </c>
      <c r="LU26" s="6">
        <f>日流量!LU26*24*3600/100000000</f>
        <v>1.90944</v>
      </c>
      <c r="LV26" s="6">
        <f>日流量!LV26*24*3600/100000000</f>
        <v>1.8575999999999999</v>
      </c>
      <c r="LW26" s="6">
        <f>日流量!LW26*24*3600/100000000</f>
        <v>1.8144</v>
      </c>
      <c r="LX26" s="6">
        <f>日流量!LX26*24*3600/100000000</f>
        <v>1.7625599999999999</v>
      </c>
      <c r="LY26" s="6">
        <f>日流量!LY26*24*3600/100000000</f>
        <v>1.71072</v>
      </c>
      <c r="LZ26" s="6">
        <f>日流量!LZ26*24*3600/100000000</f>
        <v>1.6675199999999999</v>
      </c>
      <c r="MA26" s="6">
        <f>日流量!MA26*24*3600/100000000</f>
        <v>1.6502399999999999</v>
      </c>
      <c r="MB26" s="6">
        <f>日流量!MB26*24*3600/100000000</f>
        <v>1.62432</v>
      </c>
      <c r="MC26" s="6">
        <f>日流量!MC26*24*3600/100000000</f>
        <v>1.5897600000000001</v>
      </c>
      <c r="MD26" s="6">
        <f>日流量!MD26*24*3600/100000000</f>
        <v>1.5465599999999999</v>
      </c>
      <c r="ME26" s="6">
        <f>日流量!ME26*24*3600/100000000</f>
        <v>1.512</v>
      </c>
      <c r="MF26" s="6">
        <f>日流量!MF26*24*3600/100000000</f>
        <v>1.4860800000000001</v>
      </c>
      <c r="MG26" s="6">
        <f>日流量!MG26*24*3600/100000000</f>
        <v>1.4601599999999999</v>
      </c>
      <c r="MH26" s="6">
        <f>日流量!MH26*24*3600/100000000</f>
        <v>1.4428799999999999</v>
      </c>
      <c r="MI26" s="6">
        <f>日流量!MI26*24*3600/100000000</f>
        <v>1.43424</v>
      </c>
      <c r="MJ26" s="6">
        <f>日流量!MJ26*24*3600/100000000</f>
        <v>1.4256</v>
      </c>
      <c r="MK26" s="6">
        <f>日流量!MK26*24*3600/100000000</f>
        <v>1.40832</v>
      </c>
      <c r="ML26" s="6">
        <f>日流量!ML26*24*3600/100000000</f>
        <v>1.39968</v>
      </c>
      <c r="MM26" s="6">
        <f>日流量!MM26*24*3600/100000000</f>
        <v>1.3910400000000001</v>
      </c>
      <c r="MN26" s="6">
        <f>日流量!MN26*24*3600/100000000</f>
        <v>1.3737600000000001</v>
      </c>
      <c r="MO26" s="6">
        <f>日流量!MO26*24*3600/100000000</f>
        <v>1.3564799999999999</v>
      </c>
      <c r="MP26" s="6">
        <f>日流量!MP26*24*3600/100000000</f>
        <v>1.3391999999999999</v>
      </c>
      <c r="MQ26" s="6">
        <f>日流量!MQ26*24*3600/100000000</f>
        <v>1.31328</v>
      </c>
      <c r="MR26" s="6">
        <f>日流量!MR26*24*3600/100000000</f>
        <v>1.2787200000000001</v>
      </c>
      <c r="MS26" s="6">
        <f>日流量!MS26*24*3600/100000000</f>
        <v>1.2441599999999999</v>
      </c>
      <c r="MT26" s="6">
        <f>日流量!MT26*24*3600/100000000</f>
        <v>1.2096</v>
      </c>
      <c r="MU26" s="6">
        <f>日流量!MU26*24*3600/100000000</f>
        <v>1.19232</v>
      </c>
      <c r="MV26" s="6">
        <f>日流量!MV26*24*3600/100000000</f>
        <v>1.1750400000000001</v>
      </c>
      <c r="MW26" s="6">
        <f>日流量!MW26*24*3600/100000000</f>
        <v>1.1750400000000001</v>
      </c>
      <c r="MX26" s="6">
        <f>日流量!MX26*24*3600/100000000</f>
        <v>1.1577599999999999</v>
      </c>
      <c r="MY26" s="6">
        <f>日流量!MY26*24*3600/100000000</f>
        <v>1.1491199999999999</v>
      </c>
      <c r="MZ26" s="6">
        <f>日流量!MZ26*24*3600/100000000</f>
        <v>1.1404799999999999</v>
      </c>
      <c r="NA26" s="6">
        <f>日流量!NA26*24*3600/100000000</f>
        <v>1.11456</v>
      </c>
      <c r="NB26" s="6">
        <f>日流量!NB26*24*3600/100000000</f>
        <v>1.10592</v>
      </c>
      <c r="NC26" s="6"/>
      <c r="ND26" s="6">
        <f>日流量!ND26*24*3600*31/100000000</f>
        <v>31.605119999999999</v>
      </c>
      <c r="NE26" s="6">
        <f>日流量!NE26*24*3600*28/100000000</f>
        <v>25.159680000000002</v>
      </c>
      <c r="NF26" s="6">
        <f>日流量!NF26*24*3600*31/100000000</f>
        <v>27.587520000000001</v>
      </c>
      <c r="NG26" s="6">
        <f>日流量!NG26*24*3600*30/100000000</f>
        <v>30.844799999999999</v>
      </c>
      <c r="NH26" s="6">
        <f>日流量!NH26*24*3600*31/100000000</f>
        <v>48.479039999999998</v>
      </c>
      <c r="NI26" s="6">
        <f>日流量!NI26*24*3600*30/100000000</f>
        <v>99.532799999999995</v>
      </c>
      <c r="NJ26" s="6">
        <f>日流量!NJ26*24*3600*31/100000000</f>
        <v>123.47423999999999</v>
      </c>
      <c r="NK26" s="6">
        <f>日流量!NK26*24*3600*31/100000000</f>
        <v>189.09504000000001</v>
      </c>
      <c r="NL26" s="6">
        <f>日流量!NL26*24*3600*30/100000000</f>
        <v>193.6224</v>
      </c>
      <c r="NM26" s="6">
        <f>日流量!NM26*24*3600*31/100000000</f>
        <v>103.65407999999999</v>
      </c>
      <c r="NN26" s="6">
        <f>日流量!NN26*24*3600*30/100000000</f>
        <v>68.428799999999995</v>
      </c>
      <c r="NO26" s="6">
        <f>日流量!NO26*24*3600*31/100000000</f>
        <v>42.050879999999999</v>
      </c>
      <c r="NP26" s="14">
        <f t="shared" si="10"/>
        <v>983.53440000000001</v>
      </c>
      <c r="NQ26" s="6">
        <f>日流量!NQ26*24*3600/100000000</f>
        <v>12.96</v>
      </c>
      <c r="NR26" s="4">
        <f>日流量!NR26</f>
        <v>42633</v>
      </c>
      <c r="NS26" s="6">
        <f>日流量!NS26*24*3600/100000000</f>
        <v>0.85968</v>
      </c>
      <c r="NT26" s="4">
        <f>日流量!NT26</f>
        <v>42459</v>
      </c>
      <c r="NU26" s="7">
        <f>日流量!NP26</f>
        <v>3120.2328767123286</v>
      </c>
      <c r="NW26" s="13">
        <f t="shared" si="0"/>
        <v>757.85760000000005</v>
      </c>
      <c r="NX26" s="12">
        <f t="shared" si="1"/>
        <v>77.054508718759621</v>
      </c>
      <c r="NY26" s="13">
        <f t="shared" si="2"/>
        <v>605.72447999999997</v>
      </c>
      <c r="NZ26" s="12">
        <f t="shared" si="3"/>
        <v>61.586506786137832</v>
      </c>
      <c r="OA26" s="13">
        <f t="shared" si="4"/>
        <v>225.67679999999996</v>
      </c>
      <c r="OB26" s="12">
        <f t="shared" si="5"/>
        <v>22.945491281240386</v>
      </c>
      <c r="OC26" s="13">
        <f t="shared" si="6"/>
        <v>193.6224</v>
      </c>
      <c r="OD26" s="12">
        <f t="shared" si="7"/>
        <v>19.686388193437871</v>
      </c>
      <c r="OE26" s="12">
        <f t="shared" si="8"/>
        <v>229.79775700934579</v>
      </c>
      <c r="OF26" s="12">
        <f t="shared" si="9"/>
        <v>7.2868390731020352</v>
      </c>
    </row>
    <row r="27" spans="1:396" x14ac:dyDescent="0.15">
      <c r="A27" s="2">
        <v>1974</v>
      </c>
      <c r="B27" s="6">
        <f>日流量!B27*24*3600/100000000</f>
        <v>1.09728</v>
      </c>
      <c r="C27" s="6">
        <f>日流量!C27*24*3600/100000000</f>
        <v>1.09728</v>
      </c>
      <c r="D27" s="6">
        <f>日流量!D27*24*3600/100000000</f>
        <v>1.0886400000000001</v>
      </c>
      <c r="E27" s="6">
        <f>日流量!E27*24*3600/100000000</f>
        <v>1.0713600000000001</v>
      </c>
      <c r="F27" s="6">
        <f>日流量!F27*24*3600/100000000</f>
        <v>1.0454399999999999</v>
      </c>
      <c r="G27" s="6">
        <f>日流量!G27*24*3600/100000000</f>
        <v>1.00224</v>
      </c>
      <c r="H27" s="6">
        <f>日流量!H27*24*3600/100000000</f>
        <v>0.98495999999999995</v>
      </c>
      <c r="I27" s="6">
        <f>日流量!I27*24*3600/100000000</f>
        <v>0.97631999999999997</v>
      </c>
      <c r="J27" s="6">
        <f>日流量!J27*24*3600/100000000</f>
        <v>0.96767999999999998</v>
      </c>
      <c r="K27" s="6">
        <f>日流量!K27*24*3600/100000000</f>
        <v>0.96767999999999998</v>
      </c>
      <c r="L27" s="6">
        <f>日流量!L27*24*3600/100000000</f>
        <v>0.96767999999999998</v>
      </c>
      <c r="M27" s="6">
        <f>日流量!M27*24*3600/100000000</f>
        <v>0.95904</v>
      </c>
      <c r="N27" s="6">
        <f>日流量!N27*24*3600/100000000</f>
        <v>0.95904</v>
      </c>
      <c r="O27" s="6">
        <f>日流量!O27*24*3600/100000000</f>
        <v>0.95040000000000002</v>
      </c>
      <c r="P27" s="6">
        <f>日流量!P27*24*3600/100000000</f>
        <v>0.94176000000000004</v>
      </c>
      <c r="Q27" s="6">
        <f>日流量!Q27*24*3600/100000000</f>
        <v>0.94176000000000004</v>
      </c>
      <c r="R27" s="6">
        <f>日流量!R27*24*3600/100000000</f>
        <v>0.94176000000000004</v>
      </c>
      <c r="S27" s="6">
        <f>日流量!S27*24*3600/100000000</f>
        <v>0.93311999999999995</v>
      </c>
      <c r="T27" s="6">
        <f>日流量!T27*24*3600/100000000</f>
        <v>0.93311999999999995</v>
      </c>
      <c r="U27" s="6">
        <f>日流量!U27*24*3600/100000000</f>
        <v>0.92447999999999997</v>
      </c>
      <c r="V27" s="6">
        <f>日流量!V27*24*3600/100000000</f>
        <v>0.92447999999999997</v>
      </c>
      <c r="W27" s="6">
        <f>日流量!W27*24*3600/100000000</f>
        <v>0.91583999999999999</v>
      </c>
      <c r="X27" s="6">
        <f>日流量!X27*24*3600/100000000</f>
        <v>0.93311999999999995</v>
      </c>
      <c r="Y27" s="6">
        <f>日流量!Y27*24*3600/100000000</f>
        <v>0.93311999999999995</v>
      </c>
      <c r="Z27" s="6">
        <f>日流量!Z27*24*3600/100000000</f>
        <v>0.92447999999999997</v>
      </c>
      <c r="AA27" s="6">
        <f>日流量!AA27*24*3600/100000000</f>
        <v>0.89856000000000003</v>
      </c>
      <c r="AB27" s="6">
        <f>日流量!AB27*24*3600/100000000</f>
        <v>0.88992000000000004</v>
      </c>
      <c r="AC27" s="6">
        <f>日流量!AC27*24*3600/100000000</f>
        <v>0.87263999999999997</v>
      </c>
      <c r="AD27" s="6">
        <f>日流量!AD27*24*3600/100000000</f>
        <v>0.86313600000000001</v>
      </c>
      <c r="AE27" s="6">
        <f>日流量!AE27*24*3600/100000000</f>
        <v>0.85536000000000001</v>
      </c>
      <c r="AF27" s="6">
        <f>日流量!AF27*24*3600/100000000</f>
        <v>0.84844799999999998</v>
      </c>
      <c r="AG27" s="6">
        <f>日流量!AG27*24*3600/100000000</f>
        <v>0.84153599999999995</v>
      </c>
      <c r="AH27" s="6">
        <f>日流量!AH27*24*3600/100000000</f>
        <v>0.83375999999999995</v>
      </c>
      <c r="AI27" s="6">
        <f>日流量!AI27*24*3600/100000000</f>
        <v>0.83808000000000005</v>
      </c>
      <c r="AJ27" s="6">
        <f>日流量!AJ27*24*3600/100000000</f>
        <v>0.83375999999999995</v>
      </c>
      <c r="AK27" s="6">
        <f>日流量!AK27*24*3600/100000000</f>
        <v>0.83375999999999995</v>
      </c>
      <c r="AL27" s="6">
        <f>日流量!AL27*24*3600/100000000</f>
        <v>0.83030400000000004</v>
      </c>
      <c r="AM27" s="6">
        <f>日流量!AM27*24*3600/100000000</f>
        <v>0.83030400000000004</v>
      </c>
      <c r="AN27" s="6">
        <f>日流量!AN27*24*3600/100000000</f>
        <v>0.82339200000000001</v>
      </c>
      <c r="AO27" s="6">
        <f>日流量!AO27*24*3600/100000000</f>
        <v>0.819936</v>
      </c>
      <c r="AP27" s="6">
        <f>日流量!AP27*24*3600/100000000</f>
        <v>0.82339200000000001</v>
      </c>
      <c r="AQ27" s="6">
        <f>日流量!AQ27*24*3600/100000000</f>
        <v>0.82684800000000003</v>
      </c>
      <c r="AR27" s="6">
        <f>日流量!AR27*24*3600/100000000</f>
        <v>0.82339200000000001</v>
      </c>
      <c r="AS27" s="6">
        <f>日流量!AS27*24*3600/100000000</f>
        <v>0.82339200000000001</v>
      </c>
      <c r="AT27" s="6">
        <f>日流量!AT27*24*3600/100000000</f>
        <v>0.82684800000000003</v>
      </c>
      <c r="AU27" s="6">
        <f>日流量!AU27*24*3600/100000000</f>
        <v>0.82684800000000003</v>
      </c>
      <c r="AV27" s="6">
        <f>日流量!AV27*24*3600/100000000</f>
        <v>0.819936</v>
      </c>
      <c r="AW27" s="6">
        <f>日流量!AW27*24*3600/100000000</f>
        <v>0.81647999999999998</v>
      </c>
      <c r="AX27" s="6">
        <f>日流量!AX27*24*3600/100000000</f>
        <v>0.81388799999999994</v>
      </c>
      <c r="AY27" s="6">
        <f>日流量!AY27*24*3600/100000000</f>
        <v>0.81043200000000004</v>
      </c>
      <c r="AZ27" s="6">
        <f>日流量!AZ27*24*3600/100000000</f>
        <v>0.80092799999999997</v>
      </c>
      <c r="BA27" s="6">
        <f>日流量!BA27*24*3600/100000000</f>
        <v>0.787968</v>
      </c>
      <c r="BB27" s="6">
        <f>日流量!BB27*24*3600/100000000</f>
        <v>0.78537599999999996</v>
      </c>
      <c r="BC27" s="6">
        <f>日流量!BC27*24*3600/100000000</f>
        <v>0.78278400000000004</v>
      </c>
      <c r="BD27" s="6">
        <f>日流量!BD27*24*3600/100000000</f>
        <v>0.77673599999999998</v>
      </c>
      <c r="BE27" s="6">
        <f>日流量!BE27*24*3600/100000000</f>
        <v>0.77414400000000005</v>
      </c>
      <c r="BF27" s="6">
        <f>日流量!BF27*24*3600/100000000</f>
        <v>0.77414400000000005</v>
      </c>
      <c r="BG27" s="6">
        <f>日流量!BG27*24*3600/100000000</f>
        <v>0.77155200000000002</v>
      </c>
      <c r="BH27" s="6">
        <f>日流量!BH27*24*3600/100000000</f>
        <v>0.77414400000000005</v>
      </c>
      <c r="BI27" s="6"/>
      <c r="BJ27" s="6">
        <f>日流量!BJ27*24*3600/100000000</f>
        <v>0.77673599999999998</v>
      </c>
      <c r="BK27" s="6">
        <f>日流量!BK27*24*3600/100000000</f>
        <v>0.78537599999999996</v>
      </c>
      <c r="BL27" s="6">
        <f>日流量!BL27*24*3600/100000000</f>
        <v>0.79747199999999996</v>
      </c>
      <c r="BM27" s="6">
        <f>日流量!BM27*24*3600/100000000</f>
        <v>0.79401600000000006</v>
      </c>
      <c r="BN27" s="6">
        <f>日流量!BN27*24*3600/100000000</f>
        <v>0.78278400000000004</v>
      </c>
      <c r="BO27" s="6">
        <f>日流量!BO27*24*3600/100000000</f>
        <v>0.77932800000000002</v>
      </c>
      <c r="BP27" s="6">
        <f>日流量!BP27*24*3600/100000000</f>
        <v>0.77673599999999998</v>
      </c>
      <c r="BQ27" s="6">
        <f>日流量!BQ27*24*3600/100000000</f>
        <v>0.77414400000000005</v>
      </c>
      <c r="BR27" s="6">
        <f>日流量!BR27*24*3600/100000000</f>
        <v>0.77155200000000002</v>
      </c>
      <c r="BS27" s="6">
        <f>日流量!BS27*24*3600/100000000</f>
        <v>0.77414400000000005</v>
      </c>
      <c r="BT27" s="6">
        <f>日流量!BT27*24*3600/100000000</f>
        <v>0.77414400000000005</v>
      </c>
      <c r="BU27" s="6">
        <f>日流量!BU27*24*3600/100000000</f>
        <v>0.77155200000000002</v>
      </c>
      <c r="BV27" s="6">
        <f>日流量!BV27*24*3600/100000000</f>
        <v>0.76895999999999998</v>
      </c>
      <c r="BW27" s="6">
        <f>日流量!BW27*24*3600/100000000</f>
        <v>0.76550399999999996</v>
      </c>
      <c r="BX27" s="6">
        <f>日流量!BX27*24*3600/100000000</f>
        <v>0.76291200000000003</v>
      </c>
      <c r="BY27" s="6">
        <f>日流量!BY27*24*3600/100000000</f>
        <v>0.76291200000000003</v>
      </c>
      <c r="BZ27" s="6">
        <f>日流量!BZ27*24*3600/100000000</f>
        <v>0.76291200000000003</v>
      </c>
      <c r="CA27" s="6">
        <f>日流量!CA27*24*3600/100000000</f>
        <v>0.77068800000000004</v>
      </c>
      <c r="CB27" s="6">
        <f>日流量!CB27*24*3600/100000000</f>
        <v>0.77068800000000004</v>
      </c>
      <c r="CC27" s="6">
        <f>日流量!CC27*24*3600/100000000</f>
        <v>0.77673599999999998</v>
      </c>
      <c r="CD27" s="6">
        <f>日流量!CD27*24*3600/100000000</f>
        <v>0.78710400000000003</v>
      </c>
      <c r="CE27" s="6">
        <f>日流量!CE27*24*3600/100000000</f>
        <v>0.79228799999999999</v>
      </c>
      <c r="CF27" s="6">
        <f>日流量!CF27*24*3600/100000000</f>
        <v>0.80352000000000001</v>
      </c>
      <c r="CG27" s="6">
        <f>日流量!CG27*24*3600/100000000</f>
        <v>0.79747199999999996</v>
      </c>
      <c r="CH27" s="6">
        <f>日流量!CH27*24*3600/100000000</f>
        <v>0.78710400000000003</v>
      </c>
      <c r="CI27" s="6">
        <f>日流量!CI27*24*3600/100000000</f>
        <v>0.78191999999999995</v>
      </c>
      <c r="CJ27" s="6">
        <f>日流量!CJ27*24*3600/100000000</f>
        <v>0.77673599999999998</v>
      </c>
      <c r="CK27" s="6">
        <f>日流量!CK27*24*3600/100000000</f>
        <v>0.78710400000000003</v>
      </c>
      <c r="CL27" s="6">
        <f>日流量!CL27*24*3600/100000000</f>
        <v>0.81907200000000002</v>
      </c>
      <c r="CM27" s="6">
        <f>日流量!CM27*24*3600/100000000</f>
        <v>0.85190399999999999</v>
      </c>
      <c r="CN27" s="6">
        <f>日流量!CN27*24*3600/100000000</f>
        <v>0.88127999999999995</v>
      </c>
      <c r="CO27" s="6">
        <f>日流量!CO27*24*3600/100000000</f>
        <v>0.88127999999999995</v>
      </c>
      <c r="CP27" s="6">
        <f>日流量!CP27*24*3600/100000000</f>
        <v>0.88127999999999995</v>
      </c>
      <c r="CQ27" s="6">
        <f>日流量!CQ27*24*3600/100000000</f>
        <v>0.89856000000000003</v>
      </c>
      <c r="CR27" s="6">
        <f>日流量!CR27*24*3600/100000000</f>
        <v>0.88992000000000004</v>
      </c>
      <c r="CS27" s="6">
        <f>日流量!CS27*24*3600/100000000</f>
        <v>0.89856000000000003</v>
      </c>
      <c r="CT27" s="6">
        <f>日流量!CT27*24*3600/100000000</f>
        <v>0.89856000000000003</v>
      </c>
      <c r="CU27" s="6">
        <f>日流量!CU27*24*3600/100000000</f>
        <v>0.90720000000000001</v>
      </c>
      <c r="CV27" s="6">
        <f>日流量!CV27*24*3600/100000000</f>
        <v>0.89856000000000003</v>
      </c>
      <c r="CW27" s="6">
        <f>日流量!CW27*24*3600/100000000</f>
        <v>0.89856000000000003</v>
      </c>
      <c r="CX27" s="6">
        <f>日流量!CX27*24*3600/100000000</f>
        <v>0.91583999999999999</v>
      </c>
      <c r="CY27" s="6">
        <f>日流量!CY27*24*3600/100000000</f>
        <v>0.91583999999999999</v>
      </c>
      <c r="CZ27" s="6">
        <f>日流量!CZ27*24*3600/100000000</f>
        <v>0.91583999999999999</v>
      </c>
      <c r="DA27" s="6">
        <f>日流量!DA27*24*3600/100000000</f>
        <v>0.91583999999999999</v>
      </c>
      <c r="DB27" s="6">
        <f>日流量!DB27*24*3600/100000000</f>
        <v>0.92447999999999997</v>
      </c>
      <c r="DC27" s="6">
        <f>日流量!DC27*24*3600/100000000</f>
        <v>0.93311999999999995</v>
      </c>
      <c r="DD27" s="6">
        <f>日流量!DD27*24*3600/100000000</f>
        <v>0.93311999999999995</v>
      </c>
      <c r="DE27" s="6">
        <f>日流量!DE27*24*3600/100000000</f>
        <v>0.93311999999999995</v>
      </c>
      <c r="DF27" s="6">
        <f>日流量!DF27*24*3600/100000000</f>
        <v>0.92447999999999997</v>
      </c>
      <c r="DG27" s="6">
        <f>日流量!DG27*24*3600/100000000</f>
        <v>0.91583999999999999</v>
      </c>
      <c r="DH27" s="6">
        <f>日流量!DH27*24*3600/100000000</f>
        <v>0.89856000000000003</v>
      </c>
      <c r="DI27" s="6">
        <f>日流量!DI27*24*3600/100000000</f>
        <v>0.95040000000000002</v>
      </c>
      <c r="DJ27" s="6">
        <f>日流量!DJ27*24*3600/100000000</f>
        <v>1.08</v>
      </c>
      <c r="DK27" s="6">
        <f>日流量!DK27*24*3600/100000000</f>
        <v>1.2096</v>
      </c>
      <c r="DL27" s="6">
        <f>日流量!DL27*24*3600/100000000</f>
        <v>1.2527999999999999</v>
      </c>
      <c r="DM27" s="6">
        <f>日流量!DM27*24*3600/100000000</f>
        <v>1.2441599999999999</v>
      </c>
      <c r="DN27" s="6">
        <f>日流量!DN27*24*3600/100000000</f>
        <v>1.23552</v>
      </c>
      <c r="DO27" s="6">
        <f>日流量!DO27*24*3600/100000000</f>
        <v>1.2700800000000001</v>
      </c>
      <c r="DP27" s="6">
        <f>日流量!DP27*24*3600/100000000</f>
        <v>1.2787200000000001</v>
      </c>
      <c r="DQ27" s="6">
        <f>日流量!DQ27*24*3600/100000000</f>
        <v>1.3478399999999999</v>
      </c>
      <c r="DR27" s="6">
        <f>日流量!DR27*24*3600/100000000</f>
        <v>1.4515199999999999</v>
      </c>
      <c r="DS27" s="6">
        <f>日流量!DS27*24*3600/100000000</f>
        <v>1.4688000000000001</v>
      </c>
      <c r="DT27" s="6">
        <f>日流量!DT27*24*3600/100000000</f>
        <v>1.43424</v>
      </c>
      <c r="DU27" s="6">
        <f>日流量!DU27*24*3600/100000000</f>
        <v>1.39968</v>
      </c>
      <c r="DV27" s="6">
        <f>日流量!DV27*24*3600/100000000</f>
        <v>1.41696</v>
      </c>
      <c r="DW27" s="6">
        <f>日流量!DW27*24*3600/100000000</f>
        <v>1.49472</v>
      </c>
      <c r="DX27" s="6">
        <f>日流量!DX27*24*3600/100000000</f>
        <v>1.5638399999999999</v>
      </c>
      <c r="DY27" s="6">
        <f>日流量!DY27*24*3600/100000000</f>
        <v>1.61568</v>
      </c>
      <c r="DZ27" s="6">
        <f>日流量!DZ27*24*3600/100000000</f>
        <v>1.6848000000000001</v>
      </c>
      <c r="EA27" s="6">
        <f>日流量!EA27*24*3600/100000000</f>
        <v>1.7452799999999999</v>
      </c>
      <c r="EB27" s="6">
        <f>日流量!EB27*24*3600/100000000</f>
        <v>1.71936</v>
      </c>
      <c r="EC27" s="6">
        <f>日流量!EC27*24*3600/100000000</f>
        <v>1.7625599999999999</v>
      </c>
      <c r="ED27" s="6">
        <f>日流量!ED27*24*3600/100000000</f>
        <v>1.7884800000000001</v>
      </c>
      <c r="EE27" s="6">
        <f>日流量!EE27*24*3600/100000000</f>
        <v>1.7712000000000001</v>
      </c>
      <c r="EF27" s="6">
        <f>日流量!EF27*24*3600/100000000</f>
        <v>1.71936</v>
      </c>
      <c r="EG27" s="6">
        <f>日流量!EG27*24*3600/100000000</f>
        <v>1.6588799999999999</v>
      </c>
      <c r="EH27" s="6">
        <f>日流量!EH27*24*3600/100000000</f>
        <v>1.6761600000000001</v>
      </c>
      <c r="EI27" s="6">
        <f>日流量!EI27*24*3600/100000000</f>
        <v>1.70208</v>
      </c>
      <c r="EJ27" s="6">
        <f>日流量!EJ27*24*3600/100000000</f>
        <v>1.71936</v>
      </c>
      <c r="EK27" s="6">
        <f>日流量!EK27*24*3600/100000000</f>
        <v>1.6934400000000001</v>
      </c>
      <c r="EL27" s="6">
        <f>日流量!EL27*24*3600/100000000</f>
        <v>1.62432</v>
      </c>
      <c r="EM27" s="6">
        <f>日流量!EM27*24*3600/100000000</f>
        <v>1.5724800000000001</v>
      </c>
      <c r="EN27" s="6">
        <f>日流量!EN27*24*3600/100000000</f>
        <v>1.52064</v>
      </c>
      <c r="EO27" s="6">
        <f>日流量!EO27*24*3600/100000000</f>
        <v>1.49472</v>
      </c>
      <c r="EP27" s="6">
        <f>日流量!EP27*24*3600/100000000</f>
        <v>1.52064</v>
      </c>
      <c r="EQ27" s="6">
        <f>日流量!EQ27*24*3600/100000000</f>
        <v>1.5724800000000001</v>
      </c>
      <c r="ER27" s="6">
        <f>日流量!ER27*24*3600/100000000</f>
        <v>1.8748800000000001</v>
      </c>
      <c r="ES27" s="6">
        <f>日流量!ES27*24*3600/100000000</f>
        <v>2.1686399999999999</v>
      </c>
      <c r="ET27" s="6">
        <f>日流量!ET27*24*3600/100000000</f>
        <v>2.1254400000000002</v>
      </c>
      <c r="EU27" s="6">
        <f>日流量!EU27*24*3600/100000000</f>
        <v>2.34144</v>
      </c>
      <c r="EV27" s="6">
        <f>日流量!EV27*24*3600/100000000</f>
        <v>2.9376000000000002</v>
      </c>
      <c r="EW27" s="6">
        <f>日流量!EW27*24*3600/100000000</f>
        <v>3.43872</v>
      </c>
      <c r="EX27" s="6">
        <f>日流量!EX27*24*3600/100000000</f>
        <v>3.3523200000000002</v>
      </c>
      <c r="EY27" s="6">
        <f>日流量!EY27*24*3600/100000000</f>
        <v>3.2745600000000001</v>
      </c>
      <c r="EZ27" s="6">
        <f>日流量!EZ27*24*3600/100000000</f>
        <v>3.2918400000000001</v>
      </c>
      <c r="FA27" s="6">
        <f>日流量!FA27*24*3600/100000000</f>
        <v>3.4992000000000001</v>
      </c>
      <c r="FB27" s="6">
        <f>日流量!FB27*24*3600/100000000</f>
        <v>3.9571200000000002</v>
      </c>
      <c r="FC27" s="6">
        <f>日流量!FC27*24*3600/100000000</f>
        <v>4.3718399999999997</v>
      </c>
      <c r="FD27" s="6">
        <f>日流量!FD27*24*3600/100000000</f>
        <v>5.0284800000000001</v>
      </c>
      <c r="FE27" s="6">
        <f>日流量!FE27*24*3600/100000000</f>
        <v>5.6851200000000004</v>
      </c>
      <c r="FF27" s="6">
        <f>日流量!FF27*24*3600/100000000</f>
        <v>5.4345600000000003</v>
      </c>
      <c r="FG27" s="6">
        <f>日流量!FG27*24*3600/100000000</f>
        <v>5.0198400000000003</v>
      </c>
      <c r="FH27" s="6">
        <f>日流量!FH27*24*3600/100000000</f>
        <v>4.9075199999999999</v>
      </c>
      <c r="FI27" s="6">
        <f>日流量!FI27*24*3600/100000000</f>
        <v>4.6828799999999999</v>
      </c>
      <c r="FJ27" s="6">
        <f>日流量!FJ27*24*3600/100000000</f>
        <v>4.4063999999999997</v>
      </c>
      <c r="FK27" s="6">
        <f>日流量!FK27*24*3600/100000000</f>
        <v>4.4668799999999997</v>
      </c>
      <c r="FL27" s="6">
        <f>日流量!FL27*24*3600/100000000</f>
        <v>4.4150400000000003</v>
      </c>
      <c r="FM27" s="6">
        <f>日流量!FM27*24*3600/100000000</f>
        <v>4.32</v>
      </c>
      <c r="FN27" s="6">
        <f>日流量!FN27*24*3600/100000000</f>
        <v>4.26816</v>
      </c>
      <c r="FO27" s="6">
        <f>日流量!FO27*24*3600/100000000</f>
        <v>4.4755200000000004</v>
      </c>
      <c r="FP27" s="6">
        <f>日流量!FP27*24*3600/100000000</f>
        <v>4.6051200000000003</v>
      </c>
      <c r="FQ27" s="6">
        <f>日流量!FQ27*24*3600/100000000</f>
        <v>4.8384</v>
      </c>
      <c r="FR27" s="6">
        <f>日流量!FR27*24*3600/100000000</f>
        <v>5.4086400000000001</v>
      </c>
      <c r="FS27" s="6">
        <f>日流量!FS27*24*3600/100000000</f>
        <v>5.85792</v>
      </c>
      <c r="FT27" s="6">
        <f>日流量!FT27*24*3600/100000000</f>
        <v>6.0739200000000002</v>
      </c>
      <c r="FU27" s="6">
        <f>日流量!FU27*24*3600/100000000</f>
        <v>6.4713599999999998</v>
      </c>
      <c r="FV27" s="6">
        <f>日流量!FV27*24*3600/100000000</f>
        <v>7.0070399999999999</v>
      </c>
      <c r="FW27" s="6">
        <f>日流量!FW27*24*3600/100000000</f>
        <v>6.97248</v>
      </c>
      <c r="FX27" s="6">
        <f>日流量!FX27*24*3600/100000000</f>
        <v>7.5513599999999999</v>
      </c>
      <c r="FY27" s="6">
        <f>日流量!FY27*24*3600/100000000</f>
        <v>8.3462399999999999</v>
      </c>
      <c r="FZ27" s="6">
        <f>日流量!FZ27*24*3600/100000000</f>
        <v>8.40672</v>
      </c>
      <c r="GA27" s="6">
        <f>日流量!GA27*24*3600/100000000</f>
        <v>9.5904000000000007</v>
      </c>
      <c r="GB27" s="6">
        <f>日流量!GB27*24*3600/100000000</f>
        <v>10.4544</v>
      </c>
      <c r="GC27" s="6">
        <f>日流量!GC27*24*3600/100000000</f>
        <v>10.022399999999999</v>
      </c>
      <c r="GD27" s="6">
        <f>日流量!GD27*24*3600/100000000</f>
        <v>10.7136</v>
      </c>
      <c r="GE27" s="6">
        <f>日流量!GE27*24*3600/100000000</f>
        <v>10.8</v>
      </c>
      <c r="GF27" s="6">
        <f>日流量!GF27*24*3600/100000000</f>
        <v>9.9359999999999999</v>
      </c>
      <c r="GG27" s="6">
        <f>日流量!GG27*24*3600/100000000</f>
        <v>8.8992000000000004</v>
      </c>
      <c r="GH27" s="6">
        <f>日流量!GH27*24*3600/100000000</f>
        <v>8.5535999999999994</v>
      </c>
      <c r="GI27" s="6">
        <f>日流量!GI27*24*3600/100000000</f>
        <v>8.3721599999999992</v>
      </c>
      <c r="GJ27" s="6">
        <f>日流量!GJ27*24*3600/100000000</f>
        <v>9.1584000000000003</v>
      </c>
      <c r="GK27" s="6">
        <f>日流量!GK27*24*3600/100000000</f>
        <v>9.8496000000000006</v>
      </c>
      <c r="GL27" s="6">
        <f>日流量!GL27*24*3600/100000000</f>
        <v>9.9359999999999999</v>
      </c>
      <c r="GM27" s="6">
        <f>日流量!GM27*24*3600/100000000</f>
        <v>10.1952</v>
      </c>
      <c r="GN27" s="6">
        <f>日流量!GN27*24*3600/100000000</f>
        <v>11.3184</v>
      </c>
      <c r="GO27" s="6">
        <f>日流量!GO27*24*3600/100000000</f>
        <v>11.5776</v>
      </c>
      <c r="GP27" s="6">
        <f>日流量!GP27*24*3600/100000000</f>
        <v>12.096</v>
      </c>
      <c r="GQ27" s="6">
        <f>日流量!GQ27*24*3600/100000000</f>
        <v>12.3552</v>
      </c>
      <c r="GR27" s="6">
        <f>日流量!GR27*24*3600/100000000</f>
        <v>12.441599999999999</v>
      </c>
      <c r="GS27" s="6">
        <f>日流量!GS27*24*3600/100000000</f>
        <v>12.182399999999999</v>
      </c>
      <c r="GT27" s="6">
        <f>日流量!GT27*24*3600/100000000</f>
        <v>11.664</v>
      </c>
      <c r="GU27" s="6">
        <f>日流量!GU27*24*3600/100000000</f>
        <v>10.972799999999999</v>
      </c>
      <c r="GV27" s="6">
        <f>日流量!GV27*24*3600/100000000</f>
        <v>9.9359999999999999</v>
      </c>
      <c r="GW27" s="6">
        <f>日流量!GW27*24*3600/100000000</f>
        <v>8.9855999999999998</v>
      </c>
      <c r="GX27" s="6">
        <f>日流量!GX27*24*3600/100000000</f>
        <v>8.5017600000000009</v>
      </c>
      <c r="GY27" s="6">
        <f>日流量!GY27*24*3600/100000000</f>
        <v>8.5276800000000001</v>
      </c>
      <c r="GZ27" s="6">
        <f>日流量!GZ27*24*3600/100000000</f>
        <v>8.8992000000000004</v>
      </c>
      <c r="HA27" s="6">
        <f>日流量!HA27*24*3600/100000000</f>
        <v>8.7263999999999999</v>
      </c>
      <c r="HB27" s="6">
        <f>日流量!HB27*24*3600/100000000</f>
        <v>8.5190400000000004</v>
      </c>
      <c r="HC27" s="6">
        <f>日流量!HC27*24*3600/100000000</f>
        <v>10.8864</v>
      </c>
      <c r="HD27" s="6">
        <f>日流量!HD27*24*3600/100000000</f>
        <v>11.231999999999999</v>
      </c>
      <c r="HE27" s="6">
        <f>日流量!HE27*24*3600/100000000</f>
        <v>10.1088</v>
      </c>
      <c r="HF27" s="6">
        <f>日流量!HF27*24*3600/100000000</f>
        <v>9.5039999999999996</v>
      </c>
      <c r="HG27" s="6">
        <f>日流量!HG27*24*3600/100000000</f>
        <v>8.9855999999999998</v>
      </c>
      <c r="HH27" s="6">
        <f>日流量!HH27*24*3600/100000000</f>
        <v>8.7263999999999999</v>
      </c>
      <c r="HI27" s="6">
        <f>日流量!HI27*24*3600/100000000</f>
        <v>9.0719999999999992</v>
      </c>
      <c r="HJ27" s="6">
        <f>日流量!HJ27*24*3600/100000000</f>
        <v>11.750400000000001</v>
      </c>
      <c r="HK27" s="6">
        <f>日流量!HK27*24*3600/100000000</f>
        <v>13.910399999999999</v>
      </c>
      <c r="HL27" s="6">
        <f>日流量!HL27*24*3600/100000000</f>
        <v>15.2928</v>
      </c>
      <c r="HM27" s="6">
        <f>日流量!HM27*24*3600/100000000</f>
        <v>14.3424</v>
      </c>
      <c r="HN27" s="6">
        <f>日流量!HN27*24*3600/100000000</f>
        <v>12.8736</v>
      </c>
      <c r="HO27" s="6">
        <f>日流量!HO27*24*3600/100000000</f>
        <v>13.0464</v>
      </c>
      <c r="HP27" s="6">
        <f>日流量!HP27*24*3600/100000000</f>
        <v>13.3056</v>
      </c>
      <c r="HQ27" s="6">
        <f>日流量!HQ27*24*3600/100000000</f>
        <v>11.8368</v>
      </c>
      <c r="HR27" s="6">
        <f>日流量!HR27*24*3600/100000000</f>
        <v>10.368</v>
      </c>
      <c r="HS27" s="6">
        <f>日流量!HS27*24*3600/100000000</f>
        <v>8.9855999999999998</v>
      </c>
      <c r="HT27" s="6">
        <f>日流量!HT27*24*3600/100000000</f>
        <v>8.0438399999999994</v>
      </c>
      <c r="HU27" s="6">
        <f>日流量!HU27*24*3600/100000000</f>
        <v>7.3612799999999998</v>
      </c>
      <c r="HV27" s="6">
        <f>日流量!HV27*24*3600/100000000</f>
        <v>6.8947200000000004</v>
      </c>
      <c r="HW27" s="6">
        <f>日流量!HW27*24*3600/100000000</f>
        <v>6.6528</v>
      </c>
      <c r="HX27" s="6">
        <f>日流量!HX27*24*3600/100000000</f>
        <v>7.1884800000000002</v>
      </c>
      <c r="HY27" s="6">
        <f>日流量!HY27*24*3600/100000000</f>
        <v>7.7328000000000001</v>
      </c>
      <c r="HZ27" s="6">
        <f>日流量!HZ27*24*3600/100000000</f>
        <v>7.4908799999999998</v>
      </c>
      <c r="IA27" s="6">
        <f>日流量!IA27*24*3600/100000000</f>
        <v>7.2748799999999996</v>
      </c>
      <c r="IB27" s="6">
        <f>日流量!IB27*24*3600/100000000</f>
        <v>7.2489600000000003</v>
      </c>
      <c r="IC27" s="6">
        <f>日流量!IC27*24*3600/100000000</f>
        <v>7.5513599999999999</v>
      </c>
      <c r="ID27" s="6">
        <f>日流量!ID27*24*3600/100000000</f>
        <v>7.992</v>
      </c>
      <c r="IE27" s="6">
        <f>日流量!IE27*24*3600/100000000</f>
        <v>8.3462399999999999</v>
      </c>
      <c r="IF27" s="6">
        <f>日流量!IF27*24*3600/100000000</f>
        <v>8.9855999999999998</v>
      </c>
      <c r="IG27" s="6">
        <f>日流量!IG27*24*3600/100000000</f>
        <v>10.8</v>
      </c>
      <c r="IH27" s="6">
        <f>日流量!IH27*24*3600/100000000</f>
        <v>12.7872</v>
      </c>
      <c r="II27" s="6">
        <f>日流量!II27*24*3600/100000000</f>
        <v>14.169600000000001</v>
      </c>
      <c r="IJ27" s="6">
        <f>日流量!IJ27*24*3600/100000000</f>
        <v>16.329599999999999</v>
      </c>
      <c r="IK27" s="6">
        <f>日流量!IK27*24*3600/100000000</f>
        <v>17.625599999999999</v>
      </c>
      <c r="IL27" s="6">
        <f>日流量!IL27*24*3600/100000000</f>
        <v>18.489599999999999</v>
      </c>
      <c r="IM27" s="6">
        <f>日流量!IM27*24*3600/100000000</f>
        <v>18.8352</v>
      </c>
      <c r="IN27" s="6">
        <f>日流量!IN27*24*3600/100000000</f>
        <v>17.366399999999999</v>
      </c>
      <c r="IO27" s="6">
        <f>日流量!IO27*24*3600/100000000</f>
        <v>15.4656</v>
      </c>
      <c r="IP27" s="6">
        <f>日流量!IP27*24*3600/100000000</f>
        <v>14.0832</v>
      </c>
      <c r="IQ27" s="6">
        <f>日流量!IQ27*24*3600/100000000</f>
        <v>12.6144</v>
      </c>
      <c r="IR27" s="6">
        <f>日流量!IR27*24*3600/100000000</f>
        <v>12.6144</v>
      </c>
      <c r="IS27" s="6">
        <f>日流量!IS27*24*3600/100000000</f>
        <v>12.096</v>
      </c>
      <c r="IT27" s="6">
        <f>日流量!IT27*24*3600/100000000</f>
        <v>11.059200000000001</v>
      </c>
      <c r="IU27" s="6">
        <f>日流量!IU27*24*3600/100000000</f>
        <v>10.4544</v>
      </c>
      <c r="IV27" s="6">
        <f>日流量!IV27*24*3600/100000000</f>
        <v>10.022399999999999</v>
      </c>
      <c r="IW27" s="6">
        <f>日流量!IW27*24*3600/100000000</f>
        <v>9.5904000000000007</v>
      </c>
      <c r="IX27" s="6">
        <f>日流量!IX27*24*3600/100000000</f>
        <v>9.3312000000000008</v>
      </c>
      <c r="IY27" s="6">
        <f>日流量!IY27*24*3600/100000000</f>
        <v>8.9855999999999998</v>
      </c>
      <c r="IZ27" s="6">
        <f>日流量!IZ27*24*3600/100000000</f>
        <v>8.7263999999999999</v>
      </c>
      <c r="JA27" s="6">
        <f>日流量!JA27*24*3600/100000000</f>
        <v>8.9855999999999998</v>
      </c>
      <c r="JB27" s="6">
        <f>日流量!JB27*24*3600/100000000</f>
        <v>8.9855999999999998</v>
      </c>
      <c r="JC27" s="6">
        <f>日流量!JC27*24*3600/100000000</f>
        <v>8.9855999999999998</v>
      </c>
      <c r="JD27" s="6">
        <f>日流量!JD27*24*3600/100000000</f>
        <v>9.4176000000000002</v>
      </c>
      <c r="JE27" s="6">
        <f>日流量!JE27*24*3600/100000000</f>
        <v>9.7631999999999994</v>
      </c>
      <c r="JF27" s="6">
        <f>日流量!JF27*24*3600/100000000</f>
        <v>10.022399999999999</v>
      </c>
      <c r="JG27" s="6">
        <f>日流量!JG27*24*3600/100000000</f>
        <v>10.7136</v>
      </c>
      <c r="JH27" s="6">
        <f>日流量!JH27*24*3600/100000000</f>
        <v>10.7136</v>
      </c>
      <c r="JI27" s="6">
        <f>日流量!JI27*24*3600/100000000</f>
        <v>11.1456</v>
      </c>
      <c r="JJ27" s="6">
        <f>日流量!JJ27*24*3600/100000000</f>
        <v>11.3184</v>
      </c>
      <c r="JK27" s="6">
        <f>日流量!JK27*24*3600/100000000</f>
        <v>10.972799999999999</v>
      </c>
      <c r="JL27" s="6">
        <f>日流量!JL27*24*3600/100000000</f>
        <v>10.1088</v>
      </c>
      <c r="JM27" s="6">
        <f>日流量!JM27*24*3600/100000000</f>
        <v>9.4176000000000002</v>
      </c>
      <c r="JN27" s="6">
        <f>日流量!JN27*24*3600/100000000</f>
        <v>8.7263999999999999</v>
      </c>
      <c r="JO27" s="6">
        <f>日流量!JO27*24*3600/100000000</f>
        <v>8.1475200000000001</v>
      </c>
      <c r="JP27" s="6">
        <f>日流量!JP27*24*3600/100000000</f>
        <v>7.6896000000000004</v>
      </c>
      <c r="JQ27" s="6">
        <f>日流量!JQ27*24*3600/100000000</f>
        <v>7.2576000000000001</v>
      </c>
      <c r="JR27" s="6">
        <f>日流量!JR27*24*3600/100000000</f>
        <v>6.8515199999999998</v>
      </c>
      <c r="JS27" s="6">
        <f>日流量!JS27*24*3600/100000000</f>
        <v>6.5491200000000003</v>
      </c>
      <c r="JT27" s="6">
        <f>日流量!JT27*24*3600/100000000</f>
        <v>6.3071999999999999</v>
      </c>
      <c r="JU27" s="6">
        <f>日流量!JU27*24*3600/100000000</f>
        <v>6.4195200000000003</v>
      </c>
      <c r="JV27" s="6">
        <f>日流量!JV27*24*3600/100000000</f>
        <v>6.3158399999999997</v>
      </c>
      <c r="JW27" s="6">
        <f>日流量!JW27*24*3600/100000000</f>
        <v>6.0134400000000001</v>
      </c>
      <c r="JX27" s="6">
        <f>日流量!JX27*24*3600/100000000</f>
        <v>5.7974399999999999</v>
      </c>
      <c r="JY27" s="6">
        <f>日流量!JY27*24*3600/100000000</f>
        <v>5.9615999999999998</v>
      </c>
      <c r="JZ27" s="6">
        <f>日流量!JZ27*24*3600/100000000</f>
        <v>5.7283200000000001</v>
      </c>
      <c r="KA27" s="6">
        <f>日流量!KA27*24*3600/100000000</f>
        <v>5.5641600000000002</v>
      </c>
      <c r="KB27" s="6">
        <f>日流量!KB27*24*3600/100000000</f>
        <v>5.2963199999999997</v>
      </c>
      <c r="KC27" s="6">
        <f>日流量!KC27*24*3600/100000000</f>
        <v>5.0111999999999997</v>
      </c>
      <c r="KD27" s="6">
        <f>日流量!KD27*24*3600/100000000</f>
        <v>4.8297600000000003</v>
      </c>
      <c r="KE27" s="6">
        <f>日流量!KE27*24*3600/100000000</f>
        <v>4.6828799999999999</v>
      </c>
      <c r="KF27" s="6">
        <f>日流量!KF27*24*3600/100000000</f>
        <v>4.5619199999999998</v>
      </c>
      <c r="KG27" s="6">
        <f>日流量!KG27*24*3600/100000000</f>
        <v>4.4063999999999997</v>
      </c>
      <c r="KH27" s="6">
        <f>日流量!KH27*24*3600/100000000</f>
        <v>4.32</v>
      </c>
      <c r="KI27" s="6">
        <f>日流量!KI27*24*3600/100000000</f>
        <v>4.1904000000000003</v>
      </c>
      <c r="KJ27" s="6">
        <f>日流量!KJ27*24*3600/100000000</f>
        <v>4.0521599999999998</v>
      </c>
      <c r="KK27" s="6">
        <f>日流量!KK27*24*3600/100000000</f>
        <v>3.94848</v>
      </c>
      <c r="KL27" s="6">
        <f>日流量!KL27*24*3600/100000000</f>
        <v>3.8793600000000001</v>
      </c>
      <c r="KM27" s="6">
        <f>日流量!KM27*24*3600/100000000</f>
        <v>3.8620800000000002</v>
      </c>
      <c r="KN27" s="6">
        <f>日流量!KN27*24*3600/100000000</f>
        <v>3.7929599999999999</v>
      </c>
      <c r="KO27" s="6">
        <f>日流量!KO27*24*3600/100000000</f>
        <v>3.7151999999999998</v>
      </c>
      <c r="KP27" s="6">
        <f>日流量!KP27*24*3600/100000000</f>
        <v>3.6288</v>
      </c>
      <c r="KQ27" s="6">
        <f>日流量!KQ27*24*3600/100000000</f>
        <v>3.5164800000000001</v>
      </c>
      <c r="KR27" s="6">
        <f>日流量!KR27*24*3600/100000000</f>
        <v>3.5683199999999999</v>
      </c>
      <c r="KS27" s="6">
        <f>日流量!KS27*24*3600/100000000</f>
        <v>3.6028799999999999</v>
      </c>
      <c r="KT27" s="6">
        <f>日流量!KT27*24*3600/100000000</f>
        <v>3.5251199999999998</v>
      </c>
      <c r="KU27" s="6">
        <f>日流量!KU27*24*3600/100000000</f>
        <v>3.4300799999999998</v>
      </c>
      <c r="KV27" s="6">
        <f>日流量!KV27*24*3600/100000000</f>
        <v>3.3523200000000002</v>
      </c>
      <c r="KW27" s="6">
        <f>日流量!KW27*24*3600/100000000</f>
        <v>3.2745600000000001</v>
      </c>
      <c r="KX27" s="6">
        <f>日流量!KX27*24*3600/100000000</f>
        <v>3.1708799999999999</v>
      </c>
      <c r="KY27" s="6">
        <f>日流量!KY27*24*3600/100000000</f>
        <v>3.0844800000000001</v>
      </c>
      <c r="KZ27" s="6">
        <f>日流量!KZ27*24*3600/100000000</f>
        <v>2.9980799999999999</v>
      </c>
      <c r="LA27" s="6">
        <f>日流量!LA27*24*3600/100000000</f>
        <v>2.9376000000000002</v>
      </c>
      <c r="LB27" s="6">
        <f>日流量!LB27*24*3600/100000000</f>
        <v>2.8771200000000001</v>
      </c>
      <c r="LC27" s="6">
        <f>日流量!LC27*24*3600/100000000</f>
        <v>2.81664</v>
      </c>
      <c r="LD27" s="6">
        <f>日流量!LD27*24*3600/100000000</f>
        <v>2.7475200000000002</v>
      </c>
      <c r="LE27" s="6">
        <f>日流量!LE27*24*3600/100000000</f>
        <v>2.6870400000000001</v>
      </c>
      <c r="LF27" s="6">
        <f>日流量!LF27*24*3600/100000000</f>
        <v>2.64384</v>
      </c>
      <c r="LG27" s="6">
        <f>日流量!LG27*24*3600/100000000</f>
        <v>2.5920000000000001</v>
      </c>
      <c r="LH27" s="6">
        <f>日流量!LH27*24*3600/100000000</f>
        <v>2.5488</v>
      </c>
      <c r="LI27" s="6">
        <f>日流量!LI27*24*3600/100000000</f>
        <v>2.51424</v>
      </c>
      <c r="LJ27" s="6">
        <f>日流量!LJ27*24*3600/100000000</f>
        <v>2.4796800000000001</v>
      </c>
      <c r="LK27" s="6">
        <f>日流量!LK27*24*3600/100000000</f>
        <v>2.4624000000000001</v>
      </c>
      <c r="LL27" s="6">
        <f>日流量!LL27*24*3600/100000000</f>
        <v>2.4451200000000002</v>
      </c>
      <c r="LM27" s="6">
        <f>日流量!LM27*24*3600/100000000</f>
        <v>2.4192</v>
      </c>
      <c r="LN27" s="6">
        <f>日流量!LN27*24*3600/100000000</f>
        <v>2.3673600000000001</v>
      </c>
      <c r="LO27" s="6">
        <f>日流量!LO27*24*3600/100000000</f>
        <v>2.3155199999999998</v>
      </c>
      <c r="LP27" s="6">
        <f>日流量!LP27*24*3600/100000000</f>
        <v>2.2723200000000001</v>
      </c>
      <c r="LQ27" s="6">
        <f>日流量!LQ27*24*3600/100000000</f>
        <v>2.22912</v>
      </c>
      <c r="LR27" s="6">
        <f>日流量!LR27*24*3600/100000000</f>
        <v>2.2031999999999998</v>
      </c>
      <c r="LS27" s="6">
        <f>日流量!LS27*24*3600/100000000</f>
        <v>2.1772800000000001</v>
      </c>
      <c r="LT27" s="6">
        <f>日流量!LT27*24*3600/100000000</f>
        <v>2.1427200000000002</v>
      </c>
      <c r="LU27" s="6">
        <f>日流量!LU27*24*3600/100000000</f>
        <v>2.1168</v>
      </c>
      <c r="LV27" s="6">
        <f>日流量!LV27*24*3600/100000000</f>
        <v>2.0908799999999998</v>
      </c>
      <c r="LW27" s="6">
        <f>日流量!LW27*24*3600/100000000</f>
        <v>2.0649600000000001</v>
      </c>
      <c r="LX27" s="6">
        <f>日流量!LX27*24*3600/100000000</f>
        <v>2.03904</v>
      </c>
      <c r="LY27" s="6">
        <f>日流量!LY27*24*3600/100000000</f>
        <v>2.0131199999999998</v>
      </c>
      <c r="LZ27" s="6">
        <f>日流量!LZ27*24*3600/100000000</f>
        <v>1.9958400000000001</v>
      </c>
      <c r="MA27" s="6">
        <f>日流量!MA27*24*3600/100000000</f>
        <v>1.9785600000000001</v>
      </c>
      <c r="MB27" s="6">
        <f>日流量!MB27*24*3600/100000000</f>
        <v>1.9612799999999999</v>
      </c>
      <c r="MC27" s="6">
        <f>日流量!MC27*24*3600/100000000</f>
        <v>1.944</v>
      </c>
      <c r="MD27" s="6">
        <f>日流量!MD27*24*3600/100000000</f>
        <v>1.91808</v>
      </c>
      <c r="ME27" s="6">
        <f>日流量!ME27*24*3600/100000000</f>
        <v>1.8921600000000001</v>
      </c>
      <c r="MF27" s="6">
        <f>日流量!MF27*24*3600/100000000</f>
        <v>1.8662399999999999</v>
      </c>
      <c r="MG27" s="6">
        <f>日流量!MG27*24*3600/100000000</f>
        <v>1.84032</v>
      </c>
      <c r="MH27" s="6">
        <f>日流量!MH27*24*3600/100000000</f>
        <v>1.8144</v>
      </c>
      <c r="MI27" s="6">
        <f>日流量!MI27*24*3600/100000000</f>
        <v>1.7884800000000001</v>
      </c>
      <c r="MJ27" s="6">
        <f>日流量!MJ27*24*3600/100000000</f>
        <v>1.7625599999999999</v>
      </c>
      <c r="MK27" s="6">
        <f>日流量!MK27*24*3600/100000000</f>
        <v>1.73664</v>
      </c>
      <c r="ML27" s="6">
        <f>日流量!ML27*24*3600/100000000</f>
        <v>1.71072</v>
      </c>
      <c r="MM27" s="6">
        <f>日流量!MM27*24*3600/100000000</f>
        <v>1.6848000000000001</v>
      </c>
      <c r="MN27" s="6">
        <f>日流量!MN27*24*3600/100000000</f>
        <v>1.6761600000000001</v>
      </c>
      <c r="MO27" s="6">
        <f>日流量!MO27*24*3600/100000000</f>
        <v>1.6502399999999999</v>
      </c>
      <c r="MP27" s="6">
        <f>日流量!MP27*24*3600/100000000</f>
        <v>1.63296</v>
      </c>
      <c r="MQ27" s="6">
        <f>日流量!MQ27*24*3600/100000000</f>
        <v>1.61568</v>
      </c>
      <c r="MR27" s="6">
        <f>日流量!MR27*24*3600/100000000</f>
        <v>1.5897600000000001</v>
      </c>
      <c r="MS27" s="6">
        <f>日流量!MS27*24*3600/100000000</f>
        <v>1.5724800000000001</v>
      </c>
      <c r="MT27" s="6">
        <f>日流量!MT27*24*3600/100000000</f>
        <v>1.5551999999999999</v>
      </c>
      <c r="MU27" s="6">
        <f>日流量!MU27*24*3600/100000000</f>
        <v>1.5465599999999999</v>
      </c>
      <c r="MV27" s="6">
        <f>日流量!MV27*24*3600/100000000</f>
        <v>1.52064</v>
      </c>
      <c r="MW27" s="6">
        <f>日流量!MW27*24*3600/100000000</f>
        <v>1.52064</v>
      </c>
      <c r="MX27" s="6">
        <f>日流量!MX27*24*3600/100000000</f>
        <v>1.50336</v>
      </c>
      <c r="MY27" s="6">
        <f>日流量!MY27*24*3600/100000000</f>
        <v>1.49472</v>
      </c>
      <c r="MZ27" s="6">
        <f>日流量!MZ27*24*3600/100000000</f>
        <v>1.4774400000000001</v>
      </c>
      <c r="NA27" s="6">
        <f>日流量!NA27*24*3600/100000000</f>
        <v>1.4688000000000001</v>
      </c>
      <c r="NB27" s="6">
        <f>日流量!NB27*24*3600/100000000</f>
        <v>1.4515199999999999</v>
      </c>
      <c r="NC27" s="6"/>
      <c r="ND27" s="6">
        <f>日流量!ND27*24*3600*31/100000000</f>
        <v>29.730239999999998</v>
      </c>
      <c r="NE27" s="6">
        <f>日流量!NE27*24*3600*28/100000000</f>
        <v>22.716287999999999</v>
      </c>
      <c r="NF27" s="6">
        <f>日流量!NF27*24*3600*31/100000000</f>
        <v>24.373439999999999</v>
      </c>
      <c r="NG27" s="6">
        <f>日流量!NG27*24*3600*30/100000000</f>
        <v>30.585599999999999</v>
      </c>
      <c r="NH27" s="6">
        <f>日流量!NH27*24*3600*31/100000000</f>
        <v>55.175040000000003</v>
      </c>
      <c r="NI27" s="6">
        <f>日流量!NI27*24*3600*30/100000000</f>
        <v>159.9264</v>
      </c>
      <c r="NJ27" s="6">
        <f>日流量!NJ27*24*3600*31/100000000</f>
        <v>316.05119999999999</v>
      </c>
      <c r="NK27" s="6">
        <f>日流量!NK27*24*3600*31/100000000</f>
        <v>324.08640000000003</v>
      </c>
      <c r="NL27" s="6">
        <f>日流量!NL27*24*3600*30/100000000</f>
        <v>336.96</v>
      </c>
      <c r="NM27" s="6">
        <f>日流量!NM27*24*3600*31/100000000</f>
        <v>154.81152</v>
      </c>
      <c r="NN27" s="6">
        <f>日流量!NN27*24*3600*30/100000000</f>
        <v>77.500799999999998</v>
      </c>
      <c r="NO27" s="6">
        <f>日流量!NO27*24*3600*31/100000000</f>
        <v>52.496639999999999</v>
      </c>
      <c r="NP27" s="14">
        <f t="shared" si="10"/>
        <v>1584.4135680000002</v>
      </c>
      <c r="NQ27" s="6">
        <f>日流量!NQ27*24*3600/100000000</f>
        <v>18.8352</v>
      </c>
      <c r="NR27" s="4">
        <f>日流量!NR27</f>
        <v>42615</v>
      </c>
      <c r="NS27" s="6">
        <f>日流量!NS27*24*3600/100000000</f>
        <v>0.76291200000000003</v>
      </c>
      <c r="NT27" s="4">
        <f>日流量!NT27</f>
        <v>42444</v>
      </c>
      <c r="NU27" s="7">
        <f>日流量!NP27</f>
        <v>5019.1561643835612</v>
      </c>
      <c r="NW27" s="13">
        <f t="shared" si="0"/>
        <v>1347.0105599999999</v>
      </c>
      <c r="NX27" s="12">
        <f t="shared" si="1"/>
        <v>85.016348458838735</v>
      </c>
      <c r="NY27" s="13">
        <f t="shared" si="2"/>
        <v>1137.0240000000001</v>
      </c>
      <c r="NZ27" s="12">
        <f t="shared" si="3"/>
        <v>71.763081493631844</v>
      </c>
      <c r="OA27" s="13">
        <f t="shared" si="4"/>
        <v>237.40300800000023</v>
      </c>
      <c r="OB27" s="12">
        <f t="shared" si="5"/>
        <v>14.983651541161267</v>
      </c>
      <c r="OC27" s="13">
        <f t="shared" si="6"/>
        <v>336.96</v>
      </c>
      <c r="OD27" s="12">
        <f t="shared" si="7"/>
        <v>21.267174606775392</v>
      </c>
      <c r="OE27" s="12">
        <f t="shared" si="8"/>
        <v>370.19008598130847</v>
      </c>
      <c r="OF27" s="12">
        <f t="shared" si="9"/>
        <v>11.73865062091922</v>
      </c>
    </row>
    <row r="28" spans="1:396" x14ac:dyDescent="0.15">
      <c r="A28" s="2">
        <v>1975</v>
      </c>
      <c r="B28" s="6">
        <f>日流量!B28*24*3600/100000000</f>
        <v>1.4256</v>
      </c>
      <c r="C28" s="6">
        <f>日流量!C28*24*3600/100000000</f>
        <v>1.40832</v>
      </c>
      <c r="D28" s="6">
        <f>日流量!D28*24*3600/100000000</f>
        <v>1.3910400000000001</v>
      </c>
      <c r="E28" s="6">
        <f>日流量!E28*24*3600/100000000</f>
        <v>1.3910400000000001</v>
      </c>
      <c r="F28" s="6">
        <f>日流量!F28*24*3600/100000000</f>
        <v>1.3824000000000001</v>
      </c>
      <c r="G28" s="6">
        <f>日流量!G28*24*3600/100000000</f>
        <v>1.3737600000000001</v>
      </c>
      <c r="H28" s="6">
        <f>日流量!H28*24*3600/100000000</f>
        <v>1.3651199999999999</v>
      </c>
      <c r="I28" s="6">
        <f>日流量!I28*24*3600/100000000</f>
        <v>1.3651199999999999</v>
      </c>
      <c r="J28" s="6">
        <f>日流量!J28*24*3600/100000000</f>
        <v>1.3564799999999999</v>
      </c>
      <c r="K28" s="6">
        <f>日流量!K28*24*3600/100000000</f>
        <v>1.3478399999999999</v>
      </c>
      <c r="L28" s="6">
        <f>日流量!L28*24*3600/100000000</f>
        <v>1.3391999999999999</v>
      </c>
      <c r="M28" s="6">
        <f>日流量!M28*24*3600/100000000</f>
        <v>1.33056</v>
      </c>
      <c r="N28" s="6">
        <f>日流量!N28*24*3600/100000000</f>
        <v>1.3391999999999999</v>
      </c>
      <c r="O28" s="6">
        <f>日流量!O28*24*3600/100000000</f>
        <v>1.3478399999999999</v>
      </c>
      <c r="P28" s="6">
        <f>日流量!P28*24*3600/100000000</f>
        <v>1.33056</v>
      </c>
      <c r="Q28" s="6">
        <f>日流量!Q28*24*3600/100000000</f>
        <v>1.33056</v>
      </c>
      <c r="R28" s="6">
        <f>日流量!R28*24*3600/100000000</f>
        <v>1.32192</v>
      </c>
      <c r="S28" s="6">
        <f>日流量!S28*24*3600/100000000</f>
        <v>1.31328</v>
      </c>
      <c r="T28" s="6">
        <f>日流量!T28*24*3600/100000000</f>
        <v>1.296</v>
      </c>
      <c r="U28" s="6">
        <f>日流量!U28*24*3600/100000000</f>
        <v>1.2787200000000001</v>
      </c>
      <c r="V28" s="6">
        <f>日流量!V28*24*3600/100000000</f>
        <v>1.2700800000000001</v>
      </c>
      <c r="W28" s="6">
        <f>日流量!W28*24*3600/100000000</f>
        <v>1.2527999999999999</v>
      </c>
      <c r="X28" s="6">
        <f>日流量!X28*24*3600/100000000</f>
        <v>1.2441599999999999</v>
      </c>
      <c r="Y28" s="6">
        <f>日流量!Y28*24*3600/100000000</f>
        <v>1.23552</v>
      </c>
      <c r="Z28" s="6">
        <f>日流量!Z28*24*3600/100000000</f>
        <v>1.22688</v>
      </c>
      <c r="AA28" s="6">
        <f>日流量!AA28*24*3600/100000000</f>
        <v>1.21824</v>
      </c>
      <c r="AB28" s="6">
        <f>日流量!AB28*24*3600/100000000</f>
        <v>1.22688</v>
      </c>
      <c r="AC28" s="6">
        <f>日流量!AC28*24*3600/100000000</f>
        <v>1.22688</v>
      </c>
      <c r="AD28" s="6">
        <f>日流量!AD28*24*3600/100000000</f>
        <v>1.21824</v>
      </c>
      <c r="AE28" s="6">
        <f>日流量!AE28*24*3600/100000000</f>
        <v>1.2096</v>
      </c>
      <c r="AF28" s="6">
        <f>日流量!AF28*24*3600/100000000</f>
        <v>1.19232</v>
      </c>
      <c r="AG28" s="6">
        <f>日流量!AG28*24*3600/100000000</f>
        <v>1.1750400000000001</v>
      </c>
      <c r="AH28" s="6">
        <f>日流量!AH28*24*3600/100000000</f>
        <v>1.1664000000000001</v>
      </c>
      <c r="AI28" s="6">
        <f>日流量!AI28*24*3600/100000000</f>
        <v>1.1577599999999999</v>
      </c>
      <c r="AJ28" s="6">
        <f>日流量!AJ28*24*3600/100000000</f>
        <v>1.1577599999999999</v>
      </c>
      <c r="AK28" s="6">
        <f>日流量!AK28*24*3600/100000000</f>
        <v>1.1577599999999999</v>
      </c>
      <c r="AL28" s="6">
        <f>日流量!AL28*24*3600/100000000</f>
        <v>1.1664000000000001</v>
      </c>
      <c r="AM28" s="6">
        <f>日流量!AM28*24*3600/100000000</f>
        <v>1.1577599999999999</v>
      </c>
      <c r="AN28" s="6">
        <f>日流量!AN28*24*3600/100000000</f>
        <v>1.1491199999999999</v>
      </c>
      <c r="AO28" s="6">
        <f>日流量!AO28*24*3600/100000000</f>
        <v>1.13184</v>
      </c>
      <c r="AP28" s="6">
        <f>日流量!AP28*24*3600/100000000</f>
        <v>1.13184</v>
      </c>
      <c r="AQ28" s="6">
        <f>日流量!AQ28*24*3600/100000000</f>
        <v>1.13184</v>
      </c>
      <c r="AR28" s="6">
        <f>日流量!AR28*24*3600/100000000</f>
        <v>1.1404799999999999</v>
      </c>
      <c r="AS28" s="6">
        <f>日流量!AS28*24*3600/100000000</f>
        <v>1.1577599999999999</v>
      </c>
      <c r="AT28" s="6">
        <f>日流量!AT28*24*3600/100000000</f>
        <v>1.1664000000000001</v>
      </c>
      <c r="AU28" s="6">
        <f>日流量!AU28*24*3600/100000000</f>
        <v>1.1577599999999999</v>
      </c>
      <c r="AV28" s="6">
        <f>日流量!AV28*24*3600/100000000</f>
        <v>1.1577599999999999</v>
      </c>
      <c r="AW28" s="6">
        <f>日流量!AW28*24*3600/100000000</f>
        <v>1.1404799999999999</v>
      </c>
      <c r="AX28" s="6">
        <f>日流量!AX28*24*3600/100000000</f>
        <v>1.13184</v>
      </c>
      <c r="AY28" s="6">
        <f>日流量!AY28*24*3600/100000000</f>
        <v>1.11456</v>
      </c>
      <c r="AZ28" s="6">
        <f>日流量!AZ28*24*3600/100000000</f>
        <v>1.10592</v>
      </c>
      <c r="BA28" s="6">
        <f>日流量!BA28*24*3600/100000000</f>
        <v>1.10592</v>
      </c>
      <c r="BB28" s="6">
        <f>日流量!BB28*24*3600/100000000</f>
        <v>1.09728</v>
      </c>
      <c r="BC28" s="6">
        <f>日流量!BC28*24*3600/100000000</f>
        <v>1.09728</v>
      </c>
      <c r="BD28" s="6">
        <f>日流量!BD28*24*3600/100000000</f>
        <v>1.0627200000000001</v>
      </c>
      <c r="BE28" s="6">
        <f>日流量!BE28*24*3600/100000000</f>
        <v>1.0540799999999999</v>
      </c>
      <c r="BF28" s="6">
        <f>日流量!BF28*24*3600/100000000</f>
        <v>1.0540799999999999</v>
      </c>
      <c r="BG28" s="6">
        <f>日流量!BG28*24*3600/100000000</f>
        <v>1.0540799999999999</v>
      </c>
      <c r="BH28" s="6">
        <f>日流量!BH28*24*3600/100000000</f>
        <v>1.0627200000000001</v>
      </c>
      <c r="BI28" s="6"/>
      <c r="BJ28" s="6">
        <f>日流量!BJ28*24*3600/100000000</f>
        <v>1.0627200000000001</v>
      </c>
      <c r="BK28" s="6">
        <f>日流量!BK28*24*3600/100000000</f>
        <v>1.0540799999999999</v>
      </c>
      <c r="BL28" s="6">
        <f>日流量!BL28*24*3600/100000000</f>
        <v>1.0627200000000001</v>
      </c>
      <c r="BM28" s="6">
        <f>日流量!BM28*24*3600/100000000</f>
        <v>1.0540799999999999</v>
      </c>
      <c r="BN28" s="6">
        <f>日流量!BN28*24*3600/100000000</f>
        <v>1.0540799999999999</v>
      </c>
      <c r="BO28" s="6">
        <f>日流量!BO28*24*3600/100000000</f>
        <v>1.0540799999999999</v>
      </c>
      <c r="BP28" s="6">
        <f>日流量!BP28*24*3600/100000000</f>
        <v>1.0540799999999999</v>
      </c>
      <c r="BQ28" s="6">
        <f>日流量!BQ28*24*3600/100000000</f>
        <v>1.0454399999999999</v>
      </c>
      <c r="BR28" s="6">
        <f>日流量!BR28*24*3600/100000000</f>
        <v>1.02816</v>
      </c>
      <c r="BS28" s="6">
        <f>日流量!BS28*24*3600/100000000</f>
        <v>1.02816</v>
      </c>
      <c r="BT28" s="6">
        <f>日流量!BT28*24*3600/100000000</f>
        <v>1.01952</v>
      </c>
      <c r="BU28" s="6">
        <f>日流量!BU28*24*3600/100000000</f>
        <v>1.02816</v>
      </c>
      <c r="BV28" s="6">
        <f>日流量!BV28*24*3600/100000000</f>
        <v>1.0367999999999999</v>
      </c>
      <c r="BW28" s="6">
        <f>日流量!BW28*24*3600/100000000</f>
        <v>1.02816</v>
      </c>
      <c r="BX28" s="6">
        <f>日流量!BX28*24*3600/100000000</f>
        <v>1.01952</v>
      </c>
      <c r="BY28" s="6">
        <f>日流量!BY28*24*3600/100000000</f>
        <v>1.01088</v>
      </c>
      <c r="BZ28" s="6">
        <f>日流量!BZ28*24*3600/100000000</f>
        <v>1.01088</v>
      </c>
      <c r="CA28" s="6">
        <f>日流量!CA28*24*3600/100000000</f>
        <v>1.01088</v>
      </c>
      <c r="CB28" s="6">
        <f>日流量!CB28*24*3600/100000000</f>
        <v>1.01952</v>
      </c>
      <c r="CC28" s="6">
        <f>日流量!CC28*24*3600/100000000</f>
        <v>1.01952</v>
      </c>
      <c r="CD28" s="6">
        <f>日流量!CD28*24*3600/100000000</f>
        <v>1.01952</v>
      </c>
      <c r="CE28" s="6">
        <f>日流量!CE28*24*3600/100000000</f>
        <v>1.01088</v>
      </c>
      <c r="CF28" s="6">
        <f>日流量!CF28*24*3600/100000000</f>
        <v>1.01088</v>
      </c>
      <c r="CG28" s="6">
        <f>日流量!CG28*24*3600/100000000</f>
        <v>1.01088</v>
      </c>
      <c r="CH28" s="6">
        <f>日流量!CH28*24*3600/100000000</f>
        <v>1.00224</v>
      </c>
      <c r="CI28" s="6">
        <f>日流量!CI28*24*3600/100000000</f>
        <v>0.99360000000000004</v>
      </c>
      <c r="CJ28" s="6">
        <f>日流量!CJ28*24*3600/100000000</f>
        <v>0.99360000000000004</v>
      </c>
      <c r="CK28" s="6">
        <f>日流量!CK28*24*3600/100000000</f>
        <v>0.99360000000000004</v>
      </c>
      <c r="CL28" s="6">
        <f>日流量!CL28*24*3600/100000000</f>
        <v>0.98495999999999995</v>
      </c>
      <c r="CM28" s="6">
        <f>日流量!CM28*24*3600/100000000</f>
        <v>0.99360000000000004</v>
      </c>
      <c r="CN28" s="6">
        <f>日流量!CN28*24*3600/100000000</f>
        <v>1.01088</v>
      </c>
      <c r="CO28" s="6">
        <f>日流量!CO28*24*3600/100000000</f>
        <v>1.01088</v>
      </c>
      <c r="CP28" s="6">
        <f>日流量!CP28*24*3600/100000000</f>
        <v>1.02816</v>
      </c>
      <c r="CQ28" s="6">
        <f>日流量!CQ28*24*3600/100000000</f>
        <v>1.0454399999999999</v>
      </c>
      <c r="CR28" s="6">
        <f>日流量!CR28*24*3600/100000000</f>
        <v>1.0627200000000001</v>
      </c>
      <c r="CS28" s="6">
        <f>日流量!CS28*24*3600/100000000</f>
        <v>1.0454399999999999</v>
      </c>
      <c r="CT28" s="6">
        <f>日流量!CT28*24*3600/100000000</f>
        <v>1.02816</v>
      </c>
      <c r="CU28" s="6">
        <f>日流量!CU28*24*3600/100000000</f>
        <v>1.01952</v>
      </c>
      <c r="CV28" s="6">
        <f>日流量!CV28*24*3600/100000000</f>
        <v>1.01088</v>
      </c>
      <c r="CW28" s="6">
        <f>日流量!CW28*24*3600/100000000</f>
        <v>1.01952</v>
      </c>
      <c r="CX28" s="6">
        <f>日流量!CX28*24*3600/100000000</f>
        <v>1.02816</v>
      </c>
      <c r="CY28" s="6">
        <f>日流量!CY28*24*3600/100000000</f>
        <v>1.0627200000000001</v>
      </c>
      <c r="CZ28" s="6">
        <f>日流量!CZ28*24*3600/100000000</f>
        <v>1.09728</v>
      </c>
      <c r="DA28" s="6">
        <f>日流量!DA28*24*3600/100000000</f>
        <v>1.1232</v>
      </c>
      <c r="DB28" s="6">
        <f>日流量!DB28*24*3600/100000000</f>
        <v>1.19232</v>
      </c>
      <c r="DC28" s="6">
        <f>日流量!DC28*24*3600/100000000</f>
        <v>1.3391999999999999</v>
      </c>
      <c r="DD28" s="6">
        <f>日流量!DD28*24*3600/100000000</f>
        <v>1.3737600000000001</v>
      </c>
      <c r="DE28" s="6">
        <f>日流量!DE28*24*3600/100000000</f>
        <v>1.33056</v>
      </c>
      <c r="DF28" s="6">
        <f>日流量!DF28*24*3600/100000000</f>
        <v>1.2614399999999999</v>
      </c>
      <c r="DG28" s="6">
        <f>日流量!DG28*24*3600/100000000</f>
        <v>1.2441599999999999</v>
      </c>
      <c r="DH28" s="6">
        <f>日流量!DH28*24*3600/100000000</f>
        <v>1.2441599999999999</v>
      </c>
      <c r="DI28" s="6">
        <f>日流量!DI28*24*3600/100000000</f>
        <v>1.21824</v>
      </c>
      <c r="DJ28" s="6">
        <f>日流量!DJ28*24*3600/100000000</f>
        <v>1.1750400000000001</v>
      </c>
      <c r="DK28" s="6">
        <f>日流量!DK28*24*3600/100000000</f>
        <v>1.1404799999999999</v>
      </c>
      <c r="DL28" s="6">
        <f>日流量!DL28*24*3600/100000000</f>
        <v>1.10592</v>
      </c>
      <c r="DM28" s="6">
        <f>日流量!DM28*24*3600/100000000</f>
        <v>1.0886400000000001</v>
      </c>
      <c r="DN28" s="6">
        <f>日流量!DN28*24*3600/100000000</f>
        <v>1.09728</v>
      </c>
      <c r="DO28" s="6">
        <f>日流量!DO28*24*3600/100000000</f>
        <v>1.1404799999999999</v>
      </c>
      <c r="DP28" s="6">
        <f>日流量!DP28*24*3600/100000000</f>
        <v>1.2527999999999999</v>
      </c>
      <c r="DQ28" s="6">
        <f>日流量!DQ28*24*3600/100000000</f>
        <v>1.4688000000000001</v>
      </c>
      <c r="DR28" s="6">
        <f>日流量!DR28*24*3600/100000000</f>
        <v>1.6588799999999999</v>
      </c>
      <c r="DS28" s="6">
        <f>日流量!DS28*24*3600/100000000</f>
        <v>1.82304</v>
      </c>
      <c r="DT28" s="6">
        <f>日流量!DT28*24*3600/100000000</f>
        <v>1.9008</v>
      </c>
      <c r="DU28" s="6">
        <f>日流量!DU28*24*3600/100000000</f>
        <v>1.8575999999999999</v>
      </c>
      <c r="DV28" s="6">
        <f>日流量!DV28*24*3600/100000000</f>
        <v>1.7625599999999999</v>
      </c>
      <c r="DW28" s="6">
        <f>日流量!DW28*24*3600/100000000</f>
        <v>1.62432</v>
      </c>
      <c r="DX28" s="6">
        <f>日流量!DX28*24*3600/100000000</f>
        <v>1.52064</v>
      </c>
      <c r="DY28" s="6">
        <f>日流量!DY28*24*3600/100000000</f>
        <v>1.4428799999999999</v>
      </c>
      <c r="DZ28" s="6">
        <f>日流量!DZ28*24*3600/100000000</f>
        <v>1.3651199999999999</v>
      </c>
      <c r="EA28" s="6">
        <f>日流量!EA28*24*3600/100000000</f>
        <v>1.30464</v>
      </c>
      <c r="EB28" s="6">
        <f>日流量!EB28*24*3600/100000000</f>
        <v>1.2700800000000001</v>
      </c>
      <c r="EC28" s="6">
        <f>日流量!EC28*24*3600/100000000</f>
        <v>1.23552</v>
      </c>
      <c r="ED28" s="6">
        <f>日流量!ED28*24*3600/100000000</f>
        <v>1.2441599999999999</v>
      </c>
      <c r="EE28" s="6">
        <f>日流量!EE28*24*3600/100000000</f>
        <v>1.2441599999999999</v>
      </c>
      <c r="EF28" s="6">
        <f>日流量!EF28*24*3600/100000000</f>
        <v>1.2614399999999999</v>
      </c>
      <c r="EG28" s="6">
        <f>日流量!EG28*24*3600/100000000</f>
        <v>1.2700800000000001</v>
      </c>
      <c r="EH28" s="6">
        <f>日流量!EH28*24*3600/100000000</f>
        <v>1.2787200000000001</v>
      </c>
      <c r="EI28" s="6">
        <f>日流量!EI28*24*3600/100000000</f>
        <v>1.30464</v>
      </c>
      <c r="EJ28" s="6">
        <f>日流量!EJ28*24*3600/100000000</f>
        <v>1.30464</v>
      </c>
      <c r="EK28" s="6">
        <f>日流量!EK28*24*3600/100000000</f>
        <v>1.2787200000000001</v>
      </c>
      <c r="EL28" s="6">
        <f>日流量!EL28*24*3600/100000000</f>
        <v>1.2787200000000001</v>
      </c>
      <c r="EM28" s="6">
        <f>日流量!EM28*24*3600/100000000</f>
        <v>1.2873600000000001</v>
      </c>
      <c r="EN28" s="6">
        <f>日流量!EN28*24*3600/100000000</f>
        <v>1.296</v>
      </c>
      <c r="EO28" s="6">
        <f>日流量!EO28*24*3600/100000000</f>
        <v>1.3478399999999999</v>
      </c>
      <c r="EP28" s="6">
        <f>日流量!EP28*24*3600/100000000</f>
        <v>1.3824000000000001</v>
      </c>
      <c r="EQ28" s="6">
        <f>日流量!EQ28*24*3600/100000000</f>
        <v>1.39968</v>
      </c>
      <c r="ER28" s="6">
        <f>日流量!ER28*24*3600/100000000</f>
        <v>1.4860800000000001</v>
      </c>
      <c r="ES28" s="6">
        <f>日流量!ES28*24*3600/100000000</f>
        <v>1.6848000000000001</v>
      </c>
      <c r="ET28" s="6">
        <f>日流量!ET28*24*3600/100000000</f>
        <v>2.13408</v>
      </c>
      <c r="EU28" s="6">
        <f>日流量!EU28*24*3600/100000000</f>
        <v>2.4019200000000001</v>
      </c>
      <c r="EV28" s="6">
        <f>日流量!EV28*24*3600/100000000</f>
        <v>2.3846400000000001</v>
      </c>
      <c r="EW28" s="6">
        <f>日流量!EW28*24*3600/100000000</f>
        <v>2.2809599999999999</v>
      </c>
      <c r="EX28" s="6">
        <f>日流量!EX28*24*3600/100000000</f>
        <v>2.1686399999999999</v>
      </c>
      <c r="EY28" s="6">
        <f>日流量!EY28*24*3600/100000000</f>
        <v>1.9958400000000001</v>
      </c>
      <c r="EZ28" s="6">
        <f>日流量!EZ28*24*3600/100000000</f>
        <v>1.8489599999999999</v>
      </c>
      <c r="FA28" s="6">
        <f>日流量!FA28*24*3600/100000000</f>
        <v>1.6848000000000001</v>
      </c>
      <c r="FB28" s="6">
        <f>日流量!FB28*24*3600/100000000</f>
        <v>1.6502399999999999</v>
      </c>
      <c r="FC28" s="6">
        <f>日流量!FC28*24*3600/100000000</f>
        <v>1.80576</v>
      </c>
      <c r="FD28" s="6">
        <f>日流量!FD28*24*3600/100000000</f>
        <v>1.9699199999999999</v>
      </c>
      <c r="FE28" s="6">
        <f>日流量!FE28*24*3600/100000000</f>
        <v>2.0131199999999998</v>
      </c>
      <c r="FF28" s="6">
        <f>日流量!FF28*24*3600/100000000</f>
        <v>2.02176</v>
      </c>
      <c r="FG28" s="6">
        <f>日流量!FG28*24*3600/100000000</f>
        <v>2.0735999999999999</v>
      </c>
      <c r="FH28" s="6">
        <f>日流量!FH28*24*3600/100000000</f>
        <v>2.1686399999999999</v>
      </c>
      <c r="FI28" s="6">
        <f>日流量!FI28*24*3600/100000000</f>
        <v>2.2982399999999998</v>
      </c>
      <c r="FJ28" s="6">
        <f>日流量!FJ28*24*3600/100000000</f>
        <v>2.7734399999999999</v>
      </c>
      <c r="FK28" s="6">
        <f>日流量!FK28*24*3600/100000000</f>
        <v>3.3868800000000001</v>
      </c>
      <c r="FL28" s="6">
        <f>日流量!FL28*24*3600/100000000</f>
        <v>4.2249600000000003</v>
      </c>
      <c r="FM28" s="6">
        <f>日流量!FM28*24*3600/100000000</f>
        <v>5.5468799999999998</v>
      </c>
      <c r="FN28" s="6">
        <f>日流量!FN28*24*3600/100000000</f>
        <v>6.1430400000000001</v>
      </c>
      <c r="FO28" s="6">
        <f>日流量!FO28*24*3600/100000000</f>
        <v>5.5036800000000001</v>
      </c>
      <c r="FP28" s="6">
        <f>日流量!FP28*24*3600/100000000</f>
        <v>4.8643200000000002</v>
      </c>
      <c r="FQ28" s="6">
        <f>日流量!FQ28*24*3600/100000000</f>
        <v>4.3632</v>
      </c>
      <c r="FR28" s="6">
        <f>日流量!FR28*24*3600/100000000</f>
        <v>4.0262399999999996</v>
      </c>
      <c r="FS28" s="6">
        <f>日流量!FS28*24*3600/100000000</f>
        <v>3.6374399999999998</v>
      </c>
      <c r="FT28" s="6">
        <f>日流量!FT28*24*3600/100000000</f>
        <v>3.3523200000000002</v>
      </c>
      <c r="FU28" s="6">
        <f>日流量!FU28*24*3600/100000000</f>
        <v>3.2572800000000002</v>
      </c>
      <c r="FV28" s="6">
        <f>日流量!FV28*24*3600/100000000</f>
        <v>3.1795200000000001</v>
      </c>
      <c r="FW28" s="6">
        <f>日流量!FW28*24*3600/100000000</f>
        <v>3.3177599999999998</v>
      </c>
      <c r="FX28" s="6">
        <f>日流量!FX28*24*3600/100000000</f>
        <v>3.6288</v>
      </c>
      <c r="FY28" s="6">
        <f>日流量!FY28*24*3600/100000000</f>
        <v>4.2595200000000002</v>
      </c>
      <c r="FZ28" s="6">
        <f>日流量!FZ28*24*3600/100000000</f>
        <v>4.74336</v>
      </c>
      <c r="GA28" s="6">
        <f>日流量!GA28*24*3600/100000000</f>
        <v>4.9420799999999998</v>
      </c>
      <c r="GB28" s="6">
        <f>日流量!GB28*24*3600/100000000</f>
        <v>5.4863999999999997</v>
      </c>
      <c r="GC28" s="6">
        <f>日流量!GC28*24*3600/100000000</f>
        <v>6.0739200000000002</v>
      </c>
      <c r="GD28" s="6">
        <f>日流量!GD28*24*3600/100000000</f>
        <v>6.55776</v>
      </c>
      <c r="GE28" s="6">
        <f>日流量!GE28*24*3600/100000000</f>
        <v>6.1948800000000004</v>
      </c>
      <c r="GF28" s="6">
        <f>日流量!GF28*24*3600/100000000</f>
        <v>5.95296</v>
      </c>
      <c r="GG28" s="6">
        <f>日流量!GG28*24*3600/100000000</f>
        <v>5.6592000000000002</v>
      </c>
      <c r="GH28" s="6">
        <f>日流量!GH28*24*3600/100000000</f>
        <v>5.34816</v>
      </c>
      <c r="GI28" s="6">
        <f>日流量!GI28*24*3600/100000000</f>
        <v>5.2358399999999996</v>
      </c>
      <c r="GJ28" s="6">
        <f>日流量!GJ28*24*3600/100000000</f>
        <v>5.2271999999999998</v>
      </c>
      <c r="GK28" s="6">
        <f>日流量!GK28*24*3600/100000000</f>
        <v>5.2012799999999997</v>
      </c>
      <c r="GL28" s="6">
        <f>日流量!GL28*24*3600/100000000</f>
        <v>5.2790400000000002</v>
      </c>
      <c r="GM28" s="6">
        <f>日流量!GM28*24*3600/100000000</f>
        <v>5.8060799999999997</v>
      </c>
      <c r="GN28" s="6">
        <f>日流量!GN28*24*3600/100000000</f>
        <v>6.2294400000000003</v>
      </c>
      <c r="GO28" s="6">
        <f>日流量!GO28*24*3600/100000000</f>
        <v>7.6377600000000001</v>
      </c>
      <c r="GP28" s="6">
        <f>日流量!GP28*24*3600/100000000</f>
        <v>8.7263999999999999</v>
      </c>
      <c r="GQ28" s="6">
        <f>日流量!GQ28*24*3600/100000000</f>
        <v>8.4672000000000001</v>
      </c>
      <c r="GR28" s="6">
        <f>日流量!GR28*24*3600/100000000</f>
        <v>7.8883200000000002</v>
      </c>
      <c r="GS28" s="6">
        <f>日流量!GS28*24*3600/100000000</f>
        <v>7.0070399999999999</v>
      </c>
      <c r="GT28" s="6">
        <f>日流量!GT28*24*3600/100000000</f>
        <v>6.4195200000000003</v>
      </c>
      <c r="GU28" s="6">
        <f>日流量!GU28*24*3600/100000000</f>
        <v>6.2467199999999998</v>
      </c>
      <c r="GV28" s="6">
        <f>日流量!GV28*24*3600/100000000</f>
        <v>6.2467199999999998</v>
      </c>
      <c r="GW28" s="6">
        <f>日流量!GW28*24*3600/100000000</f>
        <v>5.8406399999999996</v>
      </c>
      <c r="GX28" s="6">
        <f>日流量!GX28*24*3600/100000000</f>
        <v>5.6764799999999997</v>
      </c>
      <c r="GY28" s="6">
        <f>日流量!GY28*24*3600/100000000</f>
        <v>5.7283200000000001</v>
      </c>
      <c r="GZ28" s="6">
        <f>日流量!GZ28*24*3600/100000000</f>
        <v>5.8147200000000003</v>
      </c>
      <c r="HA28" s="6">
        <f>日流量!HA28*24*3600/100000000</f>
        <v>5.7801600000000004</v>
      </c>
      <c r="HB28" s="6">
        <f>日流量!HB28*24*3600/100000000</f>
        <v>6.3071999999999999</v>
      </c>
      <c r="HC28" s="6">
        <f>日流量!HC28*24*3600/100000000</f>
        <v>7.3353599999999997</v>
      </c>
      <c r="HD28" s="6">
        <f>日流量!HD28*24*3600/100000000</f>
        <v>8.3635199999999994</v>
      </c>
      <c r="HE28" s="6">
        <f>日流量!HE28*24*3600/100000000</f>
        <v>9.0719999999999992</v>
      </c>
      <c r="HF28" s="6">
        <f>日流量!HF28*24*3600/100000000</f>
        <v>9.2447999999999997</v>
      </c>
      <c r="HG28" s="6">
        <f>日流量!HG28*24*3600/100000000</f>
        <v>9.5904000000000007</v>
      </c>
      <c r="HH28" s="6">
        <f>日流量!HH28*24*3600/100000000</f>
        <v>9.6768000000000001</v>
      </c>
      <c r="HI28" s="6">
        <f>日流量!HI28*24*3600/100000000</f>
        <v>9.3312000000000008</v>
      </c>
      <c r="HJ28" s="6">
        <f>日流量!HJ28*24*3600/100000000</f>
        <v>9.2447999999999997</v>
      </c>
      <c r="HK28" s="6">
        <f>日流量!HK28*24*3600/100000000</f>
        <v>9.4176000000000002</v>
      </c>
      <c r="HL28" s="6">
        <f>日流量!HL28*24*3600/100000000</f>
        <v>9.1584000000000003</v>
      </c>
      <c r="HM28" s="6">
        <f>日流量!HM28*24*3600/100000000</f>
        <v>8.5795200000000005</v>
      </c>
      <c r="HN28" s="6">
        <f>日流量!HN28*24*3600/100000000</f>
        <v>8.0006400000000006</v>
      </c>
      <c r="HO28" s="6">
        <f>日流量!HO28*24*3600/100000000</f>
        <v>7.3612799999999998</v>
      </c>
      <c r="HP28" s="6">
        <f>日流量!HP28*24*3600/100000000</f>
        <v>6.8169599999999999</v>
      </c>
      <c r="HQ28" s="6">
        <f>日流量!HQ28*24*3600/100000000</f>
        <v>6.5318399999999999</v>
      </c>
      <c r="HR28" s="6">
        <f>日流量!HR28*24*3600/100000000</f>
        <v>6.2121599999999999</v>
      </c>
      <c r="HS28" s="6">
        <f>日流量!HS28*24*3600/100000000</f>
        <v>5.9011199999999997</v>
      </c>
      <c r="HT28" s="6">
        <f>日流量!HT28*24*3600/100000000</f>
        <v>5.6592000000000002</v>
      </c>
      <c r="HU28" s="6">
        <f>日流量!HU28*24*3600/100000000</f>
        <v>5.4345600000000003</v>
      </c>
      <c r="HV28" s="6">
        <f>日流量!HV28*24*3600/100000000</f>
        <v>5.4345600000000003</v>
      </c>
      <c r="HW28" s="6">
        <f>日流量!HW28*24*3600/100000000</f>
        <v>5.4259199999999996</v>
      </c>
      <c r="HX28" s="6">
        <f>日流量!HX28*24*3600/100000000</f>
        <v>5.4086400000000001</v>
      </c>
      <c r="HY28" s="6">
        <f>日流量!HY28*24*3600/100000000</f>
        <v>5.2876799999999999</v>
      </c>
      <c r="HZ28" s="6">
        <f>日流量!HZ28*24*3600/100000000</f>
        <v>5.1062399999999997</v>
      </c>
      <c r="IA28" s="6">
        <f>日流量!IA28*24*3600/100000000</f>
        <v>4.9593600000000002</v>
      </c>
      <c r="IB28" s="6">
        <f>日流量!IB28*24*3600/100000000</f>
        <v>4.8470399999999998</v>
      </c>
      <c r="IC28" s="6">
        <f>日流量!IC28*24*3600/100000000</f>
        <v>4.7692800000000002</v>
      </c>
      <c r="ID28" s="6">
        <f>日流量!ID28*24*3600/100000000</f>
        <v>4.5878399999999999</v>
      </c>
      <c r="IE28" s="6">
        <f>日流量!IE28*24*3600/100000000</f>
        <v>4.4323199999999998</v>
      </c>
      <c r="IF28" s="6">
        <f>日流量!IF28*24*3600/100000000</f>
        <v>4.32</v>
      </c>
      <c r="IG28" s="6">
        <f>日流量!IG28*24*3600/100000000</f>
        <v>4.2336</v>
      </c>
      <c r="IH28" s="6">
        <f>日流量!IH28*24*3600/100000000</f>
        <v>4.0780799999999999</v>
      </c>
      <c r="II28" s="6">
        <f>日流量!II28*24*3600/100000000</f>
        <v>3.9398399999999998</v>
      </c>
      <c r="IJ28" s="6">
        <f>日流量!IJ28*24*3600/100000000</f>
        <v>3.8275199999999998</v>
      </c>
      <c r="IK28" s="6">
        <f>日流量!IK28*24*3600/100000000</f>
        <v>3.94848</v>
      </c>
      <c r="IL28" s="6">
        <f>日流量!IL28*24*3600/100000000</f>
        <v>3.9916800000000001</v>
      </c>
      <c r="IM28" s="6">
        <f>日流量!IM28*24*3600/100000000</f>
        <v>4.2076799999999999</v>
      </c>
      <c r="IN28" s="6">
        <f>日流量!IN28*24*3600/100000000</f>
        <v>4.5014399999999997</v>
      </c>
      <c r="IO28" s="6">
        <f>日流量!IO28*24*3600/100000000</f>
        <v>4.5619199999999998</v>
      </c>
      <c r="IP28" s="6">
        <f>日流量!IP28*24*3600/100000000</f>
        <v>4.6915199999999997</v>
      </c>
      <c r="IQ28" s="6">
        <f>日流量!IQ28*24*3600/100000000</f>
        <v>5.2790400000000002</v>
      </c>
      <c r="IR28" s="6">
        <f>日流量!IR28*24*3600/100000000</f>
        <v>6.7910399999999997</v>
      </c>
      <c r="IS28" s="6">
        <f>日流量!IS28*24*3600/100000000</f>
        <v>7.9315199999999999</v>
      </c>
      <c r="IT28" s="6">
        <f>日流量!IT28*24*3600/100000000</f>
        <v>7.9488000000000003</v>
      </c>
      <c r="IU28" s="6">
        <f>日流量!IU28*24*3600/100000000</f>
        <v>7.4476800000000001</v>
      </c>
      <c r="IV28" s="6">
        <f>日流量!IV28*24*3600/100000000</f>
        <v>6.55776</v>
      </c>
      <c r="IW28" s="6">
        <f>日流量!IW28*24*3600/100000000</f>
        <v>5.9097600000000003</v>
      </c>
      <c r="IX28" s="6">
        <f>日流量!IX28*24*3600/100000000</f>
        <v>5.5728</v>
      </c>
      <c r="IY28" s="6">
        <f>日流量!IY28*24*3600/100000000</f>
        <v>5.5209599999999996</v>
      </c>
      <c r="IZ28" s="6">
        <f>日流量!IZ28*24*3600/100000000</f>
        <v>5.5987200000000001</v>
      </c>
      <c r="JA28" s="6">
        <f>日流量!JA28*24*3600/100000000</f>
        <v>6.2380800000000001</v>
      </c>
      <c r="JB28" s="6">
        <f>日流量!JB28*24*3600/100000000</f>
        <v>6.1862399999999997</v>
      </c>
      <c r="JC28" s="6">
        <f>日流量!JC28*24*3600/100000000</f>
        <v>6.1344000000000003</v>
      </c>
      <c r="JD28" s="6">
        <f>日流量!JD28*24*3600/100000000</f>
        <v>6.2207999999999997</v>
      </c>
      <c r="JE28" s="6">
        <f>日流量!JE28*24*3600/100000000</f>
        <v>6.2207999999999997</v>
      </c>
      <c r="JF28" s="6">
        <f>日流量!JF28*24*3600/100000000</f>
        <v>5.95296</v>
      </c>
      <c r="JG28" s="6">
        <f>日流量!JG28*24*3600/100000000</f>
        <v>6.2985600000000002</v>
      </c>
      <c r="JH28" s="6">
        <f>日流量!JH28*24*3600/100000000</f>
        <v>5.98752</v>
      </c>
      <c r="JI28" s="6">
        <f>日流量!JI28*24*3600/100000000</f>
        <v>5.6419199999999998</v>
      </c>
      <c r="JJ28" s="6">
        <f>日流量!JJ28*24*3600/100000000</f>
        <v>5.25312</v>
      </c>
      <c r="JK28" s="6">
        <f>日流量!JK28*24*3600/100000000</f>
        <v>4.93344</v>
      </c>
      <c r="JL28" s="6">
        <f>日流量!JL28*24*3600/100000000</f>
        <v>4.6828799999999999</v>
      </c>
      <c r="JM28" s="6">
        <f>日流量!JM28*24*3600/100000000</f>
        <v>4.4841600000000001</v>
      </c>
      <c r="JN28" s="6">
        <f>日流量!JN28*24*3600/100000000</f>
        <v>4.3891200000000001</v>
      </c>
      <c r="JO28" s="6">
        <f>日流量!JO28*24*3600/100000000</f>
        <v>4.32</v>
      </c>
      <c r="JP28" s="6">
        <f>日流量!JP28*24*3600/100000000</f>
        <v>4.1904000000000003</v>
      </c>
      <c r="JQ28" s="6">
        <f>日流量!JQ28*24*3600/100000000</f>
        <v>4.1817599999999997</v>
      </c>
      <c r="JR28" s="6">
        <f>日流量!JR28*24*3600/100000000</f>
        <v>4.2595200000000002</v>
      </c>
      <c r="JS28" s="6">
        <f>日流量!JS28*24*3600/100000000</f>
        <v>4.4150400000000003</v>
      </c>
      <c r="JT28" s="6">
        <f>日流量!JT28*24*3600/100000000</f>
        <v>4.6915199999999997</v>
      </c>
      <c r="JU28" s="6">
        <f>日流量!JU28*24*3600/100000000</f>
        <v>4.6310399999999996</v>
      </c>
      <c r="JV28" s="6">
        <f>日流量!JV28*24*3600/100000000</f>
        <v>4.3632</v>
      </c>
      <c r="JW28" s="6">
        <f>日流量!JW28*24*3600/100000000</f>
        <v>4.2422399999999998</v>
      </c>
      <c r="JX28" s="6">
        <f>日流量!JX28*24*3600/100000000</f>
        <v>4.0953600000000003</v>
      </c>
      <c r="JY28" s="6">
        <f>日流量!JY28*24*3600/100000000</f>
        <v>4.0175999999999998</v>
      </c>
      <c r="JZ28" s="6">
        <f>日流量!JZ28*24*3600/100000000</f>
        <v>3.94848</v>
      </c>
      <c r="KA28" s="6">
        <f>日流量!KA28*24*3600/100000000</f>
        <v>3.8620800000000002</v>
      </c>
      <c r="KB28" s="6">
        <f>日流量!KB28*24*3600/100000000</f>
        <v>3.9398399999999998</v>
      </c>
      <c r="KC28" s="6">
        <f>日流量!KC28*24*3600/100000000</f>
        <v>4.1904000000000003</v>
      </c>
      <c r="KD28" s="6">
        <f>日流量!KD28*24*3600/100000000</f>
        <v>4.2422399999999998</v>
      </c>
      <c r="KE28" s="6">
        <f>日流量!KE28*24*3600/100000000</f>
        <v>4.04352</v>
      </c>
      <c r="KF28" s="6">
        <f>日流量!KF28*24*3600/100000000</f>
        <v>3.94848</v>
      </c>
      <c r="KG28" s="6">
        <f>日流量!KG28*24*3600/100000000</f>
        <v>3.8966400000000001</v>
      </c>
      <c r="KH28" s="6">
        <f>日流量!KH28*24*3600/100000000</f>
        <v>3.8102399999999998</v>
      </c>
      <c r="KI28" s="6">
        <f>日流量!KI28*24*3600/100000000</f>
        <v>3.6979199999999999</v>
      </c>
      <c r="KJ28" s="6">
        <f>日流量!KJ28*24*3600/100000000</f>
        <v>3.6028799999999999</v>
      </c>
      <c r="KK28" s="6">
        <f>日流量!KK28*24*3600/100000000</f>
        <v>3.4905599999999999</v>
      </c>
      <c r="KL28" s="6">
        <f>日流量!KL28*24*3600/100000000</f>
        <v>3.3955199999999999</v>
      </c>
      <c r="KM28" s="6">
        <f>日流量!KM28*24*3600/100000000</f>
        <v>3.3004799999999999</v>
      </c>
      <c r="KN28" s="6">
        <f>日流量!KN28*24*3600/100000000</f>
        <v>3.2227199999999998</v>
      </c>
      <c r="KO28" s="6">
        <f>日流量!KO28*24*3600/100000000</f>
        <v>3.1103999999999998</v>
      </c>
      <c r="KP28" s="6">
        <f>日流量!KP28*24*3600/100000000</f>
        <v>3.0067200000000001</v>
      </c>
      <c r="KQ28" s="6">
        <f>日流量!KQ28*24*3600/100000000</f>
        <v>2.9203199999999998</v>
      </c>
      <c r="KR28" s="6">
        <f>日流量!KR28*24*3600/100000000</f>
        <v>2.8252799999999998</v>
      </c>
      <c r="KS28" s="6">
        <f>日流量!KS28*24*3600/100000000</f>
        <v>2.7475200000000002</v>
      </c>
      <c r="KT28" s="6">
        <f>日流量!KT28*24*3600/100000000</f>
        <v>2.7129599999999998</v>
      </c>
      <c r="KU28" s="6">
        <f>日流量!KU28*24*3600/100000000</f>
        <v>2.6956799999999999</v>
      </c>
      <c r="KV28" s="6">
        <f>日流量!KV28*24*3600/100000000</f>
        <v>2.6870400000000001</v>
      </c>
      <c r="KW28" s="6">
        <f>日流量!KW28*24*3600/100000000</f>
        <v>2.6870400000000001</v>
      </c>
      <c r="KX28" s="6">
        <f>日流量!KX28*24*3600/100000000</f>
        <v>2.62656</v>
      </c>
      <c r="KY28" s="6">
        <f>日流量!KY28*24*3600/100000000</f>
        <v>2.6870400000000001</v>
      </c>
      <c r="KZ28" s="6">
        <f>日流量!KZ28*24*3600/100000000</f>
        <v>2.7043200000000001</v>
      </c>
      <c r="LA28" s="6">
        <f>日流量!LA28*24*3600/100000000</f>
        <v>2.5401600000000002</v>
      </c>
      <c r="LB28" s="6">
        <f>日流量!LB28*24*3600/100000000</f>
        <v>2.4537599999999999</v>
      </c>
      <c r="LC28" s="6">
        <f>日流量!LC28*24*3600/100000000</f>
        <v>2.3673600000000001</v>
      </c>
      <c r="LD28" s="6">
        <f>日流量!LD28*24*3600/100000000</f>
        <v>2.2809599999999999</v>
      </c>
      <c r="LE28" s="6">
        <f>日流量!LE28*24*3600/100000000</f>
        <v>2.22912</v>
      </c>
      <c r="LF28" s="6">
        <f>日流量!LF28*24*3600/100000000</f>
        <v>2.1945600000000001</v>
      </c>
      <c r="LG28" s="6">
        <f>日流量!LG28*24*3600/100000000</f>
        <v>2.2464</v>
      </c>
      <c r="LH28" s="6">
        <f>日流量!LH28*24*3600/100000000</f>
        <v>2.32416</v>
      </c>
      <c r="LI28" s="6">
        <f>日流量!LI28*24*3600/100000000</f>
        <v>2.2464</v>
      </c>
      <c r="LJ28" s="6">
        <f>日流量!LJ28*24*3600/100000000</f>
        <v>2.1772800000000001</v>
      </c>
      <c r="LK28" s="6">
        <f>日流量!LK28*24*3600/100000000</f>
        <v>2.1168</v>
      </c>
      <c r="LL28" s="6">
        <f>日流量!LL28*24*3600/100000000</f>
        <v>2.0563199999999999</v>
      </c>
      <c r="LM28" s="6">
        <f>日流量!LM28*24*3600/100000000</f>
        <v>1.9958400000000001</v>
      </c>
      <c r="LN28" s="6">
        <f>日流量!LN28*24*3600/100000000</f>
        <v>1.9526399999999999</v>
      </c>
      <c r="LO28" s="6">
        <f>日流量!LO28*24*3600/100000000</f>
        <v>1.92672</v>
      </c>
      <c r="LP28" s="6">
        <f>日流量!LP28*24*3600/100000000</f>
        <v>1.8921600000000001</v>
      </c>
      <c r="LQ28" s="6">
        <f>日流量!LQ28*24*3600/100000000</f>
        <v>1.8662399999999999</v>
      </c>
      <c r="LR28" s="6">
        <f>日流量!LR28*24*3600/100000000</f>
        <v>1.84032</v>
      </c>
      <c r="LS28" s="6">
        <f>日流量!LS28*24*3600/100000000</f>
        <v>1.8144</v>
      </c>
      <c r="LT28" s="6">
        <f>日流量!LT28*24*3600/100000000</f>
        <v>1.7884800000000001</v>
      </c>
      <c r="LU28" s="6">
        <f>日流量!LU28*24*3600/100000000</f>
        <v>1.7625599999999999</v>
      </c>
      <c r="LV28" s="6">
        <f>日流量!LV28*24*3600/100000000</f>
        <v>1.73664</v>
      </c>
      <c r="LW28" s="6">
        <f>日流量!LW28*24*3600/100000000</f>
        <v>1.71072</v>
      </c>
      <c r="LX28" s="6">
        <f>日流量!LX28*24*3600/100000000</f>
        <v>1.6934400000000001</v>
      </c>
      <c r="LY28" s="6">
        <f>日流量!LY28*24*3600/100000000</f>
        <v>1.6588799999999999</v>
      </c>
      <c r="LZ28" s="6">
        <f>日流量!LZ28*24*3600/100000000</f>
        <v>1.60704</v>
      </c>
      <c r="MA28" s="6">
        <f>日流量!MA28*24*3600/100000000</f>
        <v>1.5638399999999999</v>
      </c>
      <c r="MB28" s="6">
        <f>日流量!MB28*24*3600/100000000</f>
        <v>1.53792</v>
      </c>
      <c r="MC28" s="6">
        <f>日流量!MC28*24*3600/100000000</f>
        <v>1.512</v>
      </c>
      <c r="MD28" s="6">
        <f>日流量!MD28*24*3600/100000000</f>
        <v>1.4601599999999999</v>
      </c>
      <c r="ME28" s="6">
        <f>日流量!ME28*24*3600/100000000</f>
        <v>1.4256</v>
      </c>
      <c r="MF28" s="6">
        <f>日流量!MF28*24*3600/100000000</f>
        <v>1.39968</v>
      </c>
      <c r="MG28" s="6">
        <f>日流量!MG28*24*3600/100000000</f>
        <v>1.3824000000000001</v>
      </c>
      <c r="MH28" s="6">
        <f>日流量!MH28*24*3600/100000000</f>
        <v>1.3651199999999999</v>
      </c>
      <c r="MI28" s="6">
        <f>日流量!MI28*24*3600/100000000</f>
        <v>1.3478399999999999</v>
      </c>
      <c r="MJ28" s="6">
        <f>日流量!MJ28*24*3600/100000000</f>
        <v>1.3478399999999999</v>
      </c>
      <c r="MK28" s="6">
        <f>日流量!MK28*24*3600/100000000</f>
        <v>1.31328</v>
      </c>
      <c r="ML28" s="6">
        <f>日流量!ML28*24*3600/100000000</f>
        <v>1.296</v>
      </c>
      <c r="MM28" s="6">
        <f>日流量!MM28*24*3600/100000000</f>
        <v>1.2614399999999999</v>
      </c>
      <c r="MN28" s="6">
        <f>日流量!MN28*24*3600/100000000</f>
        <v>1.2441599999999999</v>
      </c>
      <c r="MO28" s="6">
        <f>日流量!MO28*24*3600/100000000</f>
        <v>1.22688</v>
      </c>
      <c r="MP28" s="6">
        <f>日流量!MP28*24*3600/100000000</f>
        <v>1.20096</v>
      </c>
      <c r="MQ28" s="6">
        <f>日流量!MQ28*24*3600/100000000</f>
        <v>1.1836800000000001</v>
      </c>
      <c r="MR28" s="6">
        <f>日流量!MR28*24*3600/100000000</f>
        <v>1.1577599999999999</v>
      </c>
      <c r="MS28" s="6">
        <f>日流量!MS28*24*3600/100000000</f>
        <v>1.13184</v>
      </c>
      <c r="MT28" s="6">
        <f>日流量!MT28*24*3600/100000000</f>
        <v>1.11456</v>
      </c>
      <c r="MU28" s="6">
        <f>日流量!MU28*24*3600/100000000</f>
        <v>1.0886400000000001</v>
      </c>
      <c r="MV28" s="6">
        <f>日流量!MV28*24*3600/100000000</f>
        <v>1.08</v>
      </c>
      <c r="MW28" s="6">
        <f>日流量!MW28*24*3600/100000000</f>
        <v>1.0713600000000001</v>
      </c>
      <c r="MX28" s="6">
        <f>日流量!MX28*24*3600/100000000</f>
        <v>1.0627200000000001</v>
      </c>
      <c r="MY28" s="6">
        <f>日流量!MY28*24*3600/100000000</f>
        <v>1.0454399999999999</v>
      </c>
      <c r="MZ28" s="6">
        <f>日流量!MZ28*24*3600/100000000</f>
        <v>1.0367999999999999</v>
      </c>
      <c r="NA28" s="6">
        <f>日流量!NA28*24*3600/100000000</f>
        <v>1.02816</v>
      </c>
      <c r="NB28" s="6">
        <f>日流量!NB28*24*3600/100000000</f>
        <v>1.01952</v>
      </c>
      <c r="NC28" s="6"/>
      <c r="ND28" s="6">
        <f>日流量!ND28*24*3600*31/100000000</f>
        <v>40.443840000000002</v>
      </c>
      <c r="NE28" s="6">
        <f>日流量!NE28*24*3600*28/100000000</f>
        <v>31.4496</v>
      </c>
      <c r="NF28" s="6">
        <f>日流量!NF28*24*3600*31/100000000</f>
        <v>31.605119999999999</v>
      </c>
      <c r="NG28" s="6">
        <f>日流量!NG28*24*3600*30/100000000</f>
        <v>34.991999999999997</v>
      </c>
      <c r="NH28" s="6">
        <f>日流量!NH28*24*3600*31/100000000</f>
        <v>47.675519999999999</v>
      </c>
      <c r="NI28" s="6">
        <f>日流量!NI28*24*3600*30/100000000</f>
        <v>98.755200000000002</v>
      </c>
      <c r="NJ28" s="6">
        <f>日流量!NJ28*24*3600*31/100000000</f>
        <v>201.95135999999999</v>
      </c>
      <c r="NK28" s="6">
        <f>日流量!NK28*24*3600*31/100000000</f>
        <v>191.50559999999999</v>
      </c>
      <c r="NL28" s="6">
        <f>日流量!NL28*24*3600*30/100000000</f>
        <v>169.51679999999999</v>
      </c>
      <c r="NM28" s="6">
        <f>日流量!NM28*24*3600*31/100000000</f>
        <v>117.04608</v>
      </c>
      <c r="NN28" s="6">
        <f>日流量!NN28*24*3600*30/100000000</f>
        <v>65.318399999999997</v>
      </c>
      <c r="NO28" s="6">
        <f>日流量!NO28*24*3600*31/100000000</f>
        <v>39.104640000000003</v>
      </c>
      <c r="NP28" s="14">
        <f t="shared" si="10"/>
        <v>1069.3641600000001</v>
      </c>
      <c r="NQ28" s="6">
        <f>日流量!NQ28*24*3600/100000000</f>
        <v>9.6768000000000001</v>
      </c>
      <c r="NR28" s="4">
        <f>日流量!NR28</f>
        <v>42584</v>
      </c>
      <c r="NS28" s="6">
        <f>日流量!NS28*24*3600/100000000</f>
        <v>0.98495999999999995</v>
      </c>
      <c r="NT28" s="4">
        <f>日流量!NT28</f>
        <v>42458</v>
      </c>
      <c r="NU28" s="7">
        <f>日流量!NP28</f>
        <v>3392.2191780821918</v>
      </c>
      <c r="NW28" s="13">
        <f t="shared" si="0"/>
        <v>826.45055999999988</v>
      </c>
      <c r="NX28" s="12">
        <f t="shared" si="1"/>
        <v>77.284295744491743</v>
      </c>
      <c r="NY28" s="13">
        <f t="shared" si="2"/>
        <v>661.72895999999992</v>
      </c>
      <c r="NZ28" s="12">
        <f t="shared" si="3"/>
        <v>61.880600150279939</v>
      </c>
      <c r="OA28" s="13">
        <f t="shared" si="4"/>
        <v>242.9136000000002</v>
      </c>
      <c r="OB28" s="12">
        <f t="shared" si="5"/>
        <v>22.715704255508264</v>
      </c>
      <c r="OC28" s="13">
        <f t="shared" si="6"/>
        <v>201.95135999999999</v>
      </c>
      <c r="OD28" s="12">
        <f t="shared" si="7"/>
        <v>18.885181265098691</v>
      </c>
      <c r="OE28" s="12">
        <f t="shared" si="8"/>
        <v>249.85143925233649</v>
      </c>
      <c r="OF28" s="12">
        <f t="shared" si="9"/>
        <v>7.9227371655357839</v>
      </c>
    </row>
    <row r="29" spans="1:396" x14ac:dyDescent="0.15">
      <c r="A29" s="2">
        <v>1976</v>
      </c>
      <c r="B29" s="6">
        <f>日流量!B29*24*3600/100000000</f>
        <v>1.01952</v>
      </c>
      <c r="C29" s="6">
        <f>日流量!C29*24*3600/100000000</f>
        <v>1.01952</v>
      </c>
      <c r="D29" s="6">
        <f>日流量!D29*24*3600/100000000</f>
        <v>1.01952</v>
      </c>
      <c r="E29" s="6">
        <f>日流量!E29*24*3600/100000000</f>
        <v>1.01952</v>
      </c>
      <c r="F29" s="6">
        <f>日流量!F29*24*3600/100000000</f>
        <v>1.01952</v>
      </c>
      <c r="G29" s="6">
        <f>日流量!G29*24*3600/100000000</f>
        <v>1.01088</v>
      </c>
      <c r="H29" s="6">
        <f>日流量!H29*24*3600/100000000</f>
        <v>1.01088</v>
      </c>
      <c r="I29" s="6">
        <f>日流量!I29*24*3600/100000000</f>
        <v>1.01088</v>
      </c>
      <c r="J29" s="6">
        <f>日流量!J29*24*3600/100000000</f>
        <v>1.00224</v>
      </c>
      <c r="K29" s="6">
        <f>日流量!K29*24*3600/100000000</f>
        <v>0.99360000000000004</v>
      </c>
      <c r="L29" s="6">
        <f>日流量!L29*24*3600/100000000</f>
        <v>0.98495999999999995</v>
      </c>
      <c r="M29" s="6">
        <f>日流量!M29*24*3600/100000000</f>
        <v>0.97631999999999997</v>
      </c>
      <c r="N29" s="6">
        <f>日流量!N29*24*3600/100000000</f>
        <v>0.96767999999999998</v>
      </c>
      <c r="O29" s="6">
        <f>日流量!O29*24*3600/100000000</f>
        <v>0.95904</v>
      </c>
      <c r="P29" s="6">
        <f>日流量!P29*24*3600/100000000</f>
        <v>0.95040000000000002</v>
      </c>
      <c r="Q29" s="6">
        <f>日流量!Q29*24*3600/100000000</f>
        <v>0.94176000000000004</v>
      </c>
      <c r="R29" s="6">
        <f>日流量!R29*24*3600/100000000</f>
        <v>0.93311999999999995</v>
      </c>
      <c r="S29" s="6">
        <f>日流量!S29*24*3600/100000000</f>
        <v>0.92447999999999997</v>
      </c>
      <c r="T29" s="6">
        <f>日流量!T29*24*3600/100000000</f>
        <v>0.92447999999999997</v>
      </c>
      <c r="U29" s="6">
        <f>日流量!U29*24*3600/100000000</f>
        <v>0.91583999999999999</v>
      </c>
      <c r="V29" s="6">
        <f>日流量!V29*24*3600/100000000</f>
        <v>0.91583999999999999</v>
      </c>
      <c r="W29" s="6">
        <f>日流量!W29*24*3600/100000000</f>
        <v>0.91583999999999999</v>
      </c>
      <c r="X29" s="6">
        <f>日流量!X29*24*3600/100000000</f>
        <v>0.92447999999999997</v>
      </c>
      <c r="Y29" s="6">
        <f>日流量!Y29*24*3600/100000000</f>
        <v>0.92447999999999997</v>
      </c>
      <c r="Z29" s="6">
        <f>日流量!Z29*24*3600/100000000</f>
        <v>0.92447999999999997</v>
      </c>
      <c r="AA29" s="6">
        <f>日流量!AA29*24*3600/100000000</f>
        <v>0.91583999999999999</v>
      </c>
      <c r="AB29" s="6">
        <f>日流量!AB29*24*3600/100000000</f>
        <v>0.91583999999999999</v>
      </c>
      <c r="AC29" s="6">
        <f>日流量!AC29*24*3600/100000000</f>
        <v>0.90720000000000001</v>
      </c>
      <c r="AD29" s="6">
        <f>日流量!AD29*24*3600/100000000</f>
        <v>0.90720000000000001</v>
      </c>
      <c r="AE29" s="6">
        <f>日流量!AE29*24*3600/100000000</f>
        <v>0.88992000000000004</v>
      </c>
      <c r="AF29" s="6">
        <f>日流量!AF29*24*3600/100000000</f>
        <v>0.88992000000000004</v>
      </c>
      <c r="AG29" s="6">
        <f>日流量!AG29*24*3600/100000000</f>
        <v>0.88992000000000004</v>
      </c>
      <c r="AH29" s="6">
        <f>日流量!AH29*24*3600/100000000</f>
        <v>0.88127999999999995</v>
      </c>
      <c r="AI29" s="6">
        <f>日流量!AI29*24*3600/100000000</f>
        <v>0.88127999999999995</v>
      </c>
      <c r="AJ29" s="6">
        <f>日流量!AJ29*24*3600/100000000</f>
        <v>0.88127999999999995</v>
      </c>
      <c r="AK29" s="6">
        <f>日流量!AK29*24*3600/100000000</f>
        <v>0.87263999999999997</v>
      </c>
      <c r="AL29" s="6">
        <f>日流量!AL29*24*3600/100000000</f>
        <v>0.87263999999999997</v>
      </c>
      <c r="AM29" s="6">
        <f>日流量!AM29*24*3600/100000000</f>
        <v>0.86227200000000004</v>
      </c>
      <c r="AN29" s="6">
        <f>日流量!AN29*24*3600/100000000</f>
        <v>0.85881600000000002</v>
      </c>
      <c r="AO29" s="6">
        <f>日流量!AO29*24*3600/100000000</f>
        <v>0.85449600000000003</v>
      </c>
      <c r="AP29" s="6">
        <f>日流量!AP29*24*3600/100000000</f>
        <v>0.85104000000000002</v>
      </c>
      <c r="AQ29" s="6">
        <f>日流量!AQ29*24*3600/100000000</f>
        <v>0.847584</v>
      </c>
      <c r="AR29" s="6">
        <f>日流量!AR29*24*3600/100000000</f>
        <v>0.84412799999999999</v>
      </c>
      <c r="AS29" s="6">
        <f>日流量!AS29*24*3600/100000000</f>
        <v>0.84067199999999997</v>
      </c>
      <c r="AT29" s="6">
        <f>日流量!AT29*24*3600/100000000</f>
        <v>0.83462400000000003</v>
      </c>
      <c r="AU29" s="6">
        <f>日流量!AU29*24*3600/100000000</f>
        <v>0.83116800000000002</v>
      </c>
      <c r="AV29" s="6">
        <f>日流量!AV29*24*3600/100000000</f>
        <v>0.827712</v>
      </c>
      <c r="AW29" s="6">
        <f>日流量!AW29*24*3600/100000000</f>
        <v>0.82425599999999999</v>
      </c>
      <c r="AX29" s="6">
        <f>日流量!AX29*24*3600/100000000</f>
        <v>0.81820800000000005</v>
      </c>
      <c r="AY29" s="6">
        <f>日流量!AY29*24*3600/100000000</f>
        <v>0.81561600000000001</v>
      </c>
      <c r="AZ29" s="6">
        <f>日流量!AZ29*24*3600/100000000</f>
        <v>0.81561600000000001</v>
      </c>
      <c r="BA29" s="6">
        <f>日流量!BA29*24*3600/100000000</f>
        <v>0.81561600000000001</v>
      </c>
      <c r="BB29" s="6">
        <f>日流量!BB29*24*3600/100000000</f>
        <v>0.81215999999999999</v>
      </c>
      <c r="BC29" s="6">
        <f>日流量!BC29*24*3600/100000000</f>
        <v>0.81215999999999999</v>
      </c>
      <c r="BD29" s="6">
        <f>日流量!BD29*24*3600/100000000</f>
        <v>0.80956799999999995</v>
      </c>
      <c r="BE29" s="6">
        <f>日流量!BE29*24*3600/100000000</f>
        <v>0.80697600000000003</v>
      </c>
      <c r="BF29" s="6">
        <f>日流量!BF29*24*3600/100000000</f>
        <v>0.80697600000000003</v>
      </c>
      <c r="BG29" s="6">
        <f>日流量!BG29*24*3600/100000000</f>
        <v>0.80179199999999995</v>
      </c>
      <c r="BH29" s="6">
        <f>日流量!BH29*24*3600/100000000</f>
        <v>0.80179199999999995</v>
      </c>
      <c r="BI29" s="6">
        <f>日流量!BI29*24*3600/100000000</f>
        <v>0.79833600000000005</v>
      </c>
      <c r="BJ29" s="6">
        <f>日流量!BJ29*24*3600/100000000</f>
        <v>0.80179199999999995</v>
      </c>
      <c r="BK29" s="6">
        <f>日流量!BK29*24*3600/100000000</f>
        <v>0.79833600000000005</v>
      </c>
      <c r="BL29" s="6">
        <f>日流量!BL29*24*3600/100000000</f>
        <v>0.79833600000000005</v>
      </c>
      <c r="BM29" s="6">
        <f>日流量!BM29*24*3600/100000000</f>
        <v>0.80697600000000003</v>
      </c>
      <c r="BN29" s="6">
        <f>日流量!BN29*24*3600/100000000</f>
        <v>0.81215999999999999</v>
      </c>
      <c r="BO29" s="6">
        <f>日流量!BO29*24*3600/100000000</f>
        <v>0.81820800000000005</v>
      </c>
      <c r="BP29" s="6">
        <f>日流量!BP29*24*3600/100000000</f>
        <v>0.82079999999999997</v>
      </c>
      <c r="BQ29" s="6">
        <f>日流量!BQ29*24*3600/100000000</f>
        <v>0.81820800000000005</v>
      </c>
      <c r="BR29" s="6">
        <f>日流量!BR29*24*3600/100000000</f>
        <v>0.81215999999999999</v>
      </c>
      <c r="BS29" s="6">
        <f>日流量!BS29*24*3600/100000000</f>
        <v>0.80956799999999995</v>
      </c>
      <c r="BT29" s="6">
        <f>日流量!BT29*24*3600/100000000</f>
        <v>0.80956799999999995</v>
      </c>
      <c r="BU29" s="6">
        <f>日流量!BU29*24*3600/100000000</f>
        <v>0.81561600000000001</v>
      </c>
      <c r="BV29" s="6">
        <f>日流量!BV29*24*3600/100000000</f>
        <v>0.81215999999999999</v>
      </c>
      <c r="BW29" s="6">
        <f>日流量!BW29*24*3600/100000000</f>
        <v>0.80956799999999995</v>
      </c>
      <c r="BX29" s="6">
        <f>日流量!BX29*24*3600/100000000</f>
        <v>0.80179199999999995</v>
      </c>
      <c r="BY29" s="6">
        <f>日流量!BY29*24*3600/100000000</f>
        <v>0.79574400000000001</v>
      </c>
      <c r="BZ29" s="6">
        <f>日流量!BZ29*24*3600/100000000</f>
        <v>0.79315199999999997</v>
      </c>
      <c r="CA29" s="6">
        <f>日流量!CA29*24*3600/100000000</f>
        <v>0.787968</v>
      </c>
      <c r="CB29" s="6">
        <f>日流量!CB29*24*3600/100000000</f>
        <v>0.78278400000000004</v>
      </c>
      <c r="CC29" s="6">
        <f>日流量!CC29*24*3600/100000000</f>
        <v>0.780192</v>
      </c>
      <c r="CD29" s="6">
        <f>日流量!CD29*24*3600/100000000</f>
        <v>0.77759999999999996</v>
      </c>
      <c r="CE29" s="6">
        <f>日流量!CE29*24*3600/100000000</f>
        <v>0.77759999999999996</v>
      </c>
      <c r="CF29" s="6">
        <f>日流量!CF29*24*3600/100000000</f>
        <v>0.78969599999999995</v>
      </c>
      <c r="CG29" s="6">
        <f>日流量!CG29*24*3600/100000000</f>
        <v>0.80179199999999995</v>
      </c>
      <c r="CH29" s="6">
        <f>日流量!CH29*24*3600/100000000</f>
        <v>0.80784</v>
      </c>
      <c r="CI29" s="6">
        <f>日流量!CI29*24*3600/100000000</f>
        <v>0.80784</v>
      </c>
      <c r="CJ29" s="6">
        <f>日流量!CJ29*24*3600/100000000</f>
        <v>0.84412799999999999</v>
      </c>
      <c r="CK29" s="6">
        <f>日流量!CK29*24*3600/100000000</f>
        <v>0.85017600000000004</v>
      </c>
      <c r="CL29" s="6">
        <f>日流量!CL29*24*3600/100000000</f>
        <v>0.83203199999999999</v>
      </c>
      <c r="CM29" s="6">
        <f>日流量!CM29*24*3600/100000000</f>
        <v>0.819936</v>
      </c>
      <c r="CN29" s="6">
        <f>日流量!CN29*24*3600/100000000</f>
        <v>0.81388799999999994</v>
      </c>
      <c r="CO29" s="6">
        <f>日流量!CO29*24*3600/100000000</f>
        <v>0.819936</v>
      </c>
      <c r="CP29" s="6">
        <f>日流量!CP29*24*3600/100000000</f>
        <v>0.84412799999999999</v>
      </c>
      <c r="CQ29" s="6">
        <f>日流量!CQ29*24*3600/100000000</f>
        <v>0.85622399999999999</v>
      </c>
      <c r="CR29" s="6">
        <f>日流量!CR29*24*3600/100000000</f>
        <v>0.85622399999999999</v>
      </c>
      <c r="CS29" s="6">
        <f>日流量!CS29*24*3600/100000000</f>
        <v>0.85017600000000004</v>
      </c>
      <c r="CT29" s="6">
        <f>日流量!CT29*24*3600/100000000</f>
        <v>0.84412799999999999</v>
      </c>
      <c r="CU29" s="6">
        <f>日流量!CU29*24*3600/100000000</f>
        <v>0.85017600000000004</v>
      </c>
      <c r="CV29" s="6">
        <f>日流量!CV29*24*3600/100000000</f>
        <v>0.85622399999999999</v>
      </c>
      <c r="CW29" s="6">
        <f>日流量!CW29*24*3600/100000000</f>
        <v>0.85622399999999999</v>
      </c>
      <c r="CX29" s="6">
        <f>日流量!CX29*24*3600/100000000</f>
        <v>0.85622399999999999</v>
      </c>
      <c r="CY29" s="6">
        <f>日流量!CY29*24*3600/100000000</f>
        <v>0.85622399999999999</v>
      </c>
      <c r="CZ29" s="6">
        <f>日流量!CZ29*24*3600/100000000</f>
        <v>0.87263999999999997</v>
      </c>
      <c r="DA29" s="6">
        <f>日流量!DA29*24*3600/100000000</f>
        <v>0.88992000000000004</v>
      </c>
      <c r="DB29" s="6">
        <f>日流量!DB29*24*3600/100000000</f>
        <v>0.88992000000000004</v>
      </c>
      <c r="DC29" s="6">
        <f>日流量!DC29*24*3600/100000000</f>
        <v>0.88992000000000004</v>
      </c>
      <c r="DD29" s="6">
        <f>日流量!DD29*24*3600/100000000</f>
        <v>0.90720000000000001</v>
      </c>
      <c r="DE29" s="6">
        <f>日流量!DE29*24*3600/100000000</f>
        <v>0.91583999999999999</v>
      </c>
      <c r="DF29" s="6">
        <f>日流量!DF29*24*3600/100000000</f>
        <v>0.90720000000000001</v>
      </c>
      <c r="DG29" s="6">
        <f>日流量!DG29*24*3600/100000000</f>
        <v>0.88992000000000004</v>
      </c>
      <c r="DH29" s="6">
        <f>日流量!DH29*24*3600/100000000</f>
        <v>0.87263999999999997</v>
      </c>
      <c r="DI29" s="6">
        <f>日流量!DI29*24*3600/100000000</f>
        <v>0.88127999999999995</v>
      </c>
      <c r="DJ29" s="6">
        <f>日流量!DJ29*24*3600/100000000</f>
        <v>0.89856000000000003</v>
      </c>
      <c r="DK29" s="6">
        <f>日流量!DK29*24*3600/100000000</f>
        <v>0.89856000000000003</v>
      </c>
      <c r="DL29" s="6">
        <f>日流量!DL29*24*3600/100000000</f>
        <v>0.89856000000000003</v>
      </c>
      <c r="DM29" s="6">
        <f>日流量!DM29*24*3600/100000000</f>
        <v>0.89856000000000003</v>
      </c>
      <c r="DN29" s="6">
        <f>日流量!DN29*24*3600/100000000</f>
        <v>0.93311999999999995</v>
      </c>
      <c r="DO29" s="6">
        <f>日流量!DO29*24*3600/100000000</f>
        <v>0.97631999999999997</v>
      </c>
      <c r="DP29" s="6">
        <f>日流量!DP29*24*3600/100000000</f>
        <v>1.02816</v>
      </c>
      <c r="DQ29" s="6">
        <f>日流量!DQ29*24*3600/100000000</f>
        <v>1.0367999999999999</v>
      </c>
      <c r="DR29" s="6">
        <f>日流量!DR29*24*3600/100000000</f>
        <v>1.0713600000000001</v>
      </c>
      <c r="DS29" s="6">
        <f>日流量!DS29*24*3600/100000000</f>
        <v>1.13184</v>
      </c>
      <c r="DT29" s="6">
        <f>日流量!DT29*24*3600/100000000</f>
        <v>1.2700800000000001</v>
      </c>
      <c r="DU29" s="6">
        <f>日流量!DU29*24*3600/100000000</f>
        <v>1.4428799999999999</v>
      </c>
      <c r="DV29" s="6">
        <f>日流量!DV29*24*3600/100000000</f>
        <v>1.512</v>
      </c>
      <c r="DW29" s="6">
        <f>日流量!DW29*24*3600/100000000</f>
        <v>1.52928</v>
      </c>
      <c r="DX29" s="6">
        <f>日流量!DX29*24*3600/100000000</f>
        <v>1.63296</v>
      </c>
      <c r="DY29" s="6">
        <f>日流量!DY29*24*3600/100000000</f>
        <v>1.61568</v>
      </c>
      <c r="DZ29" s="6">
        <f>日流量!DZ29*24*3600/100000000</f>
        <v>1.5638399999999999</v>
      </c>
      <c r="EA29" s="6">
        <f>日流量!EA29*24*3600/100000000</f>
        <v>1.50336</v>
      </c>
      <c r="EB29" s="6">
        <f>日流量!EB29*24*3600/100000000</f>
        <v>1.43424</v>
      </c>
      <c r="EC29" s="6">
        <f>日流量!EC29*24*3600/100000000</f>
        <v>1.40832</v>
      </c>
      <c r="ED29" s="6">
        <f>日流量!ED29*24*3600/100000000</f>
        <v>1.41696</v>
      </c>
      <c r="EE29" s="6">
        <f>日流量!EE29*24*3600/100000000</f>
        <v>1.4515199999999999</v>
      </c>
      <c r="EF29" s="6">
        <f>日流量!EF29*24*3600/100000000</f>
        <v>1.50336</v>
      </c>
      <c r="EG29" s="6">
        <f>日流量!EG29*24*3600/100000000</f>
        <v>1.52064</v>
      </c>
      <c r="EH29" s="6">
        <f>日流量!EH29*24*3600/100000000</f>
        <v>1.5465599999999999</v>
      </c>
      <c r="EI29" s="6">
        <f>日流量!EI29*24*3600/100000000</f>
        <v>1.5984</v>
      </c>
      <c r="EJ29" s="6">
        <f>日流量!EJ29*24*3600/100000000</f>
        <v>1.5984</v>
      </c>
      <c r="EK29" s="6">
        <f>日流量!EK29*24*3600/100000000</f>
        <v>1.5551999999999999</v>
      </c>
      <c r="EL29" s="6">
        <f>日流量!EL29*24*3600/100000000</f>
        <v>1.53792</v>
      </c>
      <c r="EM29" s="6">
        <f>日流量!EM29*24*3600/100000000</f>
        <v>1.5465599999999999</v>
      </c>
      <c r="EN29" s="6">
        <f>日流量!EN29*24*3600/100000000</f>
        <v>1.61568</v>
      </c>
      <c r="EO29" s="6">
        <f>日流量!EO29*24*3600/100000000</f>
        <v>1.73664</v>
      </c>
      <c r="EP29" s="6">
        <f>日流量!EP29*24*3600/100000000</f>
        <v>1.83168</v>
      </c>
      <c r="EQ29" s="6">
        <f>日流量!EQ29*24*3600/100000000</f>
        <v>1.9008</v>
      </c>
      <c r="ER29" s="6">
        <f>日流量!ER29*24*3600/100000000</f>
        <v>1.944</v>
      </c>
      <c r="ES29" s="6">
        <f>日流量!ES29*24*3600/100000000</f>
        <v>2.00448</v>
      </c>
      <c r="ET29" s="6">
        <f>日流量!ET29*24*3600/100000000</f>
        <v>2.0476800000000002</v>
      </c>
      <c r="EU29" s="6">
        <f>日流量!EU29*24*3600/100000000</f>
        <v>2.1859199999999999</v>
      </c>
      <c r="EV29" s="6">
        <f>日流量!EV29*24*3600/100000000</f>
        <v>2.4796800000000001</v>
      </c>
      <c r="EW29" s="6">
        <f>日流量!EW29*24*3600/100000000</f>
        <v>2.60928</v>
      </c>
      <c r="EX29" s="6">
        <f>日流量!EX29*24*3600/100000000</f>
        <v>2.4883199999999999</v>
      </c>
      <c r="EY29" s="6">
        <f>日流量!EY29*24*3600/100000000</f>
        <v>2.53152</v>
      </c>
      <c r="EZ29" s="6">
        <f>日流量!EZ29*24*3600/100000000</f>
        <v>2.6956799999999999</v>
      </c>
      <c r="FA29" s="6">
        <f>日流量!FA29*24*3600/100000000</f>
        <v>2.7129599999999998</v>
      </c>
      <c r="FB29" s="6">
        <f>日流量!FB29*24*3600/100000000</f>
        <v>2.81664</v>
      </c>
      <c r="FC29" s="6">
        <f>日流量!FC29*24*3600/100000000</f>
        <v>2.7907199999999999</v>
      </c>
      <c r="FD29" s="6">
        <f>日流量!FD29*24*3600/100000000</f>
        <v>2.62656</v>
      </c>
      <c r="FE29" s="6">
        <f>日流量!FE29*24*3600/100000000</f>
        <v>2.4883199999999999</v>
      </c>
      <c r="FF29" s="6">
        <f>日流量!FF29*24*3600/100000000</f>
        <v>2.4969600000000001</v>
      </c>
      <c r="FG29" s="6">
        <f>日流量!FG29*24*3600/100000000</f>
        <v>2.7475200000000002</v>
      </c>
      <c r="FH29" s="6">
        <f>日流量!FH29*24*3600/100000000</f>
        <v>2.9894400000000001</v>
      </c>
      <c r="FI29" s="6">
        <f>日流量!FI29*24*3600/100000000</f>
        <v>3.2745600000000001</v>
      </c>
      <c r="FJ29" s="6">
        <f>日流量!FJ29*24*3600/100000000</f>
        <v>3.5078399999999998</v>
      </c>
      <c r="FK29" s="6">
        <f>日流量!FK29*24*3600/100000000</f>
        <v>3.6892800000000001</v>
      </c>
      <c r="FL29" s="6">
        <f>日流量!FL29*24*3600/100000000</f>
        <v>3.83616</v>
      </c>
      <c r="FM29" s="6">
        <f>日流量!FM29*24*3600/100000000</f>
        <v>3.9398399999999998</v>
      </c>
      <c r="FN29" s="6">
        <f>日流量!FN29*24*3600/100000000</f>
        <v>3.94848</v>
      </c>
      <c r="FO29" s="6">
        <f>日流量!FO29*24*3600/100000000</f>
        <v>3.9830399999999999</v>
      </c>
      <c r="FP29" s="6">
        <f>日流量!FP29*24*3600/100000000</f>
        <v>3.8620800000000002</v>
      </c>
      <c r="FQ29" s="6">
        <f>日流量!FQ29*24*3600/100000000</f>
        <v>3.6979199999999999</v>
      </c>
      <c r="FR29" s="6">
        <f>日流量!FR29*24*3600/100000000</f>
        <v>3.64608</v>
      </c>
      <c r="FS29" s="6">
        <f>日流量!FS29*24*3600/100000000</f>
        <v>3.6028799999999999</v>
      </c>
      <c r="FT29" s="6">
        <f>日流量!FT29*24*3600/100000000</f>
        <v>3.6115200000000001</v>
      </c>
      <c r="FU29" s="6">
        <f>日流量!FU29*24*3600/100000000</f>
        <v>3.6979199999999999</v>
      </c>
      <c r="FV29" s="6">
        <f>日流量!FV29*24*3600/100000000</f>
        <v>3.8102399999999998</v>
      </c>
      <c r="FW29" s="6">
        <f>日流量!FW29*24*3600/100000000</f>
        <v>3.9052799999999999</v>
      </c>
      <c r="FX29" s="6">
        <f>日流量!FX29*24*3600/100000000</f>
        <v>4.5792000000000002</v>
      </c>
      <c r="FY29" s="6">
        <f>日流量!FY29*24*3600/100000000</f>
        <v>5.6851200000000004</v>
      </c>
      <c r="FZ29" s="6">
        <f>日流量!FZ29*24*3600/100000000</f>
        <v>8.3635199999999994</v>
      </c>
      <c r="GA29" s="6">
        <f>日流量!GA29*24*3600/100000000</f>
        <v>8.3721599999999992</v>
      </c>
      <c r="GB29" s="6">
        <f>日流量!GB29*24*3600/100000000</f>
        <v>7.56</v>
      </c>
      <c r="GC29" s="6">
        <f>日流量!GC29*24*3600/100000000</f>
        <v>7.1193600000000004</v>
      </c>
      <c r="GD29" s="6">
        <f>日流量!GD29*24*3600/100000000</f>
        <v>7.5340800000000003</v>
      </c>
      <c r="GE29" s="6">
        <f>日流量!GE29*24*3600/100000000</f>
        <v>8.2512000000000008</v>
      </c>
      <c r="GF29" s="6">
        <f>日流量!GF29*24*3600/100000000</f>
        <v>8.9855999999999998</v>
      </c>
      <c r="GG29" s="6">
        <f>日流量!GG29*24*3600/100000000</f>
        <v>9.5904000000000007</v>
      </c>
      <c r="GH29" s="6">
        <f>日流量!GH29*24*3600/100000000</f>
        <v>10.6272</v>
      </c>
      <c r="GI29" s="6">
        <f>日流量!GI29*24*3600/100000000</f>
        <v>11.231999999999999</v>
      </c>
      <c r="GJ29" s="6">
        <f>日流量!GJ29*24*3600/100000000</f>
        <v>11.4048</v>
      </c>
      <c r="GK29" s="6">
        <f>日流量!GK29*24*3600/100000000</f>
        <v>10.022399999999999</v>
      </c>
      <c r="GL29" s="6">
        <f>日流量!GL29*24*3600/100000000</f>
        <v>8.7263999999999999</v>
      </c>
      <c r="GM29" s="6">
        <f>日流量!GM29*24*3600/100000000</f>
        <v>7.7155199999999997</v>
      </c>
      <c r="GN29" s="6">
        <f>日流量!GN29*24*3600/100000000</f>
        <v>7.0415999999999999</v>
      </c>
      <c r="GO29" s="6">
        <f>日流量!GO29*24*3600/100000000</f>
        <v>6.4540800000000003</v>
      </c>
      <c r="GP29" s="6">
        <f>日流量!GP29*24*3600/100000000</f>
        <v>6.7564799999999998</v>
      </c>
      <c r="GQ29" s="6">
        <f>日流量!GQ29*24*3600/100000000</f>
        <v>7.3007999999999997</v>
      </c>
      <c r="GR29" s="6">
        <f>日流量!GR29*24*3600/100000000</f>
        <v>7.4908799999999998</v>
      </c>
      <c r="GS29" s="6">
        <f>日流量!GS29*24*3600/100000000</f>
        <v>7.0588800000000003</v>
      </c>
      <c r="GT29" s="6">
        <f>日流量!GT29*24*3600/100000000</f>
        <v>6.6009599999999997</v>
      </c>
      <c r="GU29" s="6">
        <f>日流量!GU29*24*3600/100000000</f>
        <v>6.4540800000000003</v>
      </c>
      <c r="GV29" s="6">
        <f>日流量!GV29*24*3600/100000000</f>
        <v>6.6182400000000001</v>
      </c>
      <c r="GW29" s="6">
        <f>日流量!GW29*24*3600/100000000</f>
        <v>6.4454399999999996</v>
      </c>
      <c r="GX29" s="6">
        <f>日流量!GX29*24*3600/100000000</f>
        <v>6.2899200000000004</v>
      </c>
      <c r="GY29" s="6">
        <f>日流量!GY29*24*3600/100000000</f>
        <v>5.7542400000000002</v>
      </c>
      <c r="GZ29" s="6">
        <f>日流量!GZ29*24*3600/100000000</f>
        <v>5.1062399999999997</v>
      </c>
      <c r="HA29" s="6">
        <f>日流量!HA29*24*3600/100000000</f>
        <v>4.6223999999999998</v>
      </c>
      <c r="HB29" s="6">
        <f>日流量!HB29*24*3600/100000000</f>
        <v>4.2508800000000004</v>
      </c>
      <c r="HC29" s="6">
        <f>日流量!HC29*24*3600/100000000</f>
        <v>3.9571200000000002</v>
      </c>
      <c r="HD29" s="6">
        <f>日流量!HD29*24*3600/100000000</f>
        <v>3.7151999999999998</v>
      </c>
      <c r="HE29" s="6">
        <f>日流量!HE29*24*3600/100000000</f>
        <v>3.55104</v>
      </c>
      <c r="HF29" s="6">
        <f>日流量!HF29*24*3600/100000000</f>
        <v>3.4127999999999998</v>
      </c>
      <c r="HG29" s="6">
        <f>日流量!HG29*24*3600/100000000</f>
        <v>3.2745600000000001</v>
      </c>
      <c r="HH29" s="6">
        <f>日流量!HH29*24*3600/100000000</f>
        <v>3.1881599999999999</v>
      </c>
      <c r="HI29" s="6">
        <f>日流量!HI29*24*3600/100000000</f>
        <v>3.2918400000000001</v>
      </c>
      <c r="HJ29" s="6">
        <f>日流量!HJ29*24*3600/100000000</f>
        <v>3.8188800000000001</v>
      </c>
      <c r="HK29" s="6">
        <f>日流量!HK29*24*3600/100000000</f>
        <v>3.9225599999999998</v>
      </c>
      <c r="HL29" s="6">
        <f>日流量!HL29*24*3600/100000000</f>
        <v>3.6201599999999998</v>
      </c>
      <c r="HM29" s="6">
        <f>日流量!HM29*24*3600/100000000</f>
        <v>3.4300799999999998</v>
      </c>
      <c r="HN29" s="6">
        <f>日流量!HN29*24*3600/100000000</f>
        <v>3.2918400000000001</v>
      </c>
      <c r="HO29" s="6">
        <f>日流量!HO29*24*3600/100000000</f>
        <v>3.2745600000000001</v>
      </c>
      <c r="HP29" s="6">
        <f>日流量!HP29*24*3600/100000000</f>
        <v>3.4732799999999999</v>
      </c>
      <c r="HQ29" s="6">
        <f>日流量!HQ29*24*3600/100000000</f>
        <v>3.7670400000000002</v>
      </c>
      <c r="HR29" s="6">
        <f>日流量!HR29*24*3600/100000000</f>
        <v>3.8188800000000001</v>
      </c>
      <c r="HS29" s="6">
        <f>日流量!HS29*24*3600/100000000</f>
        <v>4.0694400000000002</v>
      </c>
      <c r="HT29" s="6">
        <f>日流量!HT29*24*3600/100000000</f>
        <v>4.8815999999999997</v>
      </c>
      <c r="HU29" s="6">
        <f>日流量!HU29*24*3600/100000000</f>
        <v>5.15808</v>
      </c>
      <c r="HV29" s="6">
        <f>日流量!HV29*24*3600/100000000</f>
        <v>5.3136000000000001</v>
      </c>
      <c r="HW29" s="6">
        <f>日流量!HW29*24*3600/100000000</f>
        <v>5.7283200000000001</v>
      </c>
      <c r="HX29" s="6">
        <f>日流量!HX29*24*3600/100000000</f>
        <v>5.3654400000000004</v>
      </c>
      <c r="HY29" s="6">
        <f>日流量!HY29*24*3600/100000000</f>
        <v>5.0025599999999999</v>
      </c>
      <c r="HZ29" s="6">
        <f>日流量!HZ29*24*3600/100000000</f>
        <v>5.4604799999999996</v>
      </c>
      <c r="IA29" s="6">
        <f>日流量!IA29*24*3600/100000000</f>
        <v>6.9984000000000002</v>
      </c>
      <c r="IB29" s="6">
        <f>日流量!IB29*24*3600/100000000</f>
        <v>7.1366399999999999</v>
      </c>
      <c r="IC29" s="6">
        <f>日流量!IC29*24*3600/100000000</f>
        <v>6.2640000000000002</v>
      </c>
      <c r="ID29" s="6">
        <f>日流量!ID29*24*3600/100000000</f>
        <v>6.0566399999999998</v>
      </c>
      <c r="IE29" s="6">
        <f>日流量!IE29*24*3600/100000000</f>
        <v>5.7542400000000002</v>
      </c>
      <c r="IF29" s="6">
        <f>日流量!IF29*24*3600/100000000</f>
        <v>5.76288</v>
      </c>
      <c r="IG29" s="6">
        <f>日流量!IG29*24*3600/100000000</f>
        <v>6.0739200000000002</v>
      </c>
      <c r="IH29" s="6">
        <f>日流量!IH29*24*3600/100000000</f>
        <v>5.9615999999999998</v>
      </c>
      <c r="II29" s="6">
        <f>日流量!II29*24*3600/100000000</f>
        <v>5.9184000000000001</v>
      </c>
      <c r="IJ29" s="6">
        <f>日流量!IJ29*24*3600/100000000</f>
        <v>5.7974399999999999</v>
      </c>
      <c r="IK29" s="6">
        <f>日流量!IK29*24*3600/100000000</f>
        <v>5.7283200000000001</v>
      </c>
      <c r="IL29" s="6">
        <f>日流量!IL29*24*3600/100000000</f>
        <v>5.7023999999999999</v>
      </c>
      <c r="IM29" s="6">
        <f>日流量!IM29*24*3600/100000000</f>
        <v>5.8147200000000003</v>
      </c>
      <c r="IN29" s="6">
        <f>日流量!IN29*24*3600/100000000</f>
        <v>6.27264</v>
      </c>
      <c r="IO29" s="6">
        <f>日流量!IO29*24*3600/100000000</f>
        <v>6.4972799999999999</v>
      </c>
      <c r="IP29" s="6">
        <f>日流量!IP29*24*3600/100000000</f>
        <v>6.6182400000000001</v>
      </c>
      <c r="IQ29" s="6">
        <f>日流量!IQ29*24*3600/100000000</f>
        <v>6.4713599999999998</v>
      </c>
      <c r="IR29" s="6">
        <f>日流量!IR29*24*3600/100000000</f>
        <v>6.2899200000000004</v>
      </c>
      <c r="IS29" s="6">
        <f>日流量!IS29*24*3600/100000000</f>
        <v>6.5059199999999997</v>
      </c>
      <c r="IT29" s="6">
        <f>日流量!IT29*24*3600/100000000</f>
        <v>5.9356799999999996</v>
      </c>
      <c r="IU29" s="6">
        <f>日流量!IU29*24*3600/100000000</f>
        <v>5.5209599999999996</v>
      </c>
      <c r="IV29" s="6">
        <f>日流量!IV29*24*3600/100000000</f>
        <v>5.2185600000000001</v>
      </c>
      <c r="IW29" s="6">
        <f>日流量!IW29*24*3600/100000000</f>
        <v>5.1062399999999997</v>
      </c>
      <c r="IX29" s="6">
        <f>日流量!IX29*24*3600/100000000</f>
        <v>5.2358399999999996</v>
      </c>
      <c r="IY29" s="6">
        <f>日流量!IY29*24*3600/100000000</f>
        <v>4.8988800000000001</v>
      </c>
      <c r="IZ29" s="6">
        <f>日流量!IZ29*24*3600/100000000</f>
        <v>4.5964799999999997</v>
      </c>
      <c r="JA29" s="6">
        <f>日流量!JA29*24*3600/100000000</f>
        <v>4.5100800000000003</v>
      </c>
      <c r="JB29" s="6">
        <f>日流量!JB29*24*3600/100000000</f>
        <v>4.7260799999999996</v>
      </c>
      <c r="JC29" s="6">
        <f>日流量!JC29*24*3600/100000000</f>
        <v>5.3136000000000001</v>
      </c>
      <c r="JD29" s="6">
        <f>日流量!JD29*24*3600/100000000</f>
        <v>5.4863999999999997</v>
      </c>
      <c r="JE29" s="6">
        <f>日流量!JE29*24*3600/100000000</f>
        <v>5.5641600000000002</v>
      </c>
      <c r="JF29" s="6">
        <f>日流量!JF29*24*3600/100000000</f>
        <v>5.7715199999999998</v>
      </c>
      <c r="JG29" s="6">
        <f>日流量!JG29*24*3600/100000000</f>
        <v>6.1257599999999996</v>
      </c>
      <c r="JH29" s="6">
        <f>日流量!JH29*24*3600/100000000</f>
        <v>6.3331200000000001</v>
      </c>
      <c r="JI29" s="6">
        <f>日流量!JI29*24*3600/100000000</f>
        <v>6.5318399999999999</v>
      </c>
      <c r="JJ29" s="6">
        <f>日流量!JJ29*24*3600/100000000</f>
        <v>6.9033600000000002</v>
      </c>
      <c r="JK29" s="6">
        <f>日流量!JK29*24*3600/100000000</f>
        <v>7.7241600000000004</v>
      </c>
      <c r="JL29" s="6">
        <f>日流量!JL29*24*3600/100000000</f>
        <v>7.8710399999999998</v>
      </c>
      <c r="JM29" s="6">
        <f>日流量!JM29*24*3600/100000000</f>
        <v>7.1539200000000003</v>
      </c>
      <c r="JN29" s="6">
        <f>日流量!JN29*24*3600/100000000</f>
        <v>6.5404799999999996</v>
      </c>
      <c r="JO29" s="6">
        <f>日流量!JO29*24*3600/100000000</f>
        <v>6.1948800000000004</v>
      </c>
      <c r="JP29" s="6">
        <f>日流量!JP29*24*3600/100000000</f>
        <v>5.8924799999999999</v>
      </c>
      <c r="JQ29" s="6">
        <f>日流量!JQ29*24*3600/100000000</f>
        <v>5.5209599999999996</v>
      </c>
      <c r="JR29" s="6">
        <f>日流量!JR29*24*3600/100000000</f>
        <v>5.2358399999999996</v>
      </c>
      <c r="JS29" s="6">
        <f>日流量!JS29*24*3600/100000000</f>
        <v>4.8815999999999997</v>
      </c>
      <c r="JT29" s="6">
        <f>日流量!JT29*24*3600/100000000</f>
        <v>4.7174399999999999</v>
      </c>
      <c r="JU29" s="6">
        <f>日流量!JU29*24*3600/100000000</f>
        <v>4.5619199999999998</v>
      </c>
      <c r="JV29" s="6">
        <f>日流量!JV29*24*3600/100000000</f>
        <v>4.6223999999999998</v>
      </c>
      <c r="JW29" s="6">
        <f>日流量!JW29*24*3600/100000000</f>
        <v>4.74336</v>
      </c>
      <c r="JX29" s="6">
        <f>日流量!JX29*24*3600/100000000</f>
        <v>4.6137600000000001</v>
      </c>
      <c r="JY29" s="6">
        <f>日流量!JY29*24*3600/100000000</f>
        <v>4.4755200000000004</v>
      </c>
      <c r="JZ29" s="6">
        <f>日流量!JZ29*24*3600/100000000</f>
        <v>4.2767999999999997</v>
      </c>
      <c r="KA29" s="6">
        <f>日流量!KA29*24*3600/100000000</f>
        <v>4.1212799999999996</v>
      </c>
      <c r="KB29" s="6">
        <f>日流量!KB29*24*3600/100000000</f>
        <v>4.0089600000000001</v>
      </c>
      <c r="KC29" s="6">
        <f>日流量!KC29*24*3600/100000000</f>
        <v>4.0003200000000003</v>
      </c>
      <c r="KD29" s="6">
        <f>日流量!KD29*24*3600/100000000</f>
        <v>4.0175999999999998</v>
      </c>
      <c r="KE29" s="6">
        <f>日流量!KE29*24*3600/100000000</f>
        <v>4.0608000000000004</v>
      </c>
      <c r="KF29" s="6">
        <f>日流量!KF29*24*3600/100000000</f>
        <v>3.8793600000000001</v>
      </c>
      <c r="KG29" s="6">
        <f>日流量!KG29*24*3600/100000000</f>
        <v>3.64608</v>
      </c>
      <c r="KH29" s="6">
        <f>日流量!KH29*24*3600/100000000</f>
        <v>3.5164800000000001</v>
      </c>
      <c r="KI29" s="6">
        <f>日流量!KI29*24*3600/100000000</f>
        <v>3.456</v>
      </c>
      <c r="KJ29" s="6">
        <f>日流量!KJ29*24*3600/100000000</f>
        <v>3.2745600000000001</v>
      </c>
      <c r="KK29" s="6">
        <f>日流量!KK29*24*3600/100000000</f>
        <v>3.1881599999999999</v>
      </c>
      <c r="KL29" s="6">
        <f>日流量!KL29*24*3600/100000000</f>
        <v>3.1449600000000002</v>
      </c>
      <c r="KM29" s="6">
        <f>日流量!KM29*24*3600/100000000</f>
        <v>3.04128</v>
      </c>
      <c r="KN29" s="6">
        <f>日流量!KN29*24*3600/100000000</f>
        <v>2.9721600000000001</v>
      </c>
      <c r="KO29" s="6">
        <f>日流量!KO29*24*3600/100000000</f>
        <v>2.8857599999999999</v>
      </c>
      <c r="KP29" s="6">
        <f>日流量!KP29*24*3600/100000000</f>
        <v>2.7993600000000001</v>
      </c>
      <c r="KQ29" s="6">
        <f>日流量!KQ29*24*3600/100000000</f>
        <v>2.7043200000000001</v>
      </c>
      <c r="KR29" s="6">
        <f>日流量!KR29*24*3600/100000000</f>
        <v>2.7302399999999998</v>
      </c>
      <c r="KS29" s="6">
        <f>日流量!KS29*24*3600/100000000</f>
        <v>2.6783999999999999</v>
      </c>
      <c r="KT29" s="6">
        <f>日流量!KT29*24*3600/100000000</f>
        <v>2.5660799999999999</v>
      </c>
      <c r="KU29" s="6">
        <f>日流量!KU29*24*3600/100000000</f>
        <v>2.4796800000000001</v>
      </c>
      <c r="KV29" s="6">
        <f>日流量!KV29*24*3600/100000000</f>
        <v>2.3846400000000001</v>
      </c>
      <c r="KW29" s="6">
        <f>日流量!KW29*24*3600/100000000</f>
        <v>2.32416</v>
      </c>
      <c r="KX29" s="6">
        <f>日流量!KX29*24*3600/100000000</f>
        <v>2.2550400000000002</v>
      </c>
      <c r="KY29" s="6">
        <f>日流量!KY29*24*3600/100000000</f>
        <v>2.1945600000000001</v>
      </c>
      <c r="KZ29" s="6">
        <f>日流量!KZ29*24*3600/100000000</f>
        <v>2.16</v>
      </c>
      <c r="LA29" s="6">
        <f>日流量!LA29*24*3600/100000000</f>
        <v>2.13408</v>
      </c>
      <c r="LB29" s="6">
        <f>日流量!LB29*24*3600/100000000</f>
        <v>2.0908799999999998</v>
      </c>
      <c r="LC29" s="6">
        <f>日流量!LC29*24*3600/100000000</f>
        <v>2.0649600000000001</v>
      </c>
      <c r="LD29" s="6">
        <f>日流量!LD29*24*3600/100000000</f>
        <v>2.03904</v>
      </c>
      <c r="LE29" s="6">
        <f>日流量!LE29*24*3600/100000000</f>
        <v>1.9872000000000001</v>
      </c>
      <c r="LF29" s="6">
        <f>日流量!LF29*24*3600/100000000</f>
        <v>1.9699199999999999</v>
      </c>
      <c r="LG29" s="6">
        <f>日流量!LG29*24*3600/100000000</f>
        <v>1.9785600000000001</v>
      </c>
      <c r="LH29" s="6">
        <f>日流量!LH29*24*3600/100000000</f>
        <v>1.92672</v>
      </c>
      <c r="LI29" s="6">
        <f>日流量!LI29*24*3600/100000000</f>
        <v>1.9008</v>
      </c>
      <c r="LJ29" s="6">
        <f>日流量!LJ29*24*3600/100000000</f>
        <v>1.8748800000000001</v>
      </c>
      <c r="LK29" s="6">
        <f>日流量!LK29*24*3600/100000000</f>
        <v>1.8575999999999999</v>
      </c>
      <c r="LL29" s="6">
        <f>日流量!LL29*24*3600/100000000</f>
        <v>1.83168</v>
      </c>
      <c r="LM29" s="6">
        <f>日流量!LM29*24*3600/100000000</f>
        <v>1.7798400000000001</v>
      </c>
      <c r="LN29" s="6">
        <f>日流量!LN29*24*3600/100000000</f>
        <v>1.7539199999999999</v>
      </c>
      <c r="LO29" s="6">
        <f>日流量!LO29*24*3600/100000000</f>
        <v>1.728</v>
      </c>
      <c r="LP29" s="6">
        <f>日流量!LP29*24*3600/100000000</f>
        <v>1.728</v>
      </c>
      <c r="LQ29" s="6">
        <f>日流量!LQ29*24*3600/100000000</f>
        <v>1.71072</v>
      </c>
      <c r="LR29" s="6">
        <f>日流量!LR29*24*3600/100000000</f>
        <v>1.6934400000000001</v>
      </c>
      <c r="LS29" s="6">
        <f>日流量!LS29*24*3600/100000000</f>
        <v>1.6761600000000001</v>
      </c>
      <c r="LT29" s="6">
        <f>日流量!LT29*24*3600/100000000</f>
        <v>1.6588799999999999</v>
      </c>
      <c r="LU29" s="6">
        <f>日流量!LU29*24*3600/100000000</f>
        <v>1.6502399999999999</v>
      </c>
      <c r="LV29" s="6">
        <f>日流量!LV29*24*3600/100000000</f>
        <v>1.63296</v>
      </c>
      <c r="LW29" s="6">
        <f>日流量!LW29*24*3600/100000000</f>
        <v>1.62432</v>
      </c>
      <c r="LX29" s="6">
        <f>日流量!LX29*24*3600/100000000</f>
        <v>1.61568</v>
      </c>
      <c r="LY29" s="6">
        <f>日流量!LY29*24*3600/100000000</f>
        <v>1.5984</v>
      </c>
      <c r="LZ29" s="6">
        <f>日流量!LZ29*24*3600/100000000</f>
        <v>1.5897600000000001</v>
      </c>
      <c r="MA29" s="6">
        <f>日流量!MA29*24*3600/100000000</f>
        <v>1.5811200000000001</v>
      </c>
      <c r="MB29" s="6">
        <f>日流量!MB29*24*3600/100000000</f>
        <v>1.5551999999999999</v>
      </c>
      <c r="MC29" s="6">
        <f>日流量!MC29*24*3600/100000000</f>
        <v>1.53792</v>
      </c>
      <c r="MD29" s="6">
        <f>日流量!MD29*24*3600/100000000</f>
        <v>1.50336</v>
      </c>
      <c r="ME29" s="6">
        <f>日流量!ME29*24*3600/100000000</f>
        <v>1.4774400000000001</v>
      </c>
      <c r="MF29" s="6">
        <f>日流量!MF29*24*3600/100000000</f>
        <v>1.4688000000000001</v>
      </c>
      <c r="MG29" s="6">
        <f>日流量!MG29*24*3600/100000000</f>
        <v>1.4515199999999999</v>
      </c>
      <c r="MH29" s="6">
        <f>日流量!MH29*24*3600/100000000</f>
        <v>1.43424</v>
      </c>
      <c r="MI29" s="6">
        <f>日流量!MI29*24*3600/100000000</f>
        <v>1.41696</v>
      </c>
      <c r="MJ29" s="6">
        <f>日流量!MJ29*24*3600/100000000</f>
        <v>1.39968</v>
      </c>
      <c r="MK29" s="6">
        <f>日流量!MK29*24*3600/100000000</f>
        <v>1.3824000000000001</v>
      </c>
      <c r="ML29" s="6">
        <f>日流量!ML29*24*3600/100000000</f>
        <v>1.3564799999999999</v>
      </c>
      <c r="MM29" s="6">
        <f>日流量!MM29*24*3600/100000000</f>
        <v>1.3391999999999999</v>
      </c>
      <c r="MN29" s="6">
        <f>日流量!MN29*24*3600/100000000</f>
        <v>1.32192</v>
      </c>
      <c r="MO29" s="6">
        <f>日流量!MO29*24*3600/100000000</f>
        <v>1.30464</v>
      </c>
      <c r="MP29" s="6">
        <f>日流量!MP29*24*3600/100000000</f>
        <v>1.2700800000000001</v>
      </c>
      <c r="MQ29" s="6">
        <f>日流量!MQ29*24*3600/100000000</f>
        <v>1.2441599999999999</v>
      </c>
      <c r="MR29" s="6">
        <f>日流量!MR29*24*3600/100000000</f>
        <v>1.21824</v>
      </c>
      <c r="MS29" s="6">
        <f>日流量!MS29*24*3600/100000000</f>
        <v>1.19232</v>
      </c>
      <c r="MT29" s="6">
        <f>日流量!MT29*24*3600/100000000</f>
        <v>1.1750400000000001</v>
      </c>
      <c r="MU29" s="6">
        <f>日流量!MU29*24*3600/100000000</f>
        <v>1.1750400000000001</v>
      </c>
      <c r="MV29" s="6">
        <f>日流量!MV29*24*3600/100000000</f>
        <v>1.1577599999999999</v>
      </c>
      <c r="MW29" s="6">
        <f>日流量!MW29*24*3600/100000000</f>
        <v>1.13184</v>
      </c>
      <c r="MX29" s="6">
        <f>日流量!MX29*24*3600/100000000</f>
        <v>1.11456</v>
      </c>
      <c r="MY29" s="6">
        <f>日流量!MY29*24*3600/100000000</f>
        <v>1.10592</v>
      </c>
      <c r="MZ29" s="6">
        <f>日流量!MZ29*24*3600/100000000</f>
        <v>1.09728</v>
      </c>
      <c r="NA29" s="6">
        <f>日流量!NA29*24*3600/100000000</f>
        <v>1.0886400000000001</v>
      </c>
      <c r="NB29" s="6">
        <f>日流量!NB29*24*3600/100000000</f>
        <v>1.0886400000000001</v>
      </c>
      <c r="NC29" s="6">
        <f>日流量!NC29*24*3600/100000000</f>
        <v>1.0886400000000001</v>
      </c>
      <c r="ND29" s="6">
        <f>日流量!ND29*24*3600*31/100000000</f>
        <v>29.730239999999998</v>
      </c>
      <c r="NE29" s="6">
        <f>日流量!NE29*24*3600*29/100000000</f>
        <v>24.279264000000001</v>
      </c>
      <c r="NF29" s="6">
        <f>日流量!NF29*24*3600*31/100000000</f>
        <v>25.016255999999998</v>
      </c>
      <c r="NG29" s="6">
        <f>日流量!NG29*24*3600*30/100000000</f>
        <v>26.956800000000001</v>
      </c>
      <c r="NH29" s="6">
        <f>日流量!NH29*24*3600*31/100000000</f>
        <v>51.69312</v>
      </c>
      <c r="NI29" s="6">
        <f>日流量!NI29*24*3600*30/100000000</f>
        <v>112.4928</v>
      </c>
      <c r="NJ29" s="6">
        <f>日流量!NJ29*24*3600*31/100000000</f>
        <v>217.75391999999999</v>
      </c>
      <c r="NK29" s="6">
        <f>日流量!NK29*24*3600*31/100000000</f>
        <v>150.52608000000001</v>
      </c>
      <c r="NL29" s="6">
        <f>日流量!NL29*24*3600*30/100000000</f>
        <v>179.3664</v>
      </c>
      <c r="NM29" s="6">
        <f>日流量!NM29*24*3600*31/100000000</f>
        <v>120.26016</v>
      </c>
      <c r="NN29" s="6">
        <f>日流量!NN29*24*3600*30/100000000</f>
        <v>57.801600000000001</v>
      </c>
      <c r="NO29" s="6">
        <f>日流量!NO29*24*3600*31/100000000</f>
        <v>40.979520000000001</v>
      </c>
      <c r="NP29" s="14">
        <f t="shared" si="10"/>
        <v>1036.85616</v>
      </c>
      <c r="NQ29" s="6">
        <f>日流量!NQ29*24*3600/100000000</f>
        <v>11.4048</v>
      </c>
      <c r="NR29" s="4">
        <f>日流量!NR29</f>
        <v>42560</v>
      </c>
      <c r="NS29" s="6">
        <f>日流量!NS29*24*3600/100000000</f>
        <v>0.77759999999999996</v>
      </c>
      <c r="NT29" s="4">
        <f>日流量!NT29</f>
        <v>42450</v>
      </c>
      <c r="NU29" s="7">
        <f>日流量!NP29</f>
        <v>3277.3825136612022</v>
      </c>
      <c r="NW29" s="13">
        <f t="shared" si="0"/>
        <v>832.09248000000002</v>
      </c>
      <c r="NX29" s="12">
        <f t="shared" si="1"/>
        <v>80.251486377821209</v>
      </c>
      <c r="NY29" s="13">
        <f t="shared" si="2"/>
        <v>660.13919999999996</v>
      </c>
      <c r="NZ29" s="12">
        <f t="shared" si="3"/>
        <v>63.667384683329644</v>
      </c>
      <c r="OA29" s="13">
        <f t="shared" si="4"/>
        <v>204.76368000000002</v>
      </c>
      <c r="OB29" s="12">
        <f t="shared" si="5"/>
        <v>19.748513622178802</v>
      </c>
      <c r="OC29" s="13">
        <f t="shared" si="6"/>
        <v>217.75391999999999</v>
      </c>
      <c r="OD29" s="12">
        <f t="shared" si="7"/>
        <v>21.001362426201915</v>
      </c>
      <c r="OE29" s="12">
        <f t="shared" si="8"/>
        <v>242.25611214953273</v>
      </c>
      <c r="OF29" s="12">
        <f t="shared" si="9"/>
        <v>7.6818909230572263</v>
      </c>
    </row>
    <row r="30" spans="1:396" x14ac:dyDescent="0.15">
      <c r="A30" s="2">
        <v>1977</v>
      </c>
      <c r="B30" s="6">
        <f>日流量!B30*24*3600/100000000</f>
        <v>1.09728</v>
      </c>
      <c r="C30" s="6">
        <f>日流量!C30*24*3600/100000000</f>
        <v>1.0886400000000001</v>
      </c>
      <c r="D30" s="6">
        <f>日流量!D30*24*3600/100000000</f>
        <v>1.08</v>
      </c>
      <c r="E30" s="6">
        <f>日流量!E30*24*3600/100000000</f>
        <v>1.08</v>
      </c>
      <c r="F30" s="6">
        <f>日流量!F30*24*3600/100000000</f>
        <v>1.0627200000000001</v>
      </c>
      <c r="G30" s="6">
        <f>日流量!G30*24*3600/100000000</f>
        <v>1.0540799999999999</v>
      </c>
      <c r="H30" s="6">
        <f>日流量!H30*24*3600/100000000</f>
        <v>1.01952</v>
      </c>
      <c r="I30" s="6">
        <f>日流量!I30*24*3600/100000000</f>
        <v>1.01088</v>
      </c>
      <c r="J30" s="6">
        <f>日流量!J30*24*3600/100000000</f>
        <v>1.00224</v>
      </c>
      <c r="K30" s="6">
        <f>日流量!K30*24*3600/100000000</f>
        <v>1.00224</v>
      </c>
      <c r="L30" s="6">
        <f>日流量!L30*24*3600/100000000</f>
        <v>0.99360000000000004</v>
      </c>
      <c r="M30" s="6">
        <f>日流量!M30*24*3600/100000000</f>
        <v>0.99360000000000004</v>
      </c>
      <c r="N30" s="6">
        <f>日流量!N30*24*3600/100000000</f>
        <v>0.98495999999999995</v>
      </c>
      <c r="O30" s="6">
        <f>日流量!O30*24*3600/100000000</f>
        <v>0.97631999999999997</v>
      </c>
      <c r="P30" s="6">
        <f>日流量!P30*24*3600/100000000</f>
        <v>0.97631999999999997</v>
      </c>
      <c r="Q30" s="6">
        <f>日流量!Q30*24*3600/100000000</f>
        <v>0.96767999999999998</v>
      </c>
      <c r="R30" s="6">
        <f>日流量!R30*24*3600/100000000</f>
        <v>0.95040000000000002</v>
      </c>
      <c r="S30" s="6">
        <f>日流量!S30*24*3600/100000000</f>
        <v>0.95040000000000002</v>
      </c>
      <c r="T30" s="6">
        <f>日流量!T30*24*3600/100000000</f>
        <v>0.95040000000000002</v>
      </c>
      <c r="U30" s="6">
        <f>日流量!U30*24*3600/100000000</f>
        <v>0.95040000000000002</v>
      </c>
      <c r="V30" s="6">
        <f>日流量!V30*24*3600/100000000</f>
        <v>0.95040000000000002</v>
      </c>
      <c r="W30" s="6">
        <f>日流量!W30*24*3600/100000000</f>
        <v>0.94176000000000004</v>
      </c>
      <c r="X30" s="6">
        <f>日流量!X30*24*3600/100000000</f>
        <v>0.94176000000000004</v>
      </c>
      <c r="Y30" s="6">
        <f>日流量!Y30*24*3600/100000000</f>
        <v>0.92447999999999997</v>
      </c>
      <c r="Z30" s="6">
        <f>日流量!Z30*24*3600/100000000</f>
        <v>0.91583999999999999</v>
      </c>
      <c r="AA30" s="6">
        <f>日流量!AA30*24*3600/100000000</f>
        <v>0.91583999999999999</v>
      </c>
      <c r="AB30" s="6">
        <f>日流量!AB30*24*3600/100000000</f>
        <v>0.90720000000000001</v>
      </c>
      <c r="AC30" s="6">
        <f>日流量!AC30*24*3600/100000000</f>
        <v>0.88992000000000004</v>
      </c>
      <c r="AD30" s="6">
        <f>日流量!AD30*24*3600/100000000</f>
        <v>0.88127999999999995</v>
      </c>
      <c r="AE30" s="6">
        <f>日流量!AE30*24*3600/100000000</f>
        <v>0.88127999999999995</v>
      </c>
      <c r="AF30" s="6">
        <f>日流量!AF30*24*3600/100000000</f>
        <v>0.88127999999999995</v>
      </c>
      <c r="AG30" s="6">
        <f>日流量!AG30*24*3600/100000000</f>
        <v>0.88127999999999995</v>
      </c>
      <c r="AH30" s="6">
        <f>日流量!AH30*24*3600/100000000</f>
        <v>0.88127999999999995</v>
      </c>
      <c r="AI30" s="6">
        <f>日流量!AI30*24*3600/100000000</f>
        <v>0.88127999999999995</v>
      </c>
      <c r="AJ30" s="6">
        <f>日流量!AJ30*24*3600/100000000</f>
        <v>0.88127999999999995</v>
      </c>
      <c r="AK30" s="6">
        <f>日流量!AK30*24*3600/100000000</f>
        <v>0.87263999999999997</v>
      </c>
      <c r="AL30" s="6">
        <f>日流量!AL30*24*3600/100000000</f>
        <v>0.87263999999999997</v>
      </c>
      <c r="AM30" s="6">
        <f>日流量!AM30*24*3600/100000000</f>
        <v>0.86399999999999999</v>
      </c>
      <c r="AN30" s="6">
        <f>日流量!AN30*24*3600/100000000</f>
        <v>0.87263999999999997</v>
      </c>
      <c r="AO30" s="6">
        <f>日流量!AO30*24*3600/100000000</f>
        <v>0.88127999999999995</v>
      </c>
      <c r="AP30" s="6">
        <f>日流量!AP30*24*3600/100000000</f>
        <v>0.89856000000000003</v>
      </c>
      <c r="AQ30" s="6">
        <f>日流量!AQ30*24*3600/100000000</f>
        <v>0.90720000000000001</v>
      </c>
      <c r="AR30" s="6">
        <f>日流量!AR30*24*3600/100000000</f>
        <v>0.89856000000000003</v>
      </c>
      <c r="AS30" s="6">
        <f>日流量!AS30*24*3600/100000000</f>
        <v>0.88992000000000004</v>
      </c>
      <c r="AT30" s="6">
        <f>日流量!AT30*24*3600/100000000</f>
        <v>0.87263999999999997</v>
      </c>
      <c r="AU30" s="6">
        <f>日流量!AU30*24*3600/100000000</f>
        <v>0.85968</v>
      </c>
      <c r="AV30" s="6">
        <f>日流量!AV30*24*3600/100000000</f>
        <v>0.85449600000000003</v>
      </c>
      <c r="AW30" s="6">
        <f>日流量!AW30*24*3600/100000000</f>
        <v>0.85276799999999997</v>
      </c>
      <c r="AX30" s="6">
        <f>日流量!AX30*24*3600/100000000</f>
        <v>0.85190399999999999</v>
      </c>
      <c r="AY30" s="6">
        <f>日流量!AY30*24*3600/100000000</f>
        <v>0.85708799999999996</v>
      </c>
      <c r="AZ30" s="6">
        <f>日流量!AZ30*24*3600/100000000</f>
        <v>0.85968</v>
      </c>
      <c r="BA30" s="6">
        <f>日流量!BA30*24*3600/100000000</f>
        <v>0.86054399999999998</v>
      </c>
      <c r="BB30" s="6">
        <f>日流量!BB30*24*3600/100000000</f>
        <v>0.86054399999999998</v>
      </c>
      <c r="BC30" s="6">
        <f>日流量!BC30*24*3600/100000000</f>
        <v>0.86399999999999999</v>
      </c>
      <c r="BD30" s="6">
        <f>日流量!BD30*24*3600/100000000</f>
        <v>0.87263999999999997</v>
      </c>
      <c r="BE30" s="6">
        <f>日流量!BE30*24*3600/100000000</f>
        <v>0.87263999999999997</v>
      </c>
      <c r="BF30" s="6">
        <f>日流量!BF30*24*3600/100000000</f>
        <v>0.87263999999999997</v>
      </c>
      <c r="BG30" s="6">
        <f>日流量!BG30*24*3600/100000000</f>
        <v>0.86399999999999999</v>
      </c>
      <c r="BH30" s="6">
        <f>日流量!BH30*24*3600/100000000</f>
        <v>0.86227200000000004</v>
      </c>
      <c r="BI30" s="6"/>
      <c r="BJ30" s="6">
        <f>日流量!BJ30*24*3600/100000000</f>
        <v>0.85708799999999996</v>
      </c>
      <c r="BK30" s="6">
        <f>日流量!BK30*24*3600/100000000</f>
        <v>0.85536000000000001</v>
      </c>
      <c r="BL30" s="6">
        <f>日流量!BL30*24*3600/100000000</f>
        <v>0.85104000000000002</v>
      </c>
      <c r="BM30" s="6">
        <f>日流量!BM30*24*3600/100000000</f>
        <v>0.84326400000000001</v>
      </c>
      <c r="BN30" s="6">
        <f>日流量!BN30*24*3600/100000000</f>
        <v>0.83203199999999999</v>
      </c>
      <c r="BO30" s="6">
        <f>日流量!BO30*24*3600/100000000</f>
        <v>0.83116800000000002</v>
      </c>
      <c r="BP30" s="6">
        <f>日流量!BP30*24*3600/100000000</f>
        <v>0.839808</v>
      </c>
      <c r="BQ30" s="6">
        <f>日流量!BQ30*24*3600/100000000</f>
        <v>0.84931199999999996</v>
      </c>
      <c r="BR30" s="6">
        <f>日流量!BR30*24*3600/100000000</f>
        <v>0.85363199999999995</v>
      </c>
      <c r="BS30" s="6">
        <f>日流量!BS30*24*3600/100000000</f>
        <v>0.84931199999999996</v>
      </c>
      <c r="BT30" s="6">
        <f>日流量!BT30*24*3600/100000000</f>
        <v>0.84153599999999995</v>
      </c>
      <c r="BU30" s="6">
        <f>日流量!BU30*24*3600/100000000</f>
        <v>0.83203199999999999</v>
      </c>
      <c r="BV30" s="6">
        <f>日流量!BV30*24*3600/100000000</f>
        <v>0.82425599999999999</v>
      </c>
      <c r="BW30" s="6">
        <f>日流量!BW30*24*3600/100000000</f>
        <v>0.82166399999999995</v>
      </c>
      <c r="BX30" s="6">
        <f>日流量!BX30*24*3600/100000000</f>
        <v>0.81907200000000002</v>
      </c>
      <c r="BY30" s="6">
        <f>日流量!BY30*24*3600/100000000</f>
        <v>0.82166399999999995</v>
      </c>
      <c r="BZ30" s="6">
        <f>日流量!BZ30*24*3600/100000000</f>
        <v>0.82166399999999995</v>
      </c>
      <c r="CA30" s="6">
        <f>日流量!CA30*24*3600/100000000</f>
        <v>0.82166399999999995</v>
      </c>
      <c r="CB30" s="6">
        <f>日流量!CB30*24*3600/100000000</f>
        <v>0.82166399999999995</v>
      </c>
      <c r="CC30" s="6">
        <f>日流量!CC30*24*3600/100000000</f>
        <v>0.81734399999999996</v>
      </c>
      <c r="CD30" s="6">
        <f>日流量!CD30*24*3600/100000000</f>
        <v>0.81129600000000002</v>
      </c>
      <c r="CE30" s="6">
        <f>日流量!CE30*24*3600/100000000</f>
        <v>0.80611200000000005</v>
      </c>
      <c r="CF30" s="6">
        <f>日流量!CF30*24*3600/100000000</f>
        <v>0.80611200000000005</v>
      </c>
      <c r="CG30" s="6">
        <f>日流量!CG30*24*3600/100000000</f>
        <v>0.80611200000000005</v>
      </c>
      <c r="CH30" s="6">
        <f>日流量!CH30*24*3600/100000000</f>
        <v>0.81475200000000003</v>
      </c>
      <c r="CI30" s="6">
        <f>日流量!CI30*24*3600/100000000</f>
        <v>0.83808000000000005</v>
      </c>
      <c r="CJ30" s="6">
        <f>日流量!CJ30*24*3600/100000000</f>
        <v>0.85536000000000001</v>
      </c>
      <c r="CK30" s="6">
        <f>日流量!CK30*24*3600/100000000</f>
        <v>0.83635199999999998</v>
      </c>
      <c r="CL30" s="6">
        <f>日流量!CL30*24*3600/100000000</f>
        <v>0.81215999999999999</v>
      </c>
      <c r="CM30" s="6">
        <f>日流量!CM30*24*3600/100000000</f>
        <v>0.81129600000000002</v>
      </c>
      <c r="CN30" s="6">
        <f>日流量!CN30*24*3600/100000000</f>
        <v>0.83375999999999995</v>
      </c>
      <c r="CO30" s="6">
        <f>日流量!CO30*24*3600/100000000</f>
        <v>0.96767999999999998</v>
      </c>
      <c r="CP30" s="6">
        <f>日流量!CP30*24*3600/100000000</f>
        <v>1.1232</v>
      </c>
      <c r="CQ30" s="6">
        <f>日流量!CQ30*24*3600/100000000</f>
        <v>1.1491199999999999</v>
      </c>
      <c r="CR30" s="6">
        <f>日流量!CR30*24*3600/100000000</f>
        <v>1.1232</v>
      </c>
      <c r="CS30" s="6">
        <f>日流量!CS30*24*3600/100000000</f>
        <v>1.10592</v>
      </c>
      <c r="CT30" s="6">
        <f>日流量!CT30*24*3600/100000000</f>
        <v>1.10592</v>
      </c>
      <c r="CU30" s="6">
        <f>日流量!CU30*24*3600/100000000</f>
        <v>1.1491199999999999</v>
      </c>
      <c r="CV30" s="6">
        <f>日流量!CV30*24*3600/100000000</f>
        <v>1.1664000000000001</v>
      </c>
      <c r="CW30" s="6">
        <f>日流量!CW30*24*3600/100000000</f>
        <v>1.19232</v>
      </c>
      <c r="CX30" s="6">
        <f>日流量!CX30*24*3600/100000000</f>
        <v>1.20096</v>
      </c>
      <c r="CY30" s="6">
        <f>日流量!CY30*24*3600/100000000</f>
        <v>1.22688</v>
      </c>
      <c r="CZ30" s="6">
        <f>日流量!CZ30*24*3600/100000000</f>
        <v>1.31328</v>
      </c>
      <c r="DA30" s="6">
        <f>日流量!DA30*24*3600/100000000</f>
        <v>1.33056</v>
      </c>
      <c r="DB30" s="6">
        <f>日流量!DB30*24*3600/100000000</f>
        <v>1.2787200000000001</v>
      </c>
      <c r="DC30" s="6">
        <f>日流量!DC30*24*3600/100000000</f>
        <v>1.21824</v>
      </c>
      <c r="DD30" s="6">
        <f>日流量!DD30*24*3600/100000000</f>
        <v>1.20096</v>
      </c>
      <c r="DE30" s="6">
        <f>日流量!DE30*24*3600/100000000</f>
        <v>1.22688</v>
      </c>
      <c r="DF30" s="6">
        <f>日流量!DF30*24*3600/100000000</f>
        <v>1.2873600000000001</v>
      </c>
      <c r="DG30" s="6">
        <f>日流量!DG30*24*3600/100000000</f>
        <v>1.2873600000000001</v>
      </c>
      <c r="DH30" s="6">
        <f>日流量!DH30*24*3600/100000000</f>
        <v>1.2527999999999999</v>
      </c>
      <c r="DI30" s="6">
        <f>日流量!DI30*24*3600/100000000</f>
        <v>1.22688</v>
      </c>
      <c r="DJ30" s="6">
        <f>日流量!DJ30*24*3600/100000000</f>
        <v>1.22688</v>
      </c>
      <c r="DK30" s="6">
        <f>日流量!DK30*24*3600/100000000</f>
        <v>1.22688</v>
      </c>
      <c r="DL30" s="6">
        <f>日流量!DL30*24*3600/100000000</f>
        <v>1.23552</v>
      </c>
      <c r="DM30" s="6">
        <f>日流量!DM30*24*3600/100000000</f>
        <v>1.2787200000000001</v>
      </c>
      <c r="DN30" s="6">
        <f>日流量!DN30*24*3600/100000000</f>
        <v>1.3564799999999999</v>
      </c>
      <c r="DO30" s="6">
        <f>日流量!DO30*24*3600/100000000</f>
        <v>1.43424</v>
      </c>
      <c r="DP30" s="6">
        <f>日流量!DP30*24*3600/100000000</f>
        <v>1.4256</v>
      </c>
      <c r="DQ30" s="6">
        <f>日流量!DQ30*24*3600/100000000</f>
        <v>1.41696</v>
      </c>
      <c r="DR30" s="6">
        <f>日流量!DR30*24*3600/100000000</f>
        <v>1.3824000000000001</v>
      </c>
      <c r="DS30" s="6">
        <f>日流量!DS30*24*3600/100000000</f>
        <v>1.3478399999999999</v>
      </c>
      <c r="DT30" s="6">
        <f>日流量!DT30*24*3600/100000000</f>
        <v>1.3391999999999999</v>
      </c>
      <c r="DU30" s="6">
        <f>日流量!DU30*24*3600/100000000</f>
        <v>1.33056</v>
      </c>
      <c r="DV30" s="6">
        <f>日流量!DV30*24*3600/100000000</f>
        <v>1.33056</v>
      </c>
      <c r="DW30" s="6">
        <f>日流量!DW30*24*3600/100000000</f>
        <v>1.33056</v>
      </c>
      <c r="DX30" s="6">
        <f>日流量!DX30*24*3600/100000000</f>
        <v>1.33056</v>
      </c>
      <c r="DY30" s="6">
        <f>日流量!DY30*24*3600/100000000</f>
        <v>1.2873600000000001</v>
      </c>
      <c r="DZ30" s="6">
        <f>日流量!DZ30*24*3600/100000000</f>
        <v>1.2441599999999999</v>
      </c>
      <c r="EA30" s="6">
        <f>日流量!EA30*24*3600/100000000</f>
        <v>1.21824</v>
      </c>
      <c r="EB30" s="6">
        <f>日流量!EB30*24*3600/100000000</f>
        <v>1.21824</v>
      </c>
      <c r="EC30" s="6">
        <f>日流量!EC30*24*3600/100000000</f>
        <v>1.20096</v>
      </c>
      <c r="ED30" s="6">
        <f>日流量!ED30*24*3600/100000000</f>
        <v>1.1750400000000001</v>
      </c>
      <c r="EE30" s="6">
        <f>日流量!EE30*24*3600/100000000</f>
        <v>1.1836800000000001</v>
      </c>
      <c r="EF30" s="6">
        <f>日流量!EF30*24*3600/100000000</f>
        <v>1.2614399999999999</v>
      </c>
      <c r="EG30" s="6">
        <f>日流量!EG30*24*3600/100000000</f>
        <v>1.41696</v>
      </c>
      <c r="EH30" s="6">
        <f>日流量!EH30*24*3600/100000000</f>
        <v>1.50336</v>
      </c>
      <c r="EI30" s="6">
        <f>日流量!EI30*24*3600/100000000</f>
        <v>1.60704</v>
      </c>
      <c r="EJ30" s="6">
        <f>日流量!EJ30*24*3600/100000000</f>
        <v>1.7452799999999999</v>
      </c>
      <c r="EK30" s="6">
        <f>日流量!EK30*24*3600/100000000</f>
        <v>1.8489599999999999</v>
      </c>
      <c r="EL30" s="6">
        <f>日流量!EL30*24*3600/100000000</f>
        <v>1.9612799999999999</v>
      </c>
      <c r="EM30" s="6">
        <f>日流量!EM30*24*3600/100000000</f>
        <v>2.0304000000000002</v>
      </c>
      <c r="EN30" s="6">
        <f>日流量!EN30*24*3600/100000000</f>
        <v>2.1254400000000002</v>
      </c>
      <c r="EO30" s="6">
        <f>日流量!EO30*24*3600/100000000</f>
        <v>2.13408</v>
      </c>
      <c r="EP30" s="6">
        <f>日流量!EP30*24*3600/100000000</f>
        <v>2.00448</v>
      </c>
      <c r="EQ30" s="6">
        <f>日流量!EQ30*24*3600/100000000</f>
        <v>1.8748800000000001</v>
      </c>
      <c r="ER30" s="6">
        <f>日流量!ER30*24*3600/100000000</f>
        <v>1.8489599999999999</v>
      </c>
      <c r="ES30" s="6">
        <f>日流量!ES30*24*3600/100000000</f>
        <v>1.8489599999999999</v>
      </c>
      <c r="ET30" s="6">
        <f>日流量!ET30*24*3600/100000000</f>
        <v>1.8489599999999999</v>
      </c>
      <c r="EU30" s="6">
        <f>日流量!EU30*24*3600/100000000</f>
        <v>1.83168</v>
      </c>
      <c r="EV30" s="6">
        <f>日流量!EV30*24*3600/100000000</f>
        <v>1.7884800000000001</v>
      </c>
      <c r="EW30" s="6">
        <f>日流量!EW30*24*3600/100000000</f>
        <v>1.80576</v>
      </c>
      <c r="EX30" s="6">
        <f>日流量!EX30*24*3600/100000000</f>
        <v>1.8921600000000001</v>
      </c>
      <c r="EY30" s="6">
        <f>日流量!EY30*24*3600/100000000</f>
        <v>2.03904</v>
      </c>
      <c r="EZ30" s="6">
        <f>日流量!EZ30*24*3600/100000000</f>
        <v>2.2377600000000002</v>
      </c>
      <c r="FA30" s="6">
        <f>日流量!FA30*24*3600/100000000</f>
        <v>2.32416</v>
      </c>
      <c r="FB30" s="6">
        <f>日流量!FB30*24*3600/100000000</f>
        <v>2.2464</v>
      </c>
      <c r="FC30" s="6">
        <f>日流量!FC30*24*3600/100000000</f>
        <v>2.1772800000000001</v>
      </c>
      <c r="FD30" s="6">
        <f>日流量!FD30*24*3600/100000000</f>
        <v>2.21184</v>
      </c>
      <c r="FE30" s="6">
        <f>日流量!FE30*24*3600/100000000</f>
        <v>2.4105599999999998</v>
      </c>
      <c r="FF30" s="6">
        <f>日流量!FF30*24*3600/100000000</f>
        <v>2.5228799999999998</v>
      </c>
      <c r="FG30" s="6">
        <f>日流量!FG30*24*3600/100000000</f>
        <v>2.60928</v>
      </c>
      <c r="FH30" s="6">
        <f>日流量!FH30*24*3600/100000000</f>
        <v>2.7734399999999999</v>
      </c>
      <c r="FI30" s="6">
        <f>日流量!FI30*24*3600/100000000</f>
        <v>2.8512</v>
      </c>
      <c r="FJ30" s="6">
        <f>日流量!FJ30*24*3600/100000000</f>
        <v>2.9030399999999998</v>
      </c>
      <c r="FK30" s="6">
        <f>日流量!FK30*24*3600/100000000</f>
        <v>3.0844800000000001</v>
      </c>
      <c r="FL30" s="6">
        <f>日流量!FL30*24*3600/100000000</f>
        <v>3.1881599999999999</v>
      </c>
      <c r="FM30" s="6">
        <f>日流量!FM30*24*3600/100000000</f>
        <v>3.1708799999999999</v>
      </c>
      <c r="FN30" s="6">
        <f>日流量!FN30*24*3600/100000000</f>
        <v>3.1881599999999999</v>
      </c>
      <c r="FO30" s="6">
        <f>日流量!FO30*24*3600/100000000</f>
        <v>3.3004799999999999</v>
      </c>
      <c r="FP30" s="6">
        <f>日流量!FP30*24*3600/100000000</f>
        <v>3.5078399999999998</v>
      </c>
      <c r="FQ30" s="6">
        <f>日流量!FQ30*24*3600/100000000</f>
        <v>3.7670400000000002</v>
      </c>
      <c r="FR30" s="6">
        <f>日流量!FR30*24*3600/100000000</f>
        <v>4.5705600000000004</v>
      </c>
      <c r="FS30" s="6">
        <f>日流量!FS30*24*3600/100000000</f>
        <v>4.9161599999999996</v>
      </c>
      <c r="FT30" s="6">
        <f>日流量!FT30*24*3600/100000000</f>
        <v>5.3913599999999997</v>
      </c>
      <c r="FU30" s="6">
        <f>日流量!FU30*24*3600/100000000</f>
        <v>5.4691200000000002</v>
      </c>
      <c r="FV30" s="6">
        <f>日流量!FV30*24*3600/100000000</f>
        <v>5.0457599999999996</v>
      </c>
      <c r="FW30" s="6">
        <f>日流量!FW30*24*3600/100000000</f>
        <v>4.5014399999999997</v>
      </c>
      <c r="FX30" s="6">
        <f>日流量!FX30*24*3600/100000000</f>
        <v>4.0089600000000001</v>
      </c>
      <c r="FY30" s="6">
        <f>日流量!FY30*24*3600/100000000</f>
        <v>3.72384</v>
      </c>
      <c r="FZ30" s="6">
        <f>日流量!FZ30*24*3600/100000000</f>
        <v>3.6892800000000001</v>
      </c>
      <c r="GA30" s="6">
        <f>日流量!GA30*24*3600/100000000</f>
        <v>3.6720000000000002</v>
      </c>
      <c r="GB30" s="6">
        <f>日流量!GB30*24*3600/100000000</f>
        <v>3.6201599999999998</v>
      </c>
      <c r="GC30" s="6">
        <f>日流量!GC30*24*3600/100000000</f>
        <v>3.456</v>
      </c>
      <c r="GD30" s="6">
        <f>日流量!GD30*24*3600/100000000</f>
        <v>3.5769600000000001</v>
      </c>
      <c r="GE30" s="6">
        <f>日流量!GE30*24*3600/100000000</f>
        <v>3.6633599999999999</v>
      </c>
      <c r="GF30" s="6">
        <f>日流量!GF30*24*3600/100000000</f>
        <v>3.4819200000000001</v>
      </c>
      <c r="GG30" s="6">
        <f>日流量!GG30*24*3600/100000000</f>
        <v>3.5683199999999999</v>
      </c>
      <c r="GH30" s="6">
        <f>日流量!GH30*24*3600/100000000</f>
        <v>3.8016000000000001</v>
      </c>
      <c r="GI30" s="6">
        <f>日流量!GI30*24*3600/100000000</f>
        <v>4.0175999999999998</v>
      </c>
      <c r="GJ30" s="6">
        <f>日流量!GJ30*24*3600/100000000</f>
        <v>4.0953600000000003</v>
      </c>
      <c r="GK30" s="6">
        <f>日流量!GK30*24*3600/100000000</f>
        <v>4.1731199999999999</v>
      </c>
      <c r="GL30" s="6">
        <f>日流量!GL30*24*3600/100000000</f>
        <v>4.2508800000000004</v>
      </c>
      <c r="GM30" s="6">
        <f>日流量!GM30*24*3600/100000000</f>
        <v>4.4236800000000001</v>
      </c>
      <c r="GN30" s="6">
        <f>日流量!GN30*24*3600/100000000</f>
        <v>4.7519999999999998</v>
      </c>
      <c r="GO30" s="6">
        <f>日流量!GO30*24*3600/100000000</f>
        <v>4.8038400000000001</v>
      </c>
      <c r="GP30" s="6">
        <f>日流量!GP30*24*3600/100000000</f>
        <v>4.5446400000000002</v>
      </c>
      <c r="GQ30" s="6">
        <f>日流量!GQ30*24*3600/100000000</f>
        <v>4.32</v>
      </c>
      <c r="GR30" s="6">
        <f>日流量!GR30*24*3600/100000000</f>
        <v>3.9398399999999998</v>
      </c>
      <c r="GS30" s="6">
        <f>日流量!GS30*24*3600/100000000</f>
        <v>3.7497600000000002</v>
      </c>
      <c r="GT30" s="6">
        <f>日流量!GT30*24*3600/100000000</f>
        <v>3.8966400000000001</v>
      </c>
      <c r="GU30" s="6">
        <f>日流量!GU30*24*3600/100000000</f>
        <v>4.5792000000000002</v>
      </c>
      <c r="GV30" s="6">
        <f>日流量!GV30*24*3600/100000000</f>
        <v>4.3891200000000001</v>
      </c>
      <c r="GW30" s="6">
        <f>日流量!GW30*24*3600/100000000</f>
        <v>4.4496000000000002</v>
      </c>
      <c r="GX30" s="6">
        <f>日流量!GX30*24*3600/100000000</f>
        <v>4.9939200000000001</v>
      </c>
      <c r="GY30" s="6">
        <f>日流量!GY30*24*3600/100000000</f>
        <v>5.4604799999999996</v>
      </c>
      <c r="GZ30" s="6">
        <f>日流量!GZ30*24*3600/100000000</f>
        <v>5.6419199999999998</v>
      </c>
      <c r="HA30" s="6">
        <f>日流量!HA30*24*3600/100000000</f>
        <v>6.6355199999999996</v>
      </c>
      <c r="HB30" s="6">
        <f>日流量!HB30*24*3600/100000000</f>
        <v>6.9551999999999996</v>
      </c>
      <c r="HC30" s="6">
        <f>日流量!HC30*24*3600/100000000</f>
        <v>6.5750400000000004</v>
      </c>
      <c r="HD30" s="6">
        <f>日流量!HD30*24*3600/100000000</f>
        <v>6.4108799999999997</v>
      </c>
      <c r="HE30" s="6">
        <f>日流量!HE30*24*3600/100000000</f>
        <v>7.5340800000000003</v>
      </c>
      <c r="HF30" s="6">
        <f>日流量!HF30*24*3600/100000000</f>
        <v>8.64</v>
      </c>
      <c r="HG30" s="6">
        <f>日流量!HG30*24*3600/100000000</f>
        <v>9.2447999999999997</v>
      </c>
      <c r="HH30" s="6">
        <f>日流量!HH30*24*3600/100000000</f>
        <v>9.1584000000000003</v>
      </c>
      <c r="HI30" s="6">
        <f>日流量!HI30*24*3600/100000000</f>
        <v>7.9833600000000002</v>
      </c>
      <c r="HJ30" s="6">
        <f>日流量!HJ30*24*3600/100000000</f>
        <v>6.8169599999999999</v>
      </c>
      <c r="HK30" s="6">
        <f>日流量!HK30*24*3600/100000000</f>
        <v>6.0566399999999998</v>
      </c>
      <c r="HL30" s="6">
        <f>日流量!HL30*24*3600/100000000</f>
        <v>5.3395200000000003</v>
      </c>
      <c r="HM30" s="6">
        <f>日流量!HM30*24*3600/100000000</f>
        <v>4.8988800000000001</v>
      </c>
      <c r="HN30" s="6">
        <f>日流量!HN30*24*3600/100000000</f>
        <v>4.5964799999999997</v>
      </c>
      <c r="HO30" s="6">
        <f>日流量!HO30*24*3600/100000000</f>
        <v>4.3718399999999997</v>
      </c>
      <c r="HP30" s="6">
        <f>日流量!HP30*24*3600/100000000</f>
        <v>4.1904000000000003</v>
      </c>
      <c r="HQ30" s="6">
        <f>日流量!HQ30*24*3600/100000000</f>
        <v>4.0867199999999997</v>
      </c>
      <c r="HR30" s="6">
        <f>日流量!HR30*24*3600/100000000</f>
        <v>3.9830399999999999</v>
      </c>
      <c r="HS30" s="6">
        <f>日流量!HS30*24*3600/100000000</f>
        <v>4.3459199999999996</v>
      </c>
      <c r="HT30" s="6">
        <f>日流量!HT30*24*3600/100000000</f>
        <v>5.0544000000000002</v>
      </c>
      <c r="HU30" s="6">
        <f>日流量!HU30*24*3600/100000000</f>
        <v>5.3308799999999996</v>
      </c>
      <c r="HV30" s="6">
        <f>日流量!HV30*24*3600/100000000</f>
        <v>5.6159999999999997</v>
      </c>
      <c r="HW30" s="6">
        <f>日流量!HW30*24*3600/100000000</f>
        <v>6.1257599999999996</v>
      </c>
      <c r="HX30" s="6">
        <f>日流量!HX30*24*3600/100000000</f>
        <v>6.6700799999999996</v>
      </c>
      <c r="HY30" s="6">
        <f>日流量!HY30*24*3600/100000000</f>
        <v>6.6700799999999996</v>
      </c>
      <c r="HZ30" s="6">
        <f>日流量!HZ30*24*3600/100000000</f>
        <v>6.5404799999999996</v>
      </c>
      <c r="IA30" s="6">
        <f>日流量!IA30*24*3600/100000000</f>
        <v>7.4303999999999997</v>
      </c>
      <c r="IB30" s="6">
        <f>日流量!IB30*24*3600/100000000</f>
        <v>9.6768000000000001</v>
      </c>
      <c r="IC30" s="6">
        <f>日流量!IC30*24*3600/100000000</f>
        <v>10.281599999999999</v>
      </c>
      <c r="ID30" s="6">
        <f>日流量!ID30*24*3600/100000000</f>
        <v>9.0719999999999992</v>
      </c>
      <c r="IE30" s="6">
        <f>日流量!IE30*24*3600/100000000</f>
        <v>8.7263999999999999</v>
      </c>
      <c r="IF30" s="6">
        <f>日流量!IF30*24*3600/100000000</f>
        <v>8.8992000000000004</v>
      </c>
      <c r="IG30" s="6">
        <f>日流量!IG30*24*3600/100000000</f>
        <v>8.9855999999999998</v>
      </c>
      <c r="IH30" s="6">
        <f>日流量!IH30*24*3600/100000000</f>
        <v>9.6768000000000001</v>
      </c>
      <c r="II30" s="6">
        <f>日流量!II30*24*3600/100000000</f>
        <v>10.1952</v>
      </c>
      <c r="IJ30" s="6">
        <f>日流量!IJ30*24*3600/100000000</f>
        <v>9.5904000000000007</v>
      </c>
      <c r="IK30" s="6">
        <f>日流量!IK30*24*3600/100000000</f>
        <v>8.5881600000000002</v>
      </c>
      <c r="IL30" s="6">
        <f>日流量!IL30*24*3600/100000000</f>
        <v>7.4736000000000002</v>
      </c>
      <c r="IM30" s="6">
        <f>日流量!IM30*24*3600/100000000</f>
        <v>6.6614399999999998</v>
      </c>
      <c r="IN30" s="6">
        <f>日流量!IN30*24*3600/100000000</f>
        <v>6.1948800000000004</v>
      </c>
      <c r="IO30" s="6">
        <f>日流量!IO30*24*3600/100000000</f>
        <v>5.9961599999999997</v>
      </c>
      <c r="IP30" s="6">
        <f>日流量!IP30*24*3600/100000000</f>
        <v>5.8060799999999997</v>
      </c>
      <c r="IQ30" s="6">
        <f>日流量!IQ30*24*3600/100000000</f>
        <v>5.5555199999999996</v>
      </c>
      <c r="IR30" s="6">
        <f>日流量!IR30*24*3600/100000000</f>
        <v>5.25312</v>
      </c>
      <c r="IS30" s="6">
        <f>日流量!IS30*24*3600/100000000</f>
        <v>5.1062399999999997</v>
      </c>
      <c r="IT30" s="6">
        <f>日流量!IT30*24*3600/100000000</f>
        <v>5.0889600000000002</v>
      </c>
      <c r="IU30" s="6">
        <f>日流量!IU30*24*3600/100000000</f>
        <v>5.0284800000000001</v>
      </c>
      <c r="IV30" s="6">
        <f>日流量!IV30*24*3600/100000000</f>
        <v>4.8124799999999999</v>
      </c>
      <c r="IW30" s="6">
        <f>日流量!IW30*24*3600/100000000</f>
        <v>4.7606400000000004</v>
      </c>
      <c r="IX30" s="6">
        <f>日流量!IX30*24*3600/100000000</f>
        <v>4.6396800000000002</v>
      </c>
      <c r="IY30" s="6">
        <f>日流量!IY30*24*3600/100000000</f>
        <v>4.74336</v>
      </c>
      <c r="IZ30" s="6">
        <f>日流量!IZ30*24*3600/100000000</f>
        <v>5.3308799999999996</v>
      </c>
      <c r="JA30" s="6">
        <f>日流量!JA30*24*3600/100000000</f>
        <v>5.6851200000000004</v>
      </c>
      <c r="JB30" s="6">
        <f>日流量!JB30*24*3600/100000000</f>
        <v>5.66784</v>
      </c>
      <c r="JC30" s="6">
        <f>日流量!JC30*24*3600/100000000</f>
        <v>5.8665599999999998</v>
      </c>
      <c r="JD30" s="6">
        <f>日流量!JD30*24*3600/100000000</f>
        <v>7.0934400000000002</v>
      </c>
      <c r="JE30" s="6">
        <f>日流量!JE30*24*3600/100000000</f>
        <v>7.2662399999999998</v>
      </c>
      <c r="JF30" s="6">
        <f>日流量!JF30*24*3600/100000000</f>
        <v>7.2748799999999996</v>
      </c>
      <c r="JG30" s="6">
        <f>日流量!JG30*24*3600/100000000</f>
        <v>7.5427200000000001</v>
      </c>
      <c r="JH30" s="6">
        <f>日流量!JH30*24*3600/100000000</f>
        <v>7.992</v>
      </c>
      <c r="JI30" s="6">
        <f>日流量!JI30*24*3600/100000000</f>
        <v>8.2684800000000003</v>
      </c>
      <c r="JJ30" s="6">
        <f>日流量!JJ30*24*3600/100000000</f>
        <v>7.8105599999999997</v>
      </c>
      <c r="JK30" s="6">
        <f>日流量!JK30*24*3600/100000000</f>
        <v>7.0415999999999999</v>
      </c>
      <c r="JL30" s="6">
        <f>日流量!JL30*24*3600/100000000</f>
        <v>6.46272</v>
      </c>
      <c r="JM30" s="6">
        <f>日流量!JM30*24*3600/100000000</f>
        <v>5.9615999999999998</v>
      </c>
      <c r="JN30" s="6">
        <f>日流量!JN30*24*3600/100000000</f>
        <v>5.5728</v>
      </c>
      <c r="JO30" s="6">
        <f>日流量!JO30*24*3600/100000000</f>
        <v>5.3654400000000004</v>
      </c>
      <c r="JP30" s="6">
        <f>日流量!JP30*24*3600/100000000</f>
        <v>5.6246400000000003</v>
      </c>
      <c r="JQ30" s="6">
        <f>日流量!JQ30*24*3600/100000000</f>
        <v>6.0134400000000001</v>
      </c>
      <c r="JR30" s="6">
        <f>日流量!JR30*24*3600/100000000</f>
        <v>6.2640000000000002</v>
      </c>
      <c r="JS30" s="6">
        <f>日流量!JS30*24*3600/100000000</f>
        <v>6.4454399999999996</v>
      </c>
      <c r="JT30" s="6">
        <f>日流量!JT30*24*3600/100000000</f>
        <v>6.2467199999999998</v>
      </c>
      <c r="JU30" s="6">
        <f>日流量!JU30*24*3600/100000000</f>
        <v>5.9356799999999996</v>
      </c>
      <c r="JV30" s="6">
        <f>日流量!JV30*24*3600/100000000</f>
        <v>5.85792</v>
      </c>
      <c r="JW30" s="6">
        <f>日流量!JW30*24*3600/100000000</f>
        <v>5.9184000000000001</v>
      </c>
      <c r="JX30" s="6">
        <f>日流量!JX30*24*3600/100000000</f>
        <v>5.66784</v>
      </c>
      <c r="JY30" s="6">
        <f>日流量!JY30*24*3600/100000000</f>
        <v>5.5382400000000001</v>
      </c>
      <c r="JZ30" s="6">
        <f>日流量!JZ30*24*3600/100000000</f>
        <v>5.4</v>
      </c>
      <c r="KA30" s="6">
        <f>日流量!KA30*24*3600/100000000</f>
        <v>5.2617599999999998</v>
      </c>
      <c r="KB30" s="6">
        <f>日流量!KB30*24*3600/100000000</f>
        <v>5.1321599999999998</v>
      </c>
      <c r="KC30" s="6">
        <f>日流量!KC30*24*3600/100000000</f>
        <v>5.0198400000000003</v>
      </c>
      <c r="KD30" s="6">
        <f>日流量!KD30*24*3600/100000000</f>
        <v>4.87296</v>
      </c>
      <c r="KE30" s="6">
        <f>日流量!KE30*24*3600/100000000</f>
        <v>4.7692800000000002</v>
      </c>
      <c r="KF30" s="6">
        <f>日流量!KF30*24*3600/100000000</f>
        <v>4.6828799999999999</v>
      </c>
      <c r="KG30" s="6">
        <f>日流量!KG30*24*3600/100000000</f>
        <v>4.5619199999999998</v>
      </c>
      <c r="KH30" s="6">
        <f>日流量!KH30*24*3600/100000000</f>
        <v>4.4409599999999996</v>
      </c>
      <c r="KI30" s="6">
        <f>日流量!KI30*24*3600/100000000</f>
        <v>4.26816</v>
      </c>
      <c r="KJ30" s="6">
        <f>日流量!KJ30*24*3600/100000000</f>
        <v>4.1040000000000001</v>
      </c>
      <c r="KK30" s="6">
        <f>日流量!KK30*24*3600/100000000</f>
        <v>3.9571200000000002</v>
      </c>
      <c r="KL30" s="6">
        <f>日流量!KL30*24*3600/100000000</f>
        <v>3.8275199999999998</v>
      </c>
      <c r="KM30" s="6">
        <f>日流量!KM30*24*3600/100000000</f>
        <v>3.7065600000000001</v>
      </c>
      <c r="KN30" s="6">
        <f>日流量!KN30*24*3600/100000000</f>
        <v>3.5942400000000001</v>
      </c>
      <c r="KO30" s="6">
        <f>日流量!KO30*24*3600/100000000</f>
        <v>3.4905599999999999</v>
      </c>
      <c r="KP30" s="6">
        <f>日流量!KP30*24*3600/100000000</f>
        <v>3.3696000000000002</v>
      </c>
      <c r="KQ30" s="6">
        <f>日流量!KQ30*24*3600/100000000</f>
        <v>3.24864</v>
      </c>
      <c r="KR30" s="6">
        <f>日流量!KR30*24*3600/100000000</f>
        <v>3.1449600000000002</v>
      </c>
      <c r="KS30" s="6">
        <f>日流量!KS30*24*3600/100000000</f>
        <v>3.0758399999999999</v>
      </c>
      <c r="KT30" s="6">
        <f>日流量!KT30*24*3600/100000000</f>
        <v>2.9980799999999999</v>
      </c>
      <c r="KU30" s="6">
        <f>日流量!KU30*24*3600/100000000</f>
        <v>2.9030399999999998</v>
      </c>
      <c r="KV30" s="6">
        <f>日流量!KV30*24*3600/100000000</f>
        <v>2.8252799999999998</v>
      </c>
      <c r="KW30" s="6">
        <f>日流量!KW30*24*3600/100000000</f>
        <v>2.8079999999999998</v>
      </c>
      <c r="KX30" s="6">
        <f>日流量!KX30*24*3600/100000000</f>
        <v>2.7820800000000001</v>
      </c>
      <c r="KY30" s="6">
        <f>日流量!KY30*24*3600/100000000</f>
        <v>2.6870400000000001</v>
      </c>
      <c r="KZ30" s="6">
        <f>日流量!KZ30*24*3600/100000000</f>
        <v>2.6179199999999998</v>
      </c>
      <c r="LA30" s="6">
        <f>日流量!LA30*24*3600/100000000</f>
        <v>2.5833599999999999</v>
      </c>
      <c r="LB30" s="6">
        <f>日流量!LB30*24*3600/100000000</f>
        <v>2.5488</v>
      </c>
      <c r="LC30" s="6">
        <f>日流量!LC30*24*3600/100000000</f>
        <v>2.5228799999999998</v>
      </c>
      <c r="LD30" s="6">
        <f>日流量!LD30*24*3600/100000000</f>
        <v>2.4796800000000001</v>
      </c>
      <c r="LE30" s="6">
        <f>日流量!LE30*24*3600/100000000</f>
        <v>2.4192</v>
      </c>
      <c r="LF30" s="6">
        <f>日流量!LF30*24*3600/100000000</f>
        <v>2.3673600000000001</v>
      </c>
      <c r="LG30" s="6">
        <f>日流量!LG30*24*3600/100000000</f>
        <v>2.3155199999999998</v>
      </c>
      <c r="LH30" s="6">
        <f>日流量!LH30*24*3600/100000000</f>
        <v>2.2809599999999999</v>
      </c>
      <c r="LI30" s="6">
        <f>日流量!LI30*24*3600/100000000</f>
        <v>2.2896000000000001</v>
      </c>
      <c r="LJ30" s="6">
        <f>日流量!LJ30*24*3600/100000000</f>
        <v>2.2636799999999999</v>
      </c>
      <c r="LK30" s="6">
        <f>日流量!LK30*24*3600/100000000</f>
        <v>2.21184</v>
      </c>
      <c r="LL30" s="6">
        <f>日流量!LL30*24*3600/100000000</f>
        <v>2.16</v>
      </c>
      <c r="LM30" s="6">
        <f>日流量!LM30*24*3600/100000000</f>
        <v>2.1081599999999998</v>
      </c>
      <c r="LN30" s="6">
        <f>日流量!LN30*24*3600/100000000</f>
        <v>2.0563199999999999</v>
      </c>
      <c r="LO30" s="6">
        <f>日流量!LO30*24*3600/100000000</f>
        <v>2.02176</v>
      </c>
      <c r="LP30" s="6">
        <f>日流量!LP30*24*3600/100000000</f>
        <v>1.9785600000000001</v>
      </c>
      <c r="LQ30" s="6">
        <f>日流量!LQ30*24*3600/100000000</f>
        <v>1.92672</v>
      </c>
      <c r="LR30" s="6">
        <f>日流量!LR30*24*3600/100000000</f>
        <v>1.8921600000000001</v>
      </c>
      <c r="LS30" s="6">
        <f>日流量!LS30*24*3600/100000000</f>
        <v>1.8575999999999999</v>
      </c>
      <c r="LT30" s="6">
        <f>日流量!LT30*24*3600/100000000</f>
        <v>1.82304</v>
      </c>
      <c r="LU30" s="6">
        <f>日流量!LU30*24*3600/100000000</f>
        <v>1.7884800000000001</v>
      </c>
      <c r="LV30" s="6">
        <f>日流量!LV30*24*3600/100000000</f>
        <v>1.7798400000000001</v>
      </c>
      <c r="LW30" s="6">
        <f>日流量!LW30*24*3600/100000000</f>
        <v>1.7625599999999999</v>
      </c>
      <c r="LX30" s="6">
        <f>日流量!LX30*24*3600/100000000</f>
        <v>1.7452799999999999</v>
      </c>
      <c r="LY30" s="6">
        <f>日流量!LY30*24*3600/100000000</f>
        <v>1.7452799999999999</v>
      </c>
      <c r="LZ30" s="6">
        <f>日流量!LZ30*24*3600/100000000</f>
        <v>1.71936</v>
      </c>
      <c r="MA30" s="6">
        <f>日流量!MA30*24*3600/100000000</f>
        <v>1.70208</v>
      </c>
      <c r="MB30" s="6">
        <f>日流量!MB30*24*3600/100000000</f>
        <v>1.6761600000000001</v>
      </c>
      <c r="MC30" s="6">
        <f>日流量!MC30*24*3600/100000000</f>
        <v>1.6761600000000001</v>
      </c>
      <c r="MD30" s="6">
        <f>日流量!MD30*24*3600/100000000</f>
        <v>1.6675199999999999</v>
      </c>
      <c r="ME30" s="6">
        <f>日流量!ME30*24*3600/100000000</f>
        <v>1.6502399999999999</v>
      </c>
      <c r="MF30" s="6">
        <f>日流量!MF30*24*3600/100000000</f>
        <v>1.63296</v>
      </c>
      <c r="MG30" s="6">
        <f>日流量!MG30*24*3600/100000000</f>
        <v>1.62432</v>
      </c>
      <c r="MH30" s="6">
        <f>日流量!MH30*24*3600/100000000</f>
        <v>1.5897600000000001</v>
      </c>
      <c r="MI30" s="6">
        <f>日流量!MI30*24*3600/100000000</f>
        <v>1.5724800000000001</v>
      </c>
      <c r="MJ30" s="6">
        <f>日流量!MJ30*24*3600/100000000</f>
        <v>1.5551999999999999</v>
      </c>
      <c r="MK30" s="6">
        <f>日流量!MK30*24*3600/100000000</f>
        <v>1.52928</v>
      </c>
      <c r="ML30" s="6">
        <f>日流量!ML30*24*3600/100000000</f>
        <v>1.49472</v>
      </c>
      <c r="MM30" s="6">
        <f>日流量!MM30*24*3600/100000000</f>
        <v>1.4688000000000001</v>
      </c>
      <c r="MN30" s="6">
        <f>日流量!MN30*24*3600/100000000</f>
        <v>1.4428799999999999</v>
      </c>
      <c r="MO30" s="6">
        <f>日流量!MO30*24*3600/100000000</f>
        <v>1.4256</v>
      </c>
      <c r="MP30" s="6">
        <f>日流量!MP30*24*3600/100000000</f>
        <v>1.40832</v>
      </c>
      <c r="MQ30" s="6">
        <f>日流量!MQ30*24*3600/100000000</f>
        <v>1.39968</v>
      </c>
      <c r="MR30" s="6">
        <f>日流量!MR30*24*3600/100000000</f>
        <v>1.3824000000000001</v>
      </c>
      <c r="MS30" s="6">
        <f>日流量!MS30*24*3600/100000000</f>
        <v>1.3737600000000001</v>
      </c>
      <c r="MT30" s="6">
        <f>日流量!MT30*24*3600/100000000</f>
        <v>1.3564799999999999</v>
      </c>
      <c r="MU30" s="6">
        <f>日流量!MU30*24*3600/100000000</f>
        <v>1.33056</v>
      </c>
      <c r="MV30" s="6">
        <f>日流量!MV30*24*3600/100000000</f>
        <v>1.31328</v>
      </c>
      <c r="MW30" s="6">
        <f>日流量!MW30*24*3600/100000000</f>
        <v>1.296</v>
      </c>
      <c r="MX30" s="6">
        <f>日流量!MX30*24*3600/100000000</f>
        <v>1.2873600000000001</v>
      </c>
      <c r="MY30" s="6">
        <f>日流量!MY30*24*3600/100000000</f>
        <v>1.2787200000000001</v>
      </c>
      <c r="MZ30" s="6">
        <f>日流量!MZ30*24*3600/100000000</f>
        <v>1.2700800000000001</v>
      </c>
      <c r="NA30" s="6">
        <f>日流量!NA30*24*3600/100000000</f>
        <v>1.2614399999999999</v>
      </c>
      <c r="NB30" s="6">
        <f>日流量!NB30*24*3600/100000000</f>
        <v>1.2441599999999999</v>
      </c>
      <c r="NC30" s="6"/>
      <c r="ND30" s="6">
        <f>日流量!ND30*24*3600*31/100000000</f>
        <v>30.265920000000001</v>
      </c>
      <c r="NE30" s="6">
        <f>日流量!NE30*24*3600*28/100000000</f>
        <v>24.433920000000001</v>
      </c>
      <c r="NF30" s="6">
        <f>日流量!NF30*24*3600*31/100000000</f>
        <v>25.739424</v>
      </c>
      <c r="NG30" s="6">
        <f>日流量!NG30*24*3600*30/100000000</f>
        <v>37.065600000000003</v>
      </c>
      <c r="NH30" s="6">
        <f>日流量!NH30*24*3600*31/100000000</f>
        <v>49.014719999999997</v>
      </c>
      <c r="NI30" s="6">
        <f>日流量!NI30*24*3600*30/100000000</f>
        <v>99.532799999999995</v>
      </c>
      <c r="NJ30" s="6">
        <f>日流量!NJ30*24*3600*31/100000000</f>
        <v>148.38336000000001</v>
      </c>
      <c r="NK30" s="6">
        <f>日流量!NK30*24*3600*31/100000000</f>
        <v>218.28960000000001</v>
      </c>
      <c r="NL30" s="6">
        <f>日流量!NL30*24*3600*30/100000000</f>
        <v>183.2544</v>
      </c>
      <c r="NM30" s="6">
        <f>日流量!NM30*24*3600*31/100000000</f>
        <v>146.50847999999999</v>
      </c>
      <c r="NN30" s="6">
        <f>日流量!NN30*24*3600*30/100000000</f>
        <v>67.910399999999996</v>
      </c>
      <c r="NO30" s="6">
        <f>日流量!NO30*24*3600*31/100000000</f>
        <v>45.532800000000002</v>
      </c>
      <c r="NP30" s="14">
        <f t="shared" si="10"/>
        <v>1075.9314239999999</v>
      </c>
      <c r="NQ30" s="6">
        <f>日流量!NQ30*24*3600/100000000</f>
        <v>10.281599999999999</v>
      </c>
      <c r="NR30" s="4">
        <f>日流量!NR30</f>
        <v>42605</v>
      </c>
      <c r="NS30" s="6">
        <f>日流量!NS30*24*3600/100000000</f>
        <v>0.80611200000000005</v>
      </c>
      <c r="NT30" s="4">
        <f>日流量!NT30</f>
        <v>42451</v>
      </c>
      <c r="NU30" s="7">
        <f>日流量!NP30</f>
        <v>3410.9890410958906</v>
      </c>
      <c r="NW30" s="13">
        <f t="shared" si="0"/>
        <v>844.98335999999995</v>
      </c>
      <c r="NX30" s="12">
        <f t="shared" si="1"/>
        <v>78.535057267739035</v>
      </c>
      <c r="NY30" s="13">
        <f t="shared" si="2"/>
        <v>649.46015999999997</v>
      </c>
      <c r="NZ30" s="12">
        <f t="shared" si="3"/>
        <v>60.362597979106894</v>
      </c>
      <c r="OA30" s="13">
        <f t="shared" si="4"/>
        <v>230.94806399999993</v>
      </c>
      <c r="OB30" s="12">
        <f t="shared" si="5"/>
        <v>21.464942732260969</v>
      </c>
      <c r="OC30" s="13">
        <f t="shared" si="6"/>
        <v>218.28960000000001</v>
      </c>
      <c r="OD30" s="12">
        <f t="shared" si="7"/>
        <v>20.288430575664645</v>
      </c>
      <c r="OE30" s="12">
        <f t="shared" si="8"/>
        <v>251.3858467289719</v>
      </c>
      <c r="OF30" s="12">
        <f t="shared" si="9"/>
        <v>7.9713929074382275</v>
      </c>
    </row>
    <row r="31" spans="1:396" x14ac:dyDescent="0.15">
      <c r="A31" s="2">
        <v>1978</v>
      </c>
      <c r="B31" s="6">
        <f>日流量!B31*24*3600/100000000</f>
        <v>1.21824</v>
      </c>
      <c r="C31" s="6">
        <f>日流量!C31*24*3600/100000000</f>
        <v>1.21824</v>
      </c>
      <c r="D31" s="6">
        <f>日流量!D31*24*3600/100000000</f>
        <v>1.22688</v>
      </c>
      <c r="E31" s="6">
        <f>日流量!E31*24*3600/100000000</f>
        <v>1.22688</v>
      </c>
      <c r="F31" s="6">
        <f>日流量!F31*24*3600/100000000</f>
        <v>1.21824</v>
      </c>
      <c r="G31" s="6">
        <f>日流量!G31*24*3600/100000000</f>
        <v>1.20096</v>
      </c>
      <c r="H31" s="6">
        <f>日流量!H31*24*3600/100000000</f>
        <v>1.19232</v>
      </c>
      <c r="I31" s="6">
        <f>日流量!I31*24*3600/100000000</f>
        <v>1.1664000000000001</v>
      </c>
      <c r="J31" s="6">
        <f>日流量!J31*24*3600/100000000</f>
        <v>1.1491199999999999</v>
      </c>
      <c r="K31" s="6">
        <f>日流量!K31*24*3600/100000000</f>
        <v>1.1404799999999999</v>
      </c>
      <c r="L31" s="6">
        <f>日流量!L31*24*3600/100000000</f>
        <v>1.13184</v>
      </c>
      <c r="M31" s="6">
        <f>日流量!M31*24*3600/100000000</f>
        <v>1.11456</v>
      </c>
      <c r="N31" s="6">
        <f>日流量!N31*24*3600/100000000</f>
        <v>1.11456</v>
      </c>
      <c r="O31" s="6">
        <f>日流量!O31*24*3600/100000000</f>
        <v>1.10592</v>
      </c>
      <c r="P31" s="6">
        <f>日流量!P31*24*3600/100000000</f>
        <v>1.0886400000000001</v>
      </c>
      <c r="Q31" s="6">
        <f>日流量!Q31*24*3600/100000000</f>
        <v>1.08</v>
      </c>
      <c r="R31" s="6">
        <f>日流量!R31*24*3600/100000000</f>
        <v>1.0713600000000001</v>
      </c>
      <c r="S31" s="6">
        <f>日流量!S31*24*3600/100000000</f>
        <v>1.0540799999999999</v>
      </c>
      <c r="T31" s="6">
        <f>日流量!T31*24*3600/100000000</f>
        <v>1.0540799999999999</v>
      </c>
      <c r="U31" s="6">
        <f>日流量!U31*24*3600/100000000</f>
        <v>1.0367999999999999</v>
      </c>
      <c r="V31" s="6">
        <f>日流量!V31*24*3600/100000000</f>
        <v>1.0454399999999999</v>
      </c>
      <c r="W31" s="6">
        <f>日流量!W31*24*3600/100000000</f>
        <v>1.0540799999999999</v>
      </c>
      <c r="X31" s="6">
        <f>日流量!X31*24*3600/100000000</f>
        <v>1.0454399999999999</v>
      </c>
      <c r="Y31" s="6">
        <f>日流量!Y31*24*3600/100000000</f>
        <v>1.0367999999999999</v>
      </c>
      <c r="Z31" s="6">
        <f>日流量!Z31*24*3600/100000000</f>
        <v>1.02816</v>
      </c>
      <c r="AA31" s="6">
        <f>日流量!AA31*24*3600/100000000</f>
        <v>1.01088</v>
      </c>
      <c r="AB31" s="6">
        <f>日流量!AB31*24*3600/100000000</f>
        <v>1.00224</v>
      </c>
      <c r="AC31" s="6">
        <f>日流量!AC31*24*3600/100000000</f>
        <v>0.99360000000000004</v>
      </c>
      <c r="AD31" s="6">
        <f>日流量!AD31*24*3600/100000000</f>
        <v>0.97631999999999997</v>
      </c>
      <c r="AE31" s="6">
        <f>日流量!AE31*24*3600/100000000</f>
        <v>0.96767999999999998</v>
      </c>
      <c r="AF31" s="6">
        <f>日流量!AF31*24*3600/100000000</f>
        <v>0.95904</v>
      </c>
      <c r="AG31" s="6">
        <f>日流量!AG31*24*3600/100000000</f>
        <v>0.95904</v>
      </c>
      <c r="AH31" s="6">
        <f>日流量!AH31*24*3600/100000000</f>
        <v>0.94176000000000004</v>
      </c>
      <c r="AI31" s="6">
        <f>日流量!AI31*24*3600/100000000</f>
        <v>0.94176000000000004</v>
      </c>
      <c r="AJ31" s="6">
        <f>日流量!AJ31*24*3600/100000000</f>
        <v>0.94176000000000004</v>
      </c>
      <c r="AK31" s="6">
        <f>日流量!AK31*24*3600/100000000</f>
        <v>0.94176000000000004</v>
      </c>
      <c r="AL31" s="6">
        <f>日流量!AL31*24*3600/100000000</f>
        <v>0.94176000000000004</v>
      </c>
      <c r="AM31" s="6">
        <f>日流量!AM31*24*3600/100000000</f>
        <v>0.94176000000000004</v>
      </c>
      <c r="AN31" s="6">
        <f>日流量!AN31*24*3600/100000000</f>
        <v>0.93311999999999995</v>
      </c>
      <c r="AO31" s="6">
        <f>日流量!AO31*24*3600/100000000</f>
        <v>0.94176000000000004</v>
      </c>
      <c r="AP31" s="6">
        <f>日流量!AP31*24*3600/100000000</f>
        <v>0.93311999999999995</v>
      </c>
      <c r="AQ31" s="6">
        <f>日流量!AQ31*24*3600/100000000</f>
        <v>0.92447999999999997</v>
      </c>
      <c r="AR31" s="6">
        <f>日流量!AR31*24*3600/100000000</f>
        <v>0.92447999999999997</v>
      </c>
      <c r="AS31" s="6">
        <f>日流量!AS31*24*3600/100000000</f>
        <v>0.90720000000000001</v>
      </c>
      <c r="AT31" s="6">
        <f>日流量!AT31*24*3600/100000000</f>
        <v>0.90720000000000001</v>
      </c>
      <c r="AU31" s="6">
        <f>日流量!AU31*24*3600/100000000</f>
        <v>0.89856000000000003</v>
      </c>
      <c r="AV31" s="6">
        <f>日流量!AV31*24*3600/100000000</f>
        <v>0.88992000000000004</v>
      </c>
      <c r="AW31" s="6">
        <f>日流量!AW31*24*3600/100000000</f>
        <v>0.88127999999999995</v>
      </c>
      <c r="AX31" s="6">
        <f>日流量!AX31*24*3600/100000000</f>
        <v>0.87263999999999997</v>
      </c>
      <c r="AY31" s="6">
        <f>日流量!AY31*24*3600/100000000</f>
        <v>0.87263999999999997</v>
      </c>
      <c r="AZ31" s="6">
        <f>日流量!AZ31*24*3600/100000000</f>
        <v>0.87263999999999997</v>
      </c>
      <c r="BA31" s="6">
        <f>日流量!BA31*24*3600/100000000</f>
        <v>0.87263999999999997</v>
      </c>
      <c r="BB31" s="6">
        <f>日流量!BB31*24*3600/100000000</f>
        <v>0.88992000000000004</v>
      </c>
      <c r="BC31" s="6">
        <f>日流量!BC31*24*3600/100000000</f>
        <v>0.88992000000000004</v>
      </c>
      <c r="BD31" s="6">
        <f>日流量!BD31*24*3600/100000000</f>
        <v>0.90720000000000001</v>
      </c>
      <c r="BE31" s="6">
        <f>日流量!BE31*24*3600/100000000</f>
        <v>0.90720000000000001</v>
      </c>
      <c r="BF31" s="6">
        <f>日流量!BF31*24*3600/100000000</f>
        <v>0.88992000000000004</v>
      </c>
      <c r="BG31" s="6">
        <f>日流量!BG31*24*3600/100000000</f>
        <v>0.88127999999999995</v>
      </c>
      <c r="BH31" s="6">
        <f>日流量!BH31*24*3600/100000000</f>
        <v>0.88127999999999995</v>
      </c>
      <c r="BI31" s="6"/>
      <c r="BJ31" s="6">
        <f>日流量!BJ31*24*3600/100000000</f>
        <v>0.87263999999999997</v>
      </c>
      <c r="BK31" s="6">
        <f>日流量!BK31*24*3600/100000000</f>
        <v>0.85708799999999996</v>
      </c>
      <c r="BL31" s="6">
        <f>日流量!BL31*24*3600/100000000</f>
        <v>0.84240000000000004</v>
      </c>
      <c r="BM31" s="6">
        <f>日流量!BM31*24*3600/100000000</f>
        <v>0.84067199999999997</v>
      </c>
      <c r="BN31" s="6">
        <f>日流量!BN31*24*3600/100000000</f>
        <v>0.83808000000000005</v>
      </c>
      <c r="BO31" s="6">
        <f>日流量!BO31*24*3600/100000000</f>
        <v>0.83808000000000005</v>
      </c>
      <c r="BP31" s="6">
        <f>日流量!BP31*24*3600/100000000</f>
        <v>0.83548800000000001</v>
      </c>
      <c r="BQ31" s="6">
        <f>日流量!BQ31*24*3600/100000000</f>
        <v>0.83548800000000001</v>
      </c>
      <c r="BR31" s="6">
        <f>日流量!BR31*24*3600/100000000</f>
        <v>0.839808</v>
      </c>
      <c r="BS31" s="6">
        <f>日流量!BS31*24*3600/100000000</f>
        <v>0.84067199999999997</v>
      </c>
      <c r="BT31" s="6">
        <f>日流量!BT31*24*3600/100000000</f>
        <v>0.83808000000000005</v>
      </c>
      <c r="BU31" s="6">
        <f>日流量!BU31*24*3600/100000000</f>
        <v>0.83548800000000001</v>
      </c>
      <c r="BV31" s="6">
        <f>日流量!BV31*24*3600/100000000</f>
        <v>0.83289599999999997</v>
      </c>
      <c r="BW31" s="6">
        <f>日流量!BW31*24*3600/100000000</f>
        <v>0.82598400000000005</v>
      </c>
      <c r="BX31" s="6">
        <f>日流量!BX31*24*3600/100000000</f>
        <v>0.819936</v>
      </c>
      <c r="BY31" s="6">
        <f>日流量!BY31*24*3600/100000000</f>
        <v>0.819936</v>
      </c>
      <c r="BZ31" s="6">
        <f>日流量!BZ31*24*3600/100000000</f>
        <v>0.83116800000000002</v>
      </c>
      <c r="CA31" s="6">
        <f>日流量!CA31*24*3600/100000000</f>
        <v>0.83808000000000005</v>
      </c>
      <c r="CB31" s="6">
        <f>日流量!CB31*24*3600/100000000</f>
        <v>0.83375999999999995</v>
      </c>
      <c r="CC31" s="6">
        <f>日流量!CC31*24*3600/100000000</f>
        <v>0.83462400000000003</v>
      </c>
      <c r="CD31" s="6">
        <f>日流量!CD31*24*3600/100000000</f>
        <v>0.83289599999999997</v>
      </c>
      <c r="CE31" s="6">
        <f>日流量!CE31*24*3600/100000000</f>
        <v>0.82166399999999995</v>
      </c>
      <c r="CF31" s="6">
        <f>日流量!CF31*24*3600/100000000</f>
        <v>0.819936</v>
      </c>
      <c r="CG31" s="6">
        <f>日流量!CG31*24*3600/100000000</f>
        <v>0.82943999999999996</v>
      </c>
      <c r="CH31" s="6">
        <f>日流量!CH31*24*3600/100000000</f>
        <v>0.839808</v>
      </c>
      <c r="CI31" s="6">
        <f>日流量!CI31*24*3600/100000000</f>
        <v>0.84499199999999997</v>
      </c>
      <c r="CJ31" s="6">
        <f>日流量!CJ31*24*3600/100000000</f>
        <v>0.84844799999999998</v>
      </c>
      <c r="CK31" s="6">
        <f>日流量!CK31*24*3600/100000000</f>
        <v>0.84672000000000003</v>
      </c>
      <c r="CL31" s="6">
        <f>日流量!CL31*24*3600/100000000</f>
        <v>0.83635199999999998</v>
      </c>
      <c r="CM31" s="6">
        <f>日流量!CM31*24*3600/100000000</f>
        <v>0.827712</v>
      </c>
      <c r="CN31" s="6">
        <f>日流量!CN31*24*3600/100000000</f>
        <v>0.81820800000000005</v>
      </c>
      <c r="CO31" s="6">
        <f>日流量!CO31*24*3600/100000000</f>
        <v>0.82425599999999999</v>
      </c>
      <c r="CP31" s="6">
        <f>日流量!CP31*24*3600/100000000</f>
        <v>0.82598400000000005</v>
      </c>
      <c r="CQ31" s="6">
        <f>日流量!CQ31*24*3600/100000000</f>
        <v>0.82943999999999996</v>
      </c>
      <c r="CR31" s="6">
        <f>日流量!CR31*24*3600/100000000</f>
        <v>0.83116800000000002</v>
      </c>
      <c r="CS31" s="6">
        <f>日流量!CS31*24*3600/100000000</f>
        <v>0.83203199999999999</v>
      </c>
      <c r="CT31" s="6">
        <f>日流量!CT31*24*3600/100000000</f>
        <v>0.827712</v>
      </c>
      <c r="CU31" s="6">
        <f>日流量!CU31*24*3600/100000000</f>
        <v>0.81647999999999998</v>
      </c>
      <c r="CV31" s="6">
        <f>日流量!CV31*24*3600/100000000</f>
        <v>0.81215999999999999</v>
      </c>
      <c r="CW31" s="6">
        <f>日流量!CW31*24*3600/100000000</f>
        <v>0.81647999999999998</v>
      </c>
      <c r="CX31" s="6">
        <f>日流量!CX31*24*3600/100000000</f>
        <v>0.83375999999999995</v>
      </c>
      <c r="CY31" s="6">
        <f>日流量!CY31*24*3600/100000000</f>
        <v>0.83548800000000001</v>
      </c>
      <c r="CZ31" s="6">
        <f>日流量!CZ31*24*3600/100000000</f>
        <v>0.83548800000000001</v>
      </c>
      <c r="DA31" s="6">
        <f>日流量!DA31*24*3600/100000000</f>
        <v>0.839808</v>
      </c>
      <c r="DB31" s="6">
        <f>日流量!DB31*24*3600/100000000</f>
        <v>0.84326400000000001</v>
      </c>
      <c r="DC31" s="6">
        <f>日流量!DC31*24*3600/100000000</f>
        <v>0.83894400000000002</v>
      </c>
      <c r="DD31" s="6">
        <f>日流量!DD31*24*3600/100000000</f>
        <v>0.84585600000000005</v>
      </c>
      <c r="DE31" s="6">
        <f>日流量!DE31*24*3600/100000000</f>
        <v>0.86140799999999995</v>
      </c>
      <c r="DF31" s="6">
        <f>日流量!DF31*24*3600/100000000</f>
        <v>0.88992000000000004</v>
      </c>
      <c r="DG31" s="6">
        <f>日流量!DG31*24*3600/100000000</f>
        <v>0.95904</v>
      </c>
      <c r="DH31" s="6">
        <f>日流量!DH31*24*3600/100000000</f>
        <v>1.0367999999999999</v>
      </c>
      <c r="DI31" s="6">
        <f>日流量!DI31*24*3600/100000000</f>
        <v>1.10592</v>
      </c>
      <c r="DJ31" s="6">
        <f>日流量!DJ31*24*3600/100000000</f>
        <v>1.1577599999999999</v>
      </c>
      <c r="DK31" s="6">
        <f>日流量!DK31*24*3600/100000000</f>
        <v>1.2096</v>
      </c>
      <c r="DL31" s="6">
        <f>日流量!DL31*24*3600/100000000</f>
        <v>1.33056</v>
      </c>
      <c r="DM31" s="6">
        <f>日流量!DM31*24*3600/100000000</f>
        <v>1.4774400000000001</v>
      </c>
      <c r="DN31" s="6">
        <f>日流量!DN31*24*3600/100000000</f>
        <v>1.50336</v>
      </c>
      <c r="DO31" s="6">
        <f>日流量!DO31*24*3600/100000000</f>
        <v>1.4860800000000001</v>
      </c>
      <c r="DP31" s="6">
        <f>日流量!DP31*24*3600/100000000</f>
        <v>1.4601599999999999</v>
      </c>
      <c r="DQ31" s="6">
        <f>日流量!DQ31*24*3600/100000000</f>
        <v>1.4515199999999999</v>
      </c>
      <c r="DR31" s="6">
        <f>日流量!DR31*24*3600/100000000</f>
        <v>1.512</v>
      </c>
      <c r="DS31" s="6">
        <f>日流量!DS31*24*3600/100000000</f>
        <v>1.62432</v>
      </c>
      <c r="DT31" s="6">
        <f>日流量!DT31*24*3600/100000000</f>
        <v>1.6675199999999999</v>
      </c>
      <c r="DU31" s="6">
        <f>日流量!DU31*24*3600/100000000</f>
        <v>1.5897600000000001</v>
      </c>
      <c r="DV31" s="6">
        <f>日流量!DV31*24*3600/100000000</f>
        <v>1.512</v>
      </c>
      <c r="DW31" s="6">
        <f>日流量!DW31*24*3600/100000000</f>
        <v>1.4601599999999999</v>
      </c>
      <c r="DX31" s="6">
        <f>日流量!DX31*24*3600/100000000</f>
        <v>1.5551999999999999</v>
      </c>
      <c r="DY31" s="6">
        <f>日流量!DY31*24*3600/100000000</f>
        <v>1.6934400000000001</v>
      </c>
      <c r="DZ31" s="6">
        <f>日流量!DZ31*24*3600/100000000</f>
        <v>1.728</v>
      </c>
      <c r="EA31" s="6">
        <f>日流量!EA31*24*3600/100000000</f>
        <v>1.6675199999999999</v>
      </c>
      <c r="EB31" s="6">
        <f>日流量!EB31*24*3600/100000000</f>
        <v>1.5897600000000001</v>
      </c>
      <c r="EC31" s="6">
        <f>日流量!EC31*24*3600/100000000</f>
        <v>1.5465599999999999</v>
      </c>
      <c r="ED31" s="6">
        <f>日流量!ED31*24*3600/100000000</f>
        <v>1.62432</v>
      </c>
      <c r="EE31" s="6">
        <f>日流量!EE31*24*3600/100000000</f>
        <v>1.7712000000000001</v>
      </c>
      <c r="EF31" s="6">
        <f>日流量!EF31*24*3600/100000000</f>
        <v>1.80576</v>
      </c>
      <c r="EG31" s="6">
        <f>日流量!EG31*24*3600/100000000</f>
        <v>1.7971200000000001</v>
      </c>
      <c r="EH31" s="6">
        <f>日流量!EH31*24*3600/100000000</f>
        <v>1.71936</v>
      </c>
      <c r="EI31" s="6">
        <f>日流量!EI31*24*3600/100000000</f>
        <v>1.80576</v>
      </c>
      <c r="EJ31" s="6">
        <f>日流量!EJ31*24*3600/100000000</f>
        <v>1.8489599999999999</v>
      </c>
      <c r="EK31" s="6">
        <f>日流量!EK31*24*3600/100000000</f>
        <v>1.9008</v>
      </c>
      <c r="EL31" s="6">
        <f>日流量!EL31*24*3600/100000000</f>
        <v>2.0822400000000001</v>
      </c>
      <c r="EM31" s="6">
        <f>日流量!EM31*24*3600/100000000</f>
        <v>2.3500800000000002</v>
      </c>
      <c r="EN31" s="6">
        <f>日流量!EN31*24*3600/100000000</f>
        <v>2.9203199999999998</v>
      </c>
      <c r="EO31" s="6">
        <f>日流量!EO31*24*3600/100000000</f>
        <v>3.4041600000000001</v>
      </c>
      <c r="EP31" s="6">
        <f>日流量!EP31*24*3600/100000000</f>
        <v>3.5424000000000002</v>
      </c>
      <c r="EQ31" s="6">
        <f>日流量!EQ31*24*3600/100000000</f>
        <v>3.4300799999999998</v>
      </c>
      <c r="ER31" s="6">
        <f>日流量!ER31*24*3600/100000000</f>
        <v>3.3004799999999999</v>
      </c>
      <c r="ES31" s="6">
        <f>日流量!ES31*24*3600/100000000</f>
        <v>3.2054399999999998</v>
      </c>
      <c r="ET31" s="6">
        <f>日流量!ET31*24*3600/100000000</f>
        <v>3.3609599999999999</v>
      </c>
      <c r="EU31" s="6">
        <f>日流量!EU31*24*3600/100000000</f>
        <v>3.24864</v>
      </c>
      <c r="EV31" s="6">
        <f>日流量!EV31*24*3600/100000000</f>
        <v>3.1708799999999999</v>
      </c>
      <c r="EW31" s="6">
        <f>日流量!EW31*24*3600/100000000</f>
        <v>3.0844800000000001</v>
      </c>
      <c r="EX31" s="6">
        <f>日流量!EX31*24*3600/100000000</f>
        <v>2.94624</v>
      </c>
      <c r="EY31" s="6">
        <f>日流量!EY31*24*3600/100000000</f>
        <v>3.04128</v>
      </c>
      <c r="EZ31" s="6">
        <f>日流量!EZ31*24*3600/100000000</f>
        <v>3.24864</v>
      </c>
      <c r="FA31" s="6">
        <f>日流量!FA31*24*3600/100000000</f>
        <v>3.53376</v>
      </c>
      <c r="FB31" s="6">
        <f>日流量!FB31*24*3600/100000000</f>
        <v>3.6201599999999998</v>
      </c>
      <c r="FC31" s="6">
        <f>日流量!FC31*24*3600/100000000</f>
        <v>3.7843200000000001</v>
      </c>
      <c r="FD31" s="6">
        <f>日流量!FD31*24*3600/100000000</f>
        <v>4.0089600000000001</v>
      </c>
      <c r="FE31" s="6">
        <f>日流量!FE31*24*3600/100000000</f>
        <v>4.0694400000000002</v>
      </c>
      <c r="FF31" s="6">
        <f>日流量!FF31*24*3600/100000000</f>
        <v>4.13856</v>
      </c>
      <c r="FG31" s="6">
        <f>日流量!FG31*24*3600/100000000</f>
        <v>4.26816</v>
      </c>
      <c r="FH31" s="6">
        <f>日流量!FH31*24*3600/100000000</f>
        <v>3.9916800000000001</v>
      </c>
      <c r="FI31" s="6">
        <f>日流量!FI31*24*3600/100000000</f>
        <v>3.7929599999999999</v>
      </c>
      <c r="FJ31" s="6">
        <f>日流量!FJ31*24*3600/100000000</f>
        <v>3.8016000000000001</v>
      </c>
      <c r="FK31" s="6">
        <f>日流量!FK31*24*3600/100000000</f>
        <v>3.7497600000000002</v>
      </c>
      <c r="FL31" s="6">
        <f>日流量!FL31*24*3600/100000000</f>
        <v>3.72384</v>
      </c>
      <c r="FM31" s="6">
        <f>日流量!FM31*24*3600/100000000</f>
        <v>3.85344</v>
      </c>
      <c r="FN31" s="6">
        <f>日流量!FN31*24*3600/100000000</f>
        <v>4.2767999999999997</v>
      </c>
      <c r="FO31" s="6">
        <f>日流量!FO31*24*3600/100000000</f>
        <v>4.7174399999999999</v>
      </c>
      <c r="FP31" s="6">
        <f>日流量!FP31*24*3600/100000000</f>
        <v>5.4604799999999996</v>
      </c>
      <c r="FQ31" s="6">
        <f>日流量!FQ31*24*3600/100000000</f>
        <v>6.0048000000000004</v>
      </c>
      <c r="FR31" s="6">
        <f>日流量!FR31*24*3600/100000000</f>
        <v>7.4390400000000003</v>
      </c>
      <c r="FS31" s="6">
        <f>日流量!FS31*24*3600/100000000</f>
        <v>9.7631999999999994</v>
      </c>
      <c r="FT31" s="6">
        <f>日流量!FT31*24*3600/100000000</f>
        <v>9.2447999999999997</v>
      </c>
      <c r="FU31" s="6">
        <f>日流量!FU31*24*3600/100000000</f>
        <v>8.1216000000000008</v>
      </c>
      <c r="FV31" s="6">
        <f>日流量!FV31*24*3600/100000000</f>
        <v>7.3785600000000002</v>
      </c>
      <c r="FW31" s="6">
        <f>日流量!FW31*24*3600/100000000</f>
        <v>7.1539200000000003</v>
      </c>
      <c r="FX31" s="6">
        <f>日流量!FX31*24*3600/100000000</f>
        <v>7.5167999999999999</v>
      </c>
      <c r="FY31" s="6">
        <f>日流量!FY31*24*3600/100000000</f>
        <v>8.1820799999999991</v>
      </c>
      <c r="FZ31" s="6">
        <f>日流量!FZ31*24*3600/100000000</f>
        <v>8.8992000000000004</v>
      </c>
      <c r="GA31" s="6">
        <f>日流量!GA31*24*3600/100000000</f>
        <v>8.5968</v>
      </c>
      <c r="GB31" s="6">
        <f>日流量!GB31*24*3600/100000000</f>
        <v>8.0956799999999998</v>
      </c>
      <c r="GC31" s="6">
        <f>日流量!GC31*24*3600/100000000</f>
        <v>7.0329600000000001</v>
      </c>
      <c r="GD31" s="6">
        <f>日流量!GD31*24*3600/100000000</f>
        <v>6.1689600000000002</v>
      </c>
      <c r="GE31" s="6">
        <f>日流量!GE31*24*3600/100000000</f>
        <v>5.7023999999999999</v>
      </c>
      <c r="GF31" s="6">
        <f>日流量!GF31*24*3600/100000000</f>
        <v>5.98752</v>
      </c>
      <c r="GG31" s="6">
        <f>日流量!GG31*24*3600/100000000</f>
        <v>6.9379200000000001</v>
      </c>
      <c r="GH31" s="6">
        <f>日流量!GH31*24*3600/100000000</f>
        <v>8.64</v>
      </c>
      <c r="GI31" s="6">
        <f>日流量!GI31*24*3600/100000000</f>
        <v>9.0719999999999992</v>
      </c>
      <c r="GJ31" s="6">
        <f>日流量!GJ31*24*3600/100000000</f>
        <v>8.2339199999999995</v>
      </c>
      <c r="GK31" s="6">
        <f>日流量!GK31*24*3600/100000000</f>
        <v>7.19712</v>
      </c>
      <c r="GL31" s="6">
        <f>日流量!GL31*24*3600/100000000</f>
        <v>6.5059199999999997</v>
      </c>
      <c r="GM31" s="6">
        <f>日流量!GM31*24*3600/100000000</f>
        <v>5.8665599999999998</v>
      </c>
      <c r="GN31" s="6">
        <f>日流量!GN31*24*3600/100000000</f>
        <v>5.4259199999999996</v>
      </c>
      <c r="GO31" s="6">
        <f>日流量!GO31*24*3600/100000000</f>
        <v>5.0975999999999999</v>
      </c>
      <c r="GP31" s="6">
        <f>日流量!GP31*24*3600/100000000</f>
        <v>4.93344</v>
      </c>
      <c r="GQ31" s="6">
        <f>日流量!GQ31*24*3600/100000000</f>
        <v>4.93344</v>
      </c>
      <c r="GR31" s="6">
        <f>日流量!GR31*24*3600/100000000</f>
        <v>5.3136000000000001</v>
      </c>
      <c r="GS31" s="6">
        <f>日流量!GS31*24*3600/100000000</f>
        <v>6.5750400000000004</v>
      </c>
      <c r="GT31" s="6">
        <f>日流量!GT31*24*3600/100000000</f>
        <v>7.8883200000000002</v>
      </c>
      <c r="GU31" s="6">
        <f>日流量!GU31*24*3600/100000000</f>
        <v>8.64</v>
      </c>
      <c r="GV31" s="6">
        <f>日流量!GV31*24*3600/100000000</f>
        <v>8.0524799999999992</v>
      </c>
      <c r="GW31" s="6">
        <f>日流量!GW31*24*3600/100000000</f>
        <v>7.0934400000000002</v>
      </c>
      <c r="GX31" s="6">
        <f>日流量!GX31*24*3600/100000000</f>
        <v>6.5491200000000003</v>
      </c>
      <c r="GY31" s="6">
        <f>日流量!GY31*24*3600/100000000</f>
        <v>6.3417599999999998</v>
      </c>
      <c r="GZ31" s="6">
        <f>日流量!GZ31*24*3600/100000000</f>
        <v>6.27264</v>
      </c>
      <c r="HA31" s="6">
        <f>日流量!HA31*24*3600/100000000</f>
        <v>5.9961599999999997</v>
      </c>
      <c r="HB31" s="6">
        <f>日流量!HB31*24*3600/100000000</f>
        <v>6.08256</v>
      </c>
      <c r="HC31" s="6">
        <f>日流量!HC31*24*3600/100000000</f>
        <v>6.3936000000000002</v>
      </c>
      <c r="HD31" s="6">
        <f>日流量!HD31*24*3600/100000000</f>
        <v>7.1366399999999999</v>
      </c>
      <c r="HE31" s="6">
        <f>日流量!HE31*24*3600/100000000</f>
        <v>7.56</v>
      </c>
      <c r="HF31" s="6">
        <f>日流量!HF31*24*3600/100000000</f>
        <v>8.3289600000000004</v>
      </c>
      <c r="HG31" s="6">
        <f>日流量!HG31*24*3600/100000000</f>
        <v>8.40672</v>
      </c>
      <c r="HH31" s="6">
        <f>日流量!HH31*24*3600/100000000</f>
        <v>8.6140799999999995</v>
      </c>
      <c r="HI31" s="6">
        <f>日流量!HI31*24*3600/100000000</f>
        <v>9.6768000000000001</v>
      </c>
      <c r="HJ31" s="6">
        <f>日流量!HJ31*24*3600/100000000</f>
        <v>9.8496000000000006</v>
      </c>
      <c r="HK31" s="6">
        <f>日流量!HK31*24*3600/100000000</f>
        <v>9.5039999999999996</v>
      </c>
      <c r="HL31" s="6">
        <f>日流量!HL31*24*3600/100000000</f>
        <v>9.1584000000000003</v>
      </c>
      <c r="HM31" s="6">
        <f>日流量!HM31*24*3600/100000000</f>
        <v>9.1584000000000003</v>
      </c>
      <c r="HN31" s="6">
        <f>日流量!HN31*24*3600/100000000</f>
        <v>8.64</v>
      </c>
      <c r="HO31" s="6">
        <f>日流量!HO31*24*3600/100000000</f>
        <v>8.3376000000000001</v>
      </c>
      <c r="HP31" s="6">
        <f>日流量!HP31*24*3600/100000000</f>
        <v>8.1388800000000003</v>
      </c>
      <c r="HQ31" s="6">
        <f>日流量!HQ31*24*3600/100000000</f>
        <v>9.0719999999999992</v>
      </c>
      <c r="HR31" s="6">
        <f>日流量!HR31*24*3600/100000000</f>
        <v>10.1088</v>
      </c>
      <c r="HS31" s="6">
        <f>日流量!HS31*24*3600/100000000</f>
        <v>9.7631999999999994</v>
      </c>
      <c r="HT31" s="6">
        <f>日流量!HT31*24*3600/100000000</f>
        <v>8.7263999999999999</v>
      </c>
      <c r="HU31" s="6">
        <f>日流量!HU31*24*3600/100000000</f>
        <v>7.6032000000000002</v>
      </c>
      <c r="HV31" s="6">
        <f>日流量!HV31*24*3600/100000000</f>
        <v>6.8688000000000002</v>
      </c>
      <c r="HW31" s="6">
        <f>日流量!HW31*24*3600/100000000</f>
        <v>6.7824</v>
      </c>
      <c r="HX31" s="6">
        <f>日流量!HX31*24*3600/100000000</f>
        <v>6.7305599999999997</v>
      </c>
      <c r="HY31" s="6">
        <f>日流量!HY31*24*3600/100000000</f>
        <v>7.0156799999999997</v>
      </c>
      <c r="HZ31" s="6">
        <f>日流量!HZ31*24*3600/100000000</f>
        <v>6.9984000000000002</v>
      </c>
      <c r="IA31" s="6">
        <f>日流量!IA31*24*3600/100000000</f>
        <v>6.8255999999999997</v>
      </c>
      <c r="IB31" s="6">
        <f>日流量!IB31*24*3600/100000000</f>
        <v>6.4281600000000001</v>
      </c>
      <c r="IC31" s="6">
        <f>日流量!IC31*24*3600/100000000</f>
        <v>5.9184000000000001</v>
      </c>
      <c r="ID31" s="6">
        <f>日流量!ID31*24*3600/100000000</f>
        <v>5.4518399999999998</v>
      </c>
      <c r="IE31" s="6">
        <f>日流量!IE31*24*3600/100000000</f>
        <v>5.1235200000000001</v>
      </c>
      <c r="IF31" s="6">
        <f>日流量!IF31*24*3600/100000000</f>
        <v>4.93344</v>
      </c>
      <c r="IG31" s="6">
        <f>日流量!IG31*24*3600/100000000</f>
        <v>4.7606400000000004</v>
      </c>
      <c r="IH31" s="6">
        <f>日流量!IH31*24*3600/100000000</f>
        <v>4.6656000000000004</v>
      </c>
      <c r="II31" s="6">
        <f>日流量!II31*24*3600/100000000</f>
        <v>4.5273599999999998</v>
      </c>
      <c r="IJ31" s="6">
        <f>日流量!IJ31*24*3600/100000000</f>
        <v>4.3891200000000001</v>
      </c>
      <c r="IK31" s="6">
        <f>日流量!IK31*24*3600/100000000</f>
        <v>4.3113599999999996</v>
      </c>
      <c r="IL31" s="6">
        <f>日流量!IL31*24*3600/100000000</f>
        <v>4.2508800000000004</v>
      </c>
      <c r="IM31" s="6">
        <f>日流量!IM31*24*3600/100000000</f>
        <v>4.1904000000000003</v>
      </c>
      <c r="IN31" s="6">
        <f>日流量!IN31*24*3600/100000000</f>
        <v>4.2422399999999998</v>
      </c>
      <c r="IO31" s="6">
        <f>日流量!IO31*24*3600/100000000</f>
        <v>4.5619199999999998</v>
      </c>
      <c r="IP31" s="6">
        <f>日流量!IP31*24*3600/100000000</f>
        <v>4.8643200000000002</v>
      </c>
      <c r="IQ31" s="6">
        <f>日流量!IQ31*24*3600/100000000</f>
        <v>5.2876799999999999</v>
      </c>
      <c r="IR31" s="6">
        <f>日流量!IR31*24*3600/100000000</f>
        <v>5.8838400000000002</v>
      </c>
      <c r="IS31" s="6">
        <f>日流量!IS31*24*3600/100000000</f>
        <v>6.1430400000000001</v>
      </c>
      <c r="IT31" s="6">
        <f>日流量!IT31*24*3600/100000000</f>
        <v>6.1516799999999998</v>
      </c>
      <c r="IU31" s="6">
        <f>日流量!IU31*24*3600/100000000</f>
        <v>5.95296</v>
      </c>
      <c r="IV31" s="6">
        <f>日流量!IV31*24*3600/100000000</f>
        <v>5.8406399999999996</v>
      </c>
      <c r="IW31" s="6">
        <f>日流量!IW31*24*3600/100000000</f>
        <v>5.9615999999999998</v>
      </c>
      <c r="IX31" s="6">
        <f>日流量!IX31*24*3600/100000000</f>
        <v>5.95296</v>
      </c>
      <c r="IY31" s="6">
        <f>日流量!IY31*24*3600/100000000</f>
        <v>6.55776</v>
      </c>
      <c r="IZ31" s="6">
        <f>日流量!IZ31*24*3600/100000000</f>
        <v>6.9033600000000002</v>
      </c>
      <c r="JA31" s="6">
        <f>日流量!JA31*24*3600/100000000</f>
        <v>7.1366399999999999</v>
      </c>
      <c r="JB31" s="6">
        <f>日流量!JB31*24*3600/100000000</f>
        <v>6.9206399999999997</v>
      </c>
      <c r="JC31" s="6">
        <f>日流量!JC31*24*3600/100000000</f>
        <v>6.6268799999999999</v>
      </c>
      <c r="JD31" s="6">
        <f>日流量!JD31*24*3600/100000000</f>
        <v>7.3353599999999997</v>
      </c>
      <c r="JE31" s="6">
        <f>日流量!JE31*24*3600/100000000</f>
        <v>6.9119999999999999</v>
      </c>
      <c r="JF31" s="6">
        <f>日流量!JF31*24*3600/100000000</f>
        <v>6.6700799999999996</v>
      </c>
      <c r="JG31" s="6">
        <f>日流量!JG31*24*3600/100000000</f>
        <v>6.7564799999999998</v>
      </c>
      <c r="JH31" s="6">
        <f>日流量!JH31*24*3600/100000000</f>
        <v>7.0243200000000003</v>
      </c>
      <c r="JI31" s="6">
        <f>日流量!JI31*24*3600/100000000</f>
        <v>7.4476800000000001</v>
      </c>
      <c r="JJ31" s="6">
        <f>日流量!JJ31*24*3600/100000000</f>
        <v>7.48224</v>
      </c>
      <c r="JK31" s="6">
        <f>日流量!JK31*24*3600/100000000</f>
        <v>7.4649599999999996</v>
      </c>
      <c r="JL31" s="6">
        <f>日流量!JL31*24*3600/100000000</f>
        <v>7.3440000000000003</v>
      </c>
      <c r="JM31" s="6">
        <f>日流量!JM31*24*3600/100000000</f>
        <v>7.5513599999999999</v>
      </c>
      <c r="JN31" s="6">
        <f>日流量!JN31*24*3600/100000000</f>
        <v>7.9488000000000003</v>
      </c>
      <c r="JO31" s="6">
        <f>日流量!JO31*24*3600/100000000</f>
        <v>7.6982400000000002</v>
      </c>
      <c r="JP31" s="6">
        <f>日流量!JP31*24*3600/100000000</f>
        <v>7.0243200000000003</v>
      </c>
      <c r="JQ31" s="6">
        <f>日流量!JQ31*24*3600/100000000</f>
        <v>6.3849600000000004</v>
      </c>
      <c r="JR31" s="6">
        <f>日流量!JR31*24*3600/100000000</f>
        <v>5.9270399999999999</v>
      </c>
      <c r="JS31" s="6">
        <f>日流量!JS31*24*3600/100000000</f>
        <v>5.5814399999999997</v>
      </c>
      <c r="JT31" s="6">
        <f>日流量!JT31*24*3600/100000000</f>
        <v>5.3222399999999999</v>
      </c>
      <c r="JU31" s="6">
        <f>日流量!JU31*24*3600/100000000</f>
        <v>5.1407999999999996</v>
      </c>
      <c r="JV31" s="6">
        <f>日流量!JV31*24*3600/100000000</f>
        <v>5.0198400000000003</v>
      </c>
      <c r="JW31" s="6">
        <f>日流量!JW31*24*3600/100000000</f>
        <v>4.87296</v>
      </c>
      <c r="JX31" s="6">
        <f>日流量!JX31*24*3600/100000000</f>
        <v>4.7692800000000002</v>
      </c>
      <c r="JY31" s="6">
        <f>日流量!JY31*24*3600/100000000</f>
        <v>4.7088000000000001</v>
      </c>
      <c r="JZ31" s="6">
        <f>日流量!JZ31*24*3600/100000000</f>
        <v>4.6051200000000003</v>
      </c>
      <c r="KA31" s="6">
        <f>日流量!KA31*24*3600/100000000</f>
        <v>4.4927999999999999</v>
      </c>
      <c r="KB31" s="6">
        <f>日流量!KB31*24*3600/100000000</f>
        <v>4.3891200000000001</v>
      </c>
      <c r="KC31" s="6">
        <f>日流量!KC31*24*3600/100000000</f>
        <v>4.3545600000000002</v>
      </c>
      <c r="KD31" s="6">
        <f>日流量!KD31*24*3600/100000000</f>
        <v>4.3459199999999996</v>
      </c>
      <c r="KE31" s="6">
        <f>日流量!KE31*24*3600/100000000</f>
        <v>4.2854400000000004</v>
      </c>
      <c r="KF31" s="6">
        <f>日流量!KF31*24*3600/100000000</f>
        <v>4.2163199999999996</v>
      </c>
      <c r="KG31" s="6">
        <f>日流量!KG31*24*3600/100000000</f>
        <v>4.0867199999999997</v>
      </c>
      <c r="KH31" s="6">
        <f>日流量!KH31*24*3600/100000000</f>
        <v>3.9571200000000002</v>
      </c>
      <c r="KI31" s="6">
        <f>日流量!KI31*24*3600/100000000</f>
        <v>3.8707199999999999</v>
      </c>
      <c r="KJ31" s="6">
        <f>日流量!KJ31*24*3600/100000000</f>
        <v>3.8620800000000002</v>
      </c>
      <c r="KK31" s="6">
        <f>日流量!KK31*24*3600/100000000</f>
        <v>3.7324799999999998</v>
      </c>
      <c r="KL31" s="6">
        <f>日流量!KL31*24*3600/100000000</f>
        <v>3.6028799999999999</v>
      </c>
      <c r="KM31" s="6">
        <f>日流量!KM31*24*3600/100000000</f>
        <v>3.5078399999999998</v>
      </c>
      <c r="KN31" s="6">
        <f>日流量!KN31*24*3600/100000000</f>
        <v>3.43872</v>
      </c>
      <c r="KO31" s="6">
        <f>日流量!KO31*24*3600/100000000</f>
        <v>3.34368</v>
      </c>
      <c r="KP31" s="6">
        <f>日流量!KP31*24*3600/100000000</f>
        <v>3.23136</v>
      </c>
      <c r="KQ31" s="6">
        <f>日流量!KQ31*24*3600/100000000</f>
        <v>3.13632</v>
      </c>
      <c r="KR31" s="6">
        <f>日流量!KR31*24*3600/100000000</f>
        <v>3.04128</v>
      </c>
      <c r="KS31" s="6">
        <f>日流量!KS31*24*3600/100000000</f>
        <v>2.9635199999999999</v>
      </c>
      <c r="KT31" s="6">
        <f>日流量!KT31*24*3600/100000000</f>
        <v>2.8771200000000001</v>
      </c>
      <c r="KU31" s="6">
        <f>日流量!KU31*24*3600/100000000</f>
        <v>2.7907199999999999</v>
      </c>
      <c r="KV31" s="6">
        <f>日流量!KV31*24*3600/100000000</f>
        <v>2.7302399999999998</v>
      </c>
      <c r="KW31" s="6">
        <f>日流量!KW31*24*3600/100000000</f>
        <v>2.6611199999999999</v>
      </c>
      <c r="KX31" s="6">
        <f>日流量!KX31*24*3600/100000000</f>
        <v>2.5920000000000001</v>
      </c>
      <c r="KY31" s="6">
        <f>日流量!KY31*24*3600/100000000</f>
        <v>2.5488</v>
      </c>
      <c r="KZ31" s="6">
        <f>日流量!KZ31*24*3600/100000000</f>
        <v>2.51424</v>
      </c>
      <c r="LA31" s="6">
        <f>日流量!LA31*24*3600/100000000</f>
        <v>2.4710399999999999</v>
      </c>
      <c r="LB31" s="6">
        <f>日流量!LB31*24*3600/100000000</f>
        <v>2.4278400000000002</v>
      </c>
      <c r="LC31" s="6">
        <f>日流量!LC31*24*3600/100000000</f>
        <v>2.3759999999999999</v>
      </c>
      <c r="LD31" s="6">
        <f>日流量!LD31*24*3600/100000000</f>
        <v>2.3500800000000002</v>
      </c>
      <c r="LE31" s="6">
        <f>日流量!LE31*24*3600/100000000</f>
        <v>2.34144</v>
      </c>
      <c r="LF31" s="6">
        <f>日流量!LF31*24*3600/100000000</f>
        <v>2.34144</v>
      </c>
      <c r="LG31" s="6">
        <f>日流量!LG31*24*3600/100000000</f>
        <v>2.2982399999999998</v>
      </c>
      <c r="LH31" s="6">
        <f>日流量!LH31*24*3600/100000000</f>
        <v>2.2550400000000002</v>
      </c>
      <c r="LI31" s="6">
        <f>日流量!LI31*24*3600/100000000</f>
        <v>2.1945600000000001</v>
      </c>
      <c r="LJ31" s="6">
        <f>日流量!LJ31*24*3600/100000000</f>
        <v>2.1513599999999999</v>
      </c>
      <c r="LK31" s="6">
        <f>日流量!LK31*24*3600/100000000</f>
        <v>2.13408</v>
      </c>
      <c r="LL31" s="6">
        <f>日流量!LL31*24*3600/100000000</f>
        <v>2.1081599999999998</v>
      </c>
      <c r="LM31" s="6">
        <f>日流量!LM31*24*3600/100000000</f>
        <v>2.0649600000000001</v>
      </c>
      <c r="LN31" s="6">
        <f>日流量!LN31*24*3600/100000000</f>
        <v>2.0304000000000002</v>
      </c>
      <c r="LO31" s="6">
        <f>日流量!LO31*24*3600/100000000</f>
        <v>1.9958400000000001</v>
      </c>
      <c r="LP31" s="6">
        <f>日流量!LP31*24*3600/100000000</f>
        <v>1.9785600000000001</v>
      </c>
      <c r="LQ31" s="6">
        <f>日流量!LQ31*24*3600/100000000</f>
        <v>1.9612799999999999</v>
      </c>
      <c r="LR31" s="6">
        <f>日流量!LR31*24*3600/100000000</f>
        <v>1.93536</v>
      </c>
      <c r="LS31" s="6">
        <f>日流量!LS31*24*3600/100000000</f>
        <v>1.90944</v>
      </c>
      <c r="LT31" s="6">
        <f>日流量!LT31*24*3600/100000000</f>
        <v>1.8835200000000001</v>
      </c>
      <c r="LU31" s="6">
        <f>日流量!LU31*24*3600/100000000</f>
        <v>1.8575999999999999</v>
      </c>
      <c r="LV31" s="6">
        <f>日流量!LV31*24*3600/100000000</f>
        <v>1.82304</v>
      </c>
      <c r="LW31" s="6">
        <f>日流量!LW31*24*3600/100000000</f>
        <v>1.7971200000000001</v>
      </c>
      <c r="LX31" s="6">
        <f>日流量!LX31*24*3600/100000000</f>
        <v>1.7798400000000001</v>
      </c>
      <c r="LY31" s="6">
        <f>日流量!LY31*24*3600/100000000</f>
        <v>1.7625599999999999</v>
      </c>
      <c r="LZ31" s="6">
        <f>日流量!LZ31*24*3600/100000000</f>
        <v>1.7539199999999999</v>
      </c>
      <c r="MA31" s="6">
        <f>日流量!MA31*24*3600/100000000</f>
        <v>1.728</v>
      </c>
      <c r="MB31" s="6">
        <f>日流量!MB31*24*3600/100000000</f>
        <v>1.70208</v>
      </c>
      <c r="MC31" s="6">
        <f>日流量!MC31*24*3600/100000000</f>
        <v>1.6675199999999999</v>
      </c>
      <c r="MD31" s="6">
        <f>日流量!MD31*24*3600/100000000</f>
        <v>1.6502399999999999</v>
      </c>
      <c r="ME31" s="6">
        <f>日流量!ME31*24*3600/100000000</f>
        <v>1.62432</v>
      </c>
      <c r="MF31" s="6">
        <f>日流量!MF31*24*3600/100000000</f>
        <v>1.60704</v>
      </c>
      <c r="MG31" s="6">
        <f>日流量!MG31*24*3600/100000000</f>
        <v>1.5811200000000001</v>
      </c>
      <c r="MH31" s="6">
        <f>日流量!MH31*24*3600/100000000</f>
        <v>1.53792</v>
      </c>
      <c r="MI31" s="6">
        <f>日流量!MI31*24*3600/100000000</f>
        <v>1.512</v>
      </c>
      <c r="MJ31" s="6">
        <f>日流量!MJ31*24*3600/100000000</f>
        <v>1.49472</v>
      </c>
      <c r="MK31" s="6">
        <f>日流量!MK31*24*3600/100000000</f>
        <v>1.4860800000000001</v>
      </c>
      <c r="ML31" s="6">
        <f>日流量!ML31*24*3600/100000000</f>
        <v>1.4774400000000001</v>
      </c>
      <c r="MM31" s="6">
        <f>日流量!MM31*24*3600/100000000</f>
        <v>1.4601599999999999</v>
      </c>
      <c r="MN31" s="6">
        <f>日流量!MN31*24*3600/100000000</f>
        <v>1.4515199999999999</v>
      </c>
      <c r="MO31" s="6">
        <f>日流量!MO31*24*3600/100000000</f>
        <v>1.43424</v>
      </c>
      <c r="MP31" s="6">
        <f>日流量!MP31*24*3600/100000000</f>
        <v>1.41696</v>
      </c>
      <c r="MQ31" s="6">
        <f>日流量!MQ31*24*3600/100000000</f>
        <v>1.40832</v>
      </c>
      <c r="MR31" s="6">
        <f>日流量!MR31*24*3600/100000000</f>
        <v>1.39968</v>
      </c>
      <c r="MS31" s="6">
        <f>日流量!MS31*24*3600/100000000</f>
        <v>1.3910400000000001</v>
      </c>
      <c r="MT31" s="6">
        <f>日流量!MT31*24*3600/100000000</f>
        <v>1.3737600000000001</v>
      </c>
      <c r="MU31" s="6">
        <f>日流量!MU31*24*3600/100000000</f>
        <v>1.3737600000000001</v>
      </c>
      <c r="MV31" s="6">
        <f>日流量!MV31*24*3600/100000000</f>
        <v>1.3564799999999999</v>
      </c>
      <c r="MW31" s="6">
        <f>日流量!MW31*24*3600/100000000</f>
        <v>1.3478399999999999</v>
      </c>
      <c r="MX31" s="6">
        <f>日流量!MX31*24*3600/100000000</f>
        <v>1.3391999999999999</v>
      </c>
      <c r="MY31" s="6">
        <f>日流量!MY31*24*3600/100000000</f>
        <v>1.33056</v>
      </c>
      <c r="MZ31" s="6">
        <f>日流量!MZ31*24*3600/100000000</f>
        <v>1.32192</v>
      </c>
      <c r="NA31" s="6">
        <f>日流量!NA31*24*3600/100000000</f>
        <v>1.31328</v>
      </c>
      <c r="NB31" s="6">
        <f>日流量!NB31*24*3600/100000000</f>
        <v>1.30464</v>
      </c>
      <c r="NC31" s="6"/>
      <c r="ND31" s="6">
        <f>日流量!ND31*24*3600*31/100000000</f>
        <v>34.015680000000003</v>
      </c>
      <c r="NE31" s="6">
        <f>日流量!NE31*24*3600*28/100000000</f>
        <v>25.401599999999998</v>
      </c>
      <c r="NF31" s="6">
        <f>日流量!NF31*24*3600*31/100000000</f>
        <v>25.926912000000002</v>
      </c>
      <c r="NG31" s="6">
        <f>日流量!NG31*24*3600*30/100000000</f>
        <v>30.844799999999999</v>
      </c>
      <c r="NH31" s="6">
        <f>日流量!NH31*24*3600*31/100000000</f>
        <v>69.102720000000005</v>
      </c>
      <c r="NI31" s="6">
        <f>日流量!NI31*24*3600*30/100000000</f>
        <v>162.25919999999999</v>
      </c>
      <c r="NJ31" s="6">
        <f>日流量!NJ31*24*3600*31/100000000</f>
        <v>209.98656</v>
      </c>
      <c r="NK31" s="6">
        <f>日流量!NK31*24*3600*31/100000000</f>
        <v>226.59263999999999</v>
      </c>
      <c r="NL31" s="6">
        <f>日流量!NL31*24*3600*30/100000000</f>
        <v>191.03039999999999</v>
      </c>
      <c r="NM31" s="6">
        <f>日流量!NM31*24*3600*31/100000000</f>
        <v>134.18783999999999</v>
      </c>
      <c r="NN31" s="6">
        <f>日流量!NN31*24*3600*30/100000000</f>
        <v>66.355199999999996</v>
      </c>
      <c r="NO31" s="6">
        <f>日流量!NO31*24*3600*31/100000000</f>
        <v>45.800640000000001</v>
      </c>
      <c r="NP31" s="14">
        <f t="shared" si="10"/>
        <v>1221.5041919999999</v>
      </c>
      <c r="NQ31" s="6">
        <f>日流量!NQ31*24*3600/100000000</f>
        <v>10.1088</v>
      </c>
      <c r="NR31" s="4">
        <f>日流量!NR31</f>
        <v>42594</v>
      </c>
      <c r="NS31" s="6">
        <f>日流量!NS31*24*3600/100000000</f>
        <v>0.81215999999999999</v>
      </c>
      <c r="NT31" s="4">
        <f>日流量!NT31</f>
        <v>42468</v>
      </c>
      <c r="NU31" s="7">
        <f>日流量!NP31</f>
        <v>3872.7753424657535</v>
      </c>
      <c r="NW31" s="13">
        <f t="shared" si="0"/>
        <v>993.15935999999988</v>
      </c>
      <c r="NX31" s="12">
        <f t="shared" si="1"/>
        <v>81.30625883271631</v>
      </c>
      <c r="NY31" s="13">
        <f t="shared" si="2"/>
        <v>789.86879999999996</v>
      </c>
      <c r="NZ31" s="12">
        <f t="shared" si="3"/>
        <v>64.663617625963909</v>
      </c>
      <c r="OA31" s="13">
        <f t="shared" si="4"/>
        <v>228.344832</v>
      </c>
      <c r="OB31" s="12">
        <f t="shared" si="5"/>
        <v>18.693741167283694</v>
      </c>
      <c r="OC31" s="13">
        <f t="shared" si="6"/>
        <v>226.59263999999999</v>
      </c>
      <c r="OD31" s="12">
        <f t="shared" si="7"/>
        <v>18.550295732427582</v>
      </c>
      <c r="OE31" s="12">
        <f t="shared" si="8"/>
        <v>285.39817570093459</v>
      </c>
      <c r="OF31" s="12">
        <f t="shared" si="9"/>
        <v>9.0499167840225301</v>
      </c>
    </row>
    <row r="32" spans="1:396" x14ac:dyDescent="0.15">
      <c r="A32" s="2">
        <v>1979</v>
      </c>
      <c r="B32" s="6">
        <f>日流量!B32*24*3600/100000000</f>
        <v>1.2873600000000001</v>
      </c>
      <c r="C32" s="6">
        <f>日流量!C32*24*3600/100000000</f>
        <v>1.2614399999999999</v>
      </c>
      <c r="D32" s="6">
        <f>日流量!D32*24*3600/100000000</f>
        <v>1.2441599999999999</v>
      </c>
      <c r="E32" s="6">
        <f>日流量!E32*24*3600/100000000</f>
        <v>1.22688</v>
      </c>
      <c r="F32" s="6">
        <f>日流量!F32*24*3600/100000000</f>
        <v>1.21824</v>
      </c>
      <c r="G32" s="6">
        <f>日流量!G32*24*3600/100000000</f>
        <v>1.2096</v>
      </c>
      <c r="H32" s="6">
        <f>日流量!H32*24*3600/100000000</f>
        <v>1.20096</v>
      </c>
      <c r="I32" s="6">
        <f>日流量!I32*24*3600/100000000</f>
        <v>1.1836800000000001</v>
      </c>
      <c r="J32" s="6">
        <f>日流量!J32*24*3600/100000000</f>
        <v>1.1750400000000001</v>
      </c>
      <c r="K32" s="6">
        <f>日流量!K32*24*3600/100000000</f>
        <v>1.1577599999999999</v>
      </c>
      <c r="L32" s="6">
        <f>日流量!L32*24*3600/100000000</f>
        <v>1.1491199999999999</v>
      </c>
      <c r="M32" s="6">
        <f>日流量!M32*24*3600/100000000</f>
        <v>1.13184</v>
      </c>
      <c r="N32" s="6">
        <f>日流量!N32*24*3600/100000000</f>
        <v>1.10592</v>
      </c>
      <c r="O32" s="6">
        <f>日流量!O32*24*3600/100000000</f>
        <v>1.09728</v>
      </c>
      <c r="P32" s="6">
        <f>日流量!P32*24*3600/100000000</f>
        <v>1.0886400000000001</v>
      </c>
      <c r="Q32" s="6">
        <f>日流量!Q32*24*3600/100000000</f>
        <v>1.0886400000000001</v>
      </c>
      <c r="R32" s="6">
        <f>日流量!R32*24*3600/100000000</f>
        <v>1.08</v>
      </c>
      <c r="S32" s="6">
        <f>日流量!S32*24*3600/100000000</f>
        <v>1.08</v>
      </c>
      <c r="T32" s="6">
        <f>日流量!T32*24*3600/100000000</f>
        <v>1.08</v>
      </c>
      <c r="U32" s="6">
        <f>日流量!U32*24*3600/100000000</f>
        <v>1.08</v>
      </c>
      <c r="V32" s="6">
        <f>日流量!V32*24*3600/100000000</f>
        <v>1.0627200000000001</v>
      </c>
      <c r="W32" s="6">
        <f>日流量!W32*24*3600/100000000</f>
        <v>1.0627200000000001</v>
      </c>
      <c r="X32" s="6">
        <f>日流量!X32*24*3600/100000000</f>
        <v>1.0627200000000001</v>
      </c>
      <c r="Y32" s="6">
        <f>日流量!Y32*24*3600/100000000</f>
        <v>1.0627200000000001</v>
      </c>
      <c r="Z32" s="6">
        <f>日流量!Z32*24*3600/100000000</f>
        <v>1.0454399999999999</v>
      </c>
      <c r="AA32" s="6">
        <f>日流量!AA32*24*3600/100000000</f>
        <v>1.0367999999999999</v>
      </c>
      <c r="AB32" s="6">
        <f>日流量!AB32*24*3600/100000000</f>
        <v>1.0367999999999999</v>
      </c>
      <c r="AC32" s="6">
        <f>日流量!AC32*24*3600/100000000</f>
        <v>1.02816</v>
      </c>
      <c r="AD32" s="6">
        <f>日流量!AD32*24*3600/100000000</f>
        <v>1.01952</v>
      </c>
      <c r="AE32" s="6">
        <f>日流量!AE32*24*3600/100000000</f>
        <v>1.01088</v>
      </c>
      <c r="AF32" s="6">
        <f>日流量!AF32*24*3600/100000000</f>
        <v>1.01088</v>
      </c>
      <c r="AG32" s="6">
        <f>日流量!AG32*24*3600/100000000</f>
        <v>1.00224</v>
      </c>
      <c r="AH32" s="6">
        <f>日流量!AH32*24*3600/100000000</f>
        <v>0.99360000000000004</v>
      </c>
      <c r="AI32" s="6">
        <f>日流量!AI32*24*3600/100000000</f>
        <v>0.99360000000000004</v>
      </c>
      <c r="AJ32" s="6">
        <f>日流量!AJ32*24*3600/100000000</f>
        <v>0.99360000000000004</v>
      </c>
      <c r="AK32" s="6">
        <f>日流量!AK32*24*3600/100000000</f>
        <v>0.99360000000000004</v>
      </c>
      <c r="AL32" s="6">
        <f>日流量!AL32*24*3600/100000000</f>
        <v>0.98495999999999995</v>
      </c>
      <c r="AM32" s="6">
        <f>日流量!AM32*24*3600/100000000</f>
        <v>0.96767999999999998</v>
      </c>
      <c r="AN32" s="6">
        <f>日流量!AN32*24*3600/100000000</f>
        <v>0.95904</v>
      </c>
      <c r="AO32" s="6">
        <f>日流量!AO32*24*3600/100000000</f>
        <v>0.95040000000000002</v>
      </c>
      <c r="AP32" s="6">
        <f>日流量!AP32*24*3600/100000000</f>
        <v>0.94176000000000004</v>
      </c>
      <c r="AQ32" s="6">
        <f>日流量!AQ32*24*3600/100000000</f>
        <v>0.93311999999999995</v>
      </c>
      <c r="AR32" s="6">
        <f>日流量!AR32*24*3600/100000000</f>
        <v>0.93311999999999995</v>
      </c>
      <c r="AS32" s="6">
        <f>日流量!AS32*24*3600/100000000</f>
        <v>0.93311999999999995</v>
      </c>
      <c r="AT32" s="6">
        <f>日流量!AT32*24*3600/100000000</f>
        <v>0.93311999999999995</v>
      </c>
      <c r="AU32" s="6">
        <f>日流量!AU32*24*3600/100000000</f>
        <v>0.93311999999999995</v>
      </c>
      <c r="AV32" s="6">
        <f>日流量!AV32*24*3600/100000000</f>
        <v>0.92447999999999997</v>
      </c>
      <c r="AW32" s="6">
        <f>日流量!AW32*24*3600/100000000</f>
        <v>0.91583999999999999</v>
      </c>
      <c r="AX32" s="6">
        <f>日流量!AX32*24*3600/100000000</f>
        <v>0.91583999999999999</v>
      </c>
      <c r="AY32" s="6">
        <f>日流量!AY32*24*3600/100000000</f>
        <v>0.89856000000000003</v>
      </c>
      <c r="AZ32" s="6">
        <f>日流量!AZ32*24*3600/100000000</f>
        <v>0.89856000000000003</v>
      </c>
      <c r="BA32" s="6">
        <f>日流量!BA32*24*3600/100000000</f>
        <v>0.89856000000000003</v>
      </c>
      <c r="BB32" s="6">
        <f>日流量!BB32*24*3600/100000000</f>
        <v>0.89856000000000003</v>
      </c>
      <c r="BC32" s="6">
        <f>日流量!BC32*24*3600/100000000</f>
        <v>0.88992000000000004</v>
      </c>
      <c r="BD32" s="6">
        <f>日流量!BD32*24*3600/100000000</f>
        <v>0.88127999999999995</v>
      </c>
      <c r="BE32" s="6">
        <f>日流量!BE32*24*3600/100000000</f>
        <v>0.88127999999999995</v>
      </c>
      <c r="BF32" s="6">
        <f>日流量!BF32*24*3600/100000000</f>
        <v>0.86313600000000001</v>
      </c>
      <c r="BG32" s="6">
        <f>日流量!BG32*24*3600/100000000</f>
        <v>0.85190399999999999</v>
      </c>
      <c r="BH32" s="6">
        <f>日流量!BH32*24*3600/100000000</f>
        <v>0.84844799999999998</v>
      </c>
      <c r="BI32" s="6"/>
      <c r="BJ32" s="6">
        <f>日流量!BJ32*24*3600/100000000</f>
        <v>0.84153599999999995</v>
      </c>
      <c r="BK32" s="6">
        <f>日流量!BK32*24*3600/100000000</f>
        <v>0.83375999999999995</v>
      </c>
      <c r="BL32" s="6">
        <f>日流量!BL32*24*3600/100000000</f>
        <v>0.82857599999999998</v>
      </c>
      <c r="BM32" s="6">
        <f>日流量!BM32*24*3600/100000000</f>
        <v>0.82339200000000001</v>
      </c>
      <c r="BN32" s="6">
        <f>日流量!BN32*24*3600/100000000</f>
        <v>0.81907200000000002</v>
      </c>
      <c r="BO32" s="6">
        <f>日流量!BO32*24*3600/100000000</f>
        <v>0.81820800000000005</v>
      </c>
      <c r="BP32" s="6">
        <f>日流量!BP32*24*3600/100000000</f>
        <v>0.81388799999999994</v>
      </c>
      <c r="BQ32" s="6">
        <f>日流量!BQ32*24*3600/100000000</f>
        <v>0.80352000000000001</v>
      </c>
      <c r="BR32" s="6">
        <f>日流量!BR32*24*3600/100000000</f>
        <v>0.79920000000000002</v>
      </c>
      <c r="BS32" s="6">
        <f>日流量!BS32*24*3600/100000000</f>
        <v>0.79920000000000002</v>
      </c>
      <c r="BT32" s="6">
        <f>日流量!BT32*24*3600/100000000</f>
        <v>0.80179199999999995</v>
      </c>
      <c r="BU32" s="6">
        <f>日流量!BU32*24*3600/100000000</f>
        <v>0.81043200000000004</v>
      </c>
      <c r="BV32" s="6">
        <f>日流量!BV32*24*3600/100000000</f>
        <v>0.81388799999999994</v>
      </c>
      <c r="BW32" s="6">
        <f>日流量!BW32*24*3600/100000000</f>
        <v>0.82166399999999995</v>
      </c>
      <c r="BX32" s="6">
        <f>日流量!BX32*24*3600/100000000</f>
        <v>0.83462400000000003</v>
      </c>
      <c r="BY32" s="6">
        <f>日流量!BY32*24*3600/100000000</f>
        <v>0.83375999999999995</v>
      </c>
      <c r="BZ32" s="6">
        <f>日流量!BZ32*24*3600/100000000</f>
        <v>0.82943999999999996</v>
      </c>
      <c r="CA32" s="6">
        <f>日流量!CA32*24*3600/100000000</f>
        <v>0.83289599999999997</v>
      </c>
      <c r="CB32" s="6">
        <f>日流量!CB32*24*3600/100000000</f>
        <v>0.82684800000000003</v>
      </c>
      <c r="CC32" s="6">
        <f>日流量!CC32*24*3600/100000000</f>
        <v>0.82598400000000005</v>
      </c>
      <c r="CD32" s="6">
        <f>日流量!CD32*24*3600/100000000</f>
        <v>0.83289599999999997</v>
      </c>
      <c r="CE32" s="6">
        <f>日流量!CE32*24*3600/100000000</f>
        <v>0.83548800000000001</v>
      </c>
      <c r="CF32" s="6">
        <f>日流量!CF32*24*3600/100000000</f>
        <v>0.83808000000000005</v>
      </c>
      <c r="CG32" s="6">
        <f>日流量!CG32*24*3600/100000000</f>
        <v>0.83635199999999998</v>
      </c>
      <c r="CH32" s="6">
        <f>日流量!CH32*24*3600/100000000</f>
        <v>0.83375999999999995</v>
      </c>
      <c r="CI32" s="6">
        <f>日流量!CI32*24*3600/100000000</f>
        <v>0.82252800000000004</v>
      </c>
      <c r="CJ32" s="6">
        <f>日流量!CJ32*24*3600/100000000</f>
        <v>0.81388799999999994</v>
      </c>
      <c r="CK32" s="6">
        <f>日流量!CK32*24*3600/100000000</f>
        <v>0.80956799999999995</v>
      </c>
      <c r="CL32" s="6">
        <f>日流量!CL32*24*3600/100000000</f>
        <v>0.80265600000000004</v>
      </c>
      <c r="CM32" s="6">
        <f>日流量!CM32*24*3600/100000000</f>
        <v>0.800064</v>
      </c>
      <c r="CN32" s="6">
        <f>日流量!CN32*24*3600/100000000</f>
        <v>0.80265600000000004</v>
      </c>
      <c r="CO32" s="6">
        <f>日流量!CO32*24*3600/100000000</f>
        <v>0.80265600000000004</v>
      </c>
      <c r="CP32" s="6">
        <f>日流量!CP32*24*3600/100000000</f>
        <v>0.80265600000000004</v>
      </c>
      <c r="CQ32" s="6">
        <f>日流量!CQ32*24*3600/100000000</f>
        <v>0.81302399999999997</v>
      </c>
      <c r="CR32" s="6">
        <f>日流量!CR32*24*3600/100000000</f>
        <v>0.82943999999999996</v>
      </c>
      <c r="CS32" s="6">
        <f>日流量!CS32*24*3600/100000000</f>
        <v>0.83808000000000005</v>
      </c>
      <c r="CT32" s="6">
        <f>日流量!CT32*24*3600/100000000</f>
        <v>0.85622399999999999</v>
      </c>
      <c r="CU32" s="6">
        <f>日流量!CU32*24*3600/100000000</f>
        <v>0.87263999999999997</v>
      </c>
      <c r="CV32" s="6">
        <f>日流量!CV32*24*3600/100000000</f>
        <v>0.88127999999999995</v>
      </c>
      <c r="CW32" s="6">
        <f>日流量!CW32*24*3600/100000000</f>
        <v>0.89856000000000003</v>
      </c>
      <c r="CX32" s="6">
        <f>日流量!CX32*24*3600/100000000</f>
        <v>0.94176000000000004</v>
      </c>
      <c r="CY32" s="6">
        <f>日流量!CY32*24*3600/100000000</f>
        <v>1.0367999999999999</v>
      </c>
      <c r="CZ32" s="6">
        <f>日流量!CZ32*24*3600/100000000</f>
        <v>1.0713600000000001</v>
      </c>
      <c r="DA32" s="6">
        <f>日流量!DA32*24*3600/100000000</f>
        <v>1.0713600000000001</v>
      </c>
      <c r="DB32" s="6">
        <f>日流量!DB32*24*3600/100000000</f>
        <v>1.0713600000000001</v>
      </c>
      <c r="DC32" s="6">
        <f>日流量!DC32*24*3600/100000000</f>
        <v>1.0627200000000001</v>
      </c>
      <c r="DD32" s="6">
        <f>日流量!DD32*24*3600/100000000</f>
        <v>1.0627200000000001</v>
      </c>
      <c r="DE32" s="6">
        <f>日流量!DE32*24*3600/100000000</f>
        <v>1.0627200000000001</v>
      </c>
      <c r="DF32" s="6">
        <f>日流量!DF32*24*3600/100000000</f>
        <v>1.08</v>
      </c>
      <c r="DG32" s="6">
        <f>日流量!DG32*24*3600/100000000</f>
        <v>1.0886400000000001</v>
      </c>
      <c r="DH32" s="6">
        <f>日流量!DH32*24*3600/100000000</f>
        <v>1.09728</v>
      </c>
      <c r="DI32" s="6">
        <f>日流量!DI32*24*3600/100000000</f>
        <v>1.2527999999999999</v>
      </c>
      <c r="DJ32" s="6">
        <f>日流量!DJ32*24*3600/100000000</f>
        <v>1.4428799999999999</v>
      </c>
      <c r="DK32" s="6">
        <f>日流量!DK32*24*3600/100000000</f>
        <v>1.4860800000000001</v>
      </c>
      <c r="DL32" s="6">
        <f>日流量!DL32*24*3600/100000000</f>
        <v>1.4688000000000001</v>
      </c>
      <c r="DM32" s="6">
        <f>日流量!DM32*24*3600/100000000</f>
        <v>1.43424</v>
      </c>
      <c r="DN32" s="6">
        <f>日流量!DN32*24*3600/100000000</f>
        <v>1.4774400000000001</v>
      </c>
      <c r="DO32" s="6">
        <f>日流量!DO32*24*3600/100000000</f>
        <v>1.5465599999999999</v>
      </c>
      <c r="DP32" s="6">
        <f>日流量!DP32*24*3600/100000000</f>
        <v>1.49472</v>
      </c>
      <c r="DQ32" s="6">
        <f>日流量!DQ32*24*3600/100000000</f>
        <v>1.41696</v>
      </c>
      <c r="DR32" s="6">
        <f>日流量!DR32*24*3600/100000000</f>
        <v>1.33056</v>
      </c>
      <c r="DS32" s="6">
        <f>日流量!DS32*24*3600/100000000</f>
        <v>1.2700800000000001</v>
      </c>
      <c r="DT32" s="6">
        <f>日流量!DT32*24*3600/100000000</f>
        <v>1.2527999999999999</v>
      </c>
      <c r="DU32" s="6">
        <f>日流量!DU32*24*3600/100000000</f>
        <v>1.2441599999999999</v>
      </c>
      <c r="DV32" s="6">
        <f>日流量!DV32*24*3600/100000000</f>
        <v>1.2527999999999999</v>
      </c>
      <c r="DW32" s="6">
        <f>日流量!DW32*24*3600/100000000</f>
        <v>1.32192</v>
      </c>
      <c r="DX32" s="6">
        <f>日流量!DX32*24*3600/100000000</f>
        <v>1.43424</v>
      </c>
      <c r="DY32" s="6">
        <f>日流量!DY32*24*3600/100000000</f>
        <v>1.512</v>
      </c>
      <c r="DZ32" s="6">
        <f>日流量!DZ32*24*3600/100000000</f>
        <v>1.4688000000000001</v>
      </c>
      <c r="EA32" s="6">
        <f>日流量!EA32*24*3600/100000000</f>
        <v>1.41696</v>
      </c>
      <c r="EB32" s="6">
        <f>日流量!EB32*24*3600/100000000</f>
        <v>1.39968</v>
      </c>
      <c r="EC32" s="6">
        <f>日流量!EC32*24*3600/100000000</f>
        <v>1.40832</v>
      </c>
      <c r="ED32" s="6">
        <f>日流量!ED32*24*3600/100000000</f>
        <v>1.40832</v>
      </c>
      <c r="EE32" s="6">
        <f>日流量!EE32*24*3600/100000000</f>
        <v>1.39968</v>
      </c>
      <c r="EF32" s="6">
        <f>日流量!EF32*24*3600/100000000</f>
        <v>1.3478399999999999</v>
      </c>
      <c r="EG32" s="6">
        <f>日流量!EG32*24*3600/100000000</f>
        <v>1.296</v>
      </c>
      <c r="EH32" s="6">
        <f>日流量!EH32*24*3600/100000000</f>
        <v>1.2873600000000001</v>
      </c>
      <c r="EI32" s="6">
        <f>日流量!EI32*24*3600/100000000</f>
        <v>1.296</v>
      </c>
      <c r="EJ32" s="6">
        <f>日流量!EJ32*24*3600/100000000</f>
        <v>1.3564799999999999</v>
      </c>
      <c r="EK32" s="6">
        <f>日流量!EK32*24*3600/100000000</f>
        <v>1.3910400000000001</v>
      </c>
      <c r="EL32" s="6">
        <f>日流量!EL32*24*3600/100000000</f>
        <v>1.4515199999999999</v>
      </c>
      <c r="EM32" s="6">
        <f>日流量!EM32*24*3600/100000000</f>
        <v>1.512</v>
      </c>
      <c r="EN32" s="6">
        <f>日流量!EN32*24*3600/100000000</f>
        <v>1.5811200000000001</v>
      </c>
      <c r="EO32" s="6">
        <f>日流量!EO32*24*3600/100000000</f>
        <v>1.62432</v>
      </c>
      <c r="EP32" s="6">
        <f>日流量!EP32*24*3600/100000000</f>
        <v>1.61568</v>
      </c>
      <c r="EQ32" s="6">
        <f>日流量!EQ32*24*3600/100000000</f>
        <v>1.63296</v>
      </c>
      <c r="ER32" s="6">
        <f>日流量!ER32*24*3600/100000000</f>
        <v>1.63296</v>
      </c>
      <c r="ES32" s="6">
        <f>日流量!ES32*24*3600/100000000</f>
        <v>1.5638399999999999</v>
      </c>
      <c r="ET32" s="6">
        <f>日流量!ET32*24*3600/100000000</f>
        <v>1.50336</v>
      </c>
      <c r="EU32" s="6">
        <f>日流量!EU32*24*3600/100000000</f>
        <v>1.4428799999999999</v>
      </c>
      <c r="EV32" s="6">
        <f>日流量!EV32*24*3600/100000000</f>
        <v>1.39968</v>
      </c>
      <c r="EW32" s="6">
        <f>日流量!EW32*24*3600/100000000</f>
        <v>1.3737600000000001</v>
      </c>
      <c r="EX32" s="6">
        <f>日流量!EX32*24*3600/100000000</f>
        <v>1.3651199999999999</v>
      </c>
      <c r="EY32" s="6">
        <f>日流量!EY32*24*3600/100000000</f>
        <v>1.3564799999999999</v>
      </c>
      <c r="EZ32" s="6">
        <f>日流量!EZ32*24*3600/100000000</f>
        <v>1.31328</v>
      </c>
      <c r="FA32" s="6">
        <f>日流量!FA32*24*3600/100000000</f>
        <v>1.2614399999999999</v>
      </c>
      <c r="FB32" s="6">
        <f>日流量!FB32*24*3600/100000000</f>
        <v>1.21824</v>
      </c>
      <c r="FC32" s="6">
        <f>日流量!FC32*24*3600/100000000</f>
        <v>1.1750400000000001</v>
      </c>
      <c r="FD32" s="6">
        <f>日流量!FD32*24*3600/100000000</f>
        <v>1.1491199999999999</v>
      </c>
      <c r="FE32" s="6">
        <f>日流量!FE32*24*3600/100000000</f>
        <v>1.10592</v>
      </c>
      <c r="FF32" s="6">
        <f>日流量!FF32*24*3600/100000000</f>
        <v>1.0886400000000001</v>
      </c>
      <c r="FG32" s="6">
        <f>日流量!FG32*24*3600/100000000</f>
        <v>1.1491199999999999</v>
      </c>
      <c r="FH32" s="6">
        <f>日流量!FH32*24*3600/100000000</f>
        <v>1.2700800000000001</v>
      </c>
      <c r="FI32" s="6">
        <f>日流量!FI32*24*3600/100000000</f>
        <v>1.3910400000000001</v>
      </c>
      <c r="FJ32" s="6">
        <f>日流量!FJ32*24*3600/100000000</f>
        <v>1.52064</v>
      </c>
      <c r="FK32" s="6">
        <f>日流量!FK32*24*3600/100000000</f>
        <v>1.5811200000000001</v>
      </c>
      <c r="FL32" s="6">
        <f>日流量!FL32*24*3600/100000000</f>
        <v>1.62432</v>
      </c>
      <c r="FM32" s="6">
        <f>日流量!FM32*24*3600/100000000</f>
        <v>1.60704</v>
      </c>
      <c r="FN32" s="6">
        <f>日流量!FN32*24*3600/100000000</f>
        <v>1.5811200000000001</v>
      </c>
      <c r="FO32" s="6">
        <f>日流量!FO32*24*3600/100000000</f>
        <v>1.6848000000000001</v>
      </c>
      <c r="FP32" s="6">
        <f>日流量!FP32*24*3600/100000000</f>
        <v>1.9785600000000001</v>
      </c>
      <c r="FQ32" s="6">
        <f>日流量!FQ32*24*3600/100000000</f>
        <v>2.4710399999999999</v>
      </c>
      <c r="FR32" s="6">
        <f>日流量!FR32*24*3600/100000000</f>
        <v>2.6524800000000002</v>
      </c>
      <c r="FS32" s="6">
        <f>日流量!FS32*24*3600/100000000</f>
        <v>2.6524800000000002</v>
      </c>
      <c r="FT32" s="6">
        <f>日流量!FT32*24*3600/100000000</f>
        <v>2.5747200000000001</v>
      </c>
      <c r="FU32" s="6">
        <f>日流量!FU32*24*3600/100000000</f>
        <v>2.5660799999999999</v>
      </c>
      <c r="FV32" s="6">
        <f>日流量!FV32*24*3600/100000000</f>
        <v>2.7129599999999998</v>
      </c>
      <c r="FW32" s="6">
        <f>日流量!FW32*24*3600/100000000</f>
        <v>3.0326399999999998</v>
      </c>
      <c r="FX32" s="6">
        <f>日流量!FX32*24*3600/100000000</f>
        <v>3.6201599999999998</v>
      </c>
      <c r="FY32" s="6">
        <f>日流量!FY32*24*3600/100000000</f>
        <v>3.8448000000000002</v>
      </c>
      <c r="FZ32" s="6">
        <f>日流量!FZ32*24*3600/100000000</f>
        <v>3.9312</v>
      </c>
      <c r="GA32" s="6">
        <f>日流量!GA32*24*3600/100000000</f>
        <v>4.1817599999999997</v>
      </c>
      <c r="GB32" s="6">
        <f>日流量!GB32*24*3600/100000000</f>
        <v>4.2595200000000002</v>
      </c>
      <c r="GC32" s="6">
        <f>日流量!GC32*24*3600/100000000</f>
        <v>4.5359999999999996</v>
      </c>
      <c r="GD32" s="6">
        <f>日流量!GD32*24*3600/100000000</f>
        <v>4.4236800000000001</v>
      </c>
      <c r="GE32" s="6">
        <f>日流量!GE32*24*3600/100000000</f>
        <v>4.2940800000000001</v>
      </c>
      <c r="GF32" s="6">
        <f>日流量!GF32*24*3600/100000000</f>
        <v>4.32864</v>
      </c>
      <c r="GG32" s="6">
        <f>日流量!GG32*24*3600/100000000</f>
        <v>4.4496000000000002</v>
      </c>
      <c r="GH32" s="6">
        <f>日流量!GH32*24*3600/100000000</f>
        <v>4.45824</v>
      </c>
      <c r="GI32" s="6">
        <f>日流量!GI32*24*3600/100000000</f>
        <v>4.5100800000000003</v>
      </c>
      <c r="GJ32" s="6">
        <f>日流量!GJ32*24*3600/100000000</f>
        <v>4.5619199999999998</v>
      </c>
      <c r="GK32" s="6">
        <f>日流量!GK32*24*3600/100000000</f>
        <v>4.4236800000000001</v>
      </c>
      <c r="GL32" s="6">
        <f>日流量!GL32*24*3600/100000000</f>
        <v>4.13856</v>
      </c>
      <c r="GM32" s="6">
        <f>日流量!GM32*24*3600/100000000</f>
        <v>3.9139200000000001</v>
      </c>
      <c r="GN32" s="6">
        <f>日流量!GN32*24*3600/100000000</f>
        <v>3.74112</v>
      </c>
      <c r="GO32" s="6">
        <f>日流量!GO32*24*3600/100000000</f>
        <v>3.6201599999999998</v>
      </c>
      <c r="GP32" s="6">
        <f>日流量!GP32*24*3600/100000000</f>
        <v>3.5855999999999999</v>
      </c>
      <c r="GQ32" s="6">
        <f>日流量!GQ32*24*3600/100000000</f>
        <v>3.55104</v>
      </c>
      <c r="GR32" s="6">
        <f>日流量!GR32*24*3600/100000000</f>
        <v>3.5251199999999998</v>
      </c>
      <c r="GS32" s="6">
        <f>日流量!GS32*24*3600/100000000</f>
        <v>3.6547200000000002</v>
      </c>
      <c r="GT32" s="6">
        <f>日流量!GT32*24*3600/100000000</f>
        <v>3.7670400000000002</v>
      </c>
      <c r="GU32" s="6">
        <f>日流量!GU32*24*3600/100000000</f>
        <v>3.8188800000000001</v>
      </c>
      <c r="GV32" s="6">
        <f>日流量!GV32*24*3600/100000000</f>
        <v>3.8707199999999999</v>
      </c>
      <c r="GW32" s="6">
        <f>日流量!GW32*24*3600/100000000</f>
        <v>4.0521599999999998</v>
      </c>
      <c r="GX32" s="6">
        <f>日流量!GX32*24*3600/100000000</f>
        <v>4.4409599999999996</v>
      </c>
      <c r="GY32" s="6">
        <f>日流量!GY32*24*3600/100000000</f>
        <v>4.13856</v>
      </c>
      <c r="GZ32" s="6">
        <f>日流量!GZ32*24*3600/100000000</f>
        <v>3.7929599999999999</v>
      </c>
      <c r="HA32" s="6">
        <f>日流量!HA32*24*3600/100000000</f>
        <v>3.83616</v>
      </c>
      <c r="HB32" s="6">
        <f>日流量!HB32*24*3600/100000000</f>
        <v>4.4496000000000002</v>
      </c>
      <c r="HC32" s="6">
        <f>日流量!HC32*24*3600/100000000</f>
        <v>4.8211199999999996</v>
      </c>
      <c r="HD32" s="6">
        <f>日流量!HD32*24*3600/100000000</f>
        <v>5.3136000000000001</v>
      </c>
      <c r="HE32" s="6">
        <f>日流量!HE32*24*3600/100000000</f>
        <v>5.9011199999999997</v>
      </c>
      <c r="HF32" s="6">
        <f>日流量!HF32*24*3600/100000000</f>
        <v>6.48</v>
      </c>
      <c r="HG32" s="6">
        <f>日流量!HG32*24*3600/100000000</f>
        <v>6.7737600000000002</v>
      </c>
      <c r="HH32" s="6">
        <f>日流量!HH32*24*3600/100000000</f>
        <v>7.2489600000000003</v>
      </c>
      <c r="HI32" s="6">
        <f>日流量!HI32*24*3600/100000000</f>
        <v>7.9488000000000003</v>
      </c>
      <c r="HJ32" s="6">
        <f>日流量!HJ32*24*3600/100000000</f>
        <v>8.2425599999999992</v>
      </c>
      <c r="HK32" s="6">
        <f>日流量!HK32*24*3600/100000000</f>
        <v>7.6118399999999999</v>
      </c>
      <c r="HL32" s="6">
        <f>日流量!HL32*24*3600/100000000</f>
        <v>7.2835200000000002</v>
      </c>
      <c r="HM32" s="6">
        <f>日流量!HM32*24*3600/100000000</f>
        <v>7.2576000000000001</v>
      </c>
      <c r="HN32" s="6">
        <f>日流量!HN32*24*3600/100000000</f>
        <v>7.1452799999999996</v>
      </c>
      <c r="HO32" s="6">
        <f>日流量!HO32*24*3600/100000000</f>
        <v>6.7132800000000001</v>
      </c>
      <c r="HP32" s="6">
        <f>日流量!HP32*24*3600/100000000</f>
        <v>6.3244800000000003</v>
      </c>
      <c r="HQ32" s="6">
        <f>日流量!HQ32*24*3600/100000000</f>
        <v>5.9702400000000004</v>
      </c>
      <c r="HR32" s="6">
        <f>日流量!HR32*24*3600/100000000</f>
        <v>5.6851200000000004</v>
      </c>
      <c r="HS32" s="6">
        <f>日流量!HS32*24*3600/100000000</f>
        <v>5.4172799999999999</v>
      </c>
      <c r="HT32" s="6">
        <f>日流量!HT32*24*3600/100000000</f>
        <v>5.2444800000000003</v>
      </c>
      <c r="HU32" s="6">
        <f>日流量!HU32*24*3600/100000000</f>
        <v>5.2876799999999999</v>
      </c>
      <c r="HV32" s="6">
        <f>日流量!HV32*24*3600/100000000</f>
        <v>5.2617599999999998</v>
      </c>
      <c r="HW32" s="6">
        <f>日流量!HW32*24*3600/100000000</f>
        <v>5.3136000000000001</v>
      </c>
      <c r="HX32" s="6">
        <f>日流量!HX32*24*3600/100000000</f>
        <v>5.4950400000000004</v>
      </c>
      <c r="HY32" s="6">
        <f>日流量!HY32*24*3600/100000000</f>
        <v>5.9961599999999997</v>
      </c>
      <c r="HZ32" s="6">
        <f>日流量!HZ32*24*3600/100000000</f>
        <v>5.8924799999999999</v>
      </c>
      <c r="IA32" s="6">
        <f>日流量!IA32*24*3600/100000000</f>
        <v>6.1344000000000003</v>
      </c>
      <c r="IB32" s="6">
        <f>日流量!IB32*24*3600/100000000</f>
        <v>6.6182400000000001</v>
      </c>
      <c r="IC32" s="6">
        <f>日流量!IC32*24*3600/100000000</f>
        <v>8.0006400000000006</v>
      </c>
      <c r="ID32" s="6">
        <f>日流量!ID32*24*3600/100000000</f>
        <v>7.76736</v>
      </c>
      <c r="IE32" s="6">
        <f>日流量!IE32*24*3600/100000000</f>
        <v>7.1884800000000002</v>
      </c>
      <c r="IF32" s="6">
        <f>日流量!IF32*24*3600/100000000</f>
        <v>6.8342400000000003</v>
      </c>
      <c r="IG32" s="6">
        <f>日流量!IG32*24*3600/100000000</f>
        <v>6.5750400000000004</v>
      </c>
      <c r="IH32" s="6">
        <f>日流量!IH32*24*3600/100000000</f>
        <v>6.6009599999999997</v>
      </c>
      <c r="II32" s="6">
        <f>日流量!II32*24*3600/100000000</f>
        <v>6.5663999999999998</v>
      </c>
      <c r="IJ32" s="6">
        <f>日流量!IJ32*24*3600/100000000</f>
        <v>6.6009599999999997</v>
      </c>
      <c r="IK32" s="6">
        <f>日流量!IK32*24*3600/100000000</f>
        <v>6.9638400000000003</v>
      </c>
      <c r="IL32" s="6">
        <f>日流量!IL32*24*3600/100000000</f>
        <v>8.0006400000000006</v>
      </c>
      <c r="IM32" s="6">
        <f>日流量!IM32*24*3600/100000000</f>
        <v>11.750400000000001</v>
      </c>
      <c r="IN32" s="6">
        <f>日流量!IN32*24*3600/100000000</f>
        <v>11.664</v>
      </c>
      <c r="IO32" s="6">
        <f>日流量!IO32*24*3600/100000000</f>
        <v>10.1088</v>
      </c>
      <c r="IP32" s="6">
        <f>日流量!IP32*24*3600/100000000</f>
        <v>9.0719999999999992</v>
      </c>
      <c r="IQ32" s="6">
        <f>日流量!IQ32*24*3600/100000000</f>
        <v>8.8992000000000004</v>
      </c>
      <c r="IR32" s="6">
        <f>日流量!IR32*24*3600/100000000</f>
        <v>8.9855999999999998</v>
      </c>
      <c r="IS32" s="6">
        <f>日流量!IS32*24*3600/100000000</f>
        <v>9.5039999999999996</v>
      </c>
      <c r="IT32" s="6">
        <f>日流量!IT32*24*3600/100000000</f>
        <v>10.8864</v>
      </c>
      <c r="IU32" s="6">
        <f>日流量!IU32*24*3600/100000000</f>
        <v>10.540800000000001</v>
      </c>
      <c r="IV32" s="6">
        <f>日流量!IV32*24*3600/100000000</f>
        <v>9.6768000000000001</v>
      </c>
      <c r="IW32" s="6">
        <f>日流量!IW32*24*3600/100000000</f>
        <v>8.8127999999999993</v>
      </c>
      <c r="IX32" s="6">
        <f>日流量!IX32*24*3600/100000000</f>
        <v>8.4153599999999997</v>
      </c>
      <c r="IY32" s="6">
        <f>日流量!IY32*24*3600/100000000</f>
        <v>8.40672</v>
      </c>
      <c r="IZ32" s="6">
        <f>日流量!IZ32*24*3600/100000000</f>
        <v>7.9315199999999999</v>
      </c>
      <c r="JA32" s="6">
        <f>日流量!JA32*24*3600/100000000</f>
        <v>7.6204799999999997</v>
      </c>
      <c r="JB32" s="6">
        <f>日流量!JB32*24*3600/100000000</f>
        <v>7.4217599999999999</v>
      </c>
      <c r="JC32" s="6">
        <f>日流量!JC32*24*3600/100000000</f>
        <v>7.3526400000000001</v>
      </c>
      <c r="JD32" s="6">
        <f>日流量!JD32*24*3600/100000000</f>
        <v>6.9119999999999999</v>
      </c>
      <c r="JE32" s="6">
        <f>日流量!JE32*24*3600/100000000</f>
        <v>6.5663999999999998</v>
      </c>
      <c r="JF32" s="6">
        <f>日流量!JF32*24*3600/100000000</f>
        <v>6.2294400000000003</v>
      </c>
      <c r="JG32" s="6">
        <f>日流量!JG32*24*3600/100000000</f>
        <v>5.9702400000000004</v>
      </c>
      <c r="JH32" s="6">
        <f>日流量!JH32*24*3600/100000000</f>
        <v>5.9011199999999997</v>
      </c>
      <c r="JI32" s="6">
        <f>日流量!JI32*24*3600/100000000</f>
        <v>6.2467199999999998</v>
      </c>
      <c r="JJ32" s="6">
        <f>日流量!JJ32*24*3600/100000000</f>
        <v>6.2121599999999999</v>
      </c>
      <c r="JK32" s="6">
        <f>日流量!JK32*24*3600/100000000</f>
        <v>5.9356799999999996</v>
      </c>
      <c r="JL32" s="6">
        <f>日流量!JL32*24*3600/100000000</f>
        <v>5.7110399999999997</v>
      </c>
      <c r="JM32" s="6">
        <f>日流量!JM32*24*3600/100000000</f>
        <v>5.5123199999999999</v>
      </c>
      <c r="JN32" s="6">
        <f>日流量!JN32*24*3600/100000000</f>
        <v>5.4086400000000001</v>
      </c>
      <c r="JO32" s="6">
        <f>日流量!JO32*24*3600/100000000</f>
        <v>5.4518399999999998</v>
      </c>
      <c r="JP32" s="6">
        <f>日流量!JP32*24*3600/100000000</f>
        <v>5.7023999999999999</v>
      </c>
      <c r="JQ32" s="6">
        <f>日流量!JQ32*24*3600/100000000</f>
        <v>5.9443200000000003</v>
      </c>
      <c r="JR32" s="6">
        <f>日流量!JR32*24*3600/100000000</f>
        <v>5.8233600000000001</v>
      </c>
      <c r="JS32" s="6">
        <f>日流量!JS32*24*3600/100000000</f>
        <v>6.08256</v>
      </c>
      <c r="JT32" s="6">
        <f>日流量!JT32*24*3600/100000000</f>
        <v>6.6959999999999997</v>
      </c>
      <c r="JU32" s="6">
        <f>日流量!JU32*24*3600/100000000</f>
        <v>7.2057599999999997</v>
      </c>
      <c r="JV32" s="6">
        <f>日流量!JV32*24*3600/100000000</f>
        <v>7.70688</v>
      </c>
      <c r="JW32" s="6">
        <f>日流量!JW32*24*3600/100000000</f>
        <v>8.4499200000000005</v>
      </c>
      <c r="JX32" s="6">
        <f>日流量!JX32*24*3600/100000000</f>
        <v>9.7631999999999994</v>
      </c>
      <c r="JY32" s="6">
        <f>日流量!JY32*24*3600/100000000</f>
        <v>10.7136</v>
      </c>
      <c r="JZ32" s="6">
        <f>日流量!JZ32*24*3600/100000000</f>
        <v>10.1952</v>
      </c>
      <c r="KA32" s="6">
        <f>日流量!KA32*24*3600/100000000</f>
        <v>9.0719999999999992</v>
      </c>
      <c r="KB32" s="6">
        <f>日流量!KB32*24*3600/100000000</f>
        <v>8.1561599999999999</v>
      </c>
      <c r="KC32" s="6">
        <f>日流量!KC32*24*3600/100000000</f>
        <v>7.4131200000000002</v>
      </c>
      <c r="KD32" s="6">
        <f>日流量!KD32*24*3600/100000000</f>
        <v>6.8083200000000001</v>
      </c>
      <c r="KE32" s="6">
        <f>日流量!KE32*24*3600/100000000</f>
        <v>6.4108799999999997</v>
      </c>
      <c r="KF32" s="6">
        <f>日流量!KF32*24*3600/100000000</f>
        <v>6.0652799999999996</v>
      </c>
      <c r="KG32" s="6">
        <f>日流量!KG32*24*3600/100000000</f>
        <v>5.6764799999999997</v>
      </c>
      <c r="KH32" s="6">
        <f>日流量!KH32*24*3600/100000000</f>
        <v>5.3654400000000004</v>
      </c>
      <c r="KI32" s="6">
        <f>日流量!KI32*24*3600/100000000</f>
        <v>5.0975999999999999</v>
      </c>
      <c r="KJ32" s="6">
        <f>日流量!KJ32*24*3600/100000000</f>
        <v>4.8815999999999997</v>
      </c>
      <c r="KK32" s="6">
        <f>日流量!KK32*24*3600/100000000</f>
        <v>4.6915199999999997</v>
      </c>
      <c r="KL32" s="6">
        <f>日流量!KL32*24*3600/100000000</f>
        <v>4.5100800000000003</v>
      </c>
      <c r="KM32" s="6">
        <f>日流量!KM32*24*3600/100000000</f>
        <v>4.32864</v>
      </c>
      <c r="KN32" s="6">
        <f>日流量!KN32*24*3600/100000000</f>
        <v>4.1558400000000004</v>
      </c>
      <c r="KO32" s="6">
        <f>日流量!KO32*24*3600/100000000</f>
        <v>4.0262399999999996</v>
      </c>
      <c r="KP32" s="6">
        <f>日流量!KP32*24*3600/100000000</f>
        <v>3.9225599999999998</v>
      </c>
      <c r="KQ32" s="6">
        <f>日流量!KQ32*24*3600/100000000</f>
        <v>3.7843200000000001</v>
      </c>
      <c r="KR32" s="6">
        <f>日流量!KR32*24*3600/100000000</f>
        <v>3.6633599999999999</v>
      </c>
      <c r="KS32" s="6">
        <f>日流量!KS32*24*3600/100000000</f>
        <v>3.55104</v>
      </c>
      <c r="KT32" s="6">
        <f>日流量!KT32*24*3600/100000000</f>
        <v>3.456</v>
      </c>
      <c r="KU32" s="6">
        <f>日流量!KU32*24*3600/100000000</f>
        <v>3.3609599999999999</v>
      </c>
      <c r="KV32" s="6">
        <f>日流量!KV32*24*3600/100000000</f>
        <v>3.2659199999999999</v>
      </c>
      <c r="KW32" s="6">
        <f>日流量!KW32*24*3600/100000000</f>
        <v>3.1708799999999999</v>
      </c>
      <c r="KX32" s="6">
        <f>日流量!KX32*24*3600/100000000</f>
        <v>3.0844800000000001</v>
      </c>
      <c r="KY32" s="6">
        <f>日流量!KY32*24*3600/100000000</f>
        <v>3.0153599999999998</v>
      </c>
      <c r="KZ32" s="6">
        <f>日流量!KZ32*24*3600/100000000</f>
        <v>2.9376000000000002</v>
      </c>
      <c r="LA32" s="6">
        <f>日流量!LA32*24*3600/100000000</f>
        <v>2.8684799999999999</v>
      </c>
      <c r="LB32" s="6">
        <f>日流量!LB32*24*3600/100000000</f>
        <v>2.7820800000000001</v>
      </c>
      <c r="LC32" s="6">
        <f>日流量!LC32*24*3600/100000000</f>
        <v>2.7043200000000001</v>
      </c>
      <c r="LD32" s="6">
        <f>日流量!LD32*24*3600/100000000</f>
        <v>2.6179199999999998</v>
      </c>
      <c r="LE32" s="6">
        <f>日流量!LE32*24*3600/100000000</f>
        <v>2.5574400000000002</v>
      </c>
      <c r="LF32" s="6">
        <f>日流量!LF32*24*3600/100000000</f>
        <v>2.5055999999999998</v>
      </c>
      <c r="LG32" s="6">
        <f>日流量!LG32*24*3600/100000000</f>
        <v>2.4537599999999999</v>
      </c>
      <c r="LH32" s="6">
        <f>日流量!LH32*24*3600/100000000</f>
        <v>2.4105599999999998</v>
      </c>
      <c r="LI32" s="6">
        <f>日流量!LI32*24*3600/100000000</f>
        <v>2.3587199999999999</v>
      </c>
      <c r="LJ32" s="6">
        <f>日流量!LJ32*24*3600/100000000</f>
        <v>2.2982399999999998</v>
      </c>
      <c r="LK32" s="6">
        <f>日流量!LK32*24*3600/100000000</f>
        <v>2.2550400000000002</v>
      </c>
      <c r="LL32" s="6">
        <f>日流量!LL32*24*3600/100000000</f>
        <v>2.2204799999999998</v>
      </c>
      <c r="LM32" s="6">
        <f>日流量!LM32*24*3600/100000000</f>
        <v>2.1945600000000001</v>
      </c>
      <c r="LN32" s="6">
        <f>日流量!LN32*24*3600/100000000</f>
        <v>2.1686399999999999</v>
      </c>
      <c r="LO32" s="6">
        <f>日流量!LO32*24*3600/100000000</f>
        <v>2.13408</v>
      </c>
      <c r="LP32" s="6">
        <f>日流量!LP32*24*3600/100000000</f>
        <v>2.0995200000000001</v>
      </c>
      <c r="LQ32" s="6">
        <f>日流量!LQ32*24*3600/100000000</f>
        <v>2.0563199999999999</v>
      </c>
      <c r="LR32" s="6">
        <f>日流量!LR32*24*3600/100000000</f>
        <v>2.0476800000000002</v>
      </c>
      <c r="LS32" s="6">
        <f>日流量!LS32*24*3600/100000000</f>
        <v>2.0131199999999998</v>
      </c>
      <c r="LT32" s="6">
        <f>日流量!LT32*24*3600/100000000</f>
        <v>1.9958400000000001</v>
      </c>
      <c r="LU32" s="6">
        <f>日流量!LU32*24*3600/100000000</f>
        <v>1.9872000000000001</v>
      </c>
      <c r="LV32" s="6">
        <f>日流量!LV32*24*3600/100000000</f>
        <v>1.9699199999999999</v>
      </c>
      <c r="LW32" s="6">
        <f>日流量!LW32*24*3600/100000000</f>
        <v>1.9526399999999999</v>
      </c>
      <c r="LX32" s="6">
        <f>日流量!LX32*24*3600/100000000</f>
        <v>1.93536</v>
      </c>
      <c r="LY32" s="6">
        <f>日流量!LY32*24*3600/100000000</f>
        <v>1.91808</v>
      </c>
      <c r="LZ32" s="6">
        <f>日流量!LZ32*24*3600/100000000</f>
        <v>1.9008</v>
      </c>
      <c r="MA32" s="6">
        <f>日流量!MA32*24*3600/100000000</f>
        <v>1.8835200000000001</v>
      </c>
      <c r="MB32" s="6">
        <f>日流量!MB32*24*3600/100000000</f>
        <v>1.8748800000000001</v>
      </c>
      <c r="MC32" s="6">
        <f>日流量!MC32*24*3600/100000000</f>
        <v>1.84032</v>
      </c>
      <c r="MD32" s="6">
        <f>日流量!MD32*24*3600/100000000</f>
        <v>1.82304</v>
      </c>
      <c r="ME32" s="6">
        <f>日流量!ME32*24*3600/100000000</f>
        <v>1.7884800000000001</v>
      </c>
      <c r="MF32" s="6">
        <f>日流量!MF32*24*3600/100000000</f>
        <v>1.7625599999999999</v>
      </c>
      <c r="MG32" s="6">
        <f>日流量!MG32*24*3600/100000000</f>
        <v>1.7452799999999999</v>
      </c>
      <c r="MH32" s="6">
        <f>日流量!MH32*24*3600/100000000</f>
        <v>1.7452799999999999</v>
      </c>
      <c r="MI32" s="6">
        <f>日流量!MI32*24*3600/100000000</f>
        <v>1.8144</v>
      </c>
      <c r="MJ32" s="6">
        <f>日流量!MJ32*24*3600/100000000</f>
        <v>1.7884800000000001</v>
      </c>
      <c r="MK32" s="6">
        <f>日流量!MK32*24*3600/100000000</f>
        <v>1.7539199999999999</v>
      </c>
      <c r="ML32" s="6">
        <f>日流量!ML32*24*3600/100000000</f>
        <v>1.728</v>
      </c>
      <c r="MM32" s="6">
        <f>日流量!MM32*24*3600/100000000</f>
        <v>1.6934400000000001</v>
      </c>
      <c r="MN32" s="6">
        <f>日流量!MN32*24*3600/100000000</f>
        <v>1.6588799999999999</v>
      </c>
      <c r="MO32" s="6">
        <f>日流量!MO32*24*3600/100000000</f>
        <v>1.6415999999999999</v>
      </c>
      <c r="MP32" s="6">
        <f>日流量!MP32*24*3600/100000000</f>
        <v>1.61568</v>
      </c>
      <c r="MQ32" s="6">
        <f>日流量!MQ32*24*3600/100000000</f>
        <v>1.5897600000000001</v>
      </c>
      <c r="MR32" s="6">
        <f>日流量!MR32*24*3600/100000000</f>
        <v>1.5811200000000001</v>
      </c>
      <c r="MS32" s="6">
        <f>日流量!MS32*24*3600/100000000</f>
        <v>1.5551999999999999</v>
      </c>
      <c r="MT32" s="6">
        <f>日流量!MT32*24*3600/100000000</f>
        <v>1.52928</v>
      </c>
      <c r="MU32" s="6">
        <f>日流量!MU32*24*3600/100000000</f>
        <v>1.49472</v>
      </c>
      <c r="MV32" s="6">
        <f>日流量!MV32*24*3600/100000000</f>
        <v>1.4688000000000001</v>
      </c>
      <c r="MW32" s="6">
        <f>日流量!MW32*24*3600/100000000</f>
        <v>1.4515199999999999</v>
      </c>
      <c r="MX32" s="6">
        <f>日流量!MX32*24*3600/100000000</f>
        <v>1.43424</v>
      </c>
      <c r="MY32" s="6">
        <f>日流量!MY32*24*3600/100000000</f>
        <v>1.41696</v>
      </c>
      <c r="MZ32" s="6">
        <f>日流量!MZ32*24*3600/100000000</f>
        <v>1.3910400000000001</v>
      </c>
      <c r="NA32" s="6">
        <f>日流量!NA32*24*3600/100000000</f>
        <v>1.3824000000000001</v>
      </c>
      <c r="NB32" s="6">
        <f>日流量!NB32*24*3600/100000000</f>
        <v>1.3651199999999999</v>
      </c>
      <c r="NC32" s="6"/>
      <c r="ND32" s="6">
        <f>日流量!ND32*24*3600*31/100000000</f>
        <v>34.551360000000003</v>
      </c>
      <c r="NE32" s="6">
        <f>日流量!NE32*24*3600*28/100000000</f>
        <v>26.127359999999999</v>
      </c>
      <c r="NF32" s="6">
        <f>日流量!NF32*24*3600*31/100000000</f>
        <v>25.444800000000001</v>
      </c>
      <c r="NG32" s="6">
        <f>日流量!NG32*24*3600*30/100000000</f>
        <v>33.695999999999998</v>
      </c>
      <c r="NH32" s="6">
        <f>日流量!NH32*24*3600*31/100000000</f>
        <v>44.193600000000004</v>
      </c>
      <c r="NI32" s="6">
        <f>日流量!NI32*24*3600*30/100000000</f>
        <v>60.652799999999999</v>
      </c>
      <c r="NJ32" s="6">
        <f>日流量!NJ32*24*3600*31/100000000</f>
        <v>132.58080000000001</v>
      </c>
      <c r="NK32" s="6">
        <f>日流量!NK32*24*3600*31/100000000</f>
        <v>204.09407999999999</v>
      </c>
      <c r="NL32" s="6">
        <f>日流量!NL32*24*3600*30/100000000</f>
        <v>237.16800000000001</v>
      </c>
      <c r="NM32" s="6">
        <f>日流量!NM32*24*3600*31/100000000</f>
        <v>189.36287999999999</v>
      </c>
      <c r="NN32" s="6">
        <f>日流量!NN32*24*3600*30/100000000</f>
        <v>73.3536</v>
      </c>
      <c r="NO32" s="6">
        <f>日流量!NO32*24*3600*31/100000000</f>
        <v>50.889600000000002</v>
      </c>
      <c r="NP32" s="14">
        <f t="shared" si="10"/>
        <v>1112.1148800000001</v>
      </c>
      <c r="NQ32" s="6">
        <f>日流量!NQ32*24*3600/100000000</f>
        <v>11.750400000000001</v>
      </c>
      <c r="NR32" s="4">
        <f>日流量!NR32</f>
        <v>42615</v>
      </c>
      <c r="NS32" s="6">
        <f>日流量!NS32*24*3600/100000000</f>
        <v>0.79920000000000002</v>
      </c>
      <c r="NT32" s="4">
        <f>日流量!NT32</f>
        <v>42438</v>
      </c>
      <c r="NU32" s="7">
        <f>日流量!NP32</f>
        <v>3525.6739726027399</v>
      </c>
      <c r="NW32" s="13">
        <f t="shared" si="0"/>
        <v>868.05216000000007</v>
      </c>
      <c r="NX32" s="12">
        <f t="shared" si="1"/>
        <v>78.054180877428777</v>
      </c>
      <c r="NY32" s="13">
        <f t="shared" si="2"/>
        <v>634.49567999999999</v>
      </c>
      <c r="NZ32" s="12">
        <f t="shared" si="3"/>
        <v>57.053069913065087</v>
      </c>
      <c r="OA32" s="13">
        <f t="shared" si="4"/>
        <v>244.06272000000001</v>
      </c>
      <c r="OB32" s="12">
        <f t="shared" si="5"/>
        <v>21.945819122571223</v>
      </c>
      <c r="OC32" s="13">
        <f t="shared" si="6"/>
        <v>237.16800000000001</v>
      </c>
      <c r="OD32" s="12">
        <f t="shared" si="7"/>
        <v>21.325854393747523</v>
      </c>
      <c r="OE32" s="12">
        <f t="shared" si="8"/>
        <v>259.83992523364492</v>
      </c>
      <c r="OF32" s="12">
        <f t="shared" si="9"/>
        <v>8.2394699782358227</v>
      </c>
    </row>
    <row r="33" spans="1:396" x14ac:dyDescent="0.15">
      <c r="A33" s="2">
        <v>1980</v>
      </c>
      <c r="B33" s="6">
        <f>日流量!B33*24*3600/100000000</f>
        <v>1.3478399999999999</v>
      </c>
      <c r="C33" s="6">
        <f>日流量!C33*24*3600/100000000</f>
        <v>1.3478399999999999</v>
      </c>
      <c r="D33" s="6">
        <f>日流量!D33*24*3600/100000000</f>
        <v>1.3391999999999999</v>
      </c>
      <c r="E33" s="6">
        <f>日流量!E33*24*3600/100000000</f>
        <v>1.32192</v>
      </c>
      <c r="F33" s="6">
        <f>日流量!F33*24*3600/100000000</f>
        <v>1.31328</v>
      </c>
      <c r="G33" s="6">
        <f>日流量!G33*24*3600/100000000</f>
        <v>1.296</v>
      </c>
      <c r="H33" s="6">
        <f>日流量!H33*24*3600/100000000</f>
        <v>1.2873600000000001</v>
      </c>
      <c r="I33" s="6">
        <f>日流量!I33*24*3600/100000000</f>
        <v>1.296</v>
      </c>
      <c r="J33" s="6">
        <f>日流量!J33*24*3600/100000000</f>
        <v>1.2700800000000001</v>
      </c>
      <c r="K33" s="6">
        <f>日流量!K33*24*3600/100000000</f>
        <v>1.23552</v>
      </c>
      <c r="L33" s="6">
        <f>日流量!L33*24*3600/100000000</f>
        <v>1.23552</v>
      </c>
      <c r="M33" s="6">
        <f>日流量!M33*24*3600/100000000</f>
        <v>1.22688</v>
      </c>
      <c r="N33" s="6">
        <f>日流量!N33*24*3600/100000000</f>
        <v>1.19232</v>
      </c>
      <c r="O33" s="6">
        <f>日流量!O33*24*3600/100000000</f>
        <v>1.1664000000000001</v>
      </c>
      <c r="P33" s="6">
        <f>日流量!P33*24*3600/100000000</f>
        <v>1.1491199999999999</v>
      </c>
      <c r="Q33" s="6">
        <f>日流量!Q33*24*3600/100000000</f>
        <v>1.13184</v>
      </c>
      <c r="R33" s="6">
        <f>日流量!R33*24*3600/100000000</f>
        <v>1.1232</v>
      </c>
      <c r="S33" s="6">
        <f>日流量!S33*24*3600/100000000</f>
        <v>1.13184</v>
      </c>
      <c r="T33" s="6">
        <f>日流量!T33*24*3600/100000000</f>
        <v>1.1232</v>
      </c>
      <c r="U33" s="6">
        <f>日流量!U33*24*3600/100000000</f>
        <v>1.1232</v>
      </c>
      <c r="V33" s="6">
        <f>日流量!V33*24*3600/100000000</f>
        <v>1.1232</v>
      </c>
      <c r="W33" s="6">
        <f>日流量!W33*24*3600/100000000</f>
        <v>1.11456</v>
      </c>
      <c r="X33" s="6">
        <f>日流量!X33*24*3600/100000000</f>
        <v>1.10592</v>
      </c>
      <c r="Y33" s="6">
        <f>日流量!Y33*24*3600/100000000</f>
        <v>1.10592</v>
      </c>
      <c r="Z33" s="6">
        <f>日流量!Z33*24*3600/100000000</f>
        <v>1.09728</v>
      </c>
      <c r="AA33" s="6">
        <f>日流量!AA33*24*3600/100000000</f>
        <v>1.0886400000000001</v>
      </c>
      <c r="AB33" s="6">
        <f>日流量!AB33*24*3600/100000000</f>
        <v>1.08</v>
      </c>
      <c r="AC33" s="6">
        <f>日流量!AC33*24*3600/100000000</f>
        <v>1.0713600000000001</v>
      </c>
      <c r="AD33" s="6">
        <f>日流量!AD33*24*3600/100000000</f>
        <v>1.0627200000000001</v>
      </c>
      <c r="AE33" s="6">
        <f>日流量!AE33*24*3600/100000000</f>
        <v>1.0540799999999999</v>
      </c>
      <c r="AF33" s="6">
        <f>日流量!AF33*24*3600/100000000</f>
        <v>1.0540799999999999</v>
      </c>
      <c r="AG33" s="6">
        <f>日流量!AG33*24*3600/100000000</f>
        <v>1.0454399999999999</v>
      </c>
      <c r="AH33" s="6">
        <f>日流量!AH33*24*3600/100000000</f>
        <v>1.0367999999999999</v>
      </c>
      <c r="AI33" s="6">
        <f>日流量!AI33*24*3600/100000000</f>
        <v>1.0367999999999999</v>
      </c>
      <c r="AJ33" s="6">
        <f>日流量!AJ33*24*3600/100000000</f>
        <v>1.02816</v>
      </c>
      <c r="AK33" s="6">
        <f>日流量!AK33*24*3600/100000000</f>
        <v>1.02816</v>
      </c>
      <c r="AL33" s="6">
        <f>日流量!AL33*24*3600/100000000</f>
        <v>1.01088</v>
      </c>
      <c r="AM33" s="6">
        <f>日流量!AM33*24*3600/100000000</f>
        <v>1.00224</v>
      </c>
      <c r="AN33" s="6">
        <f>日流量!AN33*24*3600/100000000</f>
        <v>1.00224</v>
      </c>
      <c r="AO33" s="6">
        <f>日流量!AO33*24*3600/100000000</f>
        <v>1.00224</v>
      </c>
      <c r="AP33" s="6">
        <f>日流量!AP33*24*3600/100000000</f>
        <v>1.00224</v>
      </c>
      <c r="AQ33" s="6">
        <f>日流量!AQ33*24*3600/100000000</f>
        <v>1.00224</v>
      </c>
      <c r="AR33" s="6">
        <f>日流量!AR33*24*3600/100000000</f>
        <v>0.99360000000000004</v>
      </c>
      <c r="AS33" s="6">
        <f>日流量!AS33*24*3600/100000000</f>
        <v>0.98495999999999995</v>
      </c>
      <c r="AT33" s="6">
        <f>日流量!AT33*24*3600/100000000</f>
        <v>0.98495999999999995</v>
      </c>
      <c r="AU33" s="6">
        <f>日流量!AU33*24*3600/100000000</f>
        <v>0.97631999999999997</v>
      </c>
      <c r="AV33" s="6">
        <f>日流量!AV33*24*3600/100000000</f>
        <v>0.96767999999999998</v>
      </c>
      <c r="AW33" s="6">
        <f>日流量!AW33*24*3600/100000000</f>
        <v>0.96767999999999998</v>
      </c>
      <c r="AX33" s="6">
        <f>日流量!AX33*24*3600/100000000</f>
        <v>0.96767999999999998</v>
      </c>
      <c r="AY33" s="6">
        <f>日流量!AY33*24*3600/100000000</f>
        <v>0.96767999999999998</v>
      </c>
      <c r="AZ33" s="6">
        <f>日流量!AZ33*24*3600/100000000</f>
        <v>0.96767999999999998</v>
      </c>
      <c r="BA33" s="6">
        <f>日流量!BA33*24*3600/100000000</f>
        <v>0.97631999999999997</v>
      </c>
      <c r="BB33" s="6">
        <f>日流量!BB33*24*3600/100000000</f>
        <v>0.97631999999999997</v>
      </c>
      <c r="BC33" s="6">
        <f>日流量!BC33*24*3600/100000000</f>
        <v>0.97631999999999997</v>
      </c>
      <c r="BD33" s="6">
        <f>日流量!BD33*24*3600/100000000</f>
        <v>0.97631999999999997</v>
      </c>
      <c r="BE33" s="6">
        <f>日流量!BE33*24*3600/100000000</f>
        <v>0.95904</v>
      </c>
      <c r="BF33" s="6">
        <f>日流量!BF33*24*3600/100000000</f>
        <v>0.95040000000000002</v>
      </c>
      <c r="BG33" s="6">
        <f>日流量!BG33*24*3600/100000000</f>
        <v>0.95040000000000002</v>
      </c>
      <c r="BH33" s="6">
        <f>日流量!BH33*24*3600/100000000</f>
        <v>0.94176000000000004</v>
      </c>
      <c r="BI33" s="6">
        <f>日流量!BI33*24*3600/100000000</f>
        <v>0.93311999999999995</v>
      </c>
      <c r="BJ33" s="6">
        <f>日流量!BJ33*24*3600/100000000</f>
        <v>0.92447999999999997</v>
      </c>
      <c r="BK33" s="6">
        <f>日流量!BK33*24*3600/100000000</f>
        <v>0.91583999999999999</v>
      </c>
      <c r="BL33" s="6">
        <f>日流量!BL33*24*3600/100000000</f>
        <v>0.90720000000000001</v>
      </c>
      <c r="BM33" s="6">
        <f>日流量!BM33*24*3600/100000000</f>
        <v>0.90720000000000001</v>
      </c>
      <c r="BN33" s="6">
        <f>日流量!BN33*24*3600/100000000</f>
        <v>0.92447999999999997</v>
      </c>
      <c r="BO33" s="6">
        <f>日流量!BO33*24*3600/100000000</f>
        <v>0.94176000000000004</v>
      </c>
      <c r="BP33" s="6">
        <f>日流量!BP33*24*3600/100000000</f>
        <v>0.95040000000000002</v>
      </c>
      <c r="BQ33" s="6">
        <f>日流量!BQ33*24*3600/100000000</f>
        <v>0.95040000000000002</v>
      </c>
      <c r="BR33" s="6">
        <f>日流量!BR33*24*3600/100000000</f>
        <v>0.92447999999999997</v>
      </c>
      <c r="BS33" s="6">
        <f>日流量!BS33*24*3600/100000000</f>
        <v>0.91583999999999999</v>
      </c>
      <c r="BT33" s="6">
        <f>日流量!BT33*24*3600/100000000</f>
        <v>0.90720000000000001</v>
      </c>
      <c r="BU33" s="6">
        <f>日流量!BU33*24*3600/100000000</f>
        <v>0.89856000000000003</v>
      </c>
      <c r="BV33" s="6">
        <f>日流量!BV33*24*3600/100000000</f>
        <v>0.89856000000000003</v>
      </c>
      <c r="BW33" s="6">
        <f>日流量!BW33*24*3600/100000000</f>
        <v>0.89856000000000003</v>
      </c>
      <c r="BX33" s="6">
        <f>日流量!BX33*24*3600/100000000</f>
        <v>0.89856000000000003</v>
      </c>
      <c r="BY33" s="6">
        <f>日流量!BY33*24*3600/100000000</f>
        <v>0.88992000000000004</v>
      </c>
      <c r="BZ33" s="6">
        <f>日流量!BZ33*24*3600/100000000</f>
        <v>0.88992000000000004</v>
      </c>
      <c r="CA33" s="6">
        <f>日流量!CA33*24*3600/100000000</f>
        <v>0.88992000000000004</v>
      </c>
      <c r="CB33" s="6">
        <f>日流量!CB33*24*3600/100000000</f>
        <v>0.88127999999999995</v>
      </c>
      <c r="CC33" s="6">
        <f>日流量!CC33*24*3600/100000000</f>
        <v>0.88127999999999995</v>
      </c>
      <c r="CD33" s="6">
        <f>日流量!CD33*24*3600/100000000</f>
        <v>0.87263999999999997</v>
      </c>
      <c r="CE33" s="6">
        <f>日流量!CE33*24*3600/100000000</f>
        <v>0.87263999999999997</v>
      </c>
      <c r="CF33" s="6">
        <f>日流量!CF33*24*3600/100000000</f>
        <v>0.87263999999999997</v>
      </c>
      <c r="CG33" s="6">
        <f>日流量!CG33*24*3600/100000000</f>
        <v>0.86399999999999999</v>
      </c>
      <c r="CH33" s="6">
        <f>日流量!CH33*24*3600/100000000</f>
        <v>0.86399999999999999</v>
      </c>
      <c r="CI33" s="6">
        <f>日流量!CI33*24*3600/100000000</f>
        <v>0.87263999999999997</v>
      </c>
      <c r="CJ33" s="6">
        <f>日流量!CJ33*24*3600/100000000</f>
        <v>0.87263999999999997</v>
      </c>
      <c r="CK33" s="6">
        <f>日流量!CK33*24*3600/100000000</f>
        <v>0.87263999999999997</v>
      </c>
      <c r="CL33" s="6">
        <f>日流量!CL33*24*3600/100000000</f>
        <v>0.88127999999999995</v>
      </c>
      <c r="CM33" s="6">
        <f>日流量!CM33*24*3600/100000000</f>
        <v>0.89856000000000003</v>
      </c>
      <c r="CN33" s="6">
        <f>日流量!CN33*24*3600/100000000</f>
        <v>0.92447999999999997</v>
      </c>
      <c r="CO33" s="6">
        <f>日流量!CO33*24*3600/100000000</f>
        <v>0.95904</v>
      </c>
      <c r="CP33" s="6">
        <f>日流量!CP33*24*3600/100000000</f>
        <v>0.97631999999999997</v>
      </c>
      <c r="CQ33" s="6">
        <f>日流量!CQ33*24*3600/100000000</f>
        <v>0.97631999999999997</v>
      </c>
      <c r="CR33" s="6">
        <f>日流量!CR33*24*3600/100000000</f>
        <v>0.97631999999999997</v>
      </c>
      <c r="CS33" s="6">
        <f>日流量!CS33*24*3600/100000000</f>
        <v>1.01088</v>
      </c>
      <c r="CT33" s="6">
        <f>日流量!CT33*24*3600/100000000</f>
        <v>0.98495999999999995</v>
      </c>
      <c r="CU33" s="6">
        <f>日流量!CU33*24*3600/100000000</f>
        <v>0.97631999999999997</v>
      </c>
      <c r="CV33" s="6">
        <f>日流量!CV33*24*3600/100000000</f>
        <v>0.95040000000000002</v>
      </c>
      <c r="CW33" s="6">
        <f>日流量!CW33*24*3600/100000000</f>
        <v>0.96767999999999998</v>
      </c>
      <c r="CX33" s="6">
        <f>日流量!CX33*24*3600/100000000</f>
        <v>0.97631999999999997</v>
      </c>
      <c r="CY33" s="6">
        <f>日流量!CY33*24*3600/100000000</f>
        <v>0.98495999999999995</v>
      </c>
      <c r="CZ33" s="6">
        <f>日流量!CZ33*24*3600/100000000</f>
        <v>0.98495999999999995</v>
      </c>
      <c r="DA33" s="6">
        <f>日流量!DA33*24*3600/100000000</f>
        <v>0.98495999999999995</v>
      </c>
      <c r="DB33" s="6">
        <f>日流量!DB33*24*3600/100000000</f>
        <v>1.00224</v>
      </c>
      <c r="DC33" s="6">
        <f>日流量!DC33*24*3600/100000000</f>
        <v>1.0367999999999999</v>
      </c>
      <c r="DD33" s="6">
        <f>日流量!DD33*24*3600/100000000</f>
        <v>1.08</v>
      </c>
      <c r="DE33" s="6">
        <f>日流量!DE33*24*3600/100000000</f>
        <v>1.11456</v>
      </c>
      <c r="DF33" s="6">
        <f>日流量!DF33*24*3600/100000000</f>
        <v>1.1491199999999999</v>
      </c>
      <c r="DG33" s="6">
        <f>日流量!DG33*24*3600/100000000</f>
        <v>1.1577599999999999</v>
      </c>
      <c r="DH33" s="6">
        <f>日流量!DH33*24*3600/100000000</f>
        <v>1.1577599999999999</v>
      </c>
      <c r="DI33" s="6">
        <f>日流量!DI33*24*3600/100000000</f>
        <v>1.11456</v>
      </c>
      <c r="DJ33" s="6">
        <f>日流量!DJ33*24*3600/100000000</f>
        <v>1.09728</v>
      </c>
      <c r="DK33" s="6">
        <f>日流量!DK33*24*3600/100000000</f>
        <v>1.0886400000000001</v>
      </c>
      <c r="DL33" s="6">
        <f>日流量!DL33*24*3600/100000000</f>
        <v>1.11456</v>
      </c>
      <c r="DM33" s="6">
        <f>日流量!DM33*24*3600/100000000</f>
        <v>1.1750400000000001</v>
      </c>
      <c r="DN33" s="6">
        <f>日流量!DN33*24*3600/100000000</f>
        <v>1.30464</v>
      </c>
      <c r="DO33" s="6">
        <f>日流量!DO33*24*3600/100000000</f>
        <v>1.4688000000000001</v>
      </c>
      <c r="DP33" s="6">
        <f>日流量!DP33*24*3600/100000000</f>
        <v>1.5984</v>
      </c>
      <c r="DQ33" s="6">
        <f>日流量!DQ33*24*3600/100000000</f>
        <v>1.61568</v>
      </c>
      <c r="DR33" s="6">
        <f>日流量!DR33*24*3600/100000000</f>
        <v>1.5811200000000001</v>
      </c>
      <c r="DS33" s="6">
        <f>日流量!DS33*24*3600/100000000</f>
        <v>1.4774400000000001</v>
      </c>
      <c r="DT33" s="6">
        <f>日流量!DT33*24*3600/100000000</f>
        <v>1.3824000000000001</v>
      </c>
      <c r="DU33" s="6">
        <f>日流量!DU33*24*3600/100000000</f>
        <v>1.33056</v>
      </c>
      <c r="DV33" s="6">
        <f>日流量!DV33*24*3600/100000000</f>
        <v>1.31328</v>
      </c>
      <c r="DW33" s="6">
        <f>日流量!DW33*24*3600/100000000</f>
        <v>1.3478399999999999</v>
      </c>
      <c r="DX33" s="6">
        <f>日流量!DX33*24*3600/100000000</f>
        <v>1.4428799999999999</v>
      </c>
      <c r="DY33" s="6">
        <f>日流量!DY33*24*3600/100000000</f>
        <v>1.5638399999999999</v>
      </c>
      <c r="DZ33" s="6">
        <f>日流量!DZ33*24*3600/100000000</f>
        <v>1.6588799999999999</v>
      </c>
      <c r="EA33" s="6">
        <f>日流量!EA33*24*3600/100000000</f>
        <v>1.73664</v>
      </c>
      <c r="EB33" s="6">
        <f>日流量!EB33*24*3600/100000000</f>
        <v>1.83168</v>
      </c>
      <c r="EC33" s="6">
        <f>日流量!EC33*24*3600/100000000</f>
        <v>1.8489599999999999</v>
      </c>
      <c r="ED33" s="6">
        <f>日流量!ED33*24*3600/100000000</f>
        <v>1.80576</v>
      </c>
      <c r="EE33" s="6">
        <f>日流量!EE33*24*3600/100000000</f>
        <v>1.71936</v>
      </c>
      <c r="EF33" s="6">
        <f>日流量!EF33*24*3600/100000000</f>
        <v>1.63296</v>
      </c>
      <c r="EG33" s="6">
        <f>日流量!EG33*24*3600/100000000</f>
        <v>1.5551999999999999</v>
      </c>
      <c r="EH33" s="6">
        <f>日流量!EH33*24*3600/100000000</f>
        <v>1.52064</v>
      </c>
      <c r="EI33" s="6">
        <f>日流量!EI33*24*3600/100000000</f>
        <v>1.52064</v>
      </c>
      <c r="EJ33" s="6">
        <f>日流量!EJ33*24*3600/100000000</f>
        <v>1.5551999999999999</v>
      </c>
      <c r="EK33" s="6">
        <f>日流量!EK33*24*3600/100000000</f>
        <v>1.6415999999999999</v>
      </c>
      <c r="EL33" s="6">
        <f>日流量!EL33*24*3600/100000000</f>
        <v>1.6502399999999999</v>
      </c>
      <c r="EM33" s="6">
        <f>日流量!EM33*24*3600/100000000</f>
        <v>1.6934400000000001</v>
      </c>
      <c r="EN33" s="6">
        <f>日流量!EN33*24*3600/100000000</f>
        <v>1.8489599999999999</v>
      </c>
      <c r="EO33" s="6">
        <f>日流量!EO33*24*3600/100000000</f>
        <v>1.91808</v>
      </c>
      <c r="EP33" s="6">
        <f>日流量!EP33*24*3600/100000000</f>
        <v>1.8748800000000001</v>
      </c>
      <c r="EQ33" s="6">
        <f>日流量!EQ33*24*3600/100000000</f>
        <v>1.7971200000000001</v>
      </c>
      <c r="ER33" s="6">
        <f>日流量!ER33*24*3600/100000000</f>
        <v>1.7798400000000001</v>
      </c>
      <c r="ES33" s="6">
        <f>日流量!ES33*24*3600/100000000</f>
        <v>1.7798400000000001</v>
      </c>
      <c r="ET33" s="6">
        <f>日流量!ET33*24*3600/100000000</f>
        <v>1.7712000000000001</v>
      </c>
      <c r="EU33" s="6">
        <f>日流量!EU33*24*3600/100000000</f>
        <v>1.7625599999999999</v>
      </c>
      <c r="EV33" s="6">
        <f>日流量!EV33*24*3600/100000000</f>
        <v>1.7539199999999999</v>
      </c>
      <c r="EW33" s="6">
        <f>日流量!EW33*24*3600/100000000</f>
        <v>1.71072</v>
      </c>
      <c r="EX33" s="6">
        <f>日流量!EX33*24*3600/100000000</f>
        <v>1.6588799999999999</v>
      </c>
      <c r="EY33" s="6">
        <f>日流量!EY33*24*3600/100000000</f>
        <v>1.6675199999999999</v>
      </c>
      <c r="EZ33" s="6">
        <f>日流量!EZ33*24*3600/100000000</f>
        <v>1.71072</v>
      </c>
      <c r="FA33" s="6">
        <f>日流量!FA33*24*3600/100000000</f>
        <v>1.7971200000000001</v>
      </c>
      <c r="FB33" s="6">
        <f>日流量!FB33*24*3600/100000000</f>
        <v>1.7539199999999999</v>
      </c>
      <c r="FC33" s="6">
        <f>日流量!FC33*24*3600/100000000</f>
        <v>1.6675199999999999</v>
      </c>
      <c r="FD33" s="6">
        <f>日流量!FD33*24*3600/100000000</f>
        <v>1.61568</v>
      </c>
      <c r="FE33" s="6">
        <f>日流量!FE33*24*3600/100000000</f>
        <v>1.82304</v>
      </c>
      <c r="FF33" s="6">
        <f>日流量!FF33*24*3600/100000000</f>
        <v>2.16</v>
      </c>
      <c r="FG33" s="6">
        <f>日流量!FG33*24*3600/100000000</f>
        <v>2.3155199999999998</v>
      </c>
      <c r="FH33" s="6">
        <f>日流量!FH33*24*3600/100000000</f>
        <v>2.4624000000000001</v>
      </c>
      <c r="FI33" s="6">
        <f>日流量!FI33*24*3600/100000000</f>
        <v>2.6179199999999998</v>
      </c>
      <c r="FJ33" s="6">
        <f>日流量!FJ33*24*3600/100000000</f>
        <v>2.6697600000000001</v>
      </c>
      <c r="FK33" s="6">
        <f>日流量!FK33*24*3600/100000000</f>
        <v>2.7820800000000001</v>
      </c>
      <c r="FL33" s="6">
        <f>日流量!FL33*24*3600/100000000</f>
        <v>2.92896</v>
      </c>
      <c r="FM33" s="6">
        <f>日流量!FM33*24*3600/100000000</f>
        <v>2.8425600000000002</v>
      </c>
      <c r="FN33" s="6">
        <f>日流量!FN33*24*3600/100000000</f>
        <v>2.6783999999999999</v>
      </c>
      <c r="FO33" s="6">
        <f>日流量!FO33*24*3600/100000000</f>
        <v>2.6524800000000002</v>
      </c>
      <c r="FP33" s="6">
        <f>日流量!FP33*24*3600/100000000</f>
        <v>2.7648000000000001</v>
      </c>
      <c r="FQ33" s="6">
        <f>日流量!FQ33*24*3600/100000000</f>
        <v>3.0585599999999999</v>
      </c>
      <c r="FR33" s="6">
        <f>日流量!FR33*24*3600/100000000</f>
        <v>3.74112</v>
      </c>
      <c r="FS33" s="6">
        <f>日流量!FS33*24*3600/100000000</f>
        <v>4.3545600000000002</v>
      </c>
      <c r="FT33" s="6">
        <f>日流量!FT33*24*3600/100000000</f>
        <v>5.4</v>
      </c>
      <c r="FU33" s="6">
        <f>日流量!FU33*24*3600/100000000</f>
        <v>5.2704000000000004</v>
      </c>
      <c r="FV33" s="6">
        <f>日流量!FV33*24*3600/100000000</f>
        <v>4.8297600000000003</v>
      </c>
      <c r="FW33" s="6">
        <f>日流量!FW33*24*3600/100000000</f>
        <v>4.74336</v>
      </c>
      <c r="FX33" s="6">
        <f>日流量!FX33*24*3600/100000000</f>
        <v>4.4409599999999996</v>
      </c>
      <c r="FY33" s="6">
        <f>日流量!FY33*24*3600/100000000</f>
        <v>4.32</v>
      </c>
      <c r="FZ33" s="6">
        <f>日流量!FZ33*24*3600/100000000</f>
        <v>4.26816</v>
      </c>
      <c r="GA33" s="6">
        <f>日流量!GA33*24*3600/100000000</f>
        <v>3.9916800000000001</v>
      </c>
      <c r="GB33" s="6">
        <f>日流量!GB33*24*3600/100000000</f>
        <v>4.0953600000000003</v>
      </c>
      <c r="GC33" s="6">
        <f>日流量!GC33*24*3600/100000000</f>
        <v>3.9052799999999999</v>
      </c>
      <c r="GD33" s="6">
        <f>日流量!GD33*24*3600/100000000</f>
        <v>3.74112</v>
      </c>
      <c r="GE33" s="6">
        <f>日流量!GE33*24*3600/100000000</f>
        <v>3.7065600000000001</v>
      </c>
      <c r="GF33" s="6">
        <f>日流量!GF33*24*3600/100000000</f>
        <v>3.8188800000000001</v>
      </c>
      <c r="GG33" s="6">
        <f>日流量!GG33*24*3600/100000000</f>
        <v>4.3977599999999999</v>
      </c>
      <c r="GH33" s="6">
        <f>日流量!GH33*24*3600/100000000</f>
        <v>4.7779199999999999</v>
      </c>
      <c r="GI33" s="6">
        <f>日流量!GI33*24*3600/100000000</f>
        <v>4.9852800000000004</v>
      </c>
      <c r="GJ33" s="6">
        <f>日流量!GJ33*24*3600/100000000</f>
        <v>5.0975999999999999</v>
      </c>
      <c r="GK33" s="6">
        <f>日流量!GK33*24*3600/100000000</f>
        <v>5.1235200000000001</v>
      </c>
      <c r="GL33" s="6">
        <f>日流量!GL33*24*3600/100000000</f>
        <v>4.8556800000000004</v>
      </c>
      <c r="GM33" s="6">
        <f>日流量!GM33*24*3600/100000000</f>
        <v>5.3827199999999999</v>
      </c>
      <c r="GN33" s="6">
        <f>日流量!GN33*24*3600/100000000</f>
        <v>6.0911999999999997</v>
      </c>
      <c r="GO33" s="6">
        <f>日流量!GO33*24*3600/100000000</f>
        <v>6.048</v>
      </c>
      <c r="GP33" s="6">
        <f>日流量!GP33*24*3600/100000000</f>
        <v>6.0134400000000001</v>
      </c>
      <c r="GQ33" s="6">
        <f>日流量!GQ33*24*3600/100000000</f>
        <v>5.5900800000000004</v>
      </c>
      <c r="GR33" s="6">
        <f>日流量!GR33*24*3600/100000000</f>
        <v>5.4086400000000001</v>
      </c>
      <c r="GS33" s="6">
        <f>日流量!GS33*24*3600/100000000</f>
        <v>5.5641600000000002</v>
      </c>
      <c r="GT33" s="6">
        <f>日流量!GT33*24*3600/100000000</f>
        <v>6.0048000000000004</v>
      </c>
      <c r="GU33" s="6">
        <f>日流量!GU33*24*3600/100000000</f>
        <v>6.0739200000000002</v>
      </c>
      <c r="GV33" s="6">
        <f>日流量!GV33*24*3600/100000000</f>
        <v>6.3244800000000003</v>
      </c>
      <c r="GW33" s="6">
        <f>日流量!GW33*24*3600/100000000</f>
        <v>6.3244800000000003</v>
      </c>
      <c r="GX33" s="6">
        <f>日流量!GX33*24*3600/100000000</f>
        <v>6.0307199999999996</v>
      </c>
      <c r="GY33" s="6">
        <f>日流量!GY33*24*3600/100000000</f>
        <v>5.5900800000000004</v>
      </c>
      <c r="GZ33" s="6">
        <f>日流量!GZ33*24*3600/100000000</f>
        <v>5.2185600000000001</v>
      </c>
      <c r="HA33" s="6">
        <f>日流量!HA33*24*3600/100000000</f>
        <v>4.9593600000000002</v>
      </c>
      <c r="HB33" s="6">
        <f>日流量!HB33*24*3600/100000000</f>
        <v>4.8297600000000003</v>
      </c>
      <c r="HC33" s="6">
        <f>日流量!HC33*24*3600/100000000</f>
        <v>4.8124799999999999</v>
      </c>
      <c r="HD33" s="6">
        <f>日流量!HD33*24*3600/100000000</f>
        <v>4.64832</v>
      </c>
      <c r="HE33" s="6">
        <f>日流量!HE33*24*3600/100000000</f>
        <v>4.5100800000000003</v>
      </c>
      <c r="HF33" s="6">
        <f>日流量!HF33*24*3600/100000000</f>
        <v>4.6137600000000001</v>
      </c>
      <c r="HG33" s="6">
        <f>日流量!HG33*24*3600/100000000</f>
        <v>4.7519999999999998</v>
      </c>
      <c r="HH33" s="6">
        <f>日流量!HH33*24*3600/100000000</f>
        <v>4.7779199999999999</v>
      </c>
      <c r="HI33" s="6">
        <f>日流量!HI33*24*3600/100000000</f>
        <v>5.0371199999999998</v>
      </c>
      <c r="HJ33" s="6">
        <f>日流量!HJ33*24*3600/100000000</f>
        <v>5.2963199999999997</v>
      </c>
      <c r="HK33" s="6">
        <f>日流量!HK33*24*3600/100000000</f>
        <v>5.8319999999999999</v>
      </c>
      <c r="HL33" s="6">
        <f>日流量!HL33*24*3600/100000000</f>
        <v>5.8752000000000004</v>
      </c>
      <c r="HM33" s="6">
        <f>日流量!HM33*24*3600/100000000</f>
        <v>6.4022399999999999</v>
      </c>
      <c r="HN33" s="6">
        <f>日流量!HN33*24*3600/100000000</f>
        <v>6.3763199999999998</v>
      </c>
      <c r="HO33" s="6">
        <f>日流量!HO33*24*3600/100000000</f>
        <v>6.0652799999999996</v>
      </c>
      <c r="HP33" s="6">
        <f>日流量!HP33*24*3600/100000000</f>
        <v>5.6937600000000002</v>
      </c>
      <c r="HQ33" s="6">
        <f>日流量!HQ33*24*3600/100000000</f>
        <v>5.4863999999999997</v>
      </c>
      <c r="HR33" s="6">
        <f>日流量!HR33*24*3600/100000000</f>
        <v>6.2035200000000001</v>
      </c>
      <c r="HS33" s="6">
        <f>日流量!HS33*24*3600/100000000</f>
        <v>6.9984000000000002</v>
      </c>
      <c r="HT33" s="6">
        <f>日流量!HT33*24*3600/100000000</f>
        <v>7.80192</v>
      </c>
      <c r="HU33" s="6">
        <f>日流量!HU33*24*3600/100000000</f>
        <v>8.7263999999999999</v>
      </c>
      <c r="HV33" s="6">
        <f>日流量!HV33*24*3600/100000000</f>
        <v>10.281599999999999</v>
      </c>
      <c r="HW33" s="6">
        <f>日流量!HW33*24*3600/100000000</f>
        <v>11.750400000000001</v>
      </c>
      <c r="HX33" s="6">
        <f>日流量!HX33*24*3600/100000000</f>
        <v>12.8736</v>
      </c>
      <c r="HY33" s="6">
        <f>日流量!HY33*24*3600/100000000</f>
        <v>14.9472</v>
      </c>
      <c r="HZ33" s="6">
        <f>日流量!HZ33*24*3600/100000000</f>
        <v>14.7744</v>
      </c>
      <c r="IA33" s="6">
        <f>日流量!IA33*24*3600/100000000</f>
        <v>14.3424</v>
      </c>
      <c r="IB33" s="6">
        <f>日流量!IB33*24*3600/100000000</f>
        <v>13.3056</v>
      </c>
      <c r="IC33" s="6">
        <f>日流量!IC33*24*3600/100000000</f>
        <v>12.528</v>
      </c>
      <c r="ID33" s="6">
        <f>日流量!ID33*24*3600/100000000</f>
        <v>13.219200000000001</v>
      </c>
      <c r="IE33" s="6">
        <f>日流量!IE33*24*3600/100000000</f>
        <v>13.478400000000001</v>
      </c>
      <c r="IF33" s="6">
        <f>日流量!IF33*24*3600/100000000</f>
        <v>12.182399999999999</v>
      </c>
      <c r="IG33" s="6">
        <f>日流量!IG33*24*3600/100000000</f>
        <v>10.8</v>
      </c>
      <c r="IH33" s="6">
        <f>日流量!IH33*24*3600/100000000</f>
        <v>10.1088</v>
      </c>
      <c r="II33" s="6">
        <f>日流量!II33*24*3600/100000000</f>
        <v>10.540800000000001</v>
      </c>
      <c r="IJ33" s="6">
        <f>日流量!IJ33*24*3600/100000000</f>
        <v>9.9359999999999999</v>
      </c>
      <c r="IK33" s="6">
        <f>日流量!IK33*24*3600/100000000</f>
        <v>9.6768000000000001</v>
      </c>
      <c r="IL33" s="6">
        <f>日流量!IL33*24*3600/100000000</f>
        <v>9.4176000000000002</v>
      </c>
      <c r="IM33" s="6">
        <f>日流量!IM33*24*3600/100000000</f>
        <v>9.5904000000000007</v>
      </c>
      <c r="IN33" s="6">
        <f>日流量!IN33*24*3600/100000000</f>
        <v>9.1584000000000003</v>
      </c>
      <c r="IO33" s="6">
        <f>日流量!IO33*24*3600/100000000</f>
        <v>8.3203200000000006</v>
      </c>
      <c r="IP33" s="6">
        <f>日流量!IP33*24*3600/100000000</f>
        <v>7.7155199999999997</v>
      </c>
      <c r="IQ33" s="6">
        <f>日流量!IQ33*24*3600/100000000</f>
        <v>7.3094400000000004</v>
      </c>
      <c r="IR33" s="6">
        <f>日流量!IR33*24*3600/100000000</f>
        <v>7.1193600000000004</v>
      </c>
      <c r="IS33" s="6">
        <f>日流量!IS33*24*3600/100000000</f>
        <v>6.9897600000000004</v>
      </c>
      <c r="IT33" s="6">
        <f>日流量!IT33*24*3600/100000000</f>
        <v>7.1452799999999996</v>
      </c>
      <c r="IU33" s="6">
        <f>日流量!IU33*24*3600/100000000</f>
        <v>7.8883200000000002</v>
      </c>
      <c r="IV33" s="6">
        <f>日流量!IV33*24*3600/100000000</f>
        <v>8.08704</v>
      </c>
      <c r="IW33" s="6">
        <f>日流量!IW33*24*3600/100000000</f>
        <v>7.6032000000000002</v>
      </c>
      <c r="IX33" s="6">
        <f>日流量!IX33*24*3600/100000000</f>
        <v>7.2057599999999997</v>
      </c>
      <c r="IY33" s="6">
        <f>日流量!IY33*24*3600/100000000</f>
        <v>6.9033600000000002</v>
      </c>
      <c r="IZ33" s="6">
        <f>日流量!IZ33*24*3600/100000000</f>
        <v>6.6528</v>
      </c>
      <c r="JA33" s="6">
        <f>日流量!JA33*24*3600/100000000</f>
        <v>6.5663999999999998</v>
      </c>
      <c r="JB33" s="6">
        <f>日流量!JB33*24*3600/100000000</f>
        <v>6.6182400000000001</v>
      </c>
      <c r="JC33" s="6">
        <f>日流量!JC33*24*3600/100000000</f>
        <v>6.4540800000000003</v>
      </c>
      <c r="JD33" s="6">
        <f>日流量!JD33*24*3600/100000000</f>
        <v>6.3158399999999997</v>
      </c>
      <c r="JE33" s="6">
        <f>日流量!JE33*24*3600/100000000</f>
        <v>6.5232000000000001</v>
      </c>
      <c r="JF33" s="6">
        <f>日流量!JF33*24*3600/100000000</f>
        <v>6.4972799999999999</v>
      </c>
      <c r="JG33" s="6">
        <f>日流量!JG33*24*3600/100000000</f>
        <v>6.3590400000000002</v>
      </c>
      <c r="JH33" s="6">
        <f>日流量!JH33*24*3600/100000000</f>
        <v>7.6550399999999996</v>
      </c>
      <c r="JI33" s="6">
        <f>日流量!JI33*24*3600/100000000</f>
        <v>8.1388800000000003</v>
      </c>
      <c r="JJ33" s="6">
        <f>日流量!JJ33*24*3600/100000000</f>
        <v>8.5363199999999999</v>
      </c>
      <c r="JK33" s="6">
        <f>日流量!JK33*24*3600/100000000</f>
        <v>8.5363199999999999</v>
      </c>
      <c r="JL33" s="6">
        <f>日流量!JL33*24*3600/100000000</f>
        <v>8.5535999999999994</v>
      </c>
      <c r="JM33" s="6">
        <f>日流量!JM33*24*3600/100000000</f>
        <v>9.0719999999999992</v>
      </c>
      <c r="JN33" s="6">
        <f>日流量!JN33*24*3600/100000000</f>
        <v>9.5904000000000007</v>
      </c>
      <c r="JO33" s="6">
        <f>日流量!JO33*24*3600/100000000</f>
        <v>9.1584000000000003</v>
      </c>
      <c r="JP33" s="6">
        <f>日流量!JP33*24*3600/100000000</f>
        <v>9.2447999999999997</v>
      </c>
      <c r="JQ33" s="6">
        <f>日流量!JQ33*24*3600/100000000</f>
        <v>9.0719999999999992</v>
      </c>
      <c r="JR33" s="6">
        <f>日流量!JR33*24*3600/100000000</f>
        <v>8.6140799999999995</v>
      </c>
      <c r="JS33" s="6">
        <f>日流量!JS33*24*3600/100000000</f>
        <v>9.4176000000000002</v>
      </c>
      <c r="JT33" s="6">
        <f>日流量!JT33*24*3600/100000000</f>
        <v>11.059200000000001</v>
      </c>
      <c r="JU33" s="6">
        <f>日流量!JU33*24*3600/100000000</f>
        <v>12.009600000000001</v>
      </c>
      <c r="JV33" s="6">
        <f>日流量!JV33*24*3600/100000000</f>
        <v>12.182399999999999</v>
      </c>
      <c r="JW33" s="6">
        <f>日流量!JW33*24*3600/100000000</f>
        <v>10.972799999999999</v>
      </c>
      <c r="JX33" s="6">
        <f>日流量!JX33*24*3600/100000000</f>
        <v>9.9359999999999999</v>
      </c>
      <c r="JY33" s="6">
        <f>日流量!JY33*24*3600/100000000</f>
        <v>9.2447999999999997</v>
      </c>
      <c r="JZ33" s="6">
        <f>日流量!JZ33*24*3600/100000000</f>
        <v>8.4239999999999995</v>
      </c>
      <c r="KA33" s="6">
        <f>日流量!KA33*24*3600/100000000</f>
        <v>7.7587200000000003</v>
      </c>
      <c r="KB33" s="6">
        <f>日流量!KB33*24*3600/100000000</f>
        <v>7.1884800000000002</v>
      </c>
      <c r="KC33" s="6">
        <f>日流量!KC33*24*3600/100000000</f>
        <v>6.7564799999999998</v>
      </c>
      <c r="KD33" s="6">
        <f>日流量!KD33*24*3600/100000000</f>
        <v>6.3936000000000002</v>
      </c>
      <c r="KE33" s="6">
        <f>日流量!KE33*24*3600/100000000</f>
        <v>6.1171199999999999</v>
      </c>
      <c r="KF33" s="6">
        <f>日流量!KF33*24*3600/100000000</f>
        <v>5.7974399999999999</v>
      </c>
      <c r="KG33" s="6">
        <f>日流量!KG33*24*3600/100000000</f>
        <v>5.5555199999999996</v>
      </c>
      <c r="KH33" s="6">
        <f>日流量!KH33*24*3600/100000000</f>
        <v>5.4</v>
      </c>
      <c r="KI33" s="6">
        <f>日流量!KI33*24*3600/100000000</f>
        <v>5.2185600000000001</v>
      </c>
      <c r="KJ33" s="6">
        <f>日流量!KJ33*24*3600/100000000</f>
        <v>5.0198400000000003</v>
      </c>
      <c r="KK33" s="6">
        <f>日流量!KK33*24*3600/100000000</f>
        <v>5.0889600000000002</v>
      </c>
      <c r="KL33" s="6">
        <f>日流量!KL33*24*3600/100000000</f>
        <v>6.7651199999999996</v>
      </c>
      <c r="KM33" s="6">
        <f>日流量!KM33*24*3600/100000000</f>
        <v>6.9638400000000003</v>
      </c>
      <c r="KN33" s="6">
        <f>日流量!KN33*24*3600/100000000</f>
        <v>6.1948800000000004</v>
      </c>
      <c r="KO33" s="6">
        <f>日流量!KO33*24*3600/100000000</f>
        <v>5.8147200000000003</v>
      </c>
      <c r="KP33" s="6">
        <f>日流量!KP33*24*3600/100000000</f>
        <v>5.4172799999999999</v>
      </c>
      <c r="KQ33" s="6">
        <f>日流量!KQ33*24*3600/100000000</f>
        <v>5.0803200000000004</v>
      </c>
      <c r="KR33" s="6">
        <f>日流量!KR33*24*3600/100000000</f>
        <v>4.8297600000000003</v>
      </c>
      <c r="KS33" s="6">
        <f>日流量!KS33*24*3600/100000000</f>
        <v>4.5964799999999997</v>
      </c>
      <c r="KT33" s="6">
        <f>日流量!KT33*24*3600/100000000</f>
        <v>4.3977599999999999</v>
      </c>
      <c r="KU33" s="6">
        <f>日流量!KU33*24*3600/100000000</f>
        <v>4.2249600000000003</v>
      </c>
      <c r="KV33" s="6">
        <f>日流量!KV33*24*3600/100000000</f>
        <v>4.0694400000000002</v>
      </c>
      <c r="KW33" s="6">
        <f>日流量!KW33*24*3600/100000000</f>
        <v>3.9312</v>
      </c>
      <c r="KX33" s="6">
        <f>日流量!KX33*24*3600/100000000</f>
        <v>3.7670400000000002</v>
      </c>
      <c r="KY33" s="6">
        <f>日流量!KY33*24*3600/100000000</f>
        <v>3.64608</v>
      </c>
      <c r="KZ33" s="6">
        <f>日流量!KZ33*24*3600/100000000</f>
        <v>3.53376</v>
      </c>
      <c r="LA33" s="6">
        <f>日流量!LA33*24*3600/100000000</f>
        <v>3.4300799999999998</v>
      </c>
      <c r="LB33" s="6">
        <f>日流量!LB33*24*3600/100000000</f>
        <v>3.3091200000000001</v>
      </c>
      <c r="LC33" s="6">
        <f>日流量!LC33*24*3600/100000000</f>
        <v>3.1968000000000001</v>
      </c>
      <c r="LD33" s="6">
        <f>日流量!LD33*24*3600/100000000</f>
        <v>3.1103999999999998</v>
      </c>
      <c r="LE33" s="6">
        <f>日流量!LE33*24*3600/100000000</f>
        <v>3.024</v>
      </c>
      <c r="LF33" s="6">
        <f>日流量!LF33*24*3600/100000000</f>
        <v>2.94624</v>
      </c>
      <c r="LG33" s="6">
        <f>日流量!LG33*24*3600/100000000</f>
        <v>2.8684799999999999</v>
      </c>
      <c r="LH33" s="6">
        <f>日流量!LH33*24*3600/100000000</f>
        <v>2.83392</v>
      </c>
      <c r="LI33" s="6">
        <f>日流量!LI33*24*3600/100000000</f>
        <v>2.7734399999999999</v>
      </c>
      <c r="LJ33" s="6">
        <f>日流量!LJ33*24*3600/100000000</f>
        <v>2.6870400000000001</v>
      </c>
      <c r="LK33" s="6">
        <f>日流量!LK33*24*3600/100000000</f>
        <v>2.6352000000000002</v>
      </c>
      <c r="LL33" s="6">
        <f>日流量!LL33*24*3600/100000000</f>
        <v>2.5833599999999999</v>
      </c>
      <c r="LM33" s="6">
        <f>日流量!LM33*24*3600/100000000</f>
        <v>2.51424</v>
      </c>
      <c r="LN33" s="6">
        <f>日流量!LN33*24*3600/100000000</f>
        <v>2.4537599999999999</v>
      </c>
      <c r="LO33" s="6">
        <f>日流量!LO33*24*3600/100000000</f>
        <v>2.3932799999999999</v>
      </c>
      <c r="LP33" s="6">
        <f>日流量!LP33*24*3600/100000000</f>
        <v>2.3500800000000002</v>
      </c>
      <c r="LQ33" s="6">
        <f>日流量!LQ33*24*3600/100000000</f>
        <v>2.2896000000000001</v>
      </c>
      <c r="LR33" s="6">
        <f>日流量!LR33*24*3600/100000000</f>
        <v>2.2204799999999998</v>
      </c>
      <c r="LS33" s="6">
        <f>日流量!LS33*24*3600/100000000</f>
        <v>2.1686399999999999</v>
      </c>
      <c r="LT33" s="6">
        <f>日流量!LT33*24*3600/100000000</f>
        <v>2.13408</v>
      </c>
      <c r="LU33" s="6">
        <f>日流量!LU33*24*3600/100000000</f>
        <v>2.0908799999999998</v>
      </c>
      <c r="LV33" s="6">
        <f>日流量!LV33*24*3600/100000000</f>
        <v>2.0649600000000001</v>
      </c>
      <c r="LW33" s="6">
        <f>日流量!LW33*24*3600/100000000</f>
        <v>2.02176</v>
      </c>
      <c r="LX33" s="6">
        <f>日流量!LX33*24*3600/100000000</f>
        <v>1.9958400000000001</v>
      </c>
      <c r="LY33" s="6">
        <f>日流量!LY33*24*3600/100000000</f>
        <v>1.9612799999999999</v>
      </c>
      <c r="LZ33" s="6">
        <f>日流量!LZ33*24*3600/100000000</f>
        <v>1.944</v>
      </c>
      <c r="MA33" s="6">
        <f>日流量!MA33*24*3600/100000000</f>
        <v>1.91808</v>
      </c>
      <c r="MB33" s="6">
        <f>日流量!MB33*24*3600/100000000</f>
        <v>1.8921600000000001</v>
      </c>
      <c r="MC33" s="6">
        <f>日流量!MC33*24*3600/100000000</f>
        <v>1.8748800000000001</v>
      </c>
      <c r="MD33" s="6">
        <f>日流量!MD33*24*3600/100000000</f>
        <v>1.8662399999999999</v>
      </c>
      <c r="ME33" s="6">
        <f>日流量!ME33*24*3600/100000000</f>
        <v>1.8575999999999999</v>
      </c>
      <c r="MF33" s="6">
        <f>日流量!MF33*24*3600/100000000</f>
        <v>1.84032</v>
      </c>
      <c r="MG33" s="6">
        <f>日流量!MG33*24*3600/100000000</f>
        <v>1.82304</v>
      </c>
      <c r="MH33" s="6">
        <f>日流量!MH33*24*3600/100000000</f>
        <v>1.8144</v>
      </c>
      <c r="MI33" s="6">
        <f>日流量!MI33*24*3600/100000000</f>
        <v>1.7798400000000001</v>
      </c>
      <c r="MJ33" s="6">
        <f>日流量!MJ33*24*3600/100000000</f>
        <v>1.7625599999999999</v>
      </c>
      <c r="MK33" s="6">
        <f>日流量!MK33*24*3600/100000000</f>
        <v>1.728</v>
      </c>
      <c r="ML33" s="6">
        <f>日流量!ML33*24*3600/100000000</f>
        <v>1.6761600000000001</v>
      </c>
      <c r="MM33" s="6">
        <f>日流量!MM33*24*3600/100000000</f>
        <v>1.6415999999999999</v>
      </c>
      <c r="MN33" s="6">
        <f>日流量!MN33*24*3600/100000000</f>
        <v>1.5984</v>
      </c>
      <c r="MO33" s="6">
        <f>日流量!MO33*24*3600/100000000</f>
        <v>1.5724800000000001</v>
      </c>
      <c r="MP33" s="6">
        <f>日流量!MP33*24*3600/100000000</f>
        <v>1.5638399999999999</v>
      </c>
      <c r="MQ33" s="6">
        <f>日流量!MQ33*24*3600/100000000</f>
        <v>1.5551999999999999</v>
      </c>
      <c r="MR33" s="6">
        <f>日流量!MR33*24*3600/100000000</f>
        <v>1.5551999999999999</v>
      </c>
      <c r="MS33" s="6">
        <f>日流量!MS33*24*3600/100000000</f>
        <v>1.53792</v>
      </c>
      <c r="MT33" s="6">
        <f>日流量!MT33*24*3600/100000000</f>
        <v>1.53792</v>
      </c>
      <c r="MU33" s="6">
        <f>日流量!MU33*24*3600/100000000</f>
        <v>1.53792</v>
      </c>
      <c r="MV33" s="6">
        <f>日流量!MV33*24*3600/100000000</f>
        <v>1.53792</v>
      </c>
      <c r="MW33" s="6">
        <f>日流量!MW33*24*3600/100000000</f>
        <v>1.52064</v>
      </c>
      <c r="MX33" s="6">
        <f>日流量!MX33*24*3600/100000000</f>
        <v>1.50336</v>
      </c>
      <c r="MY33" s="6">
        <f>日流量!MY33*24*3600/100000000</f>
        <v>1.4774400000000001</v>
      </c>
      <c r="MZ33" s="6">
        <f>日流量!MZ33*24*3600/100000000</f>
        <v>1.4601599999999999</v>
      </c>
      <c r="NA33" s="6">
        <f>日流量!NA33*24*3600/100000000</f>
        <v>1.4428799999999999</v>
      </c>
      <c r="NB33" s="6">
        <f>日流量!NB33*24*3600/100000000</f>
        <v>1.43424</v>
      </c>
      <c r="NC33" s="6">
        <f>日流量!NC33*24*3600/100000000</f>
        <v>1.43424</v>
      </c>
      <c r="ND33" s="6">
        <f>日流量!ND33*24*3600*31/100000000</f>
        <v>36.69408</v>
      </c>
      <c r="NE33" s="6">
        <f>日流量!NE33*24*3600*29/100000000</f>
        <v>28.563839999999999</v>
      </c>
      <c r="NF33" s="6">
        <f>日流量!NF33*24*3600*31/100000000</f>
        <v>27.855360000000001</v>
      </c>
      <c r="NG33" s="6">
        <f>日流量!NG33*24*3600*30/100000000</f>
        <v>33.695999999999998</v>
      </c>
      <c r="NH33" s="6">
        <f>日流量!NH33*24*3600*31/100000000</f>
        <v>51.157440000000001</v>
      </c>
      <c r="NI33" s="6">
        <f>日流量!NI33*24*3600*30/100000000</f>
        <v>90.979200000000006</v>
      </c>
      <c r="NJ33" s="6">
        <f>日流量!NJ33*24*3600*31/100000000</f>
        <v>158.56128000000001</v>
      </c>
      <c r="NK33" s="6">
        <f>日流量!NK33*24*3600*31/100000000</f>
        <v>286.58879999999999</v>
      </c>
      <c r="NL33" s="6">
        <f>日流量!NL33*24*3600*30/100000000</f>
        <v>231.72479999999999</v>
      </c>
      <c r="NM33" s="6">
        <f>日流量!NM33*24*3600*31/100000000</f>
        <v>226.59263999999999</v>
      </c>
      <c r="NN33" s="6">
        <f>日流量!NN33*24*3600*30/100000000</f>
        <v>85.276799999999994</v>
      </c>
      <c r="NO33" s="6">
        <f>日流量!NO33*24*3600*31/100000000</f>
        <v>51.69312</v>
      </c>
      <c r="NP33" s="14">
        <f t="shared" si="10"/>
        <v>1309.38336</v>
      </c>
      <c r="NQ33" s="6">
        <f>日流量!NQ33*24*3600/100000000</f>
        <v>14.9472</v>
      </c>
      <c r="NR33" s="4">
        <f>日流量!NR33</f>
        <v>42601</v>
      </c>
      <c r="NS33" s="6">
        <f>日流量!NS33*24*3600/100000000</f>
        <v>0.86399999999999999</v>
      </c>
      <c r="NT33" s="4">
        <f>日流量!NT33</f>
        <v>42453</v>
      </c>
      <c r="NU33" s="7">
        <f>日流量!NP33</f>
        <v>4138.2786885245905</v>
      </c>
      <c r="NW33" s="13">
        <f t="shared" si="0"/>
        <v>1045.6041600000001</v>
      </c>
      <c r="NX33" s="12">
        <f t="shared" si="1"/>
        <v>79.854700459917254</v>
      </c>
      <c r="NY33" s="13">
        <f t="shared" si="2"/>
        <v>767.85407999999995</v>
      </c>
      <c r="NZ33" s="12">
        <f t="shared" si="3"/>
        <v>58.642419283532057</v>
      </c>
      <c r="OA33" s="13">
        <f t="shared" si="4"/>
        <v>263.77919999999995</v>
      </c>
      <c r="OB33" s="12">
        <f t="shared" si="5"/>
        <v>20.145299540082739</v>
      </c>
      <c r="OC33" s="13">
        <f t="shared" si="6"/>
        <v>286.58879999999999</v>
      </c>
      <c r="OD33" s="12">
        <f t="shared" si="7"/>
        <v>21.887310374862253</v>
      </c>
      <c r="OE33" s="12">
        <f t="shared" si="8"/>
        <v>305.93069158878507</v>
      </c>
      <c r="OF33" s="12">
        <f t="shared" si="9"/>
        <v>9.7009985917296095</v>
      </c>
    </row>
    <row r="34" spans="1:396" x14ac:dyDescent="0.15">
      <c r="A34" s="2">
        <v>1981</v>
      </c>
      <c r="B34" s="6">
        <f>日流量!B34*24*3600/100000000</f>
        <v>1.5724800000000001</v>
      </c>
      <c r="C34" s="6">
        <f>日流量!C34*24*3600/100000000</f>
        <v>1.5465599999999999</v>
      </c>
      <c r="D34" s="6">
        <f>日流量!D34*24*3600/100000000</f>
        <v>1.52064</v>
      </c>
      <c r="E34" s="6">
        <f>日流量!E34*24*3600/100000000</f>
        <v>1.50336</v>
      </c>
      <c r="F34" s="6">
        <f>日流量!F34*24*3600/100000000</f>
        <v>1.4774400000000001</v>
      </c>
      <c r="G34" s="6">
        <f>日流量!G34*24*3600/100000000</f>
        <v>1.4515199999999999</v>
      </c>
      <c r="H34" s="6">
        <f>日流量!H34*24*3600/100000000</f>
        <v>1.4428799999999999</v>
      </c>
      <c r="I34" s="6">
        <f>日流量!I34*24*3600/100000000</f>
        <v>1.41696</v>
      </c>
      <c r="J34" s="6">
        <f>日流量!J34*24*3600/100000000</f>
        <v>1.3824000000000001</v>
      </c>
      <c r="K34" s="6">
        <f>日流量!K34*24*3600/100000000</f>
        <v>1.3824000000000001</v>
      </c>
      <c r="L34" s="6">
        <f>日流量!L34*24*3600/100000000</f>
        <v>1.3824000000000001</v>
      </c>
      <c r="M34" s="6">
        <f>日流量!M34*24*3600/100000000</f>
        <v>1.3737600000000001</v>
      </c>
      <c r="N34" s="6">
        <f>日流量!N34*24*3600/100000000</f>
        <v>1.3651199999999999</v>
      </c>
      <c r="O34" s="6">
        <f>日流量!O34*24*3600/100000000</f>
        <v>1.3564799999999999</v>
      </c>
      <c r="P34" s="6">
        <f>日流量!P34*24*3600/100000000</f>
        <v>1.3391999999999999</v>
      </c>
      <c r="Q34" s="6">
        <f>日流量!Q34*24*3600/100000000</f>
        <v>1.32192</v>
      </c>
      <c r="R34" s="6">
        <f>日流量!R34*24*3600/100000000</f>
        <v>1.31328</v>
      </c>
      <c r="S34" s="6">
        <f>日流量!S34*24*3600/100000000</f>
        <v>1.30464</v>
      </c>
      <c r="T34" s="6">
        <f>日流量!T34*24*3600/100000000</f>
        <v>1.296</v>
      </c>
      <c r="U34" s="6">
        <f>日流量!U34*24*3600/100000000</f>
        <v>1.2873600000000001</v>
      </c>
      <c r="V34" s="6">
        <f>日流量!V34*24*3600/100000000</f>
        <v>1.2700800000000001</v>
      </c>
      <c r="W34" s="6">
        <f>日流量!W34*24*3600/100000000</f>
        <v>1.2527999999999999</v>
      </c>
      <c r="X34" s="6">
        <f>日流量!X34*24*3600/100000000</f>
        <v>1.23552</v>
      </c>
      <c r="Y34" s="6">
        <f>日流量!Y34*24*3600/100000000</f>
        <v>1.21824</v>
      </c>
      <c r="Z34" s="6">
        <f>日流量!Z34*24*3600/100000000</f>
        <v>1.20096</v>
      </c>
      <c r="AA34" s="6">
        <f>日流量!AA34*24*3600/100000000</f>
        <v>1.19232</v>
      </c>
      <c r="AB34" s="6">
        <f>日流量!AB34*24*3600/100000000</f>
        <v>1.1836800000000001</v>
      </c>
      <c r="AC34" s="6">
        <f>日流量!AC34*24*3600/100000000</f>
        <v>1.1750400000000001</v>
      </c>
      <c r="AD34" s="6">
        <f>日流量!AD34*24*3600/100000000</f>
        <v>1.1577599999999999</v>
      </c>
      <c r="AE34" s="6">
        <f>日流量!AE34*24*3600/100000000</f>
        <v>1.1577599999999999</v>
      </c>
      <c r="AF34" s="6">
        <f>日流量!AF34*24*3600/100000000</f>
        <v>1.1577599999999999</v>
      </c>
      <c r="AG34" s="6">
        <f>日流量!AG34*24*3600/100000000</f>
        <v>1.1491199999999999</v>
      </c>
      <c r="AH34" s="6">
        <f>日流量!AH34*24*3600/100000000</f>
        <v>1.1491199999999999</v>
      </c>
      <c r="AI34" s="6">
        <f>日流量!AI34*24*3600/100000000</f>
        <v>1.13184</v>
      </c>
      <c r="AJ34" s="6">
        <f>日流量!AJ34*24*3600/100000000</f>
        <v>1.13184</v>
      </c>
      <c r="AK34" s="6">
        <f>日流量!AK34*24*3600/100000000</f>
        <v>1.1232</v>
      </c>
      <c r="AL34" s="6">
        <f>日流量!AL34*24*3600/100000000</f>
        <v>1.1491199999999999</v>
      </c>
      <c r="AM34" s="6">
        <f>日流量!AM34*24*3600/100000000</f>
        <v>1.1491199999999999</v>
      </c>
      <c r="AN34" s="6">
        <f>日流量!AN34*24*3600/100000000</f>
        <v>1.1232</v>
      </c>
      <c r="AO34" s="6">
        <f>日流量!AO34*24*3600/100000000</f>
        <v>1.1232</v>
      </c>
      <c r="AP34" s="6">
        <f>日流量!AP34*24*3600/100000000</f>
        <v>1.10592</v>
      </c>
      <c r="AQ34" s="6">
        <f>日流量!AQ34*24*3600/100000000</f>
        <v>1.09728</v>
      </c>
      <c r="AR34" s="6">
        <f>日流量!AR34*24*3600/100000000</f>
        <v>1.10592</v>
      </c>
      <c r="AS34" s="6">
        <f>日流量!AS34*24*3600/100000000</f>
        <v>1.1232</v>
      </c>
      <c r="AT34" s="6">
        <f>日流量!AT34*24*3600/100000000</f>
        <v>1.13184</v>
      </c>
      <c r="AU34" s="6">
        <f>日流量!AU34*24*3600/100000000</f>
        <v>1.1232</v>
      </c>
      <c r="AV34" s="6">
        <f>日流量!AV34*24*3600/100000000</f>
        <v>1.10592</v>
      </c>
      <c r="AW34" s="6">
        <f>日流量!AW34*24*3600/100000000</f>
        <v>1.09728</v>
      </c>
      <c r="AX34" s="6">
        <f>日流量!AX34*24*3600/100000000</f>
        <v>1.0886400000000001</v>
      </c>
      <c r="AY34" s="6">
        <f>日流量!AY34*24*3600/100000000</f>
        <v>1.08</v>
      </c>
      <c r="AZ34" s="6">
        <f>日流量!AZ34*24*3600/100000000</f>
        <v>1.0627200000000001</v>
      </c>
      <c r="BA34" s="6">
        <f>日流量!BA34*24*3600/100000000</f>
        <v>1.0540799999999999</v>
      </c>
      <c r="BB34" s="6">
        <f>日流量!BB34*24*3600/100000000</f>
        <v>1.0454399999999999</v>
      </c>
      <c r="BC34" s="6">
        <f>日流量!BC34*24*3600/100000000</f>
        <v>1.02816</v>
      </c>
      <c r="BD34" s="6">
        <f>日流量!BD34*24*3600/100000000</f>
        <v>1.01952</v>
      </c>
      <c r="BE34" s="6">
        <f>日流量!BE34*24*3600/100000000</f>
        <v>1.01952</v>
      </c>
      <c r="BF34" s="6">
        <f>日流量!BF34*24*3600/100000000</f>
        <v>1.00224</v>
      </c>
      <c r="BG34" s="6">
        <f>日流量!BG34*24*3600/100000000</f>
        <v>0.99360000000000004</v>
      </c>
      <c r="BH34" s="6">
        <f>日流量!BH34*24*3600/100000000</f>
        <v>1.00224</v>
      </c>
      <c r="BI34" s="6"/>
      <c r="BJ34" s="6">
        <f>日流量!BJ34*24*3600/100000000</f>
        <v>0.99360000000000004</v>
      </c>
      <c r="BK34" s="6">
        <f>日流量!BK34*24*3600/100000000</f>
        <v>0.99360000000000004</v>
      </c>
      <c r="BL34" s="6">
        <f>日流量!BL34*24*3600/100000000</f>
        <v>1.00224</v>
      </c>
      <c r="BM34" s="6">
        <f>日流量!BM34*24*3600/100000000</f>
        <v>1.01952</v>
      </c>
      <c r="BN34" s="6">
        <f>日流量!BN34*24*3600/100000000</f>
        <v>1.0367999999999999</v>
      </c>
      <c r="BO34" s="6">
        <f>日流量!BO34*24*3600/100000000</f>
        <v>1.0367999999999999</v>
      </c>
      <c r="BP34" s="6">
        <f>日流量!BP34*24*3600/100000000</f>
        <v>1.01952</v>
      </c>
      <c r="BQ34" s="6">
        <f>日流量!BQ34*24*3600/100000000</f>
        <v>1.01088</v>
      </c>
      <c r="BR34" s="6">
        <f>日流量!BR34*24*3600/100000000</f>
        <v>1.00224</v>
      </c>
      <c r="BS34" s="6">
        <f>日流量!BS34*24*3600/100000000</f>
        <v>0.99360000000000004</v>
      </c>
      <c r="BT34" s="6">
        <f>日流量!BT34*24*3600/100000000</f>
        <v>0.99360000000000004</v>
      </c>
      <c r="BU34" s="6">
        <f>日流量!BU34*24*3600/100000000</f>
        <v>0.99360000000000004</v>
      </c>
      <c r="BV34" s="6">
        <f>日流量!BV34*24*3600/100000000</f>
        <v>1.00224</v>
      </c>
      <c r="BW34" s="6">
        <f>日流量!BW34*24*3600/100000000</f>
        <v>1.00224</v>
      </c>
      <c r="BX34" s="6">
        <f>日流量!BX34*24*3600/100000000</f>
        <v>1.00224</v>
      </c>
      <c r="BY34" s="6">
        <f>日流量!BY34*24*3600/100000000</f>
        <v>0.99360000000000004</v>
      </c>
      <c r="BZ34" s="6">
        <f>日流量!BZ34*24*3600/100000000</f>
        <v>0.99360000000000004</v>
      </c>
      <c r="CA34" s="6">
        <f>日流量!CA34*24*3600/100000000</f>
        <v>0.99360000000000004</v>
      </c>
      <c r="CB34" s="6">
        <f>日流量!CB34*24*3600/100000000</f>
        <v>0.98495999999999995</v>
      </c>
      <c r="CC34" s="6">
        <f>日流量!CC34*24*3600/100000000</f>
        <v>0.98495999999999995</v>
      </c>
      <c r="CD34" s="6">
        <f>日流量!CD34*24*3600/100000000</f>
        <v>0.99360000000000004</v>
      </c>
      <c r="CE34" s="6">
        <f>日流量!CE34*24*3600/100000000</f>
        <v>0.98495999999999995</v>
      </c>
      <c r="CF34" s="6">
        <f>日流量!CF34*24*3600/100000000</f>
        <v>0.99360000000000004</v>
      </c>
      <c r="CG34" s="6">
        <f>日流量!CG34*24*3600/100000000</f>
        <v>0.99360000000000004</v>
      </c>
      <c r="CH34" s="6">
        <f>日流量!CH34*24*3600/100000000</f>
        <v>0.99360000000000004</v>
      </c>
      <c r="CI34" s="6">
        <f>日流量!CI34*24*3600/100000000</f>
        <v>0.99360000000000004</v>
      </c>
      <c r="CJ34" s="6">
        <f>日流量!CJ34*24*3600/100000000</f>
        <v>0.99360000000000004</v>
      </c>
      <c r="CK34" s="6">
        <f>日流量!CK34*24*3600/100000000</f>
        <v>0.99360000000000004</v>
      </c>
      <c r="CL34" s="6">
        <f>日流量!CL34*24*3600/100000000</f>
        <v>0.99360000000000004</v>
      </c>
      <c r="CM34" s="6">
        <f>日流量!CM34*24*3600/100000000</f>
        <v>0.98495999999999995</v>
      </c>
      <c r="CN34" s="6">
        <f>日流量!CN34*24*3600/100000000</f>
        <v>0.97631999999999997</v>
      </c>
      <c r="CO34" s="6">
        <f>日流量!CO34*24*3600/100000000</f>
        <v>0.95904</v>
      </c>
      <c r="CP34" s="6">
        <f>日流量!CP34*24*3600/100000000</f>
        <v>0.94176000000000004</v>
      </c>
      <c r="CQ34" s="6">
        <f>日流量!CQ34*24*3600/100000000</f>
        <v>0.94176000000000004</v>
      </c>
      <c r="CR34" s="6">
        <f>日流量!CR34*24*3600/100000000</f>
        <v>0.94176000000000004</v>
      </c>
      <c r="CS34" s="6">
        <f>日流量!CS34*24*3600/100000000</f>
        <v>0.94176000000000004</v>
      </c>
      <c r="CT34" s="6">
        <f>日流量!CT34*24*3600/100000000</f>
        <v>0.95904</v>
      </c>
      <c r="CU34" s="6">
        <f>日流量!CU34*24*3600/100000000</f>
        <v>0.97631999999999997</v>
      </c>
      <c r="CV34" s="6">
        <f>日流量!CV34*24*3600/100000000</f>
        <v>0.97631999999999997</v>
      </c>
      <c r="CW34" s="6">
        <f>日流量!CW34*24*3600/100000000</f>
        <v>0.97631999999999997</v>
      </c>
      <c r="CX34" s="6">
        <f>日流量!CX34*24*3600/100000000</f>
        <v>0.99360000000000004</v>
      </c>
      <c r="CY34" s="6">
        <f>日流量!CY34*24*3600/100000000</f>
        <v>0.99360000000000004</v>
      </c>
      <c r="CZ34" s="6">
        <f>日流量!CZ34*24*3600/100000000</f>
        <v>0.99360000000000004</v>
      </c>
      <c r="DA34" s="6">
        <f>日流量!DA34*24*3600/100000000</f>
        <v>0.99360000000000004</v>
      </c>
      <c r="DB34" s="6">
        <f>日流量!DB34*24*3600/100000000</f>
        <v>1.00224</v>
      </c>
      <c r="DC34" s="6">
        <f>日流量!DC34*24*3600/100000000</f>
        <v>1.0367999999999999</v>
      </c>
      <c r="DD34" s="6">
        <f>日流量!DD34*24*3600/100000000</f>
        <v>1.0454399999999999</v>
      </c>
      <c r="DE34" s="6">
        <f>日流量!DE34*24*3600/100000000</f>
        <v>1.01952</v>
      </c>
      <c r="DF34" s="6">
        <f>日流量!DF34*24*3600/100000000</f>
        <v>1.00224</v>
      </c>
      <c r="DG34" s="6">
        <f>日流量!DG34*24*3600/100000000</f>
        <v>1.00224</v>
      </c>
      <c r="DH34" s="6">
        <f>日流量!DH34*24*3600/100000000</f>
        <v>1.01952</v>
      </c>
      <c r="DI34" s="6">
        <f>日流量!DI34*24*3600/100000000</f>
        <v>1.0540799999999999</v>
      </c>
      <c r="DJ34" s="6">
        <f>日流量!DJ34*24*3600/100000000</f>
        <v>1.10592</v>
      </c>
      <c r="DK34" s="6">
        <f>日流量!DK34*24*3600/100000000</f>
        <v>1.1664000000000001</v>
      </c>
      <c r="DL34" s="6">
        <f>日流量!DL34*24*3600/100000000</f>
        <v>1.2527999999999999</v>
      </c>
      <c r="DM34" s="6">
        <f>日流量!DM34*24*3600/100000000</f>
        <v>1.30464</v>
      </c>
      <c r="DN34" s="6">
        <f>日流量!DN34*24*3600/100000000</f>
        <v>1.30464</v>
      </c>
      <c r="DO34" s="6">
        <f>日流量!DO34*24*3600/100000000</f>
        <v>1.30464</v>
      </c>
      <c r="DP34" s="6">
        <f>日流量!DP34*24*3600/100000000</f>
        <v>1.3651199999999999</v>
      </c>
      <c r="DQ34" s="6">
        <f>日流量!DQ34*24*3600/100000000</f>
        <v>1.4860800000000001</v>
      </c>
      <c r="DR34" s="6">
        <f>日流量!DR34*24*3600/100000000</f>
        <v>1.5811200000000001</v>
      </c>
      <c r="DS34" s="6">
        <f>日流量!DS34*24*3600/100000000</f>
        <v>1.61568</v>
      </c>
      <c r="DT34" s="6">
        <f>日流量!DT34*24*3600/100000000</f>
        <v>1.6675199999999999</v>
      </c>
      <c r="DU34" s="6">
        <f>日流量!DU34*24*3600/100000000</f>
        <v>1.63296</v>
      </c>
      <c r="DV34" s="6">
        <f>日流量!DV34*24*3600/100000000</f>
        <v>1.5811200000000001</v>
      </c>
      <c r="DW34" s="6">
        <f>日流量!DW34*24*3600/100000000</f>
        <v>1.5638399999999999</v>
      </c>
      <c r="DX34" s="6">
        <f>日流量!DX34*24*3600/100000000</f>
        <v>1.5897600000000001</v>
      </c>
      <c r="DY34" s="6">
        <f>日流量!DY34*24*3600/100000000</f>
        <v>1.60704</v>
      </c>
      <c r="DZ34" s="6">
        <f>日流量!DZ34*24*3600/100000000</f>
        <v>1.60704</v>
      </c>
      <c r="EA34" s="6">
        <f>日流量!EA34*24*3600/100000000</f>
        <v>1.5897600000000001</v>
      </c>
      <c r="EB34" s="6">
        <f>日流量!EB34*24*3600/100000000</f>
        <v>1.5724800000000001</v>
      </c>
      <c r="EC34" s="6">
        <f>日流量!EC34*24*3600/100000000</f>
        <v>1.5811200000000001</v>
      </c>
      <c r="ED34" s="6">
        <f>日流量!ED34*24*3600/100000000</f>
        <v>1.6415999999999999</v>
      </c>
      <c r="EE34" s="6">
        <f>日流量!EE34*24*3600/100000000</f>
        <v>1.8144</v>
      </c>
      <c r="EF34" s="6">
        <f>日流量!EF34*24*3600/100000000</f>
        <v>2.02176</v>
      </c>
      <c r="EG34" s="6">
        <f>日流量!EG34*24*3600/100000000</f>
        <v>2.21184</v>
      </c>
      <c r="EH34" s="6">
        <f>日流量!EH34*24*3600/100000000</f>
        <v>2.2982399999999998</v>
      </c>
      <c r="EI34" s="6">
        <f>日流量!EI34*24*3600/100000000</f>
        <v>2.2896000000000001</v>
      </c>
      <c r="EJ34" s="6">
        <f>日流量!EJ34*24*3600/100000000</f>
        <v>2.2464</v>
      </c>
      <c r="EK34" s="6">
        <f>日流量!EK34*24*3600/100000000</f>
        <v>2.16</v>
      </c>
      <c r="EL34" s="6">
        <f>日流量!EL34*24*3600/100000000</f>
        <v>2.2204799999999998</v>
      </c>
      <c r="EM34" s="6">
        <f>日流量!EM34*24*3600/100000000</f>
        <v>2.2809599999999999</v>
      </c>
      <c r="EN34" s="6">
        <f>日流量!EN34*24*3600/100000000</f>
        <v>2.21184</v>
      </c>
      <c r="EO34" s="6">
        <f>日流量!EO34*24*3600/100000000</f>
        <v>2.1254400000000002</v>
      </c>
      <c r="EP34" s="6">
        <f>日流量!EP34*24*3600/100000000</f>
        <v>2.1254400000000002</v>
      </c>
      <c r="EQ34" s="6">
        <f>日流量!EQ34*24*3600/100000000</f>
        <v>2.1081599999999998</v>
      </c>
      <c r="ER34" s="6">
        <f>日流量!ER34*24*3600/100000000</f>
        <v>2.1081599999999998</v>
      </c>
      <c r="ES34" s="6">
        <f>日流量!ES34*24*3600/100000000</f>
        <v>2.0995200000000001</v>
      </c>
      <c r="ET34" s="6">
        <f>日流量!ET34*24*3600/100000000</f>
        <v>2.1427200000000002</v>
      </c>
      <c r="EU34" s="6">
        <f>日流量!EU34*24*3600/100000000</f>
        <v>2.2636799999999999</v>
      </c>
      <c r="EV34" s="6">
        <f>日流量!EV34*24*3600/100000000</f>
        <v>2.2982399999999998</v>
      </c>
      <c r="EW34" s="6">
        <f>日流量!EW34*24*3600/100000000</f>
        <v>2.2636799999999999</v>
      </c>
      <c r="EX34" s="6">
        <f>日流量!EX34*24*3600/100000000</f>
        <v>2.2896000000000001</v>
      </c>
      <c r="EY34" s="6">
        <f>日流量!EY34*24*3600/100000000</f>
        <v>2.34144</v>
      </c>
      <c r="EZ34" s="6">
        <f>日流量!EZ34*24*3600/100000000</f>
        <v>2.4710399999999999</v>
      </c>
      <c r="FA34" s="6">
        <f>日流量!FA34*24*3600/100000000</f>
        <v>2.5833599999999999</v>
      </c>
      <c r="FB34" s="6">
        <f>日流量!FB34*24*3600/100000000</f>
        <v>2.8598400000000002</v>
      </c>
      <c r="FC34" s="6">
        <f>日流量!FC34*24*3600/100000000</f>
        <v>2.9376000000000002</v>
      </c>
      <c r="FD34" s="6">
        <f>日流量!FD34*24*3600/100000000</f>
        <v>2.7993600000000001</v>
      </c>
      <c r="FE34" s="6">
        <f>日流量!FE34*24*3600/100000000</f>
        <v>2.8512</v>
      </c>
      <c r="FF34" s="6">
        <f>日流量!FF34*24*3600/100000000</f>
        <v>3.0844800000000001</v>
      </c>
      <c r="FG34" s="6">
        <f>日流量!FG34*24*3600/100000000</f>
        <v>3.2918400000000001</v>
      </c>
      <c r="FH34" s="6">
        <f>日流量!FH34*24*3600/100000000</f>
        <v>3.94848</v>
      </c>
      <c r="FI34" s="6">
        <f>日流量!FI34*24*3600/100000000</f>
        <v>4.3113599999999996</v>
      </c>
      <c r="FJ34" s="6">
        <f>日流量!FJ34*24*3600/100000000</f>
        <v>4.3027199999999999</v>
      </c>
      <c r="FK34" s="6">
        <f>日流量!FK34*24*3600/100000000</f>
        <v>4.2336</v>
      </c>
      <c r="FL34" s="6">
        <f>日流量!FL34*24*3600/100000000</f>
        <v>4.0003200000000003</v>
      </c>
      <c r="FM34" s="6">
        <f>日流量!FM34*24*3600/100000000</f>
        <v>3.6979199999999999</v>
      </c>
      <c r="FN34" s="6">
        <f>日流量!FN34*24*3600/100000000</f>
        <v>3.5596800000000002</v>
      </c>
      <c r="FO34" s="6">
        <f>日流量!FO34*24*3600/100000000</f>
        <v>3.5855999999999999</v>
      </c>
      <c r="FP34" s="6">
        <f>日流量!FP34*24*3600/100000000</f>
        <v>3.9830399999999999</v>
      </c>
      <c r="FQ34" s="6">
        <f>日流量!FQ34*24*3600/100000000</f>
        <v>4.3804800000000004</v>
      </c>
      <c r="FR34" s="6">
        <f>日流量!FR34*24*3600/100000000</f>
        <v>5.0457599999999996</v>
      </c>
      <c r="FS34" s="6">
        <f>日流量!FS34*24*3600/100000000</f>
        <v>5.5036800000000001</v>
      </c>
      <c r="FT34" s="6">
        <f>日流量!FT34*24*3600/100000000</f>
        <v>6.4540800000000003</v>
      </c>
      <c r="FU34" s="6">
        <f>日流量!FU34*24*3600/100000000</f>
        <v>7.2403199999999996</v>
      </c>
      <c r="FV34" s="6">
        <f>日流量!FV34*24*3600/100000000</f>
        <v>7.3699199999999996</v>
      </c>
      <c r="FW34" s="6">
        <f>日流量!FW34*24*3600/100000000</f>
        <v>8.8992000000000004</v>
      </c>
      <c r="FX34" s="6">
        <f>日流量!FX34*24*3600/100000000</f>
        <v>11.4048</v>
      </c>
      <c r="FY34" s="6">
        <f>日流量!FY34*24*3600/100000000</f>
        <v>14.3424</v>
      </c>
      <c r="FZ34" s="6">
        <f>日流量!FZ34*24*3600/100000000</f>
        <v>12.528</v>
      </c>
      <c r="GA34" s="6">
        <f>日流量!GA34*24*3600/100000000</f>
        <v>10.8864</v>
      </c>
      <c r="GB34" s="6">
        <f>日流量!GB34*24*3600/100000000</f>
        <v>9.6768000000000001</v>
      </c>
      <c r="GC34" s="6">
        <f>日流量!GC34*24*3600/100000000</f>
        <v>8.64</v>
      </c>
      <c r="GD34" s="6">
        <f>日流量!GD34*24*3600/100000000</f>
        <v>7.6636800000000003</v>
      </c>
      <c r="GE34" s="6">
        <f>日流量!GE34*24*3600/100000000</f>
        <v>6.9551999999999996</v>
      </c>
      <c r="GF34" s="6">
        <f>日流量!GF34*24*3600/100000000</f>
        <v>6.68736</v>
      </c>
      <c r="GG34" s="6">
        <f>日流量!GG34*24*3600/100000000</f>
        <v>6.6096000000000004</v>
      </c>
      <c r="GH34" s="6">
        <f>日流量!GH34*24*3600/100000000</f>
        <v>6.9984000000000002</v>
      </c>
      <c r="GI34" s="6">
        <f>日流量!GI34*24*3600/100000000</f>
        <v>7.06752</v>
      </c>
      <c r="GJ34" s="6">
        <f>日流量!GJ34*24*3600/100000000</f>
        <v>6.8428800000000001</v>
      </c>
      <c r="GK34" s="6">
        <f>日流量!GK34*24*3600/100000000</f>
        <v>6.5145600000000004</v>
      </c>
      <c r="GL34" s="6">
        <f>日流量!GL34*24*3600/100000000</f>
        <v>6.4022399999999999</v>
      </c>
      <c r="GM34" s="6">
        <f>日流量!GM34*24*3600/100000000</f>
        <v>6.6959999999999997</v>
      </c>
      <c r="GN34" s="6">
        <f>日流量!GN34*24*3600/100000000</f>
        <v>7.2230400000000001</v>
      </c>
      <c r="GO34" s="6">
        <f>日流量!GO34*24*3600/100000000</f>
        <v>7.9488000000000003</v>
      </c>
      <c r="GP34" s="6">
        <f>日流量!GP34*24*3600/100000000</f>
        <v>8.9855999999999998</v>
      </c>
      <c r="GQ34" s="6">
        <f>日流量!GQ34*24*3600/100000000</f>
        <v>11.4048</v>
      </c>
      <c r="GR34" s="6">
        <f>日流量!GR34*24*3600/100000000</f>
        <v>13.824</v>
      </c>
      <c r="GS34" s="6">
        <f>日流量!GS34*24*3600/100000000</f>
        <v>14.256</v>
      </c>
      <c r="GT34" s="6">
        <f>日流量!GT34*24*3600/100000000</f>
        <v>14.601599999999999</v>
      </c>
      <c r="GU34" s="6">
        <f>日流量!GU34*24*3600/100000000</f>
        <v>13.219200000000001</v>
      </c>
      <c r="GV34" s="6">
        <f>日流量!GV34*24*3600/100000000</f>
        <v>11.491199999999999</v>
      </c>
      <c r="GW34" s="6">
        <f>日流量!GW34*24*3600/100000000</f>
        <v>10.368</v>
      </c>
      <c r="GX34" s="6">
        <f>日流量!GX34*24*3600/100000000</f>
        <v>9.3312000000000008</v>
      </c>
      <c r="GY34" s="6">
        <f>日流量!GY34*24*3600/100000000</f>
        <v>8.40672</v>
      </c>
      <c r="GZ34" s="6">
        <f>日流量!GZ34*24*3600/100000000</f>
        <v>7.8192000000000004</v>
      </c>
      <c r="HA34" s="6">
        <f>日流量!HA34*24*3600/100000000</f>
        <v>7.67232</v>
      </c>
      <c r="HB34" s="6">
        <f>日流量!HB34*24*3600/100000000</f>
        <v>8.4672000000000001</v>
      </c>
      <c r="HC34" s="6">
        <f>日流量!HC34*24*3600/100000000</f>
        <v>7.9401599999999997</v>
      </c>
      <c r="HD34" s="6">
        <f>日流量!HD34*24*3600/100000000</f>
        <v>7.2403199999999996</v>
      </c>
      <c r="HE34" s="6">
        <f>日流量!HE34*24*3600/100000000</f>
        <v>6.7392000000000003</v>
      </c>
      <c r="HF34" s="6">
        <f>日流量!HF34*24*3600/100000000</f>
        <v>6.3849600000000004</v>
      </c>
      <c r="HG34" s="6">
        <f>日流量!HG34*24*3600/100000000</f>
        <v>6.2380800000000001</v>
      </c>
      <c r="HH34" s="6">
        <f>日流量!HH34*24*3600/100000000</f>
        <v>6.1776</v>
      </c>
      <c r="HI34" s="6">
        <f>日流量!HI34*24*3600/100000000</f>
        <v>6.3331200000000001</v>
      </c>
      <c r="HJ34" s="6">
        <f>日流量!HJ34*24*3600/100000000</f>
        <v>6.5232000000000001</v>
      </c>
      <c r="HK34" s="6">
        <f>日流量!HK34*24*3600/100000000</f>
        <v>6.3244800000000003</v>
      </c>
      <c r="HL34" s="6">
        <f>日流量!HL34*24*3600/100000000</f>
        <v>5.9615999999999998</v>
      </c>
      <c r="HM34" s="6">
        <f>日流量!HM34*24*3600/100000000</f>
        <v>5.6764799999999997</v>
      </c>
      <c r="HN34" s="6">
        <f>日流量!HN34*24*3600/100000000</f>
        <v>5.5036800000000001</v>
      </c>
      <c r="HO34" s="6">
        <f>日流量!HO34*24*3600/100000000</f>
        <v>5.2617599999999998</v>
      </c>
      <c r="HP34" s="6">
        <f>日流量!HP34*24*3600/100000000</f>
        <v>5.0803200000000004</v>
      </c>
      <c r="HQ34" s="6">
        <f>日流量!HQ34*24*3600/100000000</f>
        <v>4.9852800000000004</v>
      </c>
      <c r="HR34" s="6">
        <f>日流量!HR34*24*3600/100000000</f>
        <v>5.0716799999999997</v>
      </c>
      <c r="HS34" s="6">
        <f>日流量!HS34*24*3600/100000000</f>
        <v>5.25312</v>
      </c>
      <c r="HT34" s="6">
        <f>日流量!HT34*24*3600/100000000</f>
        <v>5.3136000000000001</v>
      </c>
      <c r="HU34" s="6">
        <f>日流量!HU34*24*3600/100000000</f>
        <v>5.3049600000000003</v>
      </c>
      <c r="HV34" s="6">
        <f>日流量!HV34*24*3600/100000000</f>
        <v>5.3395200000000003</v>
      </c>
      <c r="HW34" s="6">
        <f>日流量!HW34*24*3600/100000000</f>
        <v>5.3049600000000003</v>
      </c>
      <c r="HX34" s="6">
        <f>日流量!HX34*24*3600/100000000</f>
        <v>5.5641600000000002</v>
      </c>
      <c r="HY34" s="6">
        <f>日流量!HY34*24*3600/100000000</f>
        <v>5.9270399999999999</v>
      </c>
      <c r="HZ34" s="6">
        <f>日流量!HZ34*24*3600/100000000</f>
        <v>6.0998400000000004</v>
      </c>
      <c r="IA34" s="6">
        <f>日流量!IA34*24*3600/100000000</f>
        <v>6.2467199999999998</v>
      </c>
      <c r="IB34" s="6">
        <f>日流量!IB34*24*3600/100000000</f>
        <v>6.3071999999999999</v>
      </c>
      <c r="IC34" s="6">
        <f>日流量!IC34*24*3600/100000000</f>
        <v>6.2467199999999998</v>
      </c>
      <c r="ID34" s="6">
        <f>日流量!ID34*24*3600/100000000</f>
        <v>6.1084800000000001</v>
      </c>
      <c r="IE34" s="6">
        <f>日流量!IE34*24*3600/100000000</f>
        <v>5.9788800000000002</v>
      </c>
      <c r="IF34" s="6">
        <f>日流量!IF34*24*3600/100000000</f>
        <v>5.8492800000000003</v>
      </c>
      <c r="IG34" s="6">
        <f>日流量!IG34*24*3600/100000000</f>
        <v>6.27264</v>
      </c>
      <c r="IH34" s="6">
        <f>日流量!IH34*24*3600/100000000</f>
        <v>6.2294400000000003</v>
      </c>
      <c r="II34" s="6">
        <f>日流量!II34*24*3600/100000000</f>
        <v>6.1171199999999999</v>
      </c>
      <c r="IJ34" s="6">
        <f>日流量!IJ34*24*3600/100000000</f>
        <v>6.46272</v>
      </c>
      <c r="IK34" s="6">
        <f>日流量!IK34*24*3600/100000000</f>
        <v>8.1907200000000007</v>
      </c>
      <c r="IL34" s="6">
        <f>日流量!IL34*24*3600/100000000</f>
        <v>8.40672</v>
      </c>
      <c r="IM34" s="6">
        <f>日流量!IM34*24*3600/100000000</f>
        <v>8.0956799999999998</v>
      </c>
      <c r="IN34" s="6">
        <f>日流量!IN34*24*3600/100000000</f>
        <v>8.0784000000000002</v>
      </c>
      <c r="IO34" s="6">
        <f>日流量!IO34*24*3600/100000000</f>
        <v>7.8883200000000002</v>
      </c>
      <c r="IP34" s="6">
        <f>日流量!IP34*24*3600/100000000</f>
        <v>7.5081600000000002</v>
      </c>
      <c r="IQ34" s="6">
        <f>日流量!IQ34*24*3600/100000000</f>
        <v>7.1107199999999997</v>
      </c>
      <c r="IR34" s="6">
        <f>日流量!IR34*24*3600/100000000</f>
        <v>7.0761599999999998</v>
      </c>
      <c r="IS34" s="6">
        <f>日流量!IS34*24*3600/100000000</f>
        <v>6.9292800000000003</v>
      </c>
      <c r="IT34" s="6">
        <f>日流量!IT34*24*3600/100000000</f>
        <v>6.7910399999999997</v>
      </c>
      <c r="IU34" s="6">
        <f>日流量!IU34*24*3600/100000000</f>
        <v>6.97248</v>
      </c>
      <c r="IV34" s="6">
        <f>日流量!IV34*24*3600/100000000</f>
        <v>7.3872</v>
      </c>
      <c r="IW34" s="6">
        <f>日流量!IW34*24*3600/100000000</f>
        <v>7.4217599999999999</v>
      </c>
      <c r="IX34" s="6">
        <f>日流量!IX34*24*3600/100000000</f>
        <v>7.2144000000000004</v>
      </c>
      <c r="IY34" s="6">
        <f>日流量!IY34*24*3600/100000000</f>
        <v>6.9465599999999998</v>
      </c>
      <c r="IZ34" s="6">
        <f>日流量!IZ34*24*3600/100000000</f>
        <v>6.7219199999999999</v>
      </c>
      <c r="JA34" s="6">
        <f>日流量!JA34*24*3600/100000000</f>
        <v>6.97248</v>
      </c>
      <c r="JB34" s="6">
        <f>日流量!JB34*24*3600/100000000</f>
        <v>7.3267199999999999</v>
      </c>
      <c r="JC34" s="6">
        <f>日流量!JC34*24*3600/100000000</f>
        <v>8.1993600000000004</v>
      </c>
      <c r="JD34" s="6">
        <f>日流量!JD34*24*3600/100000000</f>
        <v>8.8992000000000004</v>
      </c>
      <c r="JE34" s="6">
        <f>日流量!JE34*24*3600/100000000</f>
        <v>8.3289600000000004</v>
      </c>
      <c r="JF34" s="6">
        <f>日流量!JF34*24*3600/100000000</f>
        <v>7.6982400000000002</v>
      </c>
      <c r="JG34" s="6">
        <f>日流量!JG34*24*3600/100000000</f>
        <v>7.4131200000000002</v>
      </c>
      <c r="JH34" s="6">
        <f>日流量!JH34*24*3600/100000000</f>
        <v>6.7824</v>
      </c>
      <c r="JI34" s="6">
        <f>日流量!JI34*24*3600/100000000</f>
        <v>7.5340800000000003</v>
      </c>
      <c r="JJ34" s="6">
        <f>日流量!JJ34*24*3600/100000000</f>
        <v>7.6291200000000003</v>
      </c>
      <c r="JK34" s="6">
        <f>日流量!JK34*24*3600/100000000</f>
        <v>6.8947200000000004</v>
      </c>
      <c r="JL34" s="6">
        <f>日流量!JL34*24*3600/100000000</f>
        <v>6.3244800000000003</v>
      </c>
      <c r="JM34" s="6">
        <f>日流量!JM34*24*3600/100000000</f>
        <v>5.8752000000000004</v>
      </c>
      <c r="JN34" s="6">
        <f>日流量!JN34*24*3600/100000000</f>
        <v>5.5814399999999997</v>
      </c>
      <c r="JO34" s="6">
        <f>日流量!JO34*24*3600/100000000</f>
        <v>5.3827199999999999</v>
      </c>
      <c r="JP34" s="6">
        <f>日流量!JP34*24*3600/100000000</f>
        <v>5.1667199999999998</v>
      </c>
      <c r="JQ34" s="6">
        <f>日流量!JQ34*24*3600/100000000</f>
        <v>4.9593600000000002</v>
      </c>
      <c r="JR34" s="6">
        <f>日流量!JR34*24*3600/100000000</f>
        <v>4.7865599999999997</v>
      </c>
      <c r="JS34" s="6">
        <f>日流量!JS34*24*3600/100000000</f>
        <v>4.6569599999999998</v>
      </c>
      <c r="JT34" s="6">
        <f>日流量!JT34*24*3600/100000000</f>
        <v>4.5619199999999998</v>
      </c>
      <c r="JU34" s="6">
        <f>日流量!JU34*24*3600/100000000</f>
        <v>4.4668799999999997</v>
      </c>
      <c r="JV34" s="6">
        <f>日流量!JV34*24*3600/100000000</f>
        <v>4.3372799999999998</v>
      </c>
      <c r="JW34" s="6">
        <f>日流量!JW34*24*3600/100000000</f>
        <v>4.1904000000000003</v>
      </c>
      <c r="JX34" s="6">
        <f>日流量!JX34*24*3600/100000000</f>
        <v>4.0867199999999997</v>
      </c>
      <c r="JY34" s="6">
        <f>日流量!JY34*24*3600/100000000</f>
        <v>4.0089600000000001</v>
      </c>
      <c r="JZ34" s="6">
        <f>日流量!JZ34*24*3600/100000000</f>
        <v>3.9052799999999999</v>
      </c>
      <c r="KA34" s="6">
        <f>日流量!KA34*24*3600/100000000</f>
        <v>3.8102399999999998</v>
      </c>
      <c r="KB34" s="6">
        <f>日流量!KB34*24*3600/100000000</f>
        <v>3.7065600000000001</v>
      </c>
      <c r="KC34" s="6">
        <f>日流量!KC34*24*3600/100000000</f>
        <v>3.6115200000000001</v>
      </c>
      <c r="KD34" s="6">
        <f>日流量!KD34*24*3600/100000000</f>
        <v>3.5164800000000001</v>
      </c>
      <c r="KE34" s="6">
        <f>日流量!KE34*24*3600/100000000</f>
        <v>3.42144</v>
      </c>
      <c r="KF34" s="6">
        <f>日流量!KF34*24*3600/100000000</f>
        <v>3.3350399999999998</v>
      </c>
      <c r="KG34" s="6">
        <f>日流量!KG34*24*3600/100000000</f>
        <v>3.24</v>
      </c>
      <c r="KH34" s="6">
        <f>日流量!KH34*24*3600/100000000</f>
        <v>3.1536</v>
      </c>
      <c r="KI34" s="6">
        <f>日流量!KI34*24*3600/100000000</f>
        <v>3.0844800000000001</v>
      </c>
      <c r="KJ34" s="6">
        <f>日流量!KJ34*24*3600/100000000</f>
        <v>2.9894400000000001</v>
      </c>
      <c r="KK34" s="6">
        <f>日流量!KK34*24*3600/100000000</f>
        <v>2.91168</v>
      </c>
      <c r="KL34" s="6">
        <f>日流量!KL34*24*3600/100000000</f>
        <v>2.8252799999999998</v>
      </c>
      <c r="KM34" s="6">
        <f>日流量!KM34*24*3600/100000000</f>
        <v>2.7820800000000001</v>
      </c>
      <c r="KN34" s="6">
        <f>日流量!KN34*24*3600/100000000</f>
        <v>2.6783999999999999</v>
      </c>
      <c r="KO34" s="6">
        <f>日流量!KO34*24*3600/100000000</f>
        <v>2.62656</v>
      </c>
      <c r="KP34" s="6">
        <f>日流量!KP34*24*3600/100000000</f>
        <v>2.5660799999999999</v>
      </c>
      <c r="KQ34" s="6">
        <f>日流量!KQ34*24*3600/100000000</f>
        <v>2.4969600000000001</v>
      </c>
      <c r="KR34" s="6">
        <f>日流量!KR34*24*3600/100000000</f>
        <v>2.4278400000000002</v>
      </c>
      <c r="KS34" s="6">
        <f>日流量!KS34*24*3600/100000000</f>
        <v>2.3759999999999999</v>
      </c>
      <c r="KT34" s="6">
        <f>日流量!KT34*24*3600/100000000</f>
        <v>2.3328000000000002</v>
      </c>
      <c r="KU34" s="6">
        <f>日流量!KU34*24*3600/100000000</f>
        <v>2.30688</v>
      </c>
      <c r="KV34" s="6">
        <f>日流量!KV34*24*3600/100000000</f>
        <v>2.2896000000000001</v>
      </c>
      <c r="KW34" s="6">
        <f>日流量!KW34*24*3600/100000000</f>
        <v>2.2723200000000001</v>
      </c>
      <c r="KX34" s="6">
        <f>日流量!KX34*24*3600/100000000</f>
        <v>2.2464</v>
      </c>
      <c r="KY34" s="6">
        <f>日流量!KY34*24*3600/100000000</f>
        <v>2.2031999999999998</v>
      </c>
      <c r="KZ34" s="6">
        <f>日流量!KZ34*24*3600/100000000</f>
        <v>2.16</v>
      </c>
      <c r="LA34" s="6">
        <f>日流量!LA34*24*3600/100000000</f>
        <v>2.1427200000000002</v>
      </c>
      <c r="LB34" s="6">
        <f>日流量!LB34*24*3600/100000000</f>
        <v>2.1168</v>
      </c>
      <c r="LC34" s="6">
        <f>日流量!LC34*24*3600/100000000</f>
        <v>2.1168</v>
      </c>
      <c r="LD34" s="6">
        <f>日流量!LD34*24*3600/100000000</f>
        <v>2.0822400000000001</v>
      </c>
      <c r="LE34" s="6">
        <f>日流量!LE34*24*3600/100000000</f>
        <v>2.0476800000000002</v>
      </c>
      <c r="LF34" s="6">
        <f>日流量!LF34*24*3600/100000000</f>
        <v>2.0304000000000002</v>
      </c>
      <c r="LG34" s="6">
        <f>日流量!LG34*24*3600/100000000</f>
        <v>1.9785600000000001</v>
      </c>
      <c r="LH34" s="6">
        <f>日流量!LH34*24*3600/100000000</f>
        <v>1.93536</v>
      </c>
      <c r="LI34" s="6">
        <f>日流量!LI34*24*3600/100000000</f>
        <v>1.8921600000000001</v>
      </c>
      <c r="LJ34" s="6">
        <f>日流量!LJ34*24*3600/100000000</f>
        <v>1.8662399999999999</v>
      </c>
      <c r="LK34" s="6">
        <f>日流量!LK34*24*3600/100000000</f>
        <v>1.84032</v>
      </c>
      <c r="LL34" s="6">
        <f>日流量!LL34*24*3600/100000000</f>
        <v>1.7971200000000001</v>
      </c>
      <c r="LM34" s="6">
        <f>日流量!LM34*24*3600/100000000</f>
        <v>1.7712000000000001</v>
      </c>
      <c r="LN34" s="6">
        <f>日流量!LN34*24*3600/100000000</f>
        <v>1.7452799999999999</v>
      </c>
      <c r="LO34" s="6">
        <f>日流量!LO34*24*3600/100000000</f>
        <v>1.71072</v>
      </c>
      <c r="LP34" s="6">
        <f>日流量!LP34*24*3600/100000000</f>
        <v>1.6761600000000001</v>
      </c>
      <c r="LQ34" s="6">
        <f>日流量!LQ34*24*3600/100000000</f>
        <v>1.6588799999999999</v>
      </c>
      <c r="LR34" s="6">
        <f>日流量!LR34*24*3600/100000000</f>
        <v>1.6502399999999999</v>
      </c>
      <c r="LS34" s="6">
        <f>日流量!LS34*24*3600/100000000</f>
        <v>1.63296</v>
      </c>
      <c r="LT34" s="6">
        <f>日流量!LT34*24*3600/100000000</f>
        <v>1.62432</v>
      </c>
      <c r="LU34" s="6">
        <f>日流量!LU34*24*3600/100000000</f>
        <v>1.5984</v>
      </c>
      <c r="LV34" s="6">
        <f>日流量!LV34*24*3600/100000000</f>
        <v>1.5811200000000001</v>
      </c>
      <c r="LW34" s="6">
        <f>日流量!LW34*24*3600/100000000</f>
        <v>1.5638399999999999</v>
      </c>
      <c r="LX34" s="6">
        <f>日流量!LX34*24*3600/100000000</f>
        <v>1.53792</v>
      </c>
      <c r="LY34" s="6">
        <f>日流量!LY34*24*3600/100000000</f>
        <v>1.512</v>
      </c>
      <c r="LZ34" s="6">
        <f>日流量!LZ34*24*3600/100000000</f>
        <v>1.49472</v>
      </c>
      <c r="MA34" s="6">
        <f>日流量!MA34*24*3600/100000000</f>
        <v>1.4774400000000001</v>
      </c>
      <c r="MB34" s="6">
        <f>日流量!MB34*24*3600/100000000</f>
        <v>1.4515199999999999</v>
      </c>
      <c r="MC34" s="6">
        <f>日流量!MC34*24*3600/100000000</f>
        <v>1.43424</v>
      </c>
      <c r="MD34" s="6">
        <f>日流量!MD34*24*3600/100000000</f>
        <v>1.40832</v>
      </c>
      <c r="ME34" s="6">
        <f>日流量!ME34*24*3600/100000000</f>
        <v>1.3737600000000001</v>
      </c>
      <c r="MF34" s="6">
        <f>日流量!MF34*24*3600/100000000</f>
        <v>1.3478399999999999</v>
      </c>
      <c r="MG34" s="6">
        <f>日流量!MG34*24*3600/100000000</f>
        <v>1.33056</v>
      </c>
      <c r="MH34" s="6">
        <f>日流量!MH34*24*3600/100000000</f>
        <v>1.32192</v>
      </c>
      <c r="MI34" s="6">
        <f>日流量!MI34*24*3600/100000000</f>
        <v>1.31328</v>
      </c>
      <c r="MJ34" s="6">
        <f>日流量!MJ34*24*3600/100000000</f>
        <v>1.30464</v>
      </c>
      <c r="MK34" s="6">
        <f>日流量!MK34*24*3600/100000000</f>
        <v>1.30464</v>
      </c>
      <c r="ML34" s="6">
        <f>日流量!ML34*24*3600/100000000</f>
        <v>1.296</v>
      </c>
      <c r="MM34" s="6">
        <f>日流量!MM34*24*3600/100000000</f>
        <v>1.2787200000000001</v>
      </c>
      <c r="MN34" s="6">
        <f>日流量!MN34*24*3600/100000000</f>
        <v>1.2787200000000001</v>
      </c>
      <c r="MO34" s="6">
        <f>日流量!MO34*24*3600/100000000</f>
        <v>1.2787200000000001</v>
      </c>
      <c r="MP34" s="6">
        <f>日流量!MP34*24*3600/100000000</f>
        <v>1.2787200000000001</v>
      </c>
      <c r="MQ34" s="6">
        <f>日流量!MQ34*24*3600/100000000</f>
        <v>1.2787200000000001</v>
      </c>
      <c r="MR34" s="6">
        <f>日流量!MR34*24*3600/100000000</f>
        <v>1.2700800000000001</v>
      </c>
      <c r="MS34" s="6">
        <f>日流量!MS34*24*3600/100000000</f>
        <v>1.2614399999999999</v>
      </c>
      <c r="MT34" s="6">
        <f>日流量!MT34*24*3600/100000000</f>
        <v>1.2614399999999999</v>
      </c>
      <c r="MU34" s="6">
        <f>日流量!MU34*24*3600/100000000</f>
        <v>1.2614399999999999</v>
      </c>
      <c r="MV34" s="6">
        <f>日流量!MV34*24*3600/100000000</f>
        <v>1.23552</v>
      </c>
      <c r="MW34" s="6">
        <f>日流量!MW34*24*3600/100000000</f>
        <v>1.2096</v>
      </c>
      <c r="MX34" s="6">
        <f>日流量!MX34*24*3600/100000000</f>
        <v>1.1750400000000001</v>
      </c>
      <c r="MY34" s="6">
        <f>日流量!MY34*24*3600/100000000</f>
        <v>1.1491199999999999</v>
      </c>
      <c r="MZ34" s="6">
        <f>日流量!MZ34*24*3600/100000000</f>
        <v>1.13184</v>
      </c>
      <c r="NA34" s="6">
        <f>日流量!NA34*24*3600/100000000</f>
        <v>1.1232</v>
      </c>
      <c r="NB34" s="6">
        <f>日流量!NB34*24*3600/100000000</f>
        <v>1.11456</v>
      </c>
      <c r="NC34" s="6"/>
      <c r="ND34" s="6">
        <f>日流量!ND34*24*3600*31/100000000</f>
        <v>41.24736</v>
      </c>
      <c r="NE34" s="6">
        <f>日流量!NE34*24*3600*28/100000000</f>
        <v>30.481919999999999</v>
      </c>
      <c r="NF34" s="6">
        <f>日流量!NF34*24*3600*31/100000000</f>
        <v>31.06944</v>
      </c>
      <c r="NG34" s="6">
        <f>日流量!NG34*24*3600*30/100000000</f>
        <v>32.659199999999998</v>
      </c>
      <c r="NH34" s="6">
        <f>日流量!NH34*24*3600*31/100000000</f>
        <v>60.531840000000003</v>
      </c>
      <c r="NI34" s="6">
        <f>日流量!NI34*24*3600*30/100000000</f>
        <v>157.0752</v>
      </c>
      <c r="NJ34" s="6">
        <f>日流量!NJ34*24*3600*31/100000000</f>
        <v>270.51839999999999</v>
      </c>
      <c r="NK34" s="6">
        <f>日流量!NK34*24*3600*31/100000000</f>
        <v>183.20256000000001</v>
      </c>
      <c r="NL34" s="6">
        <f>日流量!NL34*24*3600*30/100000000</f>
        <v>217.46879999999999</v>
      </c>
      <c r="NM34" s="6">
        <f>日流量!NM34*24*3600*31/100000000</f>
        <v>109.01088</v>
      </c>
      <c r="NN34" s="6">
        <f>日流量!NN34*24*3600*30/100000000</f>
        <v>57.024000000000001</v>
      </c>
      <c r="NO34" s="6">
        <f>日流量!NO34*24*3600*31/100000000</f>
        <v>40.176000000000002</v>
      </c>
      <c r="NP34" s="14">
        <f t="shared" si="10"/>
        <v>1230.4656</v>
      </c>
      <c r="NQ34" s="6">
        <f>日流量!NQ34*24*3600/100000000</f>
        <v>14.601599999999999</v>
      </c>
      <c r="NR34" s="4">
        <f>日流量!NR34</f>
        <v>42570</v>
      </c>
      <c r="NS34" s="6">
        <f>日流量!NS34*24*3600/100000000</f>
        <v>0.94176000000000004</v>
      </c>
      <c r="NT34" s="4">
        <f>日流量!NT34</f>
        <v>42462</v>
      </c>
      <c r="NU34" s="7">
        <f>日流量!NP34</f>
        <v>3900.1095890410961</v>
      </c>
      <c r="NW34" s="13">
        <f t="shared" si="0"/>
        <v>997.80768</v>
      </c>
      <c r="NX34" s="12">
        <f t="shared" si="1"/>
        <v>81.091879366639745</v>
      </c>
      <c r="NY34" s="13">
        <f t="shared" si="2"/>
        <v>828.26495999999997</v>
      </c>
      <c r="NZ34" s="12">
        <f t="shared" si="3"/>
        <v>67.313134150194855</v>
      </c>
      <c r="OA34" s="13">
        <f t="shared" si="4"/>
        <v>232.65791999999999</v>
      </c>
      <c r="OB34" s="12">
        <f t="shared" si="5"/>
        <v>18.908120633360248</v>
      </c>
      <c r="OC34" s="13">
        <f t="shared" si="6"/>
        <v>270.51839999999999</v>
      </c>
      <c r="OD34" s="12">
        <f t="shared" si="7"/>
        <v>21.985043710283325</v>
      </c>
      <c r="OE34" s="12">
        <f t="shared" si="8"/>
        <v>287.49196261682249</v>
      </c>
      <c r="OF34" s="12">
        <f t="shared" si="9"/>
        <v>9.116310331583664</v>
      </c>
    </row>
    <row r="35" spans="1:396" x14ac:dyDescent="0.15">
      <c r="A35" s="2">
        <v>1982</v>
      </c>
      <c r="B35" s="6">
        <f>日流量!B35*24*3600/100000000</f>
        <v>1.10592</v>
      </c>
      <c r="C35" s="6">
        <f>日流量!C35*24*3600/100000000</f>
        <v>1.0886400000000001</v>
      </c>
      <c r="D35" s="6">
        <f>日流量!D35*24*3600/100000000</f>
        <v>1.0886400000000001</v>
      </c>
      <c r="E35" s="6">
        <f>日流量!E35*24*3600/100000000</f>
        <v>1.10592</v>
      </c>
      <c r="F35" s="6">
        <f>日流量!F35*24*3600/100000000</f>
        <v>1.11456</v>
      </c>
      <c r="G35" s="6">
        <f>日流量!G35*24*3600/100000000</f>
        <v>1.09728</v>
      </c>
      <c r="H35" s="6">
        <f>日流量!H35*24*3600/100000000</f>
        <v>1.0886400000000001</v>
      </c>
      <c r="I35" s="6">
        <f>日流量!I35*24*3600/100000000</f>
        <v>1.0713600000000001</v>
      </c>
      <c r="J35" s="6">
        <f>日流量!J35*24*3600/100000000</f>
        <v>1.0540799999999999</v>
      </c>
      <c r="K35" s="6">
        <f>日流量!K35*24*3600/100000000</f>
        <v>1.0540799999999999</v>
      </c>
      <c r="L35" s="6">
        <f>日流量!L35*24*3600/100000000</f>
        <v>1.0454399999999999</v>
      </c>
      <c r="M35" s="6">
        <f>日流量!M35*24*3600/100000000</f>
        <v>1.0540799999999999</v>
      </c>
      <c r="N35" s="6">
        <f>日流量!N35*24*3600/100000000</f>
        <v>1.0627200000000001</v>
      </c>
      <c r="O35" s="6">
        <f>日流量!O35*24*3600/100000000</f>
        <v>1.0454399999999999</v>
      </c>
      <c r="P35" s="6">
        <f>日流量!P35*24*3600/100000000</f>
        <v>1.0367999999999999</v>
      </c>
      <c r="Q35" s="6">
        <f>日流量!Q35*24*3600/100000000</f>
        <v>1.02816</v>
      </c>
      <c r="R35" s="6">
        <f>日流量!R35*24*3600/100000000</f>
        <v>1.0367999999999999</v>
      </c>
      <c r="S35" s="6">
        <f>日流量!S35*24*3600/100000000</f>
        <v>1.0367999999999999</v>
      </c>
      <c r="T35" s="6">
        <f>日流量!T35*24*3600/100000000</f>
        <v>1.0454399999999999</v>
      </c>
      <c r="U35" s="6">
        <f>日流量!U35*24*3600/100000000</f>
        <v>1.0454399999999999</v>
      </c>
      <c r="V35" s="6">
        <f>日流量!V35*24*3600/100000000</f>
        <v>1.02816</v>
      </c>
      <c r="W35" s="6">
        <f>日流量!W35*24*3600/100000000</f>
        <v>1.01952</v>
      </c>
      <c r="X35" s="6">
        <f>日流量!X35*24*3600/100000000</f>
        <v>0.99360000000000004</v>
      </c>
      <c r="Y35" s="6">
        <f>日流量!Y35*24*3600/100000000</f>
        <v>0.97631999999999997</v>
      </c>
      <c r="Z35" s="6">
        <f>日流量!Z35*24*3600/100000000</f>
        <v>0.95904</v>
      </c>
      <c r="AA35" s="6">
        <f>日流量!AA35*24*3600/100000000</f>
        <v>0.95040000000000002</v>
      </c>
      <c r="AB35" s="6">
        <f>日流量!AB35*24*3600/100000000</f>
        <v>0.94176000000000004</v>
      </c>
      <c r="AC35" s="6">
        <f>日流量!AC35*24*3600/100000000</f>
        <v>0.93311999999999995</v>
      </c>
      <c r="AD35" s="6">
        <f>日流量!AD35*24*3600/100000000</f>
        <v>0.93311999999999995</v>
      </c>
      <c r="AE35" s="6">
        <f>日流量!AE35*24*3600/100000000</f>
        <v>0.92447999999999997</v>
      </c>
      <c r="AF35" s="6">
        <f>日流量!AF35*24*3600/100000000</f>
        <v>0.92447999999999997</v>
      </c>
      <c r="AG35" s="6">
        <f>日流量!AG35*24*3600/100000000</f>
        <v>0.91583999999999999</v>
      </c>
      <c r="AH35" s="6">
        <f>日流量!AH35*24*3600/100000000</f>
        <v>0.90720000000000001</v>
      </c>
      <c r="AI35" s="6">
        <f>日流量!AI35*24*3600/100000000</f>
        <v>0.90720000000000001</v>
      </c>
      <c r="AJ35" s="6">
        <f>日流量!AJ35*24*3600/100000000</f>
        <v>0.91583999999999999</v>
      </c>
      <c r="AK35" s="6">
        <f>日流量!AK35*24*3600/100000000</f>
        <v>0.91583999999999999</v>
      </c>
      <c r="AL35" s="6">
        <f>日流量!AL35*24*3600/100000000</f>
        <v>0.91583999999999999</v>
      </c>
      <c r="AM35" s="6">
        <f>日流量!AM35*24*3600/100000000</f>
        <v>0.92447999999999997</v>
      </c>
      <c r="AN35" s="6">
        <f>日流量!AN35*24*3600/100000000</f>
        <v>0.93311999999999995</v>
      </c>
      <c r="AO35" s="6">
        <f>日流量!AO35*24*3600/100000000</f>
        <v>0.93311999999999995</v>
      </c>
      <c r="AP35" s="6">
        <f>日流量!AP35*24*3600/100000000</f>
        <v>0.92447999999999997</v>
      </c>
      <c r="AQ35" s="6">
        <f>日流量!AQ35*24*3600/100000000</f>
        <v>0.92447999999999997</v>
      </c>
      <c r="AR35" s="6">
        <f>日流量!AR35*24*3600/100000000</f>
        <v>0.93311999999999995</v>
      </c>
      <c r="AS35" s="6">
        <f>日流量!AS35*24*3600/100000000</f>
        <v>0.94176000000000004</v>
      </c>
      <c r="AT35" s="6">
        <f>日流量!AT35*24*3600/100000000</f>
        <v>0.94176000000000004</v>
      </c>
      <c r="AU35" s="6">
        <f>日流量!AU35*24*3600/100000000</f>
        <v>0.92447999999999997</v>
      </c>
      <c r="AV35" s="6">
        <f>日流量!AV35*24*3600/100000000</f>
        <v>0.90720000000000001</v>
      </c>
      <c r="AW35" s="6">
        <f>日流量!AW35*24*3600/100000000</f>
        <v>0.90720000000000001</v>
      </c>
      <c r="AX35" s="6">
        <f>日流量!AX35*24*3600/100000000</f>
        <v>0.90720000000000001</v>
      </c>
      <c r="AY35" s="6">
        <f>日流量!AY35*24*3600/100000000</f>
        <v>0.88992000000000004</v>
      </c>
      <c r="AZ35" s="6">
        <f>日流量!AZ35*24*3600/100000000</f>
        <v>0.88992000000000004</v>
      </c>
      <c r="BA35" s="6">
        <f>日流量!BA35*24*3600/100000000</f>
        <v>0.88127999999999995</v>
      </c>
      <c r="BB35" s="6">
        <f>日流量!BB35*24*3600/100000000</f>
        <v>0.85968</v>
      </c>
      <c r="BC35" s="6">
        <f>日流量!BC35*24*3600/100000000</f>
        <v>0.847584</v>
      </c>
      <c r="BD35" s="6">
        <f>日流量!BD35*24*3600/100000000</f>
        <v>0.84672000000000003</v>
      </c>
      <c r="BE35" s="6">
        <f>日流量!BE35*24*3600/100000000</f>
        <v>0.83635199999999998</v>
      </c>
      <c r="BF35" s="6">
        <f>日流量!BF35*24*3600/100000000</f>
        <v>0.82166399999999995</v>
      </c>
      <c r="BG35" s="6">
        <f>日流量!BG35*24*3600/100000000</f>
        <v>0.81647999999999998</v>
      </c>
      <c r="BH35" s="6">
        <f>日流量!BH35*24*3600/100000000</f>
        <v>0.80956799999999995</v>
      </c>
      <c r="BI35" s="6"/>
      <c r="BJ35" s="6">
        <f>日流量!BJ35*24*3600/100000000</f>
        <v>0.80179199999999995</v>
      </c>
      <c r="BK35" s="6">
        <f>日流量!BK35*24*3600/100000000</f>
        <v>0.80092799999999997</v>
      </c>
      <c r="BL35" s="6">
        <f>日流量!BL35*24*3600/100000000</f>
        <v>0.80092799999999997</v>
      </c>
      <c r="BM35" s="6">
        <f>日流量!BM35*24*3600/100000000</f>
        <v>0.79401600000000006</v>
      </c>
      <c r="BN35" s="6">
        <f>日流量!BN35*24*3600/100000000</f>
        <v>0.78710400000000003</v>
      </c>
      <c r="BO35" s="6">
        <f>日流量!BO35*24*3600/100000000</f>
        <v>0.78624000000000005</v>
      </c>
      <c r="BP35" s="6">
        <f>日流量!BP35*24*3600/100000000</f>
        <v>0.77932800000000002</v>
      </c>
      <c r="BQ35" s="6">
        <f>日流量!BQ35*24*3600/100000000</f>
        <v>0.78451199999999999</v>
      </c>
      <c r="BR35" s="6">
        <f>日流量!BR35*24*3600/100000000</f>
        <v>0.79747199999999996</v>
      </c>
      <c r="BS35" s="6">
        <f>日流量!BS35*24*3600/100000000</f>
        <v>0.79401600000000006</v>
      </c>
      <c r="BT35" s="6">
        <f>日流量!BT35*24*3600/100000000</f>
        <v>0.79315199999999997</v>
      </c>
      <c r="BU35" s="6">
        <f>日流量!BU35*24*3600/100000000</f>
        <v>0.79315199999999997</v>
      </c>
      <c r="BV35" s="6">
        <f>日流量!BV35*24*3600/100000000</f>
        <v>0.78969599999999995</v>
      </c>
      <c r="BW35" s="6">
        <f>日流量!BW35*24*3600/100000000</f>
        <v>0.77932800000000002</v>
      </c>
      <c r="BX35" s="6">
        <f>日流量!BX35*24*3600/100000000</f>
        <v>0.77155200000000002</v>
      </c>
      <c r="BY35" s="6">
        <f>日流量!BY35*24*3600/100000000</f>
        <v>0.77500800000000003</v>
      </c>
      <c r="BZ35" s="6">
        <f>日流量!BZ35*24*3600/100000000</f>
        <v>0.77155200000000002</v>
      </c>
      <c r="CA35" s="6">
        <f>日流量!CA35*24*3600/100000000</f>
        <v>0.77068800000000004</v>
      </c>
      <c r="CB35" s="6">
        <f>日流量!CB35*24*3600/100000000</f>
        <v>0.76463999999999999</v>
      </c>
      <c r="CC35" s="6">
        <f>日流量!CC35*24*3600/100000000</f>
        <v>0.76377600000000001</v>
      </c>
      <c r="CD35" s="6">
        <f>日流量!CD35*24*3600/100000000</f>
        <v>0.75772799999999996</v>
      </c>
      <c r="CE35" s="6">
        <f>日流量!CE35*24*3600/100000000</f>
        <v>0.75600000000000001</v>
      </c>
      <c r="CF35" s="6">
        <f>日流量!CF35*24*3600/100000000</f>
        <v>0.75600000000000001</v>
      </c>
      <c r="CG35" s="6">
        <f>日流量!CG35*24*3600/100000000</f>
        <v>0.75600000000000001</v>
      </c>
      <c r="CH35" s="6">
        <f>日流量!CH35*24*3600/100000000</f>
        <v>0.75600000000000001</v>
      </c>
      <c r="CI35" s="6">
        <f>日流量!CI35*24*3600/100000000</f>
        <v>0.75600000000000001</v>
      </c>
      <c r="CJ35" s="6">
        <f>日流量!CJ35*24*3600/100000000</f>
        <v>0.76032</v>
      </c>
      <c r="CK35" s="6">
        <f>日流量!CK35*24*3600/100000000</f>
        <v>0.76636800000000005</v>
      </c>
      <c r="CL35" s="6">
        <f>日流量!CL35*24*3600/100000000</f>
        <v>0.77414400000000005</v>
      </c>
      <c r="CM35" s="6">
        <f>日流量!CM35*24*3600/100000000</f>
        <v>0.78883199999999998</v>
      </c>
      <c r="CN35" s="6">
        <f>日流量!CN35*24*3600/100000000</f>
        <v>0.80611200000000005</v>
      </c>
      <c r="CO35" s="6">
        <f>日流量!CO35*24*3600/100000000</f>
        <v>0.82252800000000004</v>
      </c>
      <c r="CP35" s="6">
        <f>日流量!CP35*24*3600/100000000</f>
        <v>0.83462400000000003</v>
      </c>
      <c r="CQ35" s="6">
        <f>日流量!CQ35*24*3600/100000000</f>
        <v>0.85276799999999997</v>
      </c>
      <c r="CR35" s="6">
        <f>日流量!CR35*24*3600/100000000</f>
        <v>0.88127999999999995</v>
      </c>
      <c r="CS35" s="6">
        <f>日流量!CS35*24*3600/100000000</f>
        <v>0.89856000000000003</v>
      </c>
      <c r="CT35" s="6">
        <f>日流量!CT35*24*3600/100000000</f>
        <v>0.91583999999999999</v>
      </c>
      <c r="CU35" s="6">
        <f>日流量!CU35*24*3600/100000000</f>
        <v>0.91583999999999999</v>
      </c>
      <c r="CV35" s="6">
        <f>日流量!CV35*24*3600/100000000</f>
        <v>0.91583999999999999</v>
      </c>
      <c r="CW35" s="6">
        <f>日流量!CW35*24*3600/100000000</f>
        <v>0.90720000000000001</v>
      </c>
      <c r="CX35" s="6">
        <f>日流量!CX35*24*3600/100000000</f>
        <v>0.89856000000000003</v>
      </c>
      <c r="CY35" s="6">
        <f>日流量!CY35*24*3600/100000000</f>
        <v>0.90720000000000001</v>
      </c>
      <c r="CZ35" s="6">
        <f>日流量!CZ35*24*3600/100000000</f>
        <v>0.94176000000000004</v>
      </c>
      <c r="DA35" s="6">
        <f>日流量!DA35*24*3600/100000000</f>
        <v>0.95904</v>
      </c>
      <c r="DB35" s="6">
        <f>日流量!DB35*24*3600/100000000</f>
        <v>0.95040000000000002</v>
      </c>
      <c r="DC35" s="6">
        <f>日流量!DC35*24*3600/100000000</f>
        <v>0.92447999999999997</v>
      </c>
      <c r="DD35" s="6">
        <f>日流量!DD35*24*3600/100000000</f>
        <v>0.91583999999999999</v>
      </c>
      <c r="DE35" s="6">
        <f>日流量!DE35*24*3600/100000000</f>
        <v>0.91583999999999999</v>
      </c>
      <c r="DF35" s="6">
        <f>日流量!DF35*24*3600/100000000</f>
        <v>0.91583999999999999</v>
      </c>
      <c r="DG35" s="6">
        <f>日流量!DG35*24*3600/100000000</f>
        <v>0.90720000000000001</v>
      </c>
      <c r="DH35" s="6">
        <f>日流量!DH35*24*3600/100000000</f>
        <v>0.90720000000000001</v>
      </c>
      <c r="DI35" s="6">
        <f>日流量!DI35*24*3600/100000000</f>
        <v>0.90720000000000001</v>
      </c>
      <c r="DJ35" s="6">
        <f>日流量!DJ35*24*3600/100000000</f>
        <v>0.89856000000000003</v>
      </c>
      <c r="DK35" s="6">
        <f>日流量!DK35*24*3600/100000000</f>
        <v>0.89856000000000003</v>
      </c>
      <c r="DL35" s="6">
        <f>日流量!DL35*24*3600/100000000</f>
        <v>0.90720000000000001</v>
      </c>
      <c r="DM35" s="6">
        <f>日流量!DM35*24*3600/100000000</f>
        <v>0.93311999999999995</v>
      </c>
      <c r="DN35" s="6">
        <f>日流量!DN35*24*3600/100000000</f>
        <v>0.96767999999999998</v>
      </c>
      <c r="DO35" s="6">
        <f>日流量!DO35*24*3600/100000000</f>
        <v>0.98495999999999995</v>
      </c>
      <c r="DP35" s="6">
        <f>日流量!DP35*24*3600/100000000</f>
        <v>1.00224</v>
      </c>
      <c r="DQ35" s="6">
        <f>日流量!DQ35*24*3600/100000000</f>
        <v>0.99360000000000004</v>
      </c>
      <c r="DR35" s="6">
        <f>日流量!DR35*24*3600/100000000</f>
        <v>0.99360000000000004</v>
      </c>
      <c r="DS35" s="6">
        <f>日流量!DS35*24*3600/100000000</f>
        <v>1.00224</v>
      </c>
      <c r="DT35" s="6">
        <f>日流量!DT35*24*3600/100000000</f>
        <v>1.01088</v>
      </c>
      <c r="DU35" s="6">
        <f>日流量!DU35*24*3600/100000000</f>
        <v>1.01952</v>
      </c>
      <c r="DV35" s="6">
        <f>日流量!DV35*24*3600/100000000</f>
        <v>1.0454399999999999</v>
      </c>
      <c r="DW35" s="6">
        <f>日流量!DW35*24*3600/100000000</f>
        <v>1.09728</v>
      </c>
      <c r="DX35" s="6">
        <f>日流量!DX35*24*3600/100000000</f>
        <v>1.1404799999999999</v>
      </c>
      <c r="DY35" s="6">
        <f>日流量!DY35*24*3600/100000000</f>
        <v>1.13184</v>
      </c>
      <c r="DZ35" s="6">
        <f>日流量!DZ35*24*3600/100000000</f>
        <v>1.08</v>
      </c>
      <c r="EA35" s="6">
        <f>日流量!EA35*24*3600/100000000</f>
        <v>1.0367999999999999</v>
      </c>
      <c r="EB35" s="6">
        <f>日流量!EB35*24*3600/100000000</f>
        <v>1.01952</v>
      </c>
      <c r="EC35" s="6">
        <f>日流量!EC35*24*3600/100000000</f>
        <v>1.00224</v>
      </c>
      <c r="ED35" s="6">
        <f>日流量!ED35*24*3600/100000000</f>
        <v>0.98495999999999995</v>
      </c>
      <c r="EE35" s="6">
        <f>日流量!EE35*24*3600/100000000</f>
        <v>0.96767999999999998</v>
      </c>
      <c r="EF35" s="6">
        <f>日流量!EF35*24*3600/100000000</f>
        <v>1.00224</v>
      </c>
      <c r="EG35" s="6">
        <f>日流量!EG35*24*3600/100000000</f>
        <v>1.0540799999999999</v>
      </c>
      <c r="EH35" s="6">
        <f>日流量!EH35*24*3600/100000000</f>
        <v>1.10592</v>
      </c>
      <c r="EI35" s="6">
        <f>日流量!EI35*24*3600/100000000</f>
        <v>1.1577599999999999</v>
      </c>
      <c r="EJ35" s="6">
        <f>日流量!EJ35*24*3600/100000000</f>
        <v>1.2873600000000001</v>
      </c>
      <c r="EK35" s="6">
        <f>日流量!EK35*24*3600/100000000</f>
        <v>1.39968</v>
      </c>
      <c r="EL35" s="6">
        <f>日流量!EL35*24*3600/100000000</f>
        <v>1.40832</v>
      </c>
      <c r="EM35" s="6">
        <f>日流量!EM35*24*3600/100000000</f>
        <v>1.39968</v>
      </c>
      <c r="EN35" s="6">
        <f>日流量!EN35*24*3600/100000000</f>
        <v>1.40832</v>
      </c>
      <c r="EO35" s="6">
        <f>日流量!EO35*24*3600/100000000</f>
        <v>1.4601599999999999</v>
      </c>
      <c r="EP35" s="6">
        <f>日流量!EP35*24*3600/100000000</f>
        <v>1.4774400000000001</v>
      </c>
      <c r="EQ35" s="6">
        <f>日流量!EQ35*24*3600/100000000</f>
        <v>1.40832</v>
      </c>
      <c r="ER35" s="6">
        <f>日流量!ER35*24*3600/100000000</f>
        <v>1.33056</v>
      </c>
      <c r="ES35" s="6">
        <f>日流量!ES35*24*3600/100000000</f>
        <v>1.31328</v>
      </c>
      <c r="ET35" s="6">
        <f>日流量!ET35*24*3600/100000000</f>
        <v>1.31328</v>
      </c>
      <c r="EU35" s="6">
        <f>日流量!EU35*24*3600/100000000</f>
        <v>1.31328</v>
      </c>
      <c r="EV35" s="6">
        <f>日流量!EV35*24*3600/100000000</f>
        <v>1.3651199999999999</v>
      </c>
      <c r="EW35" s="6">
        <f>日流量!EW35*24*3600/100000000</f>
        <v>1.4515199999999999</v>
      </c>
      <c r="EX35" s="6">
        <f>日流量!EX35*24*3600/100000000</f>
        <v>1.4860800000000001</v>
      </c>
      <c r="EY35" s="6">
        <f>日流量!EY35*24*3600/100000000</f>
        <v>1.4688000000000001</v>
      </c>
      <c r="EZ35" s="6">
        <f>日流量!EZ35*24*3600/100000000</f>
        <v>1.4515199999999999</v>
      </c>
      <c r="FA35" s="6">
        <f>日流量!FA35*24*3600/100000000</f>
        <v>1.4601599999999999</v>
      </c>
      <c r="FB35" s="6">
        <f>日流量!FB35*24*3600/100000000</f>
        <v>1.6761600000000001</v>
      </c>
      <c r="FC35" s="6">
        <f>日流量!FC35*24*3600/100000000</f>
        <v>1.9008</v>
      </c>
      <c r="FD35" s="6">
        <f>日流量!FD35*24*3600/100000000</f>
        <v>2.0735999999999999</v>
      </c>
      <c r="FE35" s="6">
        <f>日流量!FE35*24*3600/100000000</f>
        <v>2.03904</v>
      </c>
      <c r="FF35" s="6">
        <f>日流量!FF35*24*3600/100000000</f>
        <v>2.1772800000000001</v>
      </c>
      <c r="FG35" s="6">
        <f>日流量!FG35*24*3600/100000000</f>
        <v>2.3932799999999999</v>
      </c>
      <c r="FH35" s="6">
        <f>日流量!FH35*24*3600/100000000</f>
        <v>2.94624</v>
      </c>
      <c r="FI35" s="6">
        <f>日流量!FI35*24*3600/100000000</f>
        <v>3.456</v>
      </c>
      <c r="FJ35" s="6">
        <f>日流量!FJ35*24*3600/100000000</f>
        <v>3.6892800000000001</v>
      </c>
      <c r="FK35" s="6">
        <f>日流量!FK35*24*3600/100000000</f>
        <v>3.6115200000000001</v>
      </c>
      <c r="FL35" s="6">
        <f>日流量!FL35*24*3600/100000000</f>
        <v>3.4127999999999998</v>
      </c>
      <c r="FM35" s="6">
        <f>日流量!FM35*24*3600/100000000</f>
        <v>3.21408</v>
      </c>
      <c r="FN35" s="6">
        <f>日流量!FN35*24*3600/100000000</f>
        <v>3.0499200000000002</v>
      </c>
      <c r="FO35" s="6">
        <f>日流量!FO35*24*3600/100000000</f>
        <v>3.0585599999999999</v>
      </c>
      <c r="FP35" s="6">
        <f>日流量!FP35*24*3600/100000000</f>
        <v>3.13632</v>
      </c>
      <c r="FQ35" s="6">
        <f>日流量!FQ35*24*3600/100000000</f>
        <v>3.1968000000000001</v>
      </c>
      <c r="FR35" s="6">
        <f>日流量!FR35*24*3600/100000000</f>
        <v>3.23136</v>
      </c>
      <c r="FS35" s="6">
        <f>日流量!FS35*24*3600/100000000</f>
        <v>3.21408</v>
      </c>
      <c r="FT35" s="6">
        <f>日流量!FT35*24*3600/100000000</f>
        <v>3.1276799999999998</v>
      </c>
      <c r="FU35" s="6">
        <f>日流量!FU35*24*3600/100000000</f>
        <v>3.13632</v>
      </c>
      <c r="FV35" s="6">
        <f>日流量!FV35*24*3600/100000000</f>
        <v>3.64608</v>
      </c>
      <c r="FW35" s="6">
        <f>日流量!FW35*24*3600/100000000</f>
        <v>4.1471999999999998</v>
      </c>
      <c r="FX35" s="6">
        <f>日流量!FX35*24*3600/100000000</f>
        <v>4.5619199999999998</v>
      </c>
      <c r="FY35" s="6">
        <f>日流量!FY35*24*3600/100000000</f>
        <v>4.9248000000000003</v>
      </c>
      <c r="FZ35" s="6">
        <f>日流量!FZ35*24*3600/100000000</f>
        <v>5.2790400000000002</v>
      </c>
      <c r="GA35" s="6">
        <f>日流量!GA35*24*3600/100000000</f>
        <v>5.85792</v>
      </c>
      <c r="GB35" s="6">
        <f>日流量!GB35*24*3600/100000000</f>
        <v>6.4281600000000001</v>
      </c>
      <c r="GC35" s="6">
        <f>日流量!GC35*24*3600/100000000</f>
        <v>7.1020799999999999</v>
      </c>
      <c r="GD35" s="6">
        <f>日流量!GD35*24*3600/100000000</f>
        <v>7.8192000000000004</v>
      </c>
      <c r="GE35" s="6">
        <f>日流量!GE35*24*3600/100000000</f>
        <v>7.7587200000000003</v>
      </c>
      <c r="GF35" s="6">
        <f>日流量!GF35*24*3600/100000000</f>
        <v>7.4736000000000002</v>
      </c>
      <c r="GG35" s="6">
        <f>日流量!GG35*24*3600/100000000</f>
        <v>7.7328000000000001</v>
      </c>
      <c r="GH35" s="6">
        <f>日流量!GH35*24*3600/100000000</f>
        <v>9.4176000000000002</v>
      </c>
      <c r="GI35" s="6">
        <f>日流量!GI35*24*3600/100000000</f>
        <v>9.5904000000000007</v>
      </c>
      <c r="GJ35" s="6">
        <f>日流量!GJ35*24*3600/100000000</f>
        <v>9.5039999999999996</v>
      </c>
      <c r="GK35" s="6">
        <f>日流量!GK35*24*3600/100000000</f>
        <v>9.6768000000000001</v>
      </c>
      <c r="GL35" s="6">
        <f>日流量!GL35*24*3600/100000000</f>
        <v>9.3312000000000008</v>
      </c>
      <c r="GM35" s="6">
        <f>日流量!GM35*24*3600/100000000</f>
        <v>8.7263999999999999</v>
      </c>
      <c r="GN35" s="6">
        <f>日流量!GN35*24*3600/100000000</f>
        <v>7.89696</v>
      </c>
      <c r="GO35" s="6">
        <f>日流量!GO35*24*3600/100000000</f>
        <v>7.3440000000000003</v>
      </c>
      <c r="GP35" s="6">
        <f>日流量!GP35*24*3600/100000000</f>
        <v>7.1711999999999998</v>
      </c>
      <c r="GQ35" s="6">
        <f>日流量!GQ35*24*3600/100000000</f>
        <v>7.4217599999999999</v>
      </c>
      <c r="GR35" s="6">
        <f>日流量!GR35*24*3600/100000000</f>
        <v>7.6291200000000003</v>
      </c>
      <c r="GS35" s="6">
        <f>日流量!GS35*24*3600/100000000</f>
        <v>7.7155199999999997</v>
      </c>
      <c r="GT35" s="6">
        <f>日流量!GT35*24*3600/100000000</f>
        <v>8.7263999999999999</v>
      </c>
      <c r="GU35" s="6">
        <f>日流量!GU35*24*3600/100000000</f>
        <v>10.022399999999999</v>
      </c>
      <c r="GV35" s="6">
        <f>日流量!GV35*24*3600/100000000</f>
        <v>10.7136</v>
      </c>
      <c r="GW35" s="6">
        <f>日流量!GW35*24*3600/100000000</f>
        <v>11.4048</v>
      </c>
      <c r="GX35" s="6">
        <f>日流量!GX35*24*3600/100000000</f>
        <v>11.5776</v>
      </c>
      <c r="GY35" s="6">
        <f>日流量!GY35*24*3600/100000000</f>
        <v>11.5776</v>
      </c>
      <c r="GZ35" s="6">
        <f>日流量!GZ35*24*3600/100000000</f>
        <v>11.8368</v>
      </c>
      <c r="HA35" s="6">
        <f>日流量!HA35*24*3600/100000000</f>
        <v>11.5776</v>
      </c>
      <c r="HB35" s="6">
        <f>日流量!HB35*24*3600/100000000</f>
        <v>10.8</v>
      </c>
      <c r="HC35" s="6">
        <f>日流量!HC35*24*3600/100000000</f>
        <v>9.8496000000000006</v>
      </c>
      <c r="HD35" s="6">
        <f>日流量!HD35*24*3600/100000000</f>
        <v>8.8992000000000004</v>
      </c>
      <c r="HE35" s="6">
        <f>日流量!HE35*24*3600/100000000</f>
        <v>8.8992000000000004</v>
      </c>
      <c r="HF35" s="6">
        <f>日流量!HF35*24*3600/100000000</f>
        <v>9.3312000000000008</v>
      </c>
      <c r="HG35" s="6">
        <f>日流量!HG35*24*3600/100000000</f>
        <v>9.2447999999999997</v>
      </c>
      <c r="HH35" s="6">
        <f>日流量!HH35*24*3600/100000000</f>
        <v>8.3548799999999996</v>
      </c>
      <c r="HI35" s="6">
        <f>日流量!HI35*24*3600/100000000</f>
        <v>7.29216</v>
      </c>
      <c r="HJ35" s="6">
        <f>日流量!HJ35*24*3600/100000000</f>
        <v>6.46272</v>
      </c>
      <c r="HK35" s="6">
        <f>日流量!HK35*24*3600/100000000</f>
        <v>5.9443200000000003</v>
      </c>
      <c r="HL35" s="6">
        <f>日流量!HL35*24*3600/100000000</f>
        <v>5.8492800000000003</v>
      </c>
      <c r="HM35" s="6">
        <f>日流量!HM35*24*3600/100000000</f>
        <v>5.4950400000000004</v>
      </c>
      <c r="HN35" s="6">
        <f>日流量!HN35*24*3600/100000000</f>
        <v>5.0975999999999999</v>
      </c>
      <c r="HO35" s="6">
        <f>日流量!HO35*24*3600/100000000</f>
        <v>4.7606400000000004</v>
      </c>
      <c r="HP35" s="6">
        <f>日流量!HP35*24*3600/100000000</f>
        <v>4.4755200000000004</v>
      </c>
      <c r="HQ35" s="6">
        <f>日流量!HQ35*24*3600/100000000</f>
        <v>4.2595200000000002</v>
      </c>
      <c r="HR35" s="6">
        <f>日流量!HR35*24*3600/100000000</f>
        <v>4.1471999999999998</v>
      </c>
      <c r="HS35" s="6">
        <f>日流量!HS35*24*3600/100000000</f>
        <v>4.2422399999999998</v>
      </c>
      <c r="HT35" s="6">
        <f>日流量!HT35*24*3600/100000000</f>
        <v>4.3113599999999996</v>
      </c>
      <c r="HU35" s="6">
        <f>日流量!HU35*24*3600/100000000</f>
        <v>4.1040000000000001</v>
      </c>
      <c r="HV35" s="6">
        <f>日流量!HV35*24*3600/100000000</f>
        <v>3.8879999999999999</v>
      </c>
      <c r="HW35" s="6">
        <f>日流量!HW35*24*3600/100000000</f>
        <v>3.7756799999999999</v>
      </c>
      <c r="HX35" s="6">
        <f>日流量!HX35*24*3600/100000000</f>
        <v>4.1817599999999997</v>
      </c>
      <c r="HY35" s="6">
        <f>日流量!HY35*24*3600/100000000</f>
        <v>4.1299200000000003</v>
      </c>
      <c r="HZ35" s="6">
        <f>日流量!HZ35*24*3600/100000000</f>
        <v>3.8620800000000002</v>
      </c>
      <c r="IA35" s="6">
        <f>日流量!IA35*24*3600/100000000</f>
        <v>3.6288</v>
      </c>
      <c r="IB35" s="6">
        <f>日流量!IB35*24*3600/100000000</f>
        <v>3.4819200000000001</v>
      </c>
      <c r="IC35" s="6">
        <f>日流量!IC35*24*3600/100000000</f>
        <v>3.4732799999999999</v>
      </c>
      <c r="ID35" s="6">
        <f>日流量!ID35*24*3600/100000000</f>
        <v>3.8879999999999999</v>
      </c>
      <c r="IE35" s="6">
        <f>日流量!IE35*24*3600/100000000</f>
        <v>4.4236800000000001</v>
      </c>
      <c r="IF35" s="6">
        <f>日流量!IF35*24*3600/100000000</f>
        <v>4.968</v>
      </c>
      <c r="IG35" s="6">
        <f>日流量!IG35*24*3600/100000000</f>
        <v>4.8556800000000004</v>
      </c>
      <c r="IH35" s="6">
        <f>日流量!IH35*24*3600/100000000</f>
        <v>4.6137600000000001</v>
      </c>
      <c r="II35" s="6">
        <f>日流量!II35*24*3600/100000000</f>
        <v>4.3718399999999997</v>
      </c>
      <c r="IJ35" s="6">
        <f>日流量!IJ35*24*3600/100000000</f>
        <v>4.1731199999999999</v>
      </c>
      <c r="IK35" s="6">
        <f>日流量!IK35*24*3600/100000000</f>
        <v>4.0694400000000002</v>
      </c>
      <c r="IL35" s="6">
        <f>日流量!IL35*24*3600/100000000</f>
        <v>3.9398399999999998</v>
      </c>
      <c r="IM35" s="6">
        <f>日流量!IM35*24*3600/100000000</f>
        <v>3.8016000000000001</v>
      </c>
      <c r="IN35" s="6">
        <f>日流量!IN35*24*3600/100000000</f>
        <v>3.7584</v>
      </c>
      <c r="IO35" s="6">
        <f>日流量!IO35*24*3600/100000000</f>
        <v>3.8966400000000001</v>
      </c>
      <c r="IP35" s="6">
        <f>日流量!IP35*24*3600/100000000</f>
        <v>3.9744000000000002</v>
      </c>
      <c r="IQ35" s="6">
        <f>日流量!IQ35*24*3600/100000000</f>
        <v>3.94848</v>
      </c>
      <c r="IR35" s="6">
        <f>日流量!IR35*24*3600/100000000</f>
        <v>3.8793600000000001</v>
      </c>
      <c r="IS35" s="6">
        <f>日流量!IS35*24*3600/100000000</f>
        <v>4.0780799999999999</v>
      </c>
      <c r="IT35" s="6">
        <f>日流量!IT35*24*3600/100000000</f>
        <v>4.4063999999999997</v>
      </c>
      <c r="IU35" s="6">
        <f>日流量!IU35*24*3600/100000000</f>
        <v>4.5619199999999998</v>
      </c>
      <c r="IV35" s="6">
        <f>日流量!IV35*24*3600/100000000</f>
        <v>4.8211199999999996</v>
      </c>
      <c r="IW35" s="6">
        <f>日流量!IW35*24*3600/100000000</f>
        <v>5.4950400000000004</v>
      </c>
      <c r="IX35" s="6">
        <f>日流量!IX35*24*3600/100000000</f>
        <v>5.8665599999999998</v>
      </c>
      <c r="IY35" s="6">
        <f>日流量!IY35*24*3600/100000000</f>
        <v>6.0911999999999997</v>
      </c>
      <c r="IZ35" s="6">
        <f>日流量!IZ35*24*3600/100000000</f>
        <v>6.2985600000000002</v>
      </c>
      <c r="JA35" s="6">
        <f>日流量!JA35*24*3600/100000000</f>
        <v>7.0329600000000001</v>
      </c>
      <c r="JB35" s="6">
        <f>日流量!JB35*24*3600/100000000</f>
        <v>7.9401599999999997</v>
      </c>
      <c r="JC35" s="6">
        <f>日流量!JC35*24*3600/100000000</f>
        <v>8.6140799999999995</v>
      </c>
      <c r="JD35" s="6">
        <f>日流量!JD35*24*3600/100000000</f>
        <v>9.1584000000000003</v>
      </c>
      <c r="JE35" s="6">
        <f>日流量!JE35*24*3600/100000000</f>
        <v>9.5904000000000007</v>
      </c>
      <c r="JF35" s="6">
        <f>日流量!JF35*24*3600/100000000</f>
        <v>9.6768000000000001</v>
      </c>
      <c r="JG35" s="6">
        <f>日流量!JG35*24*3600/100000000</f>
        <v>9.5039999999999996</v>
      </c>
      <c r="JH35" s="6">
        <f>日流量!JH35*24*3600/100000000</f>
        <v>8.8992000000000004</v>
      </c>
      <c r="JI35" s="6">
        <f>日流量!JI35*24*3600/100000000</f>
        <v>8.0611200000000007</v>
      </c>
      <c r="JJ35" s="6">
        <f>日流量!JJ35*24*3600/100000000</f>
        <v>7.4303999999999997</v>
      </c>
      <c r="JK35" s="6">
        <f>日流量!JK35*24*3600/100000000</f>
        <v>6.9379200000000001</v>
      </c>
      <c r="JL35" s="6">
        <f>日流量!JL35*24*3600/100000000</f>
        <v>6.6614399999999998</v>
      </c>
      <c r="JM35" s="6">
        <f>日流量!JM35*24*3600/100000000</f>
        <v>7.0156799999999997</v>
      </c>
      <c r="JN35" s="6">
        <f>日流量!JN35*24*3600/100000000</f>
        <v>6.5836800000000002</v>
      </c>
      <c r="JO35" s="6">
        <f>日流量!JO35*24*3600/100000000</f>
        <v>6.1257599999999996</v>
      </c>
      <c r="JP35" s="6">
        <f>日流量!JP35*24*3600/100000000</f>
        <v>5.9702400000000004</v>
      </c>
      <c r="JQ35" s="6">
        <f>日流量!JQ35*24*3600/100000000</f>
        <v>5.7974399999999999</v>
      </c>
      <c r="JR35" s="6">
        <f>日流量!JR35*24*3600/100000000</f>
        <v>5.6159999999999997</v>
      </c>
      <c r="JS35" s="6">
        <f>日流量!JS35*24*3600/100000000</f>
        <v>5.4432</v>
      </c>
      <c r="JT35" s="6">
        <f>日流量!JT35*24*3600/100000000</f>
        <v>5.5900800000000004</v>
      </c>
      <c r="JU35" s="6">
        <f>日流量!JU35*24*3600/100000000</f>
        <v>6.7737600000000002</v>
      </c>
      <c r="JV35" s="6">
        <f>日流量!JV35*24*3600/100000000</f>
        <v>6.8342400000000003</v>
      </c>
      <c r="JW35" s="6">
        <f>日流量!JW35*24*3600/100000000</f>
        <v>6.2467199999999998</v>
      </c>
      <c r="JX35" s="6">
        <f>日流量!JX35*24*3600/100000000</f>
        <v>5.6073599999999999</v>
      </c>
      <c r="JY35" s="6">
        <f>日流量!JY35*24*3600/100000000</f>
        <v>5.3913599999999997</v>
      </c>
      <c r="JZ35" s="6">
        <f>日流量!JZ35*24*3600/100000000</f>
        <v>4.9075199999999999</v>
      </c>
      <c r="KA35" s="6">
        <f>日流量!KA35*24*3600/100000000</f>
        <v>4.5792000000000002</v>
      </c>
      <c r="KB35" s="6">
        <f>日流量!KB35*24*3600/100000000</f>
        <v>4.32864</v>
      </c>
      <c r="KC35" s="6">
        <f>日流量!KC35*24*3600/100000000</f>
        <v>4.13856</v>
      </c>
      <c r="KD35" s="6">
        <f>日流量!KD35*24*3600/100000000</f>
        <v>3.96576</v>
      </c>
      <c r="KE35" s="6">
        <f>日流量!KE35*24*3600/100000000</f>
        <v>3.8188800000000001</v>
      </c>
      <c r="KF35" s="6">
        <f>日流量!KF35*24*3600/100000000</f>
        <v>3.7065600000000001</v>
      </c>
      <c r="KG35" s="6">
        <f>日流量!KG35*24*3600/100000000</f>
        <v>3.5855999999999999</v>
      </c>
      <c r="KH35" s="6">
        <f>日流量!KH35*24*3600/100000000</f>
        <v>3.4992000000000001</v>
      </c>
      <c r="KI35" s="6">
        <f>日流量!KI35*24*3600/100000000</f>
        <v>3.4300799999999998</v>
      </c>
      <c r="KJ35" s="6">
        <f>日流量!KJ35*24*3600/100000000</f>
        <v>3.4041600000000001</v>
      </c>
      <c r="KK35" s="6">
        <f>日流量!KK35*24*3600/100000000</f>
        <v>3.3609599999999999</v>
      </c>
      <c r="KL35" s="6">
        <f>日流量!KL35*24*3600/100000000</f>
        <v>3.2572800000000002</v>
      </c>
      <c r="KM35" s="6">
        <f>日流量!KM35*24*3600/100000000</f>
        <v>3.1622400000000002</v>
      </c>
      <c r="KN35" s="6">
        <f>日流量!KN35*24*3600/100000000</f>
        <v>3.1795200000000001</v>
      </c>
      <c r="KO35" s="6">
        <f>日流量!KO35*24*3600/100000000</f>
        <v>3.1103999999999998</v>
      </c>
      <c r="KP35" s="6">
        <f>日流量!KP35*24*3600/100000000</f>
        <v>3.04128</v>
      </c>
      <c r="KQ35" s="6">
        <f>日流量!KQ35*24*3600/100000000</f>
        <v>2.9635199999999999</v>
      </c>
      <c r="KR35" s="6">
        <f>日流量!KR35*24*3600/100000000</f>
        <v>2.8944000000000001</v>
      </c>
      <c r="KS35" s="6">
        <f>日流量!KS35*24*3600/100000000</f>
        <v>2.81664</v>
      </c>
      <c r="KT35" s="6">
        <f>日流量!KT35*24*3600/100000000</f>
        <v>2.73888</v>
      </c>
      <c r="KU35" s="6">
        <f>日流量!KU35*24*3600/100000000</f>
        <v>2.6524800000000002</v>
      </c>
      <c r="KV35" s="6">
        <f>日流量!KV35*24*3600/100000000</f>
        <v>2.5660799999999999</v>
      </c>
      <c r="KW35" s="6">
        <f>日流量!KW35*24*3600/100000000</f>
        <v>2.51424</v>
      </c>
      <c r="KX35" s="6">
        <f>日流量!KX35*24*3600/100000000</f>
        <v>2.4537599999999999</v>
      </c>
      <c r="KY35" s="6">
        <f>日流量!KY35*24*3600/100000000</f>
        <v>2.4019200000000001</v>
      </c>
      <c r="KZ35" s="6">
        <f>日流量!KZ35*24*3600/100000000</f>
        <v>2.3500800000000002</v>
      </c>
      <c r="LA35" s="6">
        <f>日流量!LA35*24*3600/100000000</f>
        <v>2.2982399999999998</v>
      </c>
      <c r="LB35" s="6">
        <f>日流量!LB35*24*3600/100000000</f>
        <v>2.2550400000000002</v>
      </c>
      <c r="LC35" s="6">
        <f>日流量!LC35*24*3600/100000000</f>
        <v>2.2204799999999998</v>
      </c>
      <c r="LD35" s="6">
        <f>日流量!LD35*24*3600/100000000</f>
        <v>2.21184</v>
      </c>
      <c r="LE35" s="6">
        <f>日流量!LE35*24*3600/100000000</f>
        <v>2.2031999999999998</v>
      </c>
      <c r="LF35" s="6">
        <f>日流量!LF35*24*3600/100000000</f>
        <v>2.1686399999999999</v>
      </c>
      <c r="LG35" s="6">
        <f>日流量!LG35*24*3600/100000000</f>
        <v>2.13408</v>
      </c>
      <c r="LH35" s="6">
        <f>日流量!LH35*24*3600/100000000</f>
        <v>2.0995200000000001</v>
      </c>
      <c r="LI35" s="6">
        <f>日流量!LI35*24*3600/100000000</f>
        <v>2.0649600000000001</v>
      </c>
      <c r="LJ35" s="6">
        <f>日流量!LJ35*24*3600/100000000</f>
        <v>2.0304000000000002</v>
      </c>
      <c r="LK35" s="6">
        <f>日流量!LK35*24*3600/100000000</f>
        <v>1.9958400000000001</v>
      </c>
      <c r="LL35" s="6">
        <f>日流量!LL35*24*3600/100000000</f>
        <v>1.9526399999999999</v>
      </c>
      <c r="LM35" s="6">
        <f>日流量!LM35*24*3600/100000000</f>
        <v>1.90944</v>
      </c>
      <c r="LN35" s="6">
        <f>日流量!LN35*24*3600/100000000</f>
        <v>1.8748800000000001</v>
      </c>
      <c r="LO35" s="6">
        <f>日流量!LO35*24*3600/100000000</f>
        <v>1.83168</v>
      </c>
      <c r="LP35" s="6">
        <f>日流量!LP35*24*3600/100000000</f>
        <v>1.80576</v>
      </c>
      <c r="LQ35" s="6">
        <f>日流量!LQ35*24*3600/100000000</f>
        <v>1.7798400000000001</v>
      </c>
      <c r="LR35" s="6">
        <f>日流量!LR35*24*3600/100000000</f>
        <v>1.7539199999999999</v>
      </c>
      <c r="LS35" s="6">
        <f>日流量!LS35*24*3600/100000000</f>
        <v>1.73664</v>
      </c>
      <c r="LT35" s="6">
        <f>日流量!LT35*24*3600/100000000</f>
        <v>1.71936</v>
      </c>
      <c r="LU35" s="6">
        <f>日流量!LU35*24*3600/100000000</f>
        <v>1.71072</v>
      </c>
      <c r="LV35" s="6">
        <f>日流量!LV35*24*3600/100000000</f>
        <v>1.6761600000000001</v>
      </c>
      <c r="LW35" s="6">
        <f>日流量!LW35*24*3600/100000000</f>
        <v>1.6675199999999999</v>
      </c>
      <c r="LX35" s="6">
        <f>日流量!LX35*24*3600/100000000</f>
        <v>1.63296</v>
      </c>
      <c r="LY35" s="6">
        <f>日流量!LY35*24*3600/100000000</f>
        <v>1.60704</v>
      </c>
      <c r="LZ35" s="6">
        <f>日流量!LZ35*24*3600/100000000</f>
        <v>1.5724800000000001</v>
      </c>
      <c r="MA35" s="6">
        <f>日流量!MA35*24*3600/100000000</f>
        <v>1.53792</v>
      </c>
      <c r="MB35" s="6">
        <f>日流量!MB35*24*3600/100000000</f>
        <v>1.512</v>
      </c>
      <c r="MC35" s="6">
        <f>日流量!MC35*24*3600/100000000</f>
        <v>1.4688000000000001</v>
      </c>
      <c r="MD35" s="6">
        <f>日流量!MD35*24*3600/100000000</f>
        <v>1.4428799999999999</v>
      </c>
      <c r="ME35" s="6">
        <f>日流量!ME35*24*3600/100000000</f>
        <v>1.4256</v>
      </c>
      <c r="MF35" s="6">
        <f>日流量!MF35*24*3600/100000000</f>
        <v>1.40832</v>
      </c>
      <c r="MG35" s="6">
        <f>日流量!MG35*24*3600/100000000</f>
        <v>1.3910400000000001</v>
      </c>
      <c r="MH35" s="6">
        <f>日流量!MH35*24*3600/100000000</f>
        <v>1.3824000000000001</v>
      </c>
      <c r="MI35" s="6">
        <f>日流量!MI35*24*3600/100000000</f>
        <v>1.3478399999999999</v>
      </c>
      <c r="MJ35" s="6">
        <f>日流量!MJ35*24*3600/100000000</f>
        <v>1.3478399999999999</v>
      </c>
      <c r="MK35" s="6">
        <f>日流量!MK35*24*3600/100000000</f>
        <v>1.33056</v>
      </c>
      <c r="ML35" s="6">
        <f>日流量!ML35*24*3600/100000000</f>
        <v>1.33056</v>
      </c>
      <c r="MM35" s="6">
        <f>日流量!MM35*24*3600/100000000</f>
        <v>1.32192</v>
      </c>
      <c r="MN35" s="6">
        <f>日流量!MN35*24*3600/100000000</f>
        <v>1.32192</v>
      </c>
      <c r="MO35" s="6">
        <f>日流量!MO35*24*3600/100000000</f>
        <v>1.32192</v>
      </c>
      <c r="MP35" s="6">
        <f>日流量!MP35*24*3600/100000000</f>
        <v>1.296</v>
      </c>
      <c r="MQ35" s="6">
        <f>日流量!MQ35*24*3600/100000000</f>
        <v>1.2873600000000001</v>
      </c>
      <c r="MR35" s="6">
        <f>日流量!MR35*24*3600/100000000</f>
        <v>1.2787200000000001</v>
      </c>
      <c r="MS35" s="6">
        <f>日流量!MS35*24*3600/100000000</f>
        <v>1.2787200000000001</v>
      </c>
      <c r="MT35" s="6">
        <f>日流量!MT35*24*3600/100000000</f>
        <v>1.2787200000000001</v>
      </c>
      <c r="MU35" s="6">
        <f>日流量!MU35*24*3600/100000000</f>
        <v>1.2614399999999999</v>
      </c>
      <c r="MV35" s="6">
        <f>日流量!MV35*24*3600/100000000</f>
        <v>1.2441599999999999</v>
      </c>
      <c r="MW35" s="6">
        <f>日流量!MW35*24*3600/100000000</f>
        <v>1.22688</v>
      </c>
      <c r="MX35" s="6">
        <f>日流量!MX35*24*3600/100000000</f>
        <v>1.19232</v>
      </c>
      <c r="MY35" s="6">
        <f>日流量!MY35*24*3600/100000000</f>
        <v>1.1750400000000001</v>
      </c>
      <c r="MZ35" s="6">
        <f>日流量!MZ35*24*3600/100000000</f>
        <v>1.1577599999999999</v>
      </c>
      <c r="NA35" s="6">
        <f>日流量!NA35*24*3600/100000000</f>
        <v>1.1577599999999999</v>
      </c>
      <c r="NB35" s="6">
        <f>日流量!NB35*24*3600/100000000</f>
        <v>1.1404799999999999</v>
      </c>
      <c r="NC35" s="6"/>
      <c r="ND35" s="6">
        <f>日流量!ND35*24*3600*31/100000000</f>
        <v>31.872959999999999</v>
      </c>
      <c r="NE35" s="6">
        <f>日流量!NE35*24*3600*28/100000000</f>
        <v>25.159680000000002</v>
      </c>
      <c r="NF35" s="6">
        <f>日流量!NF35*24*3600*31/100000000</f>
        <v>24.132383999999998</v>
      </c>
      <c r="NG35" s="6">
        <f>日流量!NG35*24*3600*30/100000000</f>
        <v>27.475200000000001</v>
      </c>
      <c r="NH35" s="6">
        <f>日流量!NH35*24*3600*31/100000000</f>
        <v>37.229759999999999</v>
      </c>
      <c r="NI35" s="6">
        <f>日流量!NI35*24*3600*30/100000000</f>
        <v>92.016000000000005</v>
      </c>
      <c r="NJ35" s="6">
        <f>日流量!NJ35*24*3600*31/100000000</f>
        <v>281.23200000000003</v>
      </c>
      <c r="NK35" s="6">
        <f>日流量!NK35*24*3600*31/100000000</f>
        <v>149.72255999999999</v>
      </c>
      <c r="NL35" s="6">
        <f>日流量!NL35*24*3600*30/100000000</f>
        <v>188.17920000000001</v>
      </c>
      <c r="NM35" s="6">
        <f>日流量!NM35*24*3600*31/100000000</f>
        <v>133.11648</v>
      </c>
      <c r="NN35" s="6">
        <f>日流量!NN35*24*3600*30/100000000</f>
        <v>61.689599999999999</v>
      </c>
      <c r="NO35" s="6">
        <f>日流量!NO35*24*3600*31/100000000</f>
        <v>41.24736</v>
      </c>
      <c r="NP35" s="14">
        <f t="shared" si="10"/>
        <v>1093.0731840000001</v>
      </c>
      <c r="NQ35" s="6">
        <f>日流量!NQ35*24*3600/100000000</f>
        <v>11.8368</v>
      </c>
      <c r="NR35" s="4">
        <f>日流量!NR35</f>
        <v>42576</v>
      </c>
      <c r="NS35" s="6">
        <f>日流量!NS35*24*3600/100000000</f>
        <v>0.75600000000000001</v>
      </c>
      <c r="NT35" s="4">
        <f>日流量!NT35</f>
        <v>42451</v>
      </c>
      <c r="NU35" s="7">
        <f>日流量!NP35</f>
        <v>3464.9945205479453</v>
      </c>
      <c r="NW35" s="13">
        <f t="shared" si="0"/>
        <v>881.49600000000009</v>
      </c>
      <c r="NX35" s="12">
        <f t="shared" si="1"/>
        <v>80.643822655519472</v>
      </c>
      <c r="NY35" s="13">
        <f t="shared" si="2"/>
        <v>711.14976000000001</v>
      </c>
      <c r="NZ35" s="12">
        <f t="shared" si="3"/>
        <v>65.059665757933359</v>
      </c>
      <c r="OA35" s="13">
        <f t="shared" si="4"/>
        <v>211.57718399999999</v>
      </c>
      <c r="OB35" s="12">
        <f t="shared" si="5"/>
        <v>19.356177344480528</v>
      </c>
      <c r="OC35" s="13">
        <f t="shared" si="6"/>
        <v>281.23200000000003</v>
      </c>
      <c r="OD35" s="12">
        <f t="shared" si="7"/>
        <v>25.728560915826108</v>
      </c>
      <c r="OE35" s="12">
        <f t="shared" si="8"/>
        <v>255.39093084112153</v>
      </c>
      <c r="OF35" s="12">
        <f t="shared" si="9"/>
        <v>8.0983932915119716</v>
      </c>
    </row>
    <row r="36" spans="1:396" x14ac:dyDescent="0.15">
      <c r="A36" s="2">
        <v>1983</v>
      </c>
      <c r="B36" s="6">
        <f>日流量!B36*24*3600/100000000</f>
        <v>1.08</v>
      </c>
      <c r="C36" s="6">
        <f>日流量!C36*24*3600/100000000</f>
        <v>1.0713600000000001</v>
      </c>
      <c r="D36" s="6">
        <f>日流量!D36*24*3600/100000000</f>
        <v>1.0540799999999999</v>
      </c>
      <c r="E36" s="6">
        <f>日流量!E36*24*3600/100000000</f>
        <v>1.0627200000000001</v>
      </c>
      <c r="F36" s="6">
        <f>日流量!F36*24*3600/100000000</f>
        <v>1.0627200000000001</v>
      </c>
      <c r="G36" s="6">
        <f>日流量!G36*24*3600/100000000</f>
        <v>1.08</v>
      </c>
      <c r="H36" s="6">
        <f>日流量!H36*24*3600/100000000</f>
        <v>1.0886400000000001</v>
      </c>
      <c r="I36" s="6">
        <f>日流量!I36*24*3600/100000000</f>
        <v>1.0713600000000001</v>
      </c>
      <c r="J36" s="6">
        <f>日流量!J36*24*3600/100000000</f>
        <v>1.0540799999999999</v>
      </c>
      <c r="K36" s="6">
        <f>日流量!K36*24*3600/100000000</f>
        <v>1.0367999999999999</v>
      </c>
      <c r="L36" s="6">
        <f>日流量!L36*24*3600/100000000</f>
        <v>1.01952</v>
      </c>
      <c r="M36" s="6">
        <f>日流量!M36*24*3600/100000000</f>
        <v>1.01088</v>
      </c>
      <c r="N36" s="6">
        <f>日流量!N36*24*3600/100000000</f>
        <v>1.01088</v>
      </c>
      <c r="O36" s="6">
        <f>日流量!O36*24*3600/100000000</f>
        <v>1.01088</v>
      </c>
      <c r="P36" s="6">
        <f>日流量!P36*24*3600/100000000</f>
        <v>1.01088</v>
      </c>
      <c r="Q36" s="6">
        <f>日流量!Q36*24*3600/100000000</f>
        <v>1.00224</v>
      </c>
      <c r="R36" s="6">
        <f>日流量!R36*24*3600/100000000</f>
        <v>0.99360000000000004</v>
      </c>
      <c r="S36" s="6">
        <f>日流量!S36*24*3600/100000000</f>
        <v>0.98495999999999995</v>
      </c>
      <c r="T36" s="6">
        <f>日流量!T36*24*3600/100000000</f>
        <v>0.98495999999999995</v>
      </c>
      <c r="U36" s="6">
        <f>日流量!U36*24*3600/100000000</f>
        <v>0.98495999999999995</v>
      </c>
      <c r="V36" s="6">
        <f>日流量!V36*24*3600/100000000</f>
        <v>0.98495999999999995</v>
      </c>
      <c r="W36" s="6">
        <f>日流量!W36*24*3600/100000000</f>
        <v>0.98495999999999995</v>
      </c>
      <c r="X36" s="6">
        <f>日流量!X36*24*3600/100000000</f>
        <v>0.98495999999999995</v>
      </c>
      <c r="Y36" s="6">
        <f>日流量!Y36*24*3600/100000000</f>
        <v>0.98495999999999995</v>
      </c>
      <c r="Z36" s="6">
        <f>日流量!Z36*24*3600/100000000</f>
        <v>0.98495999999999995</v>
      </c>
      <c r="AA36" s="6">
        <f>日流量!AA36*24*3600/100000000</f>
        <v>0.97631999999999997</v>
      </c>
      <c r="AB36" s="6">
        <f>日流量!AB36*24*3600/100000000</f>
        <v>0.95904</v>
      </c>
      <c r="AC36" s="6">
        <f>日流量!AC36*24*3600/100000000</f>
        <v>0.95040000000000002</v>
      </c>
      <c r="AD36" s="6">
        <f>日流量!AD36*24*3600/100000000</f>
        <v>0.93311999999999995</v>
      </c>
      <c r="AE36" s="6">
        <f>日流量!AE36*24*3600/100000000</f>
        <v>0.92447999999999997</v>
      </c>
      <c r="AF36" s="6">
        <f>日流量!AF36*24*3600/100000000</f>
        <v>0.92447999999999997</v>
      </c>
      <c r="AG36" s="6">
        <f>日流量!AG36*24*3600/100000000</f>
        <v>0.92447999999999997</v>
      </c>
      <c r="AH36" s="6">
        <f>日流量!AH36*24*3600/100000000</f>
        <v>0.92447999999999997</v>
      </c>
      <c r="AI36" s="6">
        <f>日流量!AI36*24*3600/100000000</f>
        <v>0.91583999999999999</v>
      </c>
      <c r="AJ36" s="6">
        <f>日流量!AJ36*24*3600/100000000</f>
        <v>0.91583999999999999</v>
      </c>
      <c r="AK36" s="6">
        <f>日流量!AK36*24*3600/100000000</f>
        <v>0.91583999999999999</v>
      </c>
      <c r="AL36" s="6">
        <f>日流量!AL36*24*3600/100000000</f>
        <v>0.90720000000000001</v>
      </c>
      <c r="AM36" s="6">
        <f>日流量!AM36*24*3600/100000000</f>
        <v>0.89856000000000003</v>
      </c>
      <c r="AN36" s="6">
        <f>日流量!AN36*24*3600/100000000</f>
        <v>0.88992000000000004</v>
      </c>
      <c r="AO36" s="6">
        <f>日流量!AO36*24*3600/100000000</f>
        <v>0.88127999999999995</v>
      </c>
      <c r="AP36" s="6">
        <f>日流量!AP36*24*3600/100000000</f>
        <v>0.88127999999999995</v>
      </c>
      <c r="AQ36" s="6">
        <f>日流量!AQ36*24*3600/100000000</f>
        <v>0.85881600000000002</v>
      </c>
      <c r="AR36" s="6">
        <f>日流量!AR36*24*3600/100000000</f>
        <v>0.85363199999999995</v>
      </c>
      <c r="AS36" s="6">
        <f>日流量!AS36*24*3600/100000000</f>
        <v>0.84844799999999998</v>
      </c>
      <c r="AT36" s="6">
        <f>日流量!AT36*24*3600/100000000</f>
        <v>0.84326400000000001</v>
      </c>
      <c r="AU36" s="6">
        <f>日流量!AU36*24*3600/100000000</f>
        <v>0.839808</v>
      </c>
      <c r="AV36" s="6">
        <f>日流量!AV36*24*3600/100000000</f>
        <v>0.83635199999999998</v>
      </c>
      <c r="AW36" s="6">
        <f>日流量!AW36*24*3600/100000000</f>
        <v>0.83635199999999998</v>
      </c>
      <c r="AX36" s="6">
        <f>日流量!AX36*24*3600/100000000</f>
        <v>0.83116800000000002</v>
      </c>
      <c r="AY36" s="6">
        <f>日流量!AY36*24*3600/100000000</f>
        <v>0.83030400000000004</v>
      </c>
      <c r="AZ36" s="6">
        <f>日流量!AZ36*24*3600/100000000</f>
        <v>0.82252800000000004</v>
      </c>
      <c r="BA36" s="6">
        <f>日流量!BA36*24*3600/100000000</f>
        <v>0.81820800000000005</v>
      </c>
      <c r="BB36" s="6">
        <f>日流量!BB36*24*3600/100000000</f>
        <v>0.81820800000000005</v>
      </c>
      <c r="BC36" s="6">
        <f>日流量!BC36*24*3600/100000000</f>
        <v>0.81215999999999999</v>
      </c>
      <c r="BD36" s="6">
        <f>日流量!BD36*24*3600/100000000</f>
        <v>0.81388799999999994</v>
      </c>
      <c r="BE36" s="6">
        <f>日流量!BE36*24*3600/100000000</f>
        <v>0.827712</v>
      </c>
      <c r="BF36" s="6">
        <f>日流量!BF36*24*3600/100000000</f>
        <v>0.83030400000000004</v>
      </c>
      <c r="BG36" s="6">
        <f>日流量!BG36*24*3600/100000000</f>
        <v>0.82511999999999996</v>
      </c>
      <c r="BH36" s="6">
        <f>日流量!BH36*24*3600/100000000</f>
        <v>0.82425599999999999</v>
      </c>
      <c r="BI36" s="6"/>
      <c r="BJ36" s="6">
        <f>日流量!BJ36*24*3600/100000000</f>
        <v>0.83203199999999999</v>
      </c>
      <c r="BK36" s="6">
        <f>日流量!BK36*24*3600/100000000</f>
        <v>0.84153599999999995</v>
      </c>
      <c r="BL36" s="6">
        <f>日流量!BL36*24*3600/100000000</f>
        <v>0.84240000000000004</v>
      </c>
      <c r="BM36" s="6">
        <f>日流量!BM36*24*3600/100000000</f>
        <v>0.83721599999999996</v>
      </c>
      <c r="BN36" s="6">
        <f>日流量!BN36*24*3600/100000000</f>
        <v>0.83635199999999998</v>
      </c>
      <c r="BO36" s="6">
        <f>日流量!BO36*24*3600/100000000</f>
        <v>0.83116800000000002</v>
      </c>
      <c r="BP36" s="6">
        <f>日流量!BP36*24*3600/100000000</f>
        <v>0.82511999999999996</v>
      </c>
      <c r="BQ36" s="6">
        <f>日流量!BQ36*24*3600/100000000</f>
        <v>0.82425599999999999</v>
      </c>
      <c r="BR36" s="6">
        <f>日流量!BR36*24*3600/100000000</f>
        <v>0.81907200000000002</v>
      </c>
      <c r="BS36" s="6">
        <f>日流量!BS36*24*3600/100000000</f>
        <v>0.81043200000000004</v>
      </c>
      <c r="BT36" s="6">
        <f>日流量!BT36*24*3600/100000000</f>
        <v>0.80524799999999996</v>
      </c>
      <c r="BU36" s="6">
        <f>日流量!BU36*24*3600/100000000</f>
        <v>0.79920000000000002</v>
      </c>
      <c r="BV36" s="6">
        <f>日流量!BV36*24*3600/100000000</f>
        <v>0.80092799999999997</v>
      </c>
      <c r="BW36" s="6">
        <f>日流量!BW36*24*3600/100000000</f>
        <v>0.81388799999999994</v>
      </c>
      <c r="BX36" s="6">
        <f>日流量!BX36*24*3600/100000000</f>
        <v>0.84240000000000004</v>
      </c>
      <c r="BY36" s="6">
        <f>日流量!BY36*24*3600/100000000</f>
        <v>0.88127999999999995</v>
      </c>
      <c r="BZ36" s="6">
        <f>日流量!BZ36*24*3600/100000000</f>
        <v>0.89856000000000003</v>
      </c>
      <c r="CA36" s="6">
        <f>日流量!CA36*24*3600/100000000</f>
        <v>0.93311999999999995</v>
      </c>
      <c r="CB36" s="6">
        <f>日流量!CB36*24*3600/100000000</f>
        <v>0.97631999999999997</v>
      </c>
      <c r="CC36" s="6">
        <f>日流量!CC36*24*3600/100000000</f>
        <v>0.97631999999999997</v>
      </c>
      <c r="CD36" s="6">
        <f>日流量!CD36*24*3600/100000000</f>
        <v>0.95040000000000002</v>
      </c>
      <c r="CE36" s="6">
        <f>日流量!CE36*24*3600/100000000</f>
        <v>0.91583999999999999</v>
      </c>
      <c r="CF36" s="6">
        <f>日流量!CF36*24*3600/100000000</f>
        <v>0.89856000000000003</v>
      </c>
      <c r="CG36" s="6">
        <f>日流量!CG36*24*3600/100000000</f>
        <v>0.88992000000000004</v>
      </c>
      <c r="CH36" s="6">
        <f>日流量!CH36*24*3600/100000000</f>
        <v>0.88127999999999995</v>
      </c>
      <c r="CI36" s="6">
        <f>日流量!CI36*24*3600/100000000</f>
        <v>0.88127999999999995</v>
      </c>
      <c r="CJ36" s="6">
        <f>日流量!CJ36*24*3600/100000000</f>
        <v>0.88127999999999995</v>
      </c>
      <c r="CK36" s="6">
        <f>日流量!CK36*24*3600/100000000</f>
        <v>0.87263999999999997</v>
      </c>
      <c r="CL36" s="6">
        <f>日流量!CL36*24*3600/100000000</f>
        <v>0.86054399999999998</v>
      </c>
      <c r="CM36" s="6">
        <f>日流量!CM36*24*3600/100000000</f>
        <v>0.84931199999999996</v>
      </c>
      <c r="CN36" s="6">
        <f>日流量!CN36*24*3600/100000000</f>
        <v>0.83721599999999996</v>
      </c>
      <c r="CO36" s="6">
        <f>日流量!CO36*24*3600/100000000</f>
        <v>0.83030400000000004</v>
      </c>
      <c r="CP36" s="6">
        <f>日流量!CP36*24*3600/100000000</f>
        <v>0.82425599999999999</v>
      </c>
      <c r="CQ36" s="6">
        <f>日流量!CQ36*24*3600/100000000</f>
        <v>0.82339200000000001</v>
      </c>
      <c r="CR36" s="6">
        <f>日流量!CR36*24*3600/100000000</f>
        <v>0.83203199999999999</v>
      </c>
      <c r="CS36" s="6">
        <f>日流量!CS36*24*3600/100000000</f>
        <v>0.84672000000000003</v>
      </c>
      <c r="CT36" s="6">
        <f>日流量!CT36*24*3600/100000000</f>
        <v>0.85536000000000001</v>
      </c>
      <c r="CU36" s="6">
        <f>日流量!CU36*24*3600/100000000</f>
        <v>0.85881600000000002</v>
      </c>
      <c r="CV36" s="6">
        <f>日流量!CV36*24*3600/100000000</f>
        <v>0.87263999999999997</v>
      </c>
      <c r="CW36" s="6">
        <f>日流量!CW36*24*3600/100000000</f>
        <v>0.88992000000000004</v>
      </c>
      <c r="CX36" s="6">
        <f>日流量!CX36*24*3600/100000000</f>
        <v>0.90720000000000001</v>
      </c>
      <c r="CY36" s="6">
        <f>日流量!CY36*24*3600/100000000</f>
        <v>0.91583999999999999</v>
      </c>
      <c r="CZ36" s="6">
        <f>日流量!CZ36*24*3600/100000000</f>
        <v>0.93311999999999995</v>
      </c>
      <c r="DA36" s="6">
        <f>日流量!DA36*24*3600/100000000</f>
        <v>0.95040000000000002</v>
      </c>
      <c r="DB36" s="6">
        <f>日流量!DB36*24*3600/100000000</f>
        <v>0.95904</v>
      </c>
      <c r="DC36" s="6">
        <f>日流量!DC36*24*3600/100000000</f>
        <v>0.97631999999999997</v>
      </c>
      <c r="DD36" s="6">
        <f>日流量!DD36*24*3600/100000000</f>
        <v>1.01952</v>
      </c>
      <c r="DE36" s="6">
        <f>日流量!DE36*24*3600/100000000</f>
        <v>1.0713600000000001</v>
      </c>
      <c r="DF36" s="6">
        <f>日流量!DF36*24*3600/100000000</f>
        <v>1.08</v>
      </c>
      <c r="DG36" s="6">
        <f>日流量!DG36*24*3600/100000000</f>
        <v>1.08</v>
      </c>
      <c r="DH36" s="6">
        <f>日流量!DH36*24*3600/100000000</f>
        <v>1.08</v>
      </c>
      <c r="DI36" s="6">
        <f>日流量!DI36*24*3600/100000000</f>
        <v>1.0886400000000001</v>
      </c>
      <c r="DJ36" s="6">
        <f>日流量!DJ36*24*3600/100000000</f>
        <v>1.09728</v>
      </c>
      <c r="DK36" s="6">
        <f>日流量!DK36*24*3600/100000000</f>
        <v>1.1491199999999999</v>
      </c>
      <c r="DL36" s="6">
        <f>日流量!DL36*24*3600/100000000</f>
        <v>1.22688</v>
      </c>
      <c r="DM36" s="6">
        <f>日流量!DM36*24*3600/100000000</f>
        <v>1.2700800000000001</v>
      </c>
      <c r="DN36" s="6">
        <f>日流量!DN36*24*3600/100000000</f>
        <v>1.2527999999999999</v>
      </c>
      <c r="DO36" s="6">
        <f>日流量!DO36*24*3600/100000000</f>
        <v>1.1750400000000001</v>
      </c>
      <c r="DP36" s="6">
        <f>日流量!DP36*24*3600/100000000</f>
        <v>1.1491199999999999</v>
      </c>
      <c r="DQ36" s="6">
        <f>日流量!DQ36*24*3600/100000000</f>
        <v>1.11456</v>
      </c>
      <c r="DR36" s="6">
        <f>日流量!DR36*24*3600/100000000</f>
        <v>1.0886400000000001</v>
      </c>
      <c r="DS36" s="6">
        <f>日流量!DS36*24*3600/100000000</f>
        <v>1.09728</v>
      </c>
      <c r="DT36" s="6">
        <f>日流量!DT36*24*3600/100000000</f>
        <v>1.13184</v>
      </c>
      <c r="DU36" s="6">
        <f>日流量!DU36*24*3600/100000000</f>
        <v>1.19232</v>
      </c>
      <c r="DV36" s="6">
        <f>日流量!DV36*24*3600/100000000</f>
        <v>1.23552</v>
      </c>
      <c r="DW36" s="6">
        <f>日流量!DW36*24*3600/100000000</f>
        <v>1.2700800000000001</v>
      </c>
      <c r="DX36" s="6">
        <f>日流量!DX36*24*3600/100000000</f>
        <v>1.296</v>
      </c>
      <c r="DY36" s="6">
        <f>日流量!DY36*24*3600/100000000</f>
        <v>1.3737600000000001</v>
      </c>
      <c r="DZ36" s="6">
        <f>日流量!DZ36*24*3600/100000000</f>
        <v>1.4601599999999999</v>
      </c>
      <c r="EA36" s="6">
        <f>日流量!EA36*24*3600/100000000</f>
        <v>1.4774400000000001</v>
      </c>
      <c r="EB36" s="6">
        <f>日流量!EB36*24*3600/100000000</f>
        <v>1.4688000000000001</v>
      </c>
      <c r="EC36" s="6">
        <f>日流量!EC36*24*3600/100000000</f>
        <v>1.4601599999999999</v>
      </c>
      <c r="ED36" s="6">
        <f>日流量!ED36*24*3600/100000000</f>
        <v>1.49472</v>
      </c>
      <c r="EE36" s="6">
        <f>日流量!EE36*24*3600/100000000</f>
        <v>1.5638399999999999</v>
      </c>
      <c r="EF36" s="6">
        <f>日流量!EF36*24*3600/100000000</f>
        <v>1.5984</v>
      </c>
      <c r="EG36" s="6">
        <f>日流量!EG36*24*3600/100000000</f>
        <v>1.6415999999999999</v>
      </c>
      <c r="EH36" s="6">
        <f>日流量!EH36*24*3600/100000000</f>
        <v>1.7539199999999999</v>
      </c>
      <c r="EI36" s="6">
        <f>日流量!EI36*24*3600/100000000</f>
        <v>1.9785600000000001</v>
      </c>
      <c r="EJ36" s="6">
        <f>日流量!EJ36*24*3600/100000000</f>
        <v>2.2204799999999998</v>
      </c>
      <c r="EK36" s="6">
        <f>日流量!EK36*24*3600/100000000</f>
        <v>2.3759999999999999</v>
      </c>
      <c r="EL36" s="6">
        <f>日流量!EL36*24*3600/100000000</f>
        <v>2.3587199999999999</v>
      </c>
      <c r="EM36" s="6">
        <f>日流量!EM36*24*3600/100000000</f>
        <v>2.2550400000000002</v>
      </c>
      <c r="EN36" s="6">
        <f>日流量!EN36*24*3600/100000000</f>
        <v>2.22912</v>
      </c>
      <c r="EO36" s="6">
        <f>日流量!EO36*24*3600/100000000</f>
        <v>2.2550400000000002</v>
      </c>
      <c r="EP36" s="6">
        <f>日流量!EP36*24*3600/100000000</f>
        <v>2.4278400000000002</v>
      </c>
      <c r="EQ36" s="6">
        <f>日流量!EQ36*24*3600/100000000</f>
        <v>2.5660799999999999</v>
      </c>
      <c r="ER36" s="6">
        <f>日流量!ER36*24*3600/100000000</f>
        <v>2.6611199999999999</v>
      </c>
      <c r="ES36" s="6">
        <f>日流量!ES36*24*3600/100000000</f>
        <v>2.7216</v>
      </c>
      <c r="ET36" s="6">
        <f>日流量!ET36*24*3600/100000000</f>
        <v>2.7648000000000001</v>
      </c>
      <c r="EU36" s="6">
        <f>日流量!EU36*24*3600/100000000</f>
        <v>2.8252799999999998</v>
      </c>
      <c r="EV36" s="6">
        <f>日流量!EV36*24*3600/100000000</f>
        <v>2.8512</v>
      </c>
      <c r="EW36" s="6">
        <f>日流量!EW36*24*3600/100000000</f>
        <v>2.8252799999999998</v>
      </c>
      <c r="EX36" s="6">
        <f>日流量!EX36*24*3600/100000000</f>
        <v>2.7129599999999998</v>
      </c>
      <c r="EY36" s="6">
        <f>日流量!EY36*24*3600/100000000</f>
        <v>2.53152</v>
      </c>
      <c r="EZ36" s="6">
        <f>日流量!EZ36*24*3600/100000000</f>
        <v>2.4278400000000002</v>
      </c>
      <c r="FA36" s="6">
        <f>日流量!FA36*24*3600/100000000</f>
        <v>2.3500800000000002</v>
      </c>
      <c r="FB36" s="6">
        <f>日流量!FB36*24*3600/100000000</f>
        <v>2.4019200000000001</v>
      </c>
      <c r="FC36" s="6">
        <f>日流量!FC36*24*3600/100000000</f>
        <v>2.4883199999999999</v>
      </c>
      <c r="FD36" s="6">
        <f>日流量!FD36*24*3600/100000000</f>
        <v>2.6179199999999998</v>
      </c>
      <c r="FE36" s="6">
        <f>日流量!FE36*24*3600/100000000</f>
        <v>2.7216</v>
      </c>
      <c r="FF36" s="6">
        <f>日流量!FF36*24*3600/100000000</f>
        <v>2.8771200000000001</v>
      </c>
      <c r="FG36" s="6">
        <f>日流量!FG36*24*3600/100000000</f>
        <v>3.04128</v>
      </c>
      <c r="FH36" s="6">
        <f>日流量!FH36*24*3600/100000000</f>
        <v>3.0844800000000001</v>
      </c>
      <c r="FI36" s="6">
        <f>日流量!FI36*24*3600/100000000</f>
        <v>2.9635199999999999</v>
      </c>
      <c r="FJ36" s="6">
        <f>日流量!FJ36*24*3600/100000000</f>
        <v>2.7907199999999999</v>
      </c>
      <c r="FK36" s="6">
        <f>日流量!FK36*24*3600/100000000</f>
        <v>2.7475200000000002</v>
      </c>
      <c r="FL36" s="6">
        <f>日流量!FL36*24*3600/100000000</f>
        <v>2.5833599999999999</v>
      </c>
      <c r="FM36" s="6">
        <f>日流量!FM36*24*3600/100000000</f>
        <v>2.4019200000000001</v>
      </c>
      <c r="FN36" s="6">
        <f>日流量!FN36*24*3600/100000000</f>
        <v>2.34144</v>
      </c>
      <c r="FO36" s="6">
        <f>日流量!FO36*24*3600/100000000</f>
        <v>2.3759999999999999</v>
      </c>
      <c r="FP36" s="6">
        <f>日流量!FP36*24*3600/100000000</f>
        <v>2.3673600000000001</v>
      </c>
      <c r="FQ36" s="6">
        <f>日流量!FQ36*24*3600/100000000</f>
        <v>2.3155199999999998</v>
      </c>
      <c r="FR36" s="6">
        <f>日流量!FR36*24*3600/100000000</f>
        <v>2.3500800000000002</v>
      </c>
      <c r="FS36" s="6">
        <f>日流量!FS36*24*3600/100000000</f>
        <v>2.3846400000000001</v>
      </c>
      <c r="FT36" s="6">
        <f>日流量!FT36*24*3600/100000000</f>
        <v>2.3673600000000001</v>
      </c>
      <c r="FU36" s="6">
        <f>日流量!FU36*24*3600/100000000</f>
        <v>2.5920000000000001</v>
      </c>
      <c r="FV36" s="6">
        <f>日流量!FV36*24*3600/100000000</f>
        <v>2.7993600000000001</v>
      </c>
      <c r="FW36" s="6">
        <f>日流量!FW36*24*3600/100000000</f>
        <v>3.1968000000000001</v>
      </c>
      <c r="FX36" s="6">
        <f>日流量!FX36*24*3600/100000000</f>
        <v>3.4732799999999999</v>
      </c>
      <c r="FY36" s="6">
        <f>日流量!FY36*24*3600/100000000</f>
        <v>3.7670400000000002</v>
      </c>
      <c r="FZ36" s="6">
        <f>日流量!FZ36*24*3600/100000000</f>
        <v>3.85344</v>
      </c>
      <c r="GA36" s="6">
        <f>日流量!GA36*24*3600/100000000</f>
        <v>3.7497600000000002</v>
      </c>
      <c r="GB36" s="6">
        <f>日流量!GB36*24*3600/100000000</f>
        <v>3.9830399999999999</v>
      </c>
      <c r="GC36" s="6">
        <f>日流量!GC36*24*3600/100000000</f>
        <v>4.2854400000000004</v>
      </c>
      <c r="GD36" s="6">
        <f>日流量!GD36*24*3600/100000000</f>
        <v>4.32864</v>
      </c>
      <c r="GE36" s="6">
        <f>日流量!GE36*24*3600/100000000</f>
        <v>4.3372799999999998</v>
      </c>
      <c r="GF36" s="6">
        <f>日流量!GF36*24*3600/100000000</f>
        <v>4.04352</v>
      </c>
      <c r="GG36" s="6">
        <f>日流量!GG36*24*3600/100000000</f>
        <v>3.7843200000000001</v>
      </c>
      <c r="GH36" s="6">
        <f>日流量!GH36*24*3600/100000000</f>
        <v>3.6633599999999999</v>
      </c>
      <c r="GI36" s="6">
        <f>日流量!GI36*24*3600/100000000</f>
        <v>3.5596800000000002</v>
      </c>
      <c r="GJ36" s="6">
        <f>日流量!GJ36*24*3600/100000000</f>
        <v>3.6201599999999998</v>
      </c>
      <c r="GK36" s="6">
        <f>日流量!GK36*24*3600/100000000</f>
        <v>3.7756799999999999</v>
      </c>
      <c r="GL36" s="6">
        <f>日流量!GL36*24*3600/100000000</f>
        <v>3.8188800000000001</v>
      </c>
      <c r="GM36" s="6">
        <f>日流量!GM36*24*3600/100000000</f>
        <v>3.94848</v>
      </c>
      <c r="GN36" s="6">
        <f>日流量!GN36*24*3600/100000000</f>
        <v>3.8879999999999999</v>
      </c>
      <c r="GO36" s="6">
        <f>日流量!GO36*24*3600/100000000</f>
        <v>4.26816</v>
      </c>
      <c r="GP36" s="6">
        <f>日流量!GP36*24*3600/100000000</f>
        <v>5.0025599999999999</v>
      </c>
      <c r="GQ36" s="6">
        <f>日流量!GQ36*24*3600/100000000</f>
        <v>5.15808</v>
      </c>
      <c r="GR36" s="6">
        <f>日流量!GR36*24*3600/100000000</f>
        <v>4.8988800000000001</v>
      </c>
      <c r="GS36" s="6">
        <f>日流量!GS36*24*3600/100000000</f>
        <v>4.7347200000000003</v>
      </c>
      <c r="GT36" s="6">
        <f>日流量!GT36*24*3600/100000000</f>
        <v>4.8815999999999997</v>
      </c>
      <c r="GU36" s="6">
        <f>日流量!GU36*24*3600/100000000</f>
        <v>4.9507199999999996</v>
      </c>
      <c r="GV36" s="6">
        <f>日流量!GV36*24*3600/100000000</f>
        <v>5.1321599999999998</v>
      </c>
      <c r="GW36" s="6">
        <f>日流量!GW36*24*3600/100000000</f>
        <v>5.25312</v>
      </c>
      <c r="GX36" s="6">
        <f>日流量!GX36*24*3600/100000000</f>
        <v>5.6505599999999996</v>
      </c>
      <c r="GY36" s="6">
        <f>日流量!GY36*24*3600/100000000</f>
        <v>6.8342400000000003</v>
      </c>
      <c r="GZ36" s="6">
        <f>日流量!GZ36*24*3600/100000000</f>
        <v>6.5059199999999997</v>
      </c>
      <c r="HA36" s="6">
        <f>日流量!HA36*24*3600/100000000</f>
        <v>6.4022399999999999</v>
      </c>
      <c r="HB36" s="6">
        <f>日流量!HB36*24*3600/100000000</f>
        <v>5.85792</v>
      </c>
      <c r="HC36" s="6">
        <f>日流量!HC36*24*3600/100000000</f>
        <v>5.5468799999999998</v>
      </c>
      <c r="HD36" s="6">
        <f>日流量!HD36*24*3600/100000000</f>
        <v>5.4432</v>
      </c>
      <c r="HE36" s="6">
        <f>日流量!HE36*24*3600/100000000</f>
        <v>5.5987200000000001</v>
      </c>
      <c r="HF36" s="6">
        <f>日流量!HF36*24*3600/100000000</f>
        <v>6.3331200000000001</v>
      </c>
      <c r="HG36" s="6">
        <f>日流量!HG36*24*3600/100000000</f>
        <v>7.5859199999999998</v>
      </c>
      <c r="HH36" s="6">
        <f>日流量!HH36*24*3600/100000000</f>
        <v>8.2425599999999992</v>
      </c>
      <c r="HI36" s="6">
        <f>日流量!HI36*24*3600/100000000</f>
        <v>8.3980800000000002</v>
      </c>
      <c r="HJ36" s="6">
        <f>日流量!HJ36*24*3600/100000000</f>
        <v>7.6118399999999999</v>
      </c>
      <c r="HK36" s="6">
        <f>日流量!HK36*24*3600/100000000</f>
        <v>6.6182400000000001</v>
      </c>
      <c r="HL36" s="6">
        <f>日流量!HL36*24*3600/100000000</f>
        <v>5.9011199999999997</v>
      </c>
      <c r="HM36" s="6">
        <f>日流量!HM36*24*3600/100000000</f>
        <v>5.8752000000000004</v>
      </c>
      <c r="HN36" s="6">
        <f>日流量!HN36*24*3600/100000000</f>
        <v>6.0048000000000004</v>
      </c>
      <c r="HO36" s="6">
        <f>日流量!HO36*24*3600/100000000</f>
        <v>6.0566399999999998</v>
      </c>
      <c r="HP36" s="6">
        <f>日流量!HP36*24*3600/100000000</f>
        <v>5.8924799999999999</v>
      </c>
      <c r="HQ36" s="6">
        <f>日流量!HQ36*24*3600/100000000</f>
        <v>5.7369599999999998</v>
      </c>
      <c r="HR36" s="6">
        <f>日流量!HR36*24*3600/100000000</f>
        <v>5.8233600000000001</v>
      </c>
      <c r="HS36" s="6">
        <f>日流量!HS36*24*3600/100000000</f>
        <v>5.6246400000000003</v>
      </c>
      <c r="HT36" s="6">
        <f>日流量!HT36*24*3600/100000000</f>
        <v>5.4432</v>
      </c>
      <c r="HU36" s="6">
        <f>日流量!HU36*24*3600/100000000</f>
        <v>5.2617599999999998</v>
      </c>
      <c r="HV36" s="6">
        <f>日流量!HV36*24*3600/100000000</f>
        <v>5.1667199999999998</v>
      </c>
      <c r="HW36" s="6">
        <f>日流量!HW36*24*3600/100000000</f>
        <v>5.0457599999999996</v>
      </c>
      <c r="HX36" s="6">
        <f>日流量!HX36*24*3600/100000000</f>
        <v>4.8643200000000002</v>
      </c>
      <c r="HY36" s="6">
        <f>日流量!HY36*24*3600/100000000</f>
        <v>4.6223999999999998</v>
      </c>
      <c r="HZ36" s="6">
        <f>日流量!HZ36*24*3600/100000000</f>
        <v>4.6137600000000001</v>
      </c>
      <c r="IA36" s="6">
        <f>日流量!IA36*24*3600/100000000</f>
        <v>5.4691200000000002</v>
      </c>
      <c r="IB36" s="6">
        <f>日流量!IB36*24*3600/100000000</f>
        <v>6.2121599999999999</v>
      </c>
      <c r="IC36" s="6">
        <f>日流量!IC36*24*3600/100000000</f>
        <v>7.1366399999999999</v>
      </c>
      <c r="ID36" s="6">
        <f>日流量!ID36*24*3600/100000000</f>
        <v>7.1711999999999998</v>
      </c>
      <c r="IE36" s="6">
        <f>日流量!IE36*24*3600/100000000</f>
        <v>6.7132800000000001</v>
      </c>
      <c r="IF36" s="6">
        <f>日流量!IF36*24*3600/100000000</f>
        <v>6.6182400000000001</v>
      </c>
      <c r="IG36" s="6">
        <f>日流量!IG36*24*3600/100000000</f>
        <v>5.7888000000000002</v>
      </c>
      <c r="IH36" s="6">
        <f>日流量!IH36*24*3600/100000000</f>
        <v>5.4</v>
      </c>
      <c r="II36" s="6">
        <f>日流量!II36*24*3600/100000000</f>
        <v>5.3740800000000002</v>
      </c>
      <c r="IJ36" s="6">
        <f>日流量!IJ36*24*3600/100000000</f>
        <v>5.5468799999999998</v>
      </c>
      <c r="IK36" s="6">
        <f>日流量!IK36*24*3600/100000000</f>
        <v>5.3654400000000004</v>
      </c>
      <c r="IL36" s="6">
        <f>日流量!IL36*24*3600/100000000</f>
        <v>6.4022399999999999</v>
      </c>
      <c r="IM36" s="6">
        <f>日流量!IM36*24*3600/100000000</f>
        <v>8.9855999999999998</v>
      </c>
      <c r="IN36" s="6">
        <f>日流量!IN36*24*3600/100000000</f>
        <v>8.08704</v>
      </c>
      <c r="IO36" s="6">
        <f>日流量!IO36*24*3600/100000000</f>
        <v>6.9551999999999996</v>
      </c>
      <c r="IP36" s="6">
        <f>日流量!IP36*24*3600/100000000</f>
        <v>6.7910399999999997</v>
      </c>
      <c r="IQ36" s="6">
        <f>日流量!IQ36*24*3600/100000000</f>
        <v>6.87744</v>
      </c>
      <c r="IR36" s="6">
        <f>日流量!IR36*24*3600/100000000</f>
        <v>5.8233600000000001</v>
      </c>
      <c r="IS36" s="6">
        <f>日流量!IS36*24*3600/100000000</f>
        <v>5.5209599999999996</v>
      </c>
      <c r="IT36" s="6">
        <f>日流量!IT36*24*3600/100000000</f>
        <v>5.9184000000000001</v>
      </c>
      <c r="IU36" s="6">
        <f>日流量!IU36*24*3600/100000000</f>
        <v>6.3936000000000002</v>
      </c>
      <c r="IV36" s="6">
        <f>日流量!IV36*24*3600/100000000</f>
        <v>5.9615999999999998</v>
      </c>
      <c r="IW36" s="6">
        <f>日流量!IW36*24*3600/100000000</f>
        <v>5.7196800000000003</v>
      </c>
      <c r="IX36" s="6">
        <f>日流量!IX36*24*3600/100000000</f>
        <v>5.5987200000000001</v>
      </c>
      <c r="IY36" s="6">
        <f>日流量!IY36*24*3600/100000000</f>
        <v>6.1603199999999996</v>
      </c>
      <c r="IZ36" s="6">
        <f>日流量!IZ36*24*3600/100000000</f>
        <v>6.8601599999999996</v>
      </c>
      <c r="JA36" s="6">
        <f>日流量!JA36*24*3600/100000000</f>
        <v>6.2899200000000004</v>
      </c>
      <c r="JB36" s="6">
        <f>日流量!JB36*24*3600/100000000</f>
        <v>5.85792</v>
      </c>
      <c r="JC36" s="6">
        <f>日流量!JC36*24*3600/100000000</f>
        <v>6.0048000000000004</v>
      </c>
      <c r="JD36" s="6">
        <f>日流量!JD36*24*3600/100000000</f>
        <v>7.0070399999999999</v>
      </c>
      <c r="JE36" s="6">
        <f>日流量!JE36*24*3600/100000000</f>
        <v>6.2985600000000002</v>
      </c>
      <c r="JF36" s="6">
        <f>日流量!JF36*24*3600/100000000</f>
        <v>5.7455999999999996</v>
      </c>
      <c r="JG36" s="6">
        <f>日流量!JG36*24*3600/100000000</f>
        <v>5.3567999999999998</v>
      </c>
      <c r="JH36" s="6">
        <f>日流量!JH36*24*3600/100000000</f>
        <v>5.0371199999999998</v>
      </c>
      <c r="JI36" s="6">
        <f>日流量!JI36*24*3600/100000000</f>
        <v>4.8038400000000001</v>
      </c>
      <c r="JJ36" s="6">
        <f>日流量!JJ36*24*3600/100000000</f>
        <v>4.5273599999999998</v>
      </c>
      <c r="JK36" s="6">
        <f>日流量!JK36*24*3600/100000000</f>
        <v>4.2940800000000001</v>
      </c>
      <c r="JL36" s="6">
        <f>日流量!JL36*24*3600/100000000</f>
        <v>4.1212799999999996</v>
      </c>
      <c r="JM36" s="6">
        <f>日流量!JM36*24*3600/100000000</f>
        <v>4.1731199999999999</v>
      </c>
      <c r="JN36" s="6">
        <f>日流量!JN36*24*3600/100000000</f>
        <v>4.7001600000000003</v>
      </c>
      <c r="JO36" s="6">
        <f>日流量!JO36*24*3600/100000000</f>
        <v>4.6742400000000002</v>
      </c>
      <c r="JP36" s="6">
        <f>日流量!JP36*24*3600/100000000</f>
        <v>4.5014399999999997</v>
      </c>
      <c r="JQ36" s="6">
        <f>日流量!JQ36*24*3600/100000000</f>
        <v>4.3459199999999996</v>
      </c>
      <c r="JR36" s="6">
        <f>日流量!JR36*24*3600/100000000</f>
        <v>4.1644800000000002</v>
      </c>
      <c r="JS36" s="6">
        <f>日流量!JS36*24*3600/100000000</f>
        <v>4.04352</v>
      </c>
      <c r="JT36" s="6">
        <f>日流量!JT36*24*3600/100000000</f>
        <v>3.9052799999999999</v>
      </c>
      <c r="JU36" s="6">
        <f>日流量!JU36*24*3600/100000000</f>
        <v>3.8102399999999998</v>
      </c>
      <c r="JV36" s="6">
        <f>日流量!JV36*24*3600/100000000</f>
        <v>3.96576</v>
      </c>
      <c r="JW36" s="6">
        <f>日流量!JW36*24*3600/100000000</f>
        <v>4.5100800000000003</v>
      </c>
      <c r="JX36" s="6">
        <f>日流量!JX36*24*3600/100000000</f>
        <v>4.3891200000000001</v>
      </c>
      <c r="JY36" s="6">
        <f>日流量!JY36*24*3600/100000000</f>
        <v>4.0348800000000002</v>
      </c>
      <c r="JZ36" s="6">
        <f>日流量!JZ36*24*3600/100000000</f>
        <v>3.8102399999999998</v>
      </c>
      <c r="KA36" s="6">
        <f>日流量!KA36*24*3600/100000000</f>
        <v>3.6201599999999998</v>
      </c>
      <c r="KB36" s="6">
        <f>日流量!KB36*24*3600/100000000</f>
        <v>3.456</v>
      </c>
      <c r="KC36" s="6">
        <f>日流量!KC36*24*3600/100000000</f>
        <v>3.3177599999999998</v>
      </c>
      <c r="KD36" s="6">
        <f>日流量!KD36*24*3600/100000000</f>
        <v>3.2054399999999998</v>
      </c>
      <c r="KE36" s="6">
        <f>日流量!KE36*24*3600/100000000</f>
        <v>3.1103999999999998</v>
      </c>
      <c r="KF36" s="6">
        <f>日流量!KF36*24*3600/100000000</f>
        <v>3.0326399999999998</v>
      </c>
      <c r="KG36" s="6">
        <f>日流量!KG36*24*3600/100000000</f>
        <v>3.0499200000000002</v>
      </c>
      <c r="KH36" s="6">
        <f>日流量!KH36*24*3600/100000000</f>
        <v>3.2572800000000002</v>
      </c>
      <c r="KI36" s="6">
        <f>日流量!KI36*24*3600/100000000</f>
        <v>3.4732799999999999</v>
      </c>
      <c r="KJ36" s="6">
        <f>日流量!KJ36*24*3600/100000000</f>
        <v>3.5769600000000001</v>
      </c>
      <c r="KK36" s="6">
        <f>日流量!KK36*24*3600/100000000</f>
        <v>3.4732799999999999</v>
      </c>
      <c r="KL36" s="6">
        <f>日流量!KL36*24*3600/100000000</f>
        <v>3.3091200000000001</v>
      </c>
      <c r="KM36" s="6">
        <f>日流量!KM36*24*3600/100000000</f>
        <v>3.1795200000000001</v>
      </c>
      <c r="KN36" s="6">
        <f>日流量!KN36*24*3600/100000000</f>
        <v>3.04128</v>
      </c>
      <c r="KO36" s="6">
        <f>日流量!KO36*24*3600/100000000</f>
        <v>2.9203199999999998</v>
      </c>
      <c r="KP36" s="6">
        <f>日流量!KP36*24*3600/100000000</f>
        <v>2.8425600000000002</v>
      </c>
      <c r="KQ36" s="6">
        <f>日流量!KQ36*24*3600/100000000</f>
        <v>2.73888</v>
      </c>
      <c r="KR36" s="6">
        <f>日流量!KR36*24*3600/100000000</f>
        <v>2.6524800000000002</v>
      </c>
      <c r="KS36" s="6">
        <f>日流量!KS36*24*3600/100000000</f>
        <v>2.6179199999999998</v>
      </c>
      <c r="KT36" s="6">
        <f>日流量!KT36*24*3600/100000000</f>
        <v>2.5488</v>
      </c>
      <c r="KU36" s="6">
        <f>日流量!KU36*24*3600/100000000</f>
        <v>2.4710399999999999</v>
      </c>
      <c r="KV36" s="6">
        <f>日流量!KV36*24*3600/100000000</f>
        <v>2.4019200000000001</v>
      </c>
      <c r="KW36" s="6">
        <f>日流量!KW36*24*3600/100000000</f>
        <v>2.34144</v>
      </c>
      <c r="KX36" s="6">
        <f>日流量!KX36*24*3600/100000000</f>
        <v>2.2896000000000001</v>
      </c>
      <c r="KY36" s="6">
        <f>日流量!KY36*24*3600/100000000</f>
        <v>2.2204799999999998</v>
      </c>
      <c r="KZ36" s="6">
        <f>日流量!KZ36*24*3600/100000000</f>
        <v>2.1686399999999999</v>
      </c>
      <c r="LA36" s="6">
        <f>日流量!LA36*24*3600/100000000</f>
        <v>2.1168</v>
      </c>
      <c r="LB36" s="6">
        <f>日流量!LB36*24*3600/100000000</f>
        <v>2.0908799999999998</v>
      </c>
      <c r="LC36" s="6">
        <f>日流量!LC36*24*3600/100000000</f>
        <v>2.0476800000000002</v>
      </c>
      <c r="LD36" s="6">
        <f>日流量!LD36*24*3600/100000000</f>
        <v>2.0476800000000002</v>
      </c>
      <c r="LE36" s="6">
        <f>日流量!LE36*24*3600/100000000</f>
        <v>2.1254400000000002</v>
      </c>
      <c r="LF36" s="6">
        <f>日流量!LF36*24*3600/100000000</f>
        <v>2.22912</v>
      </c>
      <c r="LG36" s="6">
        <f>日流量!LG36*24*3600/100000000</f>
        <v>2.1772800000000001</v>
      </c>
      <c r="LH36" s="6">
        <f>日流量!LH36*24*3600/100000000</f>
        <v>2.0908799999999998</v>
      </c>
      <c r="LI36" s="6">
        <f>日流量!LI36*24*3600/100000000</f>
        <v>2.0304000000000002</v>
      </c>
      <c r="LJ36" s="6">
        <f>日流量!LJ36*24*3600/100000000</f>
        <v>2.0131199999999998</v>
      </c>
      <c r="LK36" s="6">
        <f>日流量!LK36*24*3600/100000000</f>
        <v>2.0131199999999998</v>
      </c>
      <c r="LL36" s="6">
        <f>日流量!LL36*24*3600/100000000</f>
        <v>1.9958400000000001</v>
      </c>
      <c r="LM36" s="6">
        <f>日流量!LM36*24*3600/100000000</f>
        <v>1.9785600000000001</v>
      </c>
      <c r="LN36" s="6">
        <f>日流量!LN36*24*3600/100000000</f>
        <v>1.92672</v>
      </c>
      <c r="LO36" s="6">
        <f>日流量!LO36*24*3600/100000000</f>
        <v>1.8921600000000001</v>
      </c>
      <c r="LP36" s="6">
        <f>日流量!LP36*24*3600/100000000</f>
        <v>1.84032</v>
      </c>
      <c r="LQ36" s="6">
        <f>日流量!LQ36*24*3600/100000000</f>
        <v>1.7712000000000001</v>
      </c>
      <c r="LR36" s="6">
        <f>日流量!LR36*24*3600/100000000</f>
        <v>1.73664</v>
      </c>
      <c r="LS36" s="6">
        <f>日流量!LS36*24*3600/100000000</f>
        <v>1.71072</v>
      </c>
      <c r="LT36" s="6">
        <f>日流量!LT36*24*3600/100000000</f>
        <v>1.6761600000000001</v>
      </c>
      <c r="LU36" s="6">
        <f>日流量!LU36*24*3600/100000000</f>
        <v>1.6415999999999999</v>
      </c>
      <c r="LV36" s="6">
        <f>日流量!LV36*24*3600/100000000</f>
        <v>1.5897600000000001</v>
      </c>
      <c r="LW36" s="6">
        <f>日流量!LW36*24*3600/100000000</f>
        <v>1.5638399999999999</v>
      </c>
      <c r="LX36" s="6">
        <f>日流量!LX36*24*3600/100000000</f>
        <v>1.52928</v>
      </c>
      <c r="LY36" s="6">
        <f>日流量!LY36*24*3600/100000000</f>
        <v>1.4860800000000001</v>
      </c>
      <c r="LZ36" s="6">
        <f>日流量!LZ36*24*3600/100000000</f>
        <v>1.4428799999999999</v>
      </c>
      <c r="MA36" s="6">
        <f>日流量!MA36*24*3600/100000000</f>
        <v>1.40832</v>
      </c>
      <c r="MB36" s="6">
        <f>日流量!MB36*24*3600/100000000</f>
        <v>1.3824000000000001</v>
      </c>
      <c r="MC36" s="6">
        <f>日流量!MC36*24*3600/100000000</f>
        <v>1.3564799999999999</v>
      </c>
      <c r="MD36" s="6">
        <f>日流量!MD36*24*3600/100000000</f>
        <v>1.3391999999999999</v>
      </c>
      <c r="ME36" s="6">
        <f>日流量!ME36*24*3600/100000000</f>
        <v>1.32192</v>
      </c>
      <c r="MF36" s="6">
        <f>日流量!MF36*24*3600/100000000</f>
        <v>1.296</v>
      </c>
      <c r="MG36" s="6">
        <f>日流量!MG36*24*3600/100000000</f>
        <v>1.2700800000000001</v>
      </c>
      <c r="MH36" s="6">
        <f>日流量!MH36*24*3600/100000000</f>
        <v>1.2614399999999999</v>
      </c>
      <c r="MI36" s="6">
        <f>日流量!MI36*24*3600/100000000</f>
        <v>1.23552</v>
      </c>
      <c r="MJ36" s="6">
        <f>日流量!MJ36*24*3600/100000000</f>
        <v>1.2096</v>
      </c>
      <c r="MK36" s="6">
        <f>日流量!MK36*24*3600/100000000</f>
        <v>1.19232</v>
      </c>
      <c r="ML36" s="6">
        <f>日流量!ML36*24*3600/100000000</f>
        <v>1.1750400000000001</v>
      </c>
      <c r="MM36" s="6">
        <f>日流量!MM36*24*3600/100000000</f>
        <v>1.1664000000000001</v>
      </c>
      <c r="MN36" s="6">
        <f>日流量!MN36*24*3600/100000000</f>
        <v>1.1491199999999999</v>
      </c>
      <c r="MO36" s="6">
        <f>日流量!MO36*24*3600/100000000</f>
        <v>1.1404799999999999</v>
      </c>
      <c r="MP36" s="6">
        <f>日流量!MP36*24*3600/100000000</f>
        <v>1.13184</v>
      </c>
      <c r="MQ36" s="6">
        <f>日流量!MQ36*24*3600/100000000</f>
        <v>1.11456</v>
      </c>
      <c r="MR36" s="6">
        <f>日流量!MR36*24*3600/100000000</f>
        <v>1.10592</v>
      </c>
      <c r="MS36" s="6">
        <f>日流量!MS36*24*3600/100000000</f>
        <v>1.08</v>
      </c>
      <c r="MT36" s="6">
        <f>日流量!MT36*24*3600/100000000</f>
        <v>1.08</v>
      </c>
      <c r="MU36" s="6">
        <f>日流量!MU36*24*3600/100000000</f>
        <v>1.0627200000000001</v>
      </c>
      <c r="MV36" s="6">
        <f>日流量!MV36*24*3600/100000000</f>
        <v>1.0454399999999999</v>
      </c>
      <c r="MW36" s="6">
        <f>日流量!MW36*24*3600/100000000</f>
        <v>1.0454399999999999</v>
      </c>
      <c r="MX36" s="6">
        <f>日流量!MX36*24*3600/100000000</f>
        <v>1.02816</v>
      </c>
      <c r="MY36" s="6">
        <f>日流量!MY36*24*3600/100000000</f>
        <v>1.01952</v>
      </c>
      <c r="MZ36" s="6">
        <f>日流量!MZ36*24*3600/100000000</f>
        <v>1.0454399999999999</v>
      </c>
      <c r="NA36" s="6">
        <f>日流量!NA36*24*3600/100000000</f>
        <v>1.10592</v>
      </c>
      <c r="NB36" s="6">
        <f>日流量!NB36*24*3600/100000000</f>
        <v>1.1404799999999999</v>
      </c>
      <c r="NC36" s="6"/>
      <c r="ND36" s="6">
        <f>日流量!ND36*24*3600*31/100000000</f>
        <v>31.33728</v>
      </c>
      <c r="NE36" s="6">
        <f>日流量!NE36*24*3600*28/100000000</f>
        <v>24.022656000000001</v>
      </c>
      <c r="NF36" s="6">
        <f>日流量!NF36*24*3600*31/100000000</f>
        <v>26.757216</v>
      </c>
      <c r="NG36" s="6">
        <f>日流量!NG36*24*3600*30/100000000</f>
        <v>30.3264</v>
      </c>
      <c r="NH36" s="6">
        <f>日流量!NH36*24*3600*31/100000000</f>
        <v>59.728319999999997</v>
      </c>
      <c r="NI36" s="6">
        <f>日流量!NI36*24*3600*30/100000000</f>
        <v>82.684799999999996</v>
      </c>
      <c r="NJ36" s="6">
        <f>日流量!NJ36*24*3600*31/100000000</f>
        <v>149.45472000000001</v>
      </c>
      <c r="NK36" s="6">
        <f>日流量!NK36*24*3600*31/100000000</f>
        <v>187.22015999999999</v>
      </c>
      <c r="NL36" s="6">
        <f>日流量!NL36*24*3600*30/100000000</f>
        <v>177.03360000000001</v>
      </c>
      <c r="NM36" s="6">
        <f>日流量!NM36*24*3600*31/100000000</f>
        <v>107.93952</v>
      </c>
      <c r="NN36" s="6">
        <f>日流量!NN36*24*3600*30/100000000</f>
        <v>59.616</v>
      </c>
      <c r="NO36" s="6">
        <f>日流量!NO36*24*3600*31/100000000</f>
        <v>36.961919999999999</v>
      </c>
      <c r="NP36" s="14">
        <f t="shared" si="10"/>
        <v>973.08259199999998</v>
      </c>
      <c r="NQ36" s="6">
        <f>日流量!NQ36*24*3600/100000000</f>
        <v>8.9855999999999998</v>
      </c>
      <c r="NR36" s="4">
        <f>日流量!NR36</f>
        <v>42615</v>
      </c>
      <c r="NS36" s="6">
        <f>日流量!NS36*24*3600/100000000</f>
        <v>0.79920000000000002</v>
      </c>
      <c r="NT36" s="4">
        <f>日流量!NT36</f>
        <v>42441</v>
      </c>
      <c r="NU36" s="7">
        <f>日流量!NP36</f>
        <v>3085.4164383561642</v>
      </c>
      <c r="NW36" s="13">
        <f t="shared" si="0"/>
        <v>764.06111999999996</v>
      </c>
      <c r="NX36" s="12">
        <f t="shared" si="1"/>
        <v>78.519657661289244</v>
      </c>
      <c r="NY36" s="13">
        <f t="shared" si="2"/>
        <v>596.39328</v>
      </c>
      <c r="NZ36" s="12">
        <f t="shared" si="3"/>
        <v>61.289070928112956</v>
      </c>
      <c r="OA36" s="13">
        <f t="shared" si="4"/>
        <v>209.02147200000002</v>
      </c>
      <c r="OB36" s="12">
        <f t="shared" si="5"/>
        <v>21.480342338710752</v>
      </c>
      <c r="OC36" s="13">
        <f t="shared" si="6"/>
        <v>187.22015999999999</v>
      </c>
      <c r="OD36" s="12">
        <f t="shared" si="7"/>
        <v>19.239904355415703</v>
      </c>
      <c r="OE36" s="12">
        <f t="shared" si="8"/>
        <v>227.35574579439253</v>
      </c>
      <c r="OF36" s="12">
        <f t="shared" si="9"/>
        <v>7.2094034054538465</v>
      </c>
    </row>
    <row r="37" spans="1:396" x14ac:dyDescent="0.15">
      <c r="A37" s="2">
        <v>1984</v>
      </c>
      <c r="B37" s="6">
        <f>日流量!B37*24*3600/100000000</f>
        <v>1.1750400000000001</v>
      </c>
      <c r="C37" s="6">
        <f>日流量!C37*24*3600/100000000</f>
        <v>1.1404799999999999</v>
      </c>
      <c r="D37" s="6">
        <f>日流量!D37*24*3600/100000000</f>
        <v>1.1232</v>
      </c>
      <c r="E37" s="6">
        <f>日流量!E37*24*3600/100000000</f>
        <v>1.0886400000000001</v>
      </c>
      <c r="F37" s="6">
        <f>日流量!F37*24*3600/100000000</f>
        <v>1.0713600000000001</v>
      </c>
      <c r="G37" s="6">
        <f>日流量!G37*24*3600/100000000</f>
        <v>1.0454399999999999</v>
      </c>
      <c r="H37" s="6">
        <f>日流量!H37*24*3600/100000000</f>
        <v>1.02816</v>
      </c>
      <c r="I37" s="6">
        <f>日流量!I37*24*3600/100000000</f>
        <v>1.01088</v>
      </c>
      <c r="J37" s="6">
        <f>日流量!J37*24*3600/100000000</f>
        <v>0.99360000000000004</v>
      </c>
      <c r="K37" s="6">
        <f>日流量!K37*24*3600/100000000</f>
        <v>0.97631999999999997</v>
      </c>
      <c r="L37" s="6">
        <f>日流量!L37*24*3600/100000000</f>
        <v>0.96767999999999998</v>
      </c>
      <c r="M37" s="6">
        <f>日流量!M37*24*3600/100000000</f>
        <v>0.95040000000000002</v>
      </c>
      <c r="N37" s="6">
        <f>日流量!N37*24*3600/100000000</f>
        <v>0.94176000000000004</v>
      </c>
      <c r="O37" s="6">
        <f>日流量!O37*24*3600/100000000</f>
        <v>0.93311999999999995</v>
      </c>
      <c r="P37" s="6">
        <f>日流量!P37*24*3600/100000000</f>
        <v>0.92447999999999997</v>
      </c>
      <c r="Q37" s="6">
        <f>日流量!Q37*24*3600/100000000</f>
        <v>0.92447999999999997</v>
      </c>
      <c r="R37" s="6">
        <f>日流量!R37*24*3600/100000000</f>
        <v>0.91583999999999999</v>
      </c>
      <c r="S37" s="6">
        <f>日流量!S37*24*3600/100000000</f>
        <v>0.89856000000000003</v>
      </c>
      <c r="T37" s="6">
        <f>日流量!T37*24*3600/100000000</f>
        <v>0.89856000000000003</v>
      </c>
      <c r="U37" s="6">
        <f>日流量!U37*24*3600/100000000</f>
        <v>0.89856000000000003</v>
      </c>
      <c r="V37" s="6">
        <f>日流量!V37*24*3600/100000000</f>
        <v>0.88992000000000004</v>
      </c>
      <c r="W37" s="6">
        <f>日流量!W37*24*3600/100000000</f>
        <v>0.88992000000000004</v>
      </c>
      <c r="X37" s="6">
        <f>日流量!X37*24*3600/100000000</f>
        <v>0.88992000000000004</v>
      </c>
      <c r="Y37" s="6">
        <f>日流量!Y37*24*3600/100000000</f>
        <v>0.88127999999999995</v>
      </c>
      <c r="Z37" s="6">
        <f>日流量!Z37*24*3600/100000000</f>
        <v>0.87263999999999997</v>
      </c>
      <c r="AA37" s="6">
        <f>日流量!AA37*24*3600/100000000</f>
        <v>0.85708799999999996</v>
      </c>
      <c r="AB37" s="6">
        <f>日流量!AB37*24*3600/100000000</f>
        <v>0.84412799999999999</v>
      </c>
      <c r="AC37" s="6">
        <f>日流量!AC37*24*3600/100000000</f>
        <v>0.83548800000000001</v>
      </c>
      <c r="AD37" s="6">
        <f>日流量!AD37*24*3600/100000000</f>
        <v>0.82684800000000003</v>
      </c>
      <c r="AE37" s="6">
        <f>日流量!AE37*24*3600/100000000</f>
        <v>0.81129600000000002</v>
      </c>
      <c r="AF37" s="6">
        <f>日流量!AF37*24*3600/100000000</f>
        <v>0.80265600000000004</v>
      </c>
      <c r="AG37" s="6">
        <f>日流量!AG37*24*3600/100000000</f>
        <v>0.800064</v>
      </c>
      <c r="AH37" s="6">
        <f>日流量!AH37*24*3600/100000000</f>
        <v>0.78883199999999998</v>
      </c>
      <c r="AI37" s="6">
        <f>日流量!AI37*24*3600/100000000</f>
        <v>0.78191999999999995</v>
      </c>
      <c r="AJ37" s="6">
        <f>日流量!AJ37*24*3600/100000000</f>
        <v>0.78105599999999997</v>
      </c>
      <c r="AK37" s="6">
        <f>日流量!AK37*24*3600/100000000</f>
        <v>0.77932800000000002</v>
      </c>
      <c r="AL37" s="6">
        <f>日流量!AL37*24*3600/100000000</f>
        <v>0.77500800000000003</v>
      </c>
      <c r="AM37" s="6">
        <f>日流量!AM37*24*3600/100000000</f>
        <v>0.76895999999999998</v>
      </c>
      <c r="AN37" s="6">
        <f>日流量!AN37*24*3600/100000000</f>
        <v>0.768096</v>
      </c>
      <c r="AO37" s="6">
        <f>日流量!AO37*24*3600/100000000</f>
        <v>0.768096</v>
      </c>
      <c r="AP37" s="6">
        <f>日流量!AP37*24*3600/100000000</f>
        <v>0.768096</v>
      </c>
      <c r="AQ37" s="6">
        <f>日流量!AQ37*24*3600/100000000</f>
        <v>0.76895999999999998</v>
      </c>
      <c r="AR37" s="6">
        <f>日流量!AR37*24*3600/100000000</f>
        <v>0.77241599999999999</v>
      </c>
      <c r="AS37" s="6">
        <f>日流量!AS37*24*3600/100000000</f>
        <v>0.77587200000000001</v>
      </c>
      <c r="AT37" s="6">
        <f>日流量!AT37*24*3600/100000000</f>
        <v>0.77673599999999998</v>
      </c>
      <c r="AU37" s="6">
        <f>日流量!AU37*24*3600/100000000</f>
        <v>0.77068800000000004</v>
      </c>
      <c r="AV37" s="6">
        <f>日流量!AV37*24*3600/100000000</f>
        <v>0.77068800000000004</v>
      </c>
      <c r="AW37" s="6">
        <f>日流量!AW37*24*3600/100000000</f>
        <v>0.76118399999999997</v>
      </c>
      <c r="AX37" s="6">
        <f>日流量!AX37*24*3600/100000000</f>
        <v>0.75686399999999998</v>
      </c>
      <c r="AY37" s="6">
        <f>日流量!AY37*24*3600/100000000</f>
        <v>0.75340799999999997</v>
      </c>
      <c r="AZ37" s="6">
        <f>日流量!AZ37*24*3600/100000000</f>
        <v>0.74995199999999995</v>
      </c>
      <c r="BA37" s="6">
        <f>日流量!BA37*24*3600/100000000</f>
        <v>0.74908799999999998</v>
      </c>
      <c r="BB37" s="6">
        <f>日流量!BB37*24*3600/100000000</f>
        <v>0.748224</v>
      </c>
      <c r="BC37" s="6">
        <f>日流量!BC37*24*3600/100000000</f>
        <v>0.74649600000000005</v>
      </c>
      <c r="BD37" s="6">
        <f>日流量!BD37*24*3600/100000000</f>
        <v>0.74649600000000005</v>
      </c>
      <c r="BE37" s="6">
        <f>日流量!BE37*24*3600/100000000</f>
        <v>0.74649600000000005</v>
      </c>
      <c r="BF37" s="6">
        <f>日流量!BF37*24*3600/100000000</f>
        <v>0.74736000000000002</v>
      </c>
      <c r="BG37" s="6">
        <f>日流量!BG37*24*3600/100000000</f>
        <v>0.75427200000000005</v>
      </c>
      <c r="BH37" s="6">
        <f>日流量!BH37*24*3600/100000000</f>
        <v>0.75686399999999998</v>
      </c>
      <c r="BI37" s="6">
        <f>日流量!BI37*24*3600/100000000</f>
        <v>0.75859200000000004</v>
      </c>
      <c r="BJ37" s="6">
        <f>日流量!BJ37*24*3600/100000000</f>
        <v>0.76032</v>
      </c>
      <c r="BK37" s="6">
        <f>日流量!BK37*24*3600/100000000</f>
        <v>0.76204799999999995</v>
      </c>
      <c r="BL37" s="6">
        <f>日流量!BL37*24*3600/100000000</f>
        <v>0.76377600000000001</v>
      </c>
      <c r="BM37" s="6">
        <f>日流量!BM37*24*3600/100000000</f>
        <v>0.76377600000000001</v>
      </c>
      <c r="BN37" s="6">
        <f>日流量!BN37*24*3600/100000000</f>
        <v>0.76032</v>
      </c>
      <c r="BO37" s="6">
        <f>日流量!BO37*24*3600/100000000</f>
        <v>0.75859200000000004</v>
      </c>
      <c r="BP37" s="6">
        <f>日流量!BP37*24*3600/100000000</f>
        <v>0.74736000000000002</v>
      </c>
      <c r="BQ37" s="6">
        <f>日流量!BQ37*24*3600/100000000</f>
        <v>0.73785599999999996</v>
      </c>
      <c r="BR37" s="6">
        <f>日流量!BR37*24*3600/100000000</f>
        <v>0.73699199999999998</v>
      </c>
      <c r="BS37" s="6">
        <f>日流量!BS37*24*3600/100000000</f>
        <v>0.73440000000000005</v>
      </c>
      <c r="BT37" s="6">
        <f>日流量!BT37*24*3600/100000000</f>
        <v>0.73180800000000001</v>
      </c>
      <c r="BU37" s="6">
        <f>日流量!BU37*24*3600/100000000</f>
        <v>0.73267199999999999</v>
      </c>
      <c r="BV37" s="6">
        <f>日流量!BV37*24*3600/100000000</f>
        <v>0.73267199999999999</v>
      </c>
      <c r="BW37" s="6">
        <f>日流量!BW37*24*3600/100000000</f>
        <v>0.73094400000000004</v>
      </c>
      <c r="BX37" s="6">
        <f>日流量!BX37*24*3600/100000000</f>
        <v>0.728352</v>
      </c>
      <c r="BY37" s="6">
        <f>日流量!BY37*24*3600/100000000</f>
        <v>0.72403200000000001</v>
      </c>
      <c r="BZ37" s="6">
        <f>日流量!BZ37*24*3600/100000000</f>
        <v>0.72316800000000003</v>
      </c>
      <c r="CA37" s="6">
        <f>日流量!CA37*24*3600/100000000</f>
        <v>0.72143999999999997</v>
      </c>
      <c r="CB37" s="6">
        <f>日流量!CB37*24*3600/100000000</f>
        <v>0.72748800000000002</v>
      </c>
      <c r="CC37" s="6">
        <f>日流量!CC37*24*3600/100000000</f>
        <v>0.73526400000000003</v>
      </c>
      <c r="CD37" s="6">
        <f>日流量!CD37*24*3600/100000000</f>
        <v>0.73526400000000003</v>
      </c>
      <c r="CE37" s="6">
        <f>日流量!CE37*24*3600/100000000</f>
        <v>0.72921599999999998</v>
      </c>
      <c r="CF37" s="6">
        <f>日流量!CF37*24*3600/100000000</f>
        <v>0.728352</v>
      </c>
      <c r="CG37" s="6">
        <f>日流量!CG37*24*3600/100000000</f>
        <v>0.73699199999999998</v>
      </c>
      <c r="CH37" s="6">
        <f>日流量!CH37*24*3600/100000000</f>
        <v>0.74995199999999995</v>
      </c>
      <c r="CI37" s="6">
        <f>日流量!CI37*24*3600/100000000</f>
        <v>0.74908799999999998</v>
      </c>
      <c r="CJ37" s="6">
        <f>日流量!CJ37*24*3600/100000000</f>
        <v>0.748224</v>
      </c>
      <c r="CK37" s="6">
        <f>日流量!CK37*24*3600/100000000</f>
        <v>0.75081600000000004</v>
      </c>
      <c r="CL37" s="6">
        <f>日流量!CL37*24*3600/100000000</f>
        <v>0.75772799999999996</v>
      </c>
      <c r="CM37" s="6">
        <f>日流量!CM37*24*3600/100000000</f>
        <v>0.75600000000000001</v>
      </c>
      <c r="CN37" s="6">
        <f>日流量!CN37*24*3600/100000000</f>
        <v>0.75254399999999999</v>
      </c>
      <c r="CO37" s="6">
        <f>日流量!CO37*24*3600/100000000</f>
        <v>0.75427200000000005</v>
      </c>
      <c r="CP37" s="6">
        <f>日流量!CP37*24*3600/100000000</f>
        <v>0.76118399999999997</v>
      </c>
      <c r="CQ37" s="6">
        <f>日流量!CQ37*24*3600/100000000</f>
        <v>0.76463999999999999</v>
      </c>
      <c r="CR37" s="6">
        <f>日流量!CR37*24*3600/100000000</f>
        <v>0.77155200000000002</v>
      </c>
      <c r="CS37" s="6">
        <f>日流量!CS37*24*3600/100000000</f>
        <v>0.78191999999999995</v>
      </c>
      <c r="CT37" s="6">
        <f>日流量!CT37*24*3600/100000000</f>
        <v>0.80179199999999995</v>
      </c>
      <c r="CU37" s="6">
        <f>日流量!CU37*24*3600/100000000</f>
        <v>0.82252800000000004</v>
      </c>
      <c r="CV37" s="6">
        <f>日流量!CV37*24*3600/100000000</f>
        <v>0.87263999999999997</v>
      </c>
      <c r="CW37" s="6">
        <f>日流量!CW37*24*3600/100000000</f>
        <v>0.95040000000000002</v>
      </c>
      <c r="CX37" s="6">
        <f>日流量!CX37*24*3600/100000000</f>
        <v>1.0367999999999999</v>
      </c>
      <c r="CY37" s="6">
        <f>日流量!CY37*24*3600/100000000</f>
        <v>1.0367999999999999</v>
      </c>
      <c r="CZ37" s="6">
        <f>日流量!CZ37*24*3600/100000000</f>
        <v>0.99360000000000004</v>
      </c>
      <c r="DA37" s="6">
        <f>日流量!DA37*24*3600/100000000</f>
        <v>0.95040000000000002</v>
      </c>
      <c r="DB37" s="6">
        <f>日流量!DB37*24*3600/100000000</f>
        <v>0.91583999999999999</v>
      </c>
      <c r="DC37" s="6">
        <f>日流量!DC37*24*3600/100000000</f>
        <v>0.89856000000000003</v>
      </c>
      <c r="DD37" s="6">
        <f>日流量!DD37*24*3600/100000000</f>
        <v>0.89856000000000003</v>
      </c>
      <c r="DE37" s="6">
        <f>日流量!DE37*24*3600/100000000</f>
        <v>0.89856000000000003</v>
      </c>
      <c r="DF37" s="6">
        <f>日流量!DF37*24*3600/100000000</f>
        <v>0.89856000000000003</v>
      </c>
      <c r="DG37" s="6">
        <f>日流量!DG37*24*3600/100000000</f>
        <v>0.89856000000000003</v>
      </c>
      <c r="DH37" s="6">
        <f>日流量!DH37*24*3600/100000000</f>
        <v>0.89856000000000003</v>
      </c>
      <c r="DI37" s="6">
        <f>日流量!DI37*24*3600/100000000</f>
        <v>0.91583999999999999</v>
      </c>
      <c r="DJ37" s="6">
        <f>日流量!DJ37*24*3600/100000000</f>
        <v>0.92447999999999997</v>
      </c>
      <c r="DK37" s="6">
        <f>日流量!DK37*24*3600/100000000</f>
        <v>0.92447999999999997</v>
      </c>
      <c r="DL37" s="6">
        <f>日流量!DL37*24*3600/100000000</f>
        <v>0.95040000000000002</v>
      </c>
      <c r="DM37" s="6">
        <f>日流量!DM37*24*3600/100000000</f>
        <v>0.95904</v>
      </c>
      <c r="DN37" s="6">
        <f>日流量!DN37*24*3600/100000000</f>
        <v>0.96767999999999998</v>
      </c>
      <c r="DO37" s="6">
        <f>日流量!DO37*24*3600/100000000</f>
        <v>0.99360000000000004</v>
      </c>
      <c r="DP37" s="6">
        <f>日流量!DP37*24*3600/100000000</f>
        <v>1.02816</v>
      </c>
      <c r="DQ37" s="6">
        <f>日流量!DQ37*24*3600/100000000</f>
        <v>1.0886400000000001</v>
      </c>
      <c r="DR37" s="6">
        <f>日流量!DR37*24*3600/100000000</f>
        <v>1.09728</v>
      </c>
      <c r="DS37" s="6">
        <f>日流量!DS37*24*3600/100000000</f>
        <v>1.1232</v>
      </c>
      <c r="DT37" s="6">
        <f>日流量!DT37*24*3600/100000000</f>
        <v>1.1404799999999999</v>
      </c>
      <c r="DU37" s="6">
        <f>日流量!DU37*24*3600/100000000</f>
        <v>1.10592</v>
      </c>
      <c r="DV37" s="6">
        <f>日流量!DV37*24*3600/100000000</f>
        <v>1.0886400000000001</v>
      </c>
      <c r="DW37" s="6">
        <f>日流量!DW37*24*3600/100000000</f>
        <v>1.0886400000000001</v>
      </c>
      <c r="DX37" s="6">
        <f>日流量!DX37*24*3600/100000000</f>
        <v>1.08</v>
      </c>
      <c r="DY37" s="6">
        <f>日流量!DY37*24*3600/100000000</f>
        <v>1.0886400000000001</v>
      </c>
      <c r="DZ37" s="6">
        <f>日流量!DZ37*24*3600/100000000</f>
        <v>1.1404799999999999</v>
      </c>
      <c r="EA37" s="6">
        <f>日流量!EA37*24*3600/100000000</f>
        <v>1.1664000000000001</v>
      </c>
      <c r="EB37" s="6">
        <f>日流量!EB37*24*3600/100000000</f>
        <v>1.1491199999999999</v>
      </c>
      <c r="EC37" s="6">
        <f>日流量!EC37*24*3600/100000000</f>
        <v>1.10592</v>
      </c>
      <c r="ED37" s="6">
        <f>日流量!ED37*24*3600/100000000</f>
        <v>1.08</v>
      </c>
      <c r="EE37" s="6">
        <f>日流量!EE37*24*3600/100000000</f>
        <v>1.0540799999999999</v>
      </c>
      <c r="EF37" s="6">
        <f>日流量!EF37*24*3600/100000000</f>
        <v>1.0367999999999999</v>
      </c>
      <c r="EG37" s="6">
        <f>日流量!EG37*24*3600/100000000</f>
        <v>1.0367999999999999</v>
      </c>
      <c r="EH37" s="6">
        <f>日流量!EH37*24*3600/100000000</f>
        <v>1.09728</v>
      </c>
      <c r="EI37" s="6">
        <f>日流量!EI37*24*3600/100000000</f>
        <v>1.23552</v>
      </c>
      <c r="EJ37" s="6">
        <f>日流量!EJ37*24*3600/100000000</f>
        <v>1.3478399999999999</v>
      </c>
      <c r="EK37" s="6">
        <f>日流量!EK37*24*3600/100000000</f>
        <v>1.50336</v>
      </c>
      <c r="EL37" s="6">
        <f>日流量!EL37*24*3600/100000000</f>
        <v>1.5811200000000001</v>
      </c>
      <c r="EM37" s="6">
        <f>日流量!EM37*24*3600/100000000</f>
        <v>1.5897600000000001</v>
      </c>
      <c r="EN37" s="6">
        <f>日流量!EN37*24*3600/100000000</f>
        <v>1.6415999999999999</v>
      </c>
      <c r="EO37" s="6">
        <f>日流量!EO37*24*3600/100000000</f>
        <v>1.61568</v>
      </c>
      <c r="EP37" s="6">
        <f>日流量!EP37*24*3600/100000000</f>
        <v>1.5551999999999999</v>
      </c>
      <c r="EQ37" s="6">
        <f>日流量!EQ37*24*3600/100000000</f>
        <v>1.63296</v>
      </c>
      <c r="ER37" s="6">
        <f>日流量!ER37*24*3600/100000000</f>
        <v>1.71936</v>
      </c>
      <c r="ES37" s="6">
        <f>日流量!ES37*24*3600/100000000</f>
        <v>1.9699199999999999</v>
      </c>
      <c r="ET37" s="6">
        <f>日流量!ET37*24*3600/100000000</f>
        <v>2.0131199999999998</v>
      </c>
      <c r="EU37" s="6">
        <f>日流量!EU37*24*3600/100000000</f>
        <v>2.4624000000000001</v>
      </c>
      <c r="EV37" s="6">
        <f>日流量!EV37*24*3600/100000000</f>
        <v>2.51424</v>
      </c>
      <c r="EW37" s="6">
        <f>日流量!EW37*24*3600/100000000</f>
        <v>2.2982399999999998</v>
      </c>
      <c r="EX37" s="6">
        <f>日流量!EX37*24*3600/100000000</f>
        <v>2.0304000000000002</v>
      </c>
      <c r="EY37" s="6">
        <f>日流量!EY37*24*3600/100000000</f>
        <v>2.1686399999999999</v>
      </c>
      <c r="EZ37" s="6">
        <f>日流量!EZ37*24*3600/100000000</f>
        <v>2.0908799999999998</v>
      </c>
      <c r="FA37" s="6">
        <f>日流量!FA37*24*3600/100000000</f>
        <v>1.9699199999999999</v>
      </c>
      <c r="FB37" s="6">
        <f>日流量!FB37*24*3600/100000000</f>
        <v>1.8489599999999999</v>
      </c>
      <c r="FC37" s="6">
        <f>日流量!FC37*24*3600/100000000</f>
        <v>1.71072</v>
      </c>
      <c r="FD37" s="6">
        <f>日流量!FD37*24*3600/100000000</f>
        <v>1.71072</v>
      </c>
      <c r="FE37" s="6">
        <f>日流量!FE37*24*3600/100000000</f>
        <v>1.71072</v>
      </c>
      <c r="FF37" s="6">
        <f>日流量!FF37*24*3600/100000000</f>
        <v>1.73664</v>
      </c>
      <c r="FG37" s="6">
        <f>日流量!FG37*24*3600/100000000</f>
        <v>2.51424</v>
      </c>
      <c r="FH37" s="6">
        <f>日流量!FH37*24*3600/100000000</f>
        <v>2.2031999999999998</v>
      </c>
      <c r="FI37" s="6">
        <f>日流量!FI37*24*3600/100000000</f>
        <v>2.1081599999999998</v>
      </c>
      <c r="FJ37" s="6">
        <f>日流量!FJ37*24*3600/100000000</f>
        <v>2.3500800000000002</v>
      </c>
      <c r="FK37" s="6">
        <f>日流量!FK37*24*3600/100000000</f>
        <v>2.4710399999999999</v>
      </c>
      <c r="FL37" s="6">
        <f>日流量!FL37*24*3600/100000000</f>
        <v>2.5833599999999999</v>
      </c>
      <c r="FM37" s="6">
        <f>日流量!FM37*24*3600/100000000</f>
        <v>2.5488</v>
      </c>
      <c r="FN37" s="6">
        <f>日流量!FN37*24*3600/100000000</f>
        <v>2.6697600000000001</v>
      </c>
      <c r="FO37" s="6">
        <f>日流量!FO37*24*3600/100000000</f>
        <v>2.7561599999999999</v>
      </c>
      <c r="FP37" s="6">
        <f>日流量!FP37*24*3600/100000000</f>
        <v>3.0585599999999999</v>
      </c>
      <c r="FQ37" s="6">
        <f>日流量!FQ37*24*3600/100000000</f>
        <v>3.4819200000000001</v>
      </c>
      <c r="FR37" s="6">
        <f>日流量!FR37*24*3600/100000000</f>
        <v>3.6547200000000002</v>
      </c>
      <c r="FS37" s="6">
        <f>日流量!FS37*24*3600/100000000</f>
        <v>3.4992000000000001</v>
      </c>
      <c r="FT37" s="6">
        <f>日流量!FT37*24*3600/100000000</f>
        <v>3.3955199999999999</v>
      </c>
      <c r="FU37" s="6">
        <f>日流量!FU37*24*3600/100000000</f>
        <v>3.3091200000000001</v>
      </c>
      <c r="FV37" s="6">
        <f>日流量!FV37*24*3600/100000000</f>
        <v>3.2745600000000001</v>
      </c>
      <c r="FW37" s="6">
        <f>日流量!FW37*24*3600/100000000</f>
        <v>3.4300799999999998</v>
      </c>
      <c r="FX37" s="6">
        <f>日流量!FX37*24*3600/100000000</f>
        <v>3.5942400000000001</v>
      </c>
      <c r="FY37" s="6">
        <f>日流量!FY37*24*3600/100000000</f>
        <v>3.9225599999999998</v>
      </c>
      <c r="FZ37" s="6">
        <f>日流量!FZ37*24*3600/100000000</f>
        <v>4.7779199999999999</v>
      </c>
      <c r="GA37" s="6">
        <f>日流量!GA37*24*3600/100000000</f>
        <v>5.8838400000000002</v>
      </c>
      <c r="GB37" s="6">
        <f>日流量!GB37*24*3600/100000000</f>
        <v>6.2812799999999998</v>
      </c>
      <c r="GC37" s="6">
        <f>日流量!GC37*24*3600/100000000</f>
        <v>6.3244800000000003</v>
      </c>
      <c r="GD37" s="6">
        <f>日流量!GD37*24*3600/100000000</f>
        <v>6.3590400000000002</v>
      </c>
      <c r="GE37" s="6">
        <f>日流量!GE37*24*3600/100000000</f>
        <v>6.5836800000000002</v>
      </c>
      <c r="GF37" s="6">
        <f>日流量!GF37*24*3600/100000000</f>
        <v>5.8665599999999998</v>
      </c>
      <c r="GG37" s="6">
        <f>日流量!GG37*24*3600/100000000</f>
        <v>5.4</v>
      </c>
      <c r="GH37" s="6">
        <f>日流量!GH37*24*3600/100000000</f>
        <v>5.47776</v>
      </c>
      <c r="GI37" s="6">
        <f>日流量!GI37*24*3600/100000000</f>
        <v>8.0524799999999992</v>
      </c>
      <c r="GJ37" s="6">
        <f>日流量!GJ37*24*3600/100000000</f>
        <v>9.1584000000000003</v>
      </c>
      <c r="GK37" s="6">
        <f>日流量!GK37*24*3600/100000000</f>
        <v>10.368</v>
      </c>
      <c r="GL37" s="6">
        <f>日流量!GL37*24*3600/100000000</f>
        <v>10.6272</v>
      </c>
      <c r="GM37" s="6">
        <f>日流量!GM37*24*3600/100000000</f>
        <v>10.368</v>
      </c>
      <c r="GN37" s="6">
        <f>日流量!GN37*24*3600/100000000</f>
        <v>9.5904000000000007</v>
      </c>
      <c r="GO37" s="6">
        <f>日流量!GO37*24*3600/100000000</f>
        <v>9.1584000000000003</v>
      </c>
      <c r="GP37" s="6">
        <f>日流量!GP37*24*3600/100000000</f>
        <v>9.9359999999999999</v>
      </c>
      <c r="GQ37" s="6">
        <f>日流量!GQ37*24*3600/100000000</f>
        <v>10.540800000000001</v>
      </c>
      <c r="GR37" s="6">
        <f>日流量!GR37*24*3600/100000000</f>
        <v>11.1456</v>
      </c>
      <c r="GS37" s="6">
        <f>日流量!GS37*24*3600/100000000</f>
        <v>10.7136</v>
      </c>
      <c r="GT37" s="6">
        <f>日流量!GT37*24*3600/100000000</f>
        <v>9.8496000000000006</v>
      </c>
      <c r="GU37" s="6">
        <f>日流量!GU37*24*3600/100000000</f>
        <v>8.7263999999999999</v>
      </c>
      <c r="GV37" s="6">
        <f>日流量!GV37*24*3600/100000000</f>
        <v>8.0006400000000006</v>
      </c>
      <c r="GW37" s="6">
        <f>日流量!GW37*24*3600/100000000</f>
        <v>7.4563199999999998</v>
      </c>
      <c r="GX37" s="6">
        <f>日流量!GX37*24*3600/100000000</f>
        <v>7.6463999999999999</v>
      </c>
      <c r="GY37" s="6">
        <f>日流量!GY37*24*3600/100000000</f>
        <v>8.0956799999999998</v>
      </c>
      <c r="GZ37" s="6">
        <f>日流量!GZ37*24*3600/100000000</f>
        <v>7.8883200000000002</v>
      </c>
      <c r="HA37" s="6">
        <f>日流量!HA37*24*3600/100000000</f>
        <v>7.6204799999999997</v>
      </c>
      <c r="HB37" s="6">
        <f>日流量!HB37*24*3600/100000000</f>
        <v>8.2166399999999999</v>
      </c>
      <c r="HC37" s="6">
        <f>日流量!HC37*24*3600/100000000</f>
        <v>8.5190400000000004</v>
      </c>
      <c r="HD37" s="6">
        <f>日流量!HD37*24*3600/100000000</f>
        <v>8.1561599999999999</v>
      </c>
      <c r="HE37" s="6">
        <f>日流量!HE37*24*3600/100000000</f>
        <v>7.6809599999999998</v>
      </c>
      <c r="HF37" s="6">
        <f>日流量!HF37*24*3600/100000000</f>
        <v>7.9142400000000004</v>
      </c>
      <c r="HG37" s="6">
        <f>日流量!HG37*24*3600/100000000</f>
        <v>8.08704</v>
      </c>
      <c r="HH37" s="6">
        <f>日流量!HH37*24*3600/100000000</f>
        <v>7.6982400000000002</v>
      </c>
      <c r="HI37" s="6">
        <f>日流量!HI37*24*3600/100000000</f>
        <v>7.3612799999999998</v>
      </c>
      <c r="HJ37" s="6">
        <f>日流量!HJ37*24*3600/100000000</f>
        <v>7.1020799999999999</v>
      </c>
      <c r="HK37" s="6">
        <f>日流量!HK37*24*3600/100000000</f>
        <v>7.1452799999999996</v>
      </c>
      <c r="HL37" s="6">
        <f>日流量!HL37*24*3600/100000000</f>
        <v>6.9206399999999997</v>
      </c>
      <c r="HM37" s="6">
        <f>日流量!HM37*24*3600/100000000</f>
        <v>6.5491200000000003</v>
      </c>
      <c r="HN37" s="6">
        <f>日流量!HN37*24*3600/100000000</f>
        <v>6.3417599999999998</v>
      </c>
      <c r="HO37" s="6">
        <f>日流量!HO37*24*3600/100000000</f>
        <v>6.048</v>
      </c>
      <c r="HP37" s="6">
        <f>日流量!HP37*24*3600/100000000</f>
        <v>5.9443200000000003</v>
      </c>
      <c r="HQ37" s="6">
        <f>日流量!HQ37*24*3600/100000000</f>
        <v>6.1257599999999996</v>
      </c>
      <c r="HR37" s="6">
        <f>日流量!HR37*24*3600/100000000</f>
        <v>5.85792</v>
      </c>
      <c r="HS37" s="6">
        <f>日流量!HS37*24*3600/100000000</f>
        <v>5.5123199999999999</v>
      </c>
      <c r="HT37" s="6">
        <f>日流量!HT37*24*3600/100000000</f>
        <v>5.1667199999999998</v>
      </c>
      <c r="HU37" s="6">
        <f>日流量!HU37*24*3600/100000000</f>
        <v>4.8988800000000001</v>
      </c>
      <c r="HV37" s="6">
        <f>日流量!HV37*24*3600/100000000</f>
        <v>4.6051200000000003</v>
      </c>
      <c r="HW37" s="6">
        <f>日流量!HW37*24*3600/100000000</f>
        <v>4.4496000000000002</v>
      </c>
      <c r="HX37" s="6">
        <f>日流量!HX37*24*3600/100000000</f>
        <v>4.4236800000000001</v>
      </c>
      <c r="HY37" s="6">
        <f>日流量!HY37*24*3600/100000000</f>
        <v>4.5100800000000003</v>
      </c>
      <c r="HZ37" s="6">
        <f>日流量!HZ37*24*3600/100000000</f>
        <v>4.7174399999999999</v>
      </c>
      <c r="IA37" s="6">
        <f>日流量!IA37*24*3600/100000000</f>
        <v>5.2358399999999996</v>
      </c>
      <c r="IB37" s="6">
        <f>日流量!IB37*24*3600/100000000</f>
        <v>6.6528</v>
      </c>
      <c r="IC37" s="6">
        <f>日流量!IC37*24*3600/100000000</f>
        <v>6.6182400000000001</v>
      </c>
      <c r="ID37" s="6">
        <f>日流量!ID37*24*3600/100000000</f>
        <v>6.0998400000000004</v>
      </c>
      <c r="IE37" s="6">
        <f>日流量!IE37*24*3600/100000000</f>
        <v>5.7974399999999999</v>
      </c>
      <c r="IF37" s="6">
        <f>日流量!IF37*24*3600/100000000</f>
        <v>5.6419199999999998</v>
      </c>
      <c r="IG37" s="6">
        <f>日流量!IG37*24*3600/100000000</f>
        <v>5.3567999999999998</v>
      </c>
      <c r="IH37" s="6">
        <f>日流量!IH37*24*3600/100000000</f>
        <v>5.3740800000000002</v>
      </c>
      <c r="II37" s="6">
        <f>日流量!II37*24*3600/100000000</f>
        <v>6.1689600000000002</v>
      </c>
      <c r="IJ37" s="6">
        <f>日流量!IJ37*24*3600/100000000</f>
        <v>5.8147200000000003</v>
      </c>
      <c r="IK37" s="6">
        <f>日流量!IK37*24*3600/100000000</f>
        <v>5.9270399999999999</v>
      </c>
      <c r="IL37" s="6">
        <f>日流量!IL37*24*3600/100000000</f>
        <v>5.8233600000000001</v>
      </c>
      <c r="IM37" s="6">
        <f>日流量!IM37*24*3600/100000000</f>
        <v>5.5382400000000001</v>
      </c>
      <c r="IN37" s="6">
        <f>日流量!IN37*24*3600/100000000</f>
        <v>5.6505599999999996</v>
      </c>
      <c r="IO37" s="6">
        <f>日流量!IO37*24*3600/100000000</f>
        <v>5.6332800000000001</v>
      </c>
      <c r="IP37" s="6">
        <f>日流量!IP37*24*3600/100000000</f>
        <v>5.2185600000000001</v>
      </c>
      <c r="IQ37" s="6">
        <f>日流量!IQ37*24*3600/100000000</f>
        <v>4.8297600000000003</v>
      </c>
      <c r="IR37" s="6">
        <f>日流量!IR37*24*3600/100000000</f>
        <v>4.6310399999999996</v>
      </c>
      <c r="IS37" s="6">
        <f>日流量!IS37*24*3600/100000000</f>
        <v>4.6396800000000002</v>
      </c>
      <c r="IT37" s="6">
        <f>日流量!IT37*24*3600/100000000</f>
        <v>4.7865599999999997</v>
      </c>
      <c r="IU37" s="6">
        <f>日流量!IU37*24*3600/100000000</f>
        <v>4.6915199999999997</v>
      </c>
      <c r="IV37" s="6">
        <f>日流量!IV37*24*3600/100000000</f>
        <v>4.5014399999999997</v>
      </c>
      <c r="IW37" s="6">
        <f>日流量!IW37*24*3600/100000000</f>
        <v>4.3459199999999996</v>
      </c>
      <c r="IX37" s="6">
        <f>日流量!IX37*24*3600/100000000</f>
        <v>4.6137600000000001</v>
      </c>
      <c r="IY37" s="6">
        <f>日流量!IY37*24*3600/100000000</f>
        <v>4.7779199999999999</v>
      </c>
      <c r="IZ37" s="6">
        <f>日流量!IZ37*24*3600/100000000</f>
        <v>4.9766399999999997</v>
      </c>
      <c r="JA37" s="6">
        <f>日流量!JA37*24*3600/100000000</f>
        <v>5.1321599999999998</v>
      </c>
      <c r="JB37" s="6">
        <f>日流量!JB37*24*3600/100000000</f>
        <v>5.5468799999999998</v>
      </c>
      <c r="JC37" s="6">
        <f>日流量!JC37*24*3600/100000000</f>
        <v>6.1430400000000001</v>
      </c>
      <c r="JD37" s="6">
        <f>日流量!JD37*24*3600/100000000</f>
        <v>6.3849600000000004</v>
      </c>
      <c r="JE37" s="6">
        <f>日流量!JE37*24*3600/100000000</f>
        <v>6.6959999999999997</v>
      </c>
      <c r="JF37" s="6">
        <f>日流量!JF37*24*3600/100000000</f>
        <v>6.7305599999999997</v>
      </c>
      <c r="JG37" s="6">
        <f>日流量!JG37*24*3600/100000000</f>
        <v>6.4454399999999996</v>
      </c>
      <c r="JH37" s="6">
        <f>日流量!JH37*24*3600/100000000</f>
        <v>6.0566399999999998</v>
      </c>
      <c r="JI37" s="6">
        <f>日流量!JI37*24*3600/100000000</f>
        <v>5.8838400000000002</v>
      </c>
      <c r="JJ37" s="6">
        <f>日流量!JJ37*24*3600/100000000</f>
        <v>5.5641600000000002</v>
      </c>
      <c r="JK37" s="6">
        <f>日流量!JK37*24*3600/100000000</f>
        <v>5.1667199999999998</v>
      </c>
      <c r="JL37" s="6">
        <f>日流量!JL37*24*3600/100000000</f>
        <v>4.8902400000000004</v>
      </c>
      <c r="JM37" s="6">
        <f>日流量!JM37*24*3600/100000000</f>
        <v>4.6051200000000003</v>
      </c>
      <c r="JN37" s="6">
        <f>日流量!JN37*24*3600/100000000</f>
        <v>4.3459199999999996</v>
      </c>
      <c r="JO37" s="6">
        <f>日流量!JO37*24*3600/100000000</f>
        <v>4.1212799999999996</v>
      </c>
      <c r="JP37" s="6">
        <f>日流量!JP37*24*3600/100000000</f>
        <v>3.9225599999999998</v>
      </c>
      <c r="JQ37" s="6">
        <f>日流量!JQ37*24*3600/100000000</f>
        <v>3.7584</v>
      </c>
      <c r="JR37" s="6">
        <f>日流量!JR37*24*3600/100000000</f>
        <v>3.6028799999999999</v>
      </c>
      <c r="JS37" s="6">
        <f>日流量!JS37*24*3600/100000000</f>
        <v>3.4732799999999999</v>
      </c>
      <c r="JT37" s="6">
        <f>日流量!JT37*24*3600/100000000</f>
        <v>3.3955199999999999</v>
      </c>
      <c r="JU37" s="6">
        <f>日流量!JU37*24*3600/100000000</f>
        <v>3.34368</v>
      </c>
      <c r="JV37" s="6">
        <f>日流量!JV37*24*3600/100000000</f>
        <v>3.2572800000000002</v>
      </c>
      <c r="JW37" s="6">
        <f>日流量!JW37*24*3600/100000000</f>
        <v>3.13632</v>
      </c>
      <c r="JX37" s="6">
        <f>日流量!JX37*24*3600/100000000</f>
        <v>3.024</v>
      </c>
      <c r="JY37" s="6">
        <f>日流量!JY37*24*3600/100000000</f>
        <v>2.91168</v>
      </c>
      <c r="JZ37" s="6">
        <f>日流量!JZ37*24*3600/100000000</f>
        <v>2.81664</v>
      </c>
      <c r="KA37" s="6">
        <f>日流量!KA37*24*3600/100000000</f>
        <v>2.7302399999999998</v>
      </c>
      <c r="KB37" s="6">
        <f>日流量!KB37*24*3600/100000000</f>
        <v>2.6611199999999999</v>
      </c>
      <c r="KC37" s="6">
        <f>日流量!KC37*24*3600/100000000</f>
        <v>2.6179199999999998</v>
      </c>
      <c r="KD37" s="6">
        <f>日流量!KD37*24*3600/100000000</f>
        <v>2.5574400000000002</v>
      </c>
      <c r="KE37" s="6">
        <f>日流量!KE37*24*3600/100000000</f>
        <v>2.5228799999999998</v>
      </c>
      <c r="KF37" s="6">
        <f>日流量!KF37*24*3600/100000000</f>
        <v>2.5488</v>
      </c>
      <c r="KG37" s="6">
        <f>日流量!KG37*24*3600/100000000</f>
        <v>2.5920000000000001</v>
      </c>
      <c r="KH37" s="6">
        <f>日流量!KH37*24*3600/100000000</f>
        <v>2.5920000000000001</v>
      </c>
      <c r="KI37" s="6">
        <f>日流量!KI37*24*3600/100000000</f>
        <v>2.60928</v>
      </c>
      <c r="KJ37" s="6">
        <f>日流量!KJ37*24*3600/100000000</f>
        <v>2.6783999999999999</v>
      </c>
      <c r="KK37" s="6">
        <f>日流量!KK37*24*3600/100000000</f>
        <v>2.7302399999999998</v>
      </c>
      <c r="KL37" s="6">
        <f>日流量!KL37*24*3600/100000000</f>
        <v>2.7907199999999999</v>
      </c>
      <c r="KM37" s="6">
        <f>日流量!KM37*24*3600/100000000</f>
        <v>2.8425600000000002</v>
      </c>
      <c r="KN37" s="6">
        <f>日流量!KN37*24*3600/100000000</f>
        <v>2.8512</v>
      </c>
      <c r="KO37" s="6">
        <f>日流量!KO37*24*3600/100000000</f>
        <v>2.7648000000000001</v>
      </c>
      <c r="KP37" s="6">
        <f>日流量!KP37*24*3600/100000000</f>
        <v>2.6524800000000002</v>
      </c>
      <c r="KQ37" s="6">
        <f>日流量!KQ37*24*3600/100000000</f>
        <v>2.5660799999999999</v>
      </c>
      <c r="KR37" s="6">
        <f>日流量!KR37*24*3600/100000000</f>
        <v>2.4883199999999999</v>
      </c>
      <c r="KS37" s="6">
        <f>日流量!KS37*24*3600/100000000</f>
        <v>2.4278400000000002</v>
      </c>
      <c r="KT37" s="6">
        <f>日流量!KT37*24*3600/100000000</f>
        <v>2.3673600000000001</v>
      </c>
      <c r="KU37" s="6">
        <f>日流量!KU37*24*3600/100000000</f>
        <v>2.3155199999999998</v>
      </c>
      <c r="KV37" s="6">
        <f>日流量!KV37*24*3600/100000000</f>
        <v>2.2550400000000002</v>
      </c>
      <c r="KW37" s="6">
        <f>日流量!KW37*24*3600/100000000</f>
        <v>2.21184</v>
      </c>
      <c r="KX37" s="6">
        <f>日流量!KX37*24*3600/100000000</f>
        <v>2.1686399999999999</v>
      </c>
      <c r="KY37" s="6">
        <f>日流量!KY37*24*3600/100000000</f>
        <v>2.1081599999999998</v>
      </c>
      <c r="KZ37" s="6">
        <f>日流量!KZ37*24*3600/100000000</f>
        <v>2.0649600000000001</v>
      </c>
      <c r="LA37" s="6">
        <f>日流量!LA37*24*3600/100000000</f>
        <v>2.0304000000000002</v>
      </c>
      <c r="LB37" s="6">
        <f>日流量!LB37*24*3600/100000000</f>
        <v>1.9958400000000001</v>
      </c>
      <c r="LC37" s="6">
        <f>日流量!LC37*24*3600/100000000</f>
        <v>1.9526399999999999</v>
      </c>
      <c r="LD37" s="6">
        <f>日流量!LD37*24*3600/100000000</f>
        <v>1.91808</v>
      </c>
      <c r="LE37" s="6">
        <f>日流量!LE37*24*3600/100000000</f>
        <v>1.8835200000000001</v>
      </c>
      <c r="LF37" s="6">
        <f>日流量!LF37*24*3600/100000000</f>
        <v>1.8489599999999999</v>
      </c>
      <c r="LG37" s="6">
        <f>日流量!LG37*24*3600/100000000</f>
        <v>1.8144</v>
      </c>
      <c r="LH37" s="6">
        <f>日流量!LH37*24*3600/100000000</f>
        <v>1.7712000000000001</v>
      </c>
      <c r="LI37" s="6">
        <f>日流量!LI37*24*3600/100000000</f>
        <v>1.7539199999999999</v>
      </c>
      <c r="LJ37" s="6">
        <f>日流量!LJ37*24*3600/100000000</f>
        <v>1.73664</v>
      </c>
      <c r="LK37" s="6">
        <f>日流量!LK37*24*3600/100000000</f>
        <v>1.70208</v>
      </c>
      <c r="LL37" s="6">
        <f>日流量!LL37*24*3600/100000000</f>
        <v>1.6761600000000001</v>
      </c>
      <c r="LM37" s="6">
        <f>日流量!LM37*24*3600/100000000</f>
        <v>1.6588799999999999</v>
      </c>
      <c r="LN37" s="6">
        <f>日流量!LN37*24*3600/100000000</f>
        <v>1.63296</v>
      </c>
      <c r="LO37" s="6">
        <f>日流量!LO37*24*3600/100000000</f>
        <v>1.61568</v>
      </c>
      <c r="LP37" s="6">
        <f>日流量!LP37*24*3600/100000000</f>
        <v>1.5984</v>
      </c>
      <c r="LQ37" s="6">
        <f>日流量!LQ37*24*3600/100000000</f>
        <v>1.5724800000000001</v>
      </c>
      <c r="LR37" s="6">
        <f>日流量!LR37*24*3600/100000000</f>
        <v>1.5465599999999999</v>
      </c>
      <c r="LS37" s="6">
        <f>日流量!LS37*24*3600/100000000</f>
        <v>1.53792</v>
      </c>
      <c r="LT37" s="6">
        <f>日流量!LT37*24*3600/100000000</f>
        <v>1.52064</v>
      </c>
      <c r="LU37" s="6">
        <f>日流量!LU37*24*3600/100000000</f>
        <v>1.512</v>
      </c>
      <c r="LV37" s="6">
        <f>日流量!LV37*24*3600/100000000</f>
        <v>1.49472</v>
      </c>
      <c r="LW37" s="6">
        <f>日流量!LW37*24*3600/100000000</f>
        <v>1.4688000000000001</v>
      </c>
      <c r="LX37" s="6">
        <f>日流量!LX37*24*3600/100000000</f>
        <v>1.4515199999999999</v>
      </c>
      <c r="LY37" s="6">
        <f>日流量!LY37*24*3600/100000000</f>
        <v>1.43424</v>
      </c>
      <c r="LZ37" s="6">
        <f>日流量!LZ37*24*3600/100000000</f>
        <v>1.41696</v>
      </c>
      <c r="MA37" s="6">
        <f>日流量!MA37*24*3600/100000000</f>
        <v>1.3737600000000001</v>
      </c>
      <c r="MB37" s="6">
        <f>日流量!MB37*24*3600/100000000</f>
        <v>1.3564799999999999</v>
      </c>
      <c r="MC37" s="6">
        <f>日流量!MC37*24*3600/100000000</f>
        <v>1.3391999999999999</v>
      </c>
      <c r="MD37" s="6">
        <f>日流量!MD37*24*3600/100000000</f>
        <v>1.32192</v>
      </c>
      <c r="ME37" s="6">
        <f>日流量!ME37*24*3600/100000000</f>
        <v>1.296</v>
      </c>
      <c r="MF37" s="6">
        <f>日流量!MF37*24*3600/100000000</f>
        <v>1.296</v>
      </c>
      <c r="MG37" s="6">
        <f>日流量!MG37*24*3600/100000000</f>
        <v>1.2787200000000001</v>
      </c>
      <c r="MH37" s="6">
        <f>日流量!MH37*24*3600/100000000</f>
        <v>1.2700800000000001</v>
      </c>
      <c r="MI37" s="6">
        <f>日流量!MI37*24*3600/100000000</f>
        <v>1.2441599999999999</v>
      </c>
      <c r="MJ37" s="6">
        <f>日流量!MJ37*24*3600/100000000</f>
        <v>1.23552</v>
      </c>
      <c r="MK37" s="6">
        <f>日流量!MK37*24*3600/100000000</f>
        <v>1.21824</v>
      </c>
      <c r="ML37" s="6">
        <f>日流量!ML37*24*3600/100000000</f>
        <v>1.2096</v>
      </c>
      <c r="MM37" s="6">
        <f>日流量!MM37*24*3600/100000000</f>
        <v>1.2096</v>
      </c>
      <c r="MN37" s="6">
        <f>日流量!MN37*24*3600/100000000</f>
        <v>1.2096</v>
      </c>
      <c r="MO37" s="6">
        <f>日流量!MO37*24*3600/100000000</f>
        <v>1.20096</v>
      </c>
      <c r="MP37" s="6">
        <f>日流量!MP37*24*3600/100000000</f>
        <v>1.1836800000000001</v>
      </c>
      <c r="MQ37" s="6">
        <f>日流量!MQ37*24*3600/100000000</f>
        <v>1.1836800000000001</v>
      </c>
      <c r="MR37" s="6">
        <f>日流量!MR37*24*3600/100000000</f>
        <v>1.1750400000000001</v>
      </c>
      <c r="MS37" s="6">
        <f>日流量!MS37*24*3600/100000000</f>
        <v>1.1577599999999999</v>
      </c>
      <c r="MT37" s="6">
        <f>日流量!MT37*24*3600/100000000</f>
        <v>1.1577599999999999</v>
      </c>
      <c r="MU37" s="6">
        <f>日流量!MU37*24*3600/100000000</f>
        <v>1.13184</v>
      </c>
      <c r="MV37" s="6">
        <f>日流量!MV37*24*3600/100000000</f>
        <v>1.1232</v>
      </c>
      <c r="MW37" s="6">
        <f>日流量!MW37*24*3600/100000000</f>
        <v>1.11456</v>
      </c>
      <c r="MX37" s="6">
        <f>日流量!MX37*24*3600/100000000</f>
        <v>1.10592</v>
      </c>
      <c r="MY37" s="6">
        <f>日流量!MY37*24*3600/100000000</f>
        <v>1.10592</v>
      </c>
      <c r="MZ37" s="6">
        <f>日流量!MZ37*24*3600/100000000</f>
        <v>1.09728</v>
      </c>
      <c r="NA37" s="6">
        <f>日流量!NA37*24*3600/100000000</f>
        <v>1.0886400000000001</v>
      </c>
      <c r="NB37" s="6">
        <f>日流量!NB37*24*3600/100000000</f>
        <v>1.0713600000000001</v>
      </c>
      <c r="NC37" s="6">
        <f>日流量!NC37*24*3600/100000000</f>
        <v>1.0627200000000001</v>
      </c>
      <c r="ND37" s="6">
        <f>日流量!ND37*24*3600*31/100000000</f>
        <v>29.194559999999999</v>
      </c>
      <c r="NE37" s="6">
        <f>日流量!NE37*24*3600*29/100000000</f>
        <v>22.199615999999999</v>
      </c>
      <c r="NF37" s="6">
        <f>日流量!NF37*24*3600*31/100000000</f>
        <v>23.007456000000001</v>
      </c>
      <c r="NG37" s="6">
        <f>日流量!NG37*24*3600*30/100000000</f>
        <v>27.475200000000001</v>
      </c>
      <c r="NH37" s="6">
        <f>日流量!NH37*24*3600*31/100000000</f>
        <v>44.193600000000004</v>
      </c>
      <c r="NI37" s="6">
        <f>日流量!NI37*24*3600*30/100000000</f>
        <v>84.499200000000002</v>
      </c>
      <c r="NJ37" s="6">
        <f>日流量!NJ37*24*3600*31/100000000</f>
        <v>257.66208</v>
      </c>
      <c r="NK37" s="6">
        <f>日流量!NK37*24*3600*31/100000000</f>
        <v>184.27392</v>
      </c>
      <c r="NL37" s="6">
        <f>日流量!NL37*24*3600*30/100000000</f>
        <v>158.37119999999999</v>
      </c>
      <c r="NM37" s="6">
        <f>日流量!NM37*24*3600*31/100000000</f>
        <v>89.190719999999999</v>
      </c>
      <c r="NN37" s="6">
        <f>日流量!NN37*24*3600*30/100000000</f>
        <v>53.913600000000002</v>
      </c>
      <c r="NO37" s="6">
        <f>日流量!NO37*24*3600*31/100000000</f>
        <v>37.765439999999998</v>
      </c>
      <c r="NP37" s="14">
        <f t="shared" si="10"/>
        <v>1011.746592</v>
      </c>
      <c r="NQ37" s="6">
        <f>日流量!NQ37*24*3600/100000000</f>
        <v>11.1456</v>
      </c>
      <c r="NR37" s="4">
        <f>日流量!NR37</f>
        <v>42568</v>
      </c>
      <c r="NS37" s="6">
        <f>日流量!NS37*24*3600/100000000</f>
        <v>0.72143999999999997</v>
      </c>
      <c r="NT37" s="4">
        <f>日流量!NT37</f>
        <v>42447</v>
      </c>
      <c r="NU37" s="7">
        <f>日流量!NP37</f>
        <v>3199.1803278688526</v>
      </c>
      <c r="NW37" s="13">
        <f t="shared" si="0"/>
        <v>818.19072000000006</v>
      </c>
      <c r="NX37" s="12">
        <f t="shared" si="1"/>
        <v>80.869135262676537</v>
      </c>
      <c r="NY37" s="13">
        <f t="shared" si="2"/>
        <v>684.80639999999994</v>
      </c>
      <c r="NZ37" s="12">
        <f t="shared" si="3"/>
        <v>67.685565280362212</v>
      </c>
      <c r="OA37" s="13">
        <f t="shared" si="4"/>
        <v>193.55587199999991</v>
      </c>
      <c r="OB37" s="12">
        <f t="shared" si="5"/>
        <v>19.130864737323467</v>
      </c>
      <c r="OC37" s="13">
        <f t="shared" si="6"/>
        <v>257.66208</v>
      </c>
      <c r="OD37" s="12">
        <f t="shared" si="7"/>
        <v>25.467056873466593</v>
      </c>
      <c r="OE37" s="12">
        <f t="shared" si="8"/>
        <v>236.38939065420561</v>
      </c>
      <c r="OF37" s="12">
        <f t="shared" si="9"/>
        <v>7.495858404813724</v>
      </c>
    </row>
    <row r="38" spans="1:396" x14ac:dyDescent="0.15">
      <c r="A38" s="2">
        <v>1985</v>
      </c>
      <c r="B38" s="6">
        <f>日流量!B38*24*3600/100000000</f>
        <v>1.02816</v>
      </c>
      <c r="C38" s="6">
        <f>日流量!C38*24*3600/100000000</f>
        <v>1.01952</v>
      </c>
      <c r="D38" s="6">
        <f>日流量!D38*24*3600/100000000</f>
        <v>1.00224</v>
      </c>
      <c r="E38" s="6">
        <f>日流量!E38*24*3600/100000000</f>
        <v>0.99360000000000004</v>
      </c>
      <c r="F38" s="6">
        <f>日流量!F38*24*3600/100000000</f>
        <v>0.97631999999999997</v>
      </c>
      <c r="G38" s="6">
        <f>日流量!G38*24*3600/100000000</f>
        <v>0.97631999999999997</v>
      </c>
      <c r="H38" s="6">
        <f>日流量!H38*24*3600/100000000</f>
        <v>0.96767999999999998</v>
      </c>
      <c r="I38" s="6">
        <f>日流量!I38*24*3600/100000000</f>
        <v>0.95904</v>
      </c>
      <c r="J38" s="6">
        <f>日流量!J38*24*3600/100000000</f>
        <v>0.95904</v>
      </c>
      <c r="K38" s="6">
        <f>日流量!K38*24*3600/100000000</f>
        <v>0.94176000000000004</v>
      </c>
      <c r="L38" s="6">
        <f>日流量!L38*24*3600/100000000</f>
        <v>0.93311999999999995</v>
      </c>
      <c r="M38" s="6">
        <f>日流量!M38*24*3600/100000000</f>
        <v>0.92447999999999997</v>
      </c>
      <c r="N38" s="6">
        <f>日流量!N38*24*3600/100000000</f>
        <v>0.91583999999999999</v>
      </c>
      <c r="O38" s="6">
        <f>日流量!O38*24*3600/100000000</f>
        <v>0.91583999999999999</v>
      </c>
      <c r="P38" s="6">
        <f>日流量!P38*24*3600/100000000</f>
        <v>0.90720000000000001</v>
      </c>
      <c r="Q38" s="6">
        <f>日流量!Q38*24*3600/100000000</f>
        <v>0.90720000000000001</v>
      </c>
      <c r="R38" s="6">
        <f>日流量!R38*24*3600/100000000</f>
        <v>0.88992000000000004</v>
      </c>
      <c r="S38" s="6">
        <f>日流量!S38*24*3600/100000000</f>
        <v>0.88127999999999995</v>
      </c>
      <c r="T38" s="6">
        <f>日流量!T38*24*3600/100000000</f>
        <v>0.86399999999999999</v>
      </c>
      <c r="U38" s="6">
        <f>日流量!U38*24*3600/100000000</f>
        <v>0.85622399999999999</v>
      </c>
      <c r="V38" s="6">
        <f>日流量!V38*24*3600/100000000</f>
        <v>0.85276799999999997</v>
      </c>
      <c r="W38" s="6">
        <f>日流量!W38*24*3600/100000000</f>
        <v>0.84585600000000005</v>
      </c>
      <c r="X38" s="6">
        <f>日流量!X38*24*3600/100000000</f>
        <v>0.83462400000000003</v>
      </c>
      <c r="Y38" s="6">
        <f>日流量!Y38*24*3600/100000000</f>
        <v>0.82339200000000001</v>
      </c>
      <c r="Z38" s="6">
        <f>日流量!Z38*24*3600/100000000</f>
        <v>0.819936</v>
      </c>
      <c r="AA38" s="6">
        <f>日流量!AA38*24*3600/100000000</f>
        <v>0.81820800000000005</v>
      </c>
      <c r="AB38" s="6">
        <f>日流量!AB38*24*3600/100000000</f>
        <v>0.819936</v>
      </c>
      <c r="AC38" s="6">
        <f>日流量!AC38*24*3600/100000000</f>
        <v>0.82598400000000005</v>
      </c>
      <c r="AD38" s="6">
        <f>日流量!AD38*24*3600/100000000</f>
        <v>0.83030400000000004</v>
      </c>
      <c r="AE38" s="6">
        <f>日流量!AE38*24*3600/100000000</f>
        <v>0.82943999999999996</v>
      </c>
      <c r="AF38" s="6">
        <f>日流量!AF38*24*3600/100000000</f>
        <v>0.82425599999999999</v>
      </c>
      <c r="AG38" s="6">
        <f>日流量!AG38*24*3600/100000000</f>
        <v>0.81820800000000005</v>
      </c>
      <c r="AH38" s="6">
        <f>日流量!AH38*24*3600/100000000</f>
        <v>0.81561600000000001</v>
      </c>
      <c r="AI38" s="6">
        <f>日流量!AI38*24*3600/100000000</f>
        <v>0.81561600000000001</v>
      </c>
      <c r="AJ38" s="6">
        <f>日流量!AJ38*24*3600/100000000</f>
        <v>0.81215999999999999</v>
      </c>
      <c r="AK38" s="6">
        <f>日流量!AK38*24*3600/100000000</f>
        <v>0.81129600000000002</v>
      </c>
      <c r="AL38" s="6">
        <f>日流量!AL38*24*3600/100000000</f>
        <v>0.80697600000000003</v>
      </c>
      <c r="AM38" s="6">
        <f>日流量!AM38*24*3600/100000000</f>
        <v>0.80265600000000004</v>
      </c>
      <c r="AN38" s="6">
        <f>日流量!AN38*24*3600/100000000</f>
        <v>0.79660799999999998</v>
      </c>
      <c r="AO38" s="6">
        <f>日流量!AO38*24*3600/100000000</f>
        <v>0.78969599999999995</v>
      </c>
      <c r="AP38" s="6">
        <f>日流量!AP38*24*3600/100000000</f>
        <v>0.78537599999999996</v>
      </c>
      <c r="AQ38" s="6">
        <f>日流量!AQ38*24*3600/100000000</f>
        <v>0.78191999999999995</v>
      </c>
      <c r="AR38" s="6">
        <f>日流量!AR38*24*3600/100000000</f>
        <v>0.77846400000000004</v>
      </c>
      <c r="AS38" s="6">
        <f>日流量!AS38*24*3600/100000000</f>
        <v>0.77587200000000001</v>
      </c>
      <c r="AT38" s="6">
        <f>日流量!AT38*24*3600/100000000</f>
        <v>0.77327999999999997</v>
      </c>
      <c r="AU38" s="6">
        <f>日流量!AU38*24*3600/100000000</f>
        <v>0.76982399999999995</v>
      </c>
      <c r="AV38" s="6">
        <f>日流量!AV38*24*3600/100000000</f>
        <v>0.768096</v>
      </c>
      <c r="AW38" s="6">
        <f>日流量!AW38*24*3600/100000000</f>
        <v>0.76550399999999996</v>
      </c>
      <c r="AX38" s="6">
        <f>日流量!AX38*24*3600/100000000</f>
        <v>0.76550399999999996</v>
      </c>
      <c r="AY38" s="6">
        <f>日流量!AY38*24*3600/100000000</f>
        <v>0.76550399999999996</v>
      </c>
      <c r="AZ38" s="6">
        <f>日流量!AZ38*24*3600/100000000</f>
        <v>0.76204799999999995</v>
      </c>
      <c r="BA38" s="6">
        <f>日流量!BA38*24*3600/100000000</f>
        <v>0.76204799999999995</v>
      </c>
      <c r="BB38" s="6">
        <f>日流量!BB38*24*3600/100000000</f>
        <v>0.76204799999999995</v>
      </c>
      <c r="BC38" s="6">
        <f>日流量!BC38*24*3600/100000000</f>
        <v>0.76204799999999995</v>
      </c>
      <c r="BD38" s="6">
        <f>日流量!BD38*24*3600/100000000</f>
        <v>0.75859200000000004</v>
      </c>
      <c r="BE38" s="6">
        <f>日流量!BE38*24*3600/100000000</f>
        <v>0.75600000000000001</v>
      </c>
      <c r="BF38" s="6">
        <f>日流量!BF38*24*3600/100000000</f>
        <v>0.75427200000000005</v>
      </c>
      <c r="BG38" s="6">
        <f>日流量!BG38*24*3600/100000000</f>
        <v>0.75427200000000005</v>
      </c>
      <c r="BH38" s="6">
        <f>日流量!BH38*24*3600/100000000</f>
        <v>0.75427200000000005</v>
      </c>
      <c r="BI38" s="6"/>
      <c r="BJ38" s="6">
        <f>日流量!BJ38*24*3600/100000000</f>
        <v>0.75427200000000005</v>
      </c>
      <c r="BK38" s="6">
        <f>日流量!BK38*24*3600/100000000</f>
        <v>0.75427200000000005</v>
      </c>
      <c r="BL38" s="6">
        <f>日流量!BL38*24*3600/100000000</f>
        <v>0.75427200000000005</v>
      </c>
      <c r="BM38" s="6">
        <f>日流量!BM38*24*3600/100000000</f>
        <v>0.75427200000000005</v>
      </c>
      <c r="BN38" s="6">
        <f>日流量!BN38*24*3600/100000000</f>
        <v>0.75427200000000005</v>
      </c>
      <c r="BO38" s="6">
        <f>日流量!BO38*24*3600/100000000</f>
        <v>0.75427200000000005</v>
      </c>
      <c r="BP38" s="6">
        <f>日流量!BP38*24*3600/100000000</f>
        <v>0.75427200000000005</v>
      </c>
      <c r="BQ38" s="6">
        <f>日流量!BQ38*24*3600/100000000</f>
        <v>0.75772799999999996</v>
      </c>
      <c r="BR38" s="6">
        <f>日流量!BR38*24*3600/100000000</f>
        <v>0.76550399999999996</v>
      </c>
      <c r="BS38" s="6">
        <f>日流量!BS38*24*3600/100000000</f>
        <v>0.76982399999999995</v>
      </c>
      <c r="BT38" s="6">
        <f>日流量!BT38*24*3600/100000000</f>
        <v>0.76982399999999995</v>
      </c>
      <c r="BU38" s="6">
        <f>日流量!BU38*24*3600/100000000</f>
        <v>0.76982399999999995</v>
      </c>
      <c r="BV38" s="6">
        <f>日流量!BV38*24*3600/100000000</f>
        <v>0.76982399999999995</v>
      </c>
      <c r="BW38" s="6">
        <f>日流量!BW38*24*3600/100000000</f>
        <v>0.76982399999999995</v>
      </c>
      <c r="BX38" s="6">
        <f>日流量!BX38*24*3600/100000000</f>
        <v>0.76982399999999995</v>
      </c>
      <c r="BY38" s="6">
        <f>日流量!BY38*24*3600/100000000</f>
        <v>0.76982399999999995</v>
      </c>
      <c r="BZ38" s="6">
        <f>日流量!BZ38*24*3600/100000000</f>
        <v>0.780192</v>
      </c>
      <c r="CA38" s="6">
        <f>日流量!CA38*24*3600/100000000</f>
        <v>0.78537599999999996</v>
      </c>
      <c r="CB38" s="6">
        <f>日流量!CB38*24*3600/100000000</f>
        <v>0.78537599999999996</v>
      </c>
      <c r="CC38" s="6">
        <f>日流量!CC38*24*3600/100000000</f>
        <v>0.78537599999999996</v>
      </c>
      <c r="CD38" s="6">
        <f>日流量!CD38*24*3600/100000000</f>
        <v>0.78537599999999996</v>
      </c>
      <c r="CE38" s="6">
        <f>日流量!CE38*24*3600/100000000</f>
        <v>0.78537599999999996</v>
      </c>
      <c r="CF38" s="6">
        <f>日流量!CF38*24*3600/100000000</f>
        <v>0.78537599999999996</v>
      </c>
      <c r="CG38" s="6">
        <f>日流量!CG38*24*3600/100000000</f>
        <v>0.79315199999999997</v>
      </c>
      <c r="CH38" s="6">
        <f>日流量!CH38*24*3600/100000000</f>
        <v>0.80092799999999997</v>
      </c>
      <c r="CI38" s="6">
        <f>日流量!CI38*24*3600/100000000</f>
        <v>0.80092799999999997</v>
      </c>
      <c r="CJ38" s="6">
        <f>日流量!CJ38*24*3600/100000000</f>
        <v>0.78278400000000004</v>
      </c>
      <c r="CK38" s="6">
        <f>日流量!CK38*24*3600/100000000</f>
        <v>0.76723200000000003</v>
      </c>
      <c r="CL38" s="6">
        <f>日流量!CL38*24*3600/100000000</f>
        <v>0.76550399999999996</v>
      </c>
      <c r="CM38" s="6">
        <f>日流量!CM38*24*3600/100000000</f>
        <v>0.78364800000000001</v>
      </c>
      <c r="CN38" s="6">
        <f>日流量!CN38*24*3600/100000000</f>
        <v>0.80438399999999999</v>
      </c>
      <c r="CO38" s="6">
        <f>日流量!CO38*24*3600/100000000</f>
        <v>0.83808000000000005</v>
      </c>
      <c r="CP38" s="6">
        <f>日流量!CP38*24*3600/100000000</f>
        <v>0.88992000000000004</v>
      </c>
      <c r="CQ38" s="6">
        <f>日流量!CQ38*24*3600/100000000</f>
        <v>0.93311999999999995</v>
      </c>
      <c r="CR38" s="6">
        <f>日流量!CR38*24*3600/100000000</f>
        <v>0.97631999999999997</v>
      </c>
      <c r="CS38" s="6">
        <f>日流量!CS38*24*3600/100000000</f>
        <v>1.00224</v>
      </c>
      <c r="CT38" s="6">
        <f>日流量!CT38*24*3600/100000000</f>
        <v>0.98495999999999995</v>
      </c>
      <c r="CU38" s="6">
        <f>日流量!CU38*24*3600/100000000</f>
        <v>0.98495999999999995</v>
      </c>
      <c r="CV38" s="6">
        <f>日流量!CV38*24*3600/100000000</f>
        <v>0.98495999999999995</v>
      </c>
      <c r="CW38" s="6">
        <f>日流量!CW38*24*3600/100000000</f>
        <v>0.98495999999999995</v>
      </c>
      <c r="CX38" s="6">
        <f>日流量!CX38*24*3600/100000000</f>
        <v>0.99360000000000004</v>
      </c>
      <c r="CY38" s="6">
        <f>日流量!CY38*24*3600/100000000</f>
        <v>1.00224</v>
      </c>
      <c r="CZ38" s="6">
        <f>日流量!CZ38*24*3600/100000000</f>
        <v>1.01088</v>
      </c>
      <c r="DA38" s="6">
        <f>日流量!DA38*24*3600/100000000</f>
        <v>1.01952</v>
      </c>
      <c r="DB38" s="6">
        <f>日流量!DB38*24*3600/100000000</f>
        <v>1.01952</v>
      </c>
      <c r="DC38" s="6">
        <f>日流量!DC38*24*3600/100000000</f>
        <v>1.0540799999999999</v>
      </c>
      <c r="DD38" s="6">
        <f>日流量!DD38*24*3600/100000000</f>
        <v>1.1232</v>
      </c>
      <c r="DE38" s="6">
        <f>日流量!DE38*24*3600/100000000</f>
        <v>1.1491199999999999</v>
      </c>
      <c r="DF38" s="6">
        <f>日流量!DF38*24*3600/100000000</f>
        <v>1.1577599999999999</v>
      </c>
      <c r="DG38" s="6">
        <f>日流量!DG38*24*3600/100000000</f>
        <v>1.1750400000000001</v>
      </c>
      <c r="DH38" s="6">
        <f>日流量!DH38*24*3600/100000000</f>
        <v>1.1750400000000001</v>
      </c>
      <c r="DI38" s="6">
        <f>日流量!DI38*24*3600/100000000</f>
        <v>1.1577599999999999</v>
      </c>
      <c r="DJ38" s="6">
        <f>日流量!DJ38*24*3600/100000000</f>
        <v>1.1491199999999999</v>
      </c>
      <c r="DK38" s="6">
        <f>日流量!DK38*24*3600/100000000</f>
        <v>1.20096</v>
      </c>
      <c r="DL38" s="6">
        <f>日流量!DL38*24*3600/100000000</f>
        <v>1.21824</v>
      </c>
      <c r="DM38" s="6">
        <f>日流量!DM38*24*3600/100000000</f>
        <v>1.1836800000000001</v>
      </c>
      <c r="DN38" s="6">
        <f>日流量!DN38*24*3600/100000000</f>
        <v>1.1577599999999999</v>
      </c>
      <c r="DO38" s="6">
        <f>日流量!DO38*24*3600/100000000</f>
        <v>1.1491199999999999</v>
      </c>
      <c r="DP38" s="6">
        <f>日流量!DP38*24*3600/100000000</f>
        <v>1.1577599999999999</v>
      </c>
      <c r="DQ38" s="6">
        <f>日流量!DQ38*24*3600/100000000</f>
        <v>1.2614399999999999</v>
      </c>
      <c r="DR38" s="6">
        <f>日流量!DR38*24*3600/100000000</f>
        <v>1.3564799999999999</v>
      </c>
      <c r="DS38" s="6">
        <f>日流量!DS38*24*3600/100000000</f>
        <v>1.3391999999999999</v>
      </c>
      <c r="DT38" s="6">
        <f>日流量!DT38*24*3600/100000000</f>
        <v>1.296</v>
      </c>
      <c r="DU38" s="6">
        <f>日流量!DU38*24*3600/100000000</f>
        <v>1.2527999999999999</v>
      </c>
      <c r="DV38" s="6">
        <f>日流量!DV38*24*3600/100000000</f>
        <v>1.2096</v>
      </c>
      <c r="DW38" s="6">
        <f>日流量!DW38*24*3600/100000000</f>
        <v>1.20096</v>
      </c>
      <c r="DX38" s="6">
        <f>日流量!DX38*24*3600/100000000</f>
        <v>1.22688</v>
      </c>
      <c r="DY38" s="6">
        <f>日流量!DY38*24*3600/100000000</f>
        <v>1.31328</v>
      </c>
      <c r="DZ38" s="6">
        <f>日流量!DZ38*24*3600/100000000</f>
        <v>1.3910400000000001</v>
      </c>
      <c r="EA38" s="6">
        <f>日流量!EA38*24*3600/100000000</f>
        <v>1.4688000000000001</v>
      </c>
      <c r="EB38" s="6">
        <f>日流量!EB38*24*3600/100000000</f>
        <v>1.49472</v>
      </c>
      <c r="EC38" s="6">
        <f>日流量!EC38*24*3600/100000000</f>
        <v>1.49472</v>
      </c>
      <c r="ED38" s="6">
        <f>日流量!ED38*24*3600/100000000</f>
        <v>1.4515199999999999</v>
      </c>
      <c r="EE38" s="6">
        <f>日流量!EE38*24*3600/100000000</f>
        <v>1.4428799999999999</v>
      </c>
      <c r="EF38" s="6">
        <f>日流量!EF38*24*3600/100000000</f>
        <v>1.4515199999999999</v>
      </c>
      <c r="EG38" s="6">
        <f>日流量!EG38*24*3600/100000000</f>
        <v>1.4688000000000001</v>
      </c>
      <c r="EH38" s="6">
        <f>日流量!EH38*24*3600/100000000</f>
        <v>1.52928</v>
      </c>
      <c r="EI38" s="6">
        <f>日流量!EI38*24*3600/100000000</f>
        <v>1.62432</v>
      </c>
      <c r="EJ38" s="6">
        <f>日流量!EJ38*24*3600/100000000</f>
        <v>1.6848000000000001</v>
      </c>
      <c r="EK38" s="6">
        <f>日流量!EK38*24*3600/100000000</f>
        <v>1.6761600000000001</v>
      </c>
      <c r="EL38" s="6">
        <f>日流量!EL38*24*3600/100000000</f>
        <v>1.6675199999999999</v>
      </c>
      <c r="EM38" s="6">
        <f>日流量!EM38*24*3600/100000000</f>
        <v>1.7452799999999999</v>
      </c>
      <c r="EN38" s="6">
        <f>日流量!EN38*24*3600/100000000</f>
        <v>1.8144</v>
      </c>
      <c r="EO38" s="6">
        <f>日流量!EO38*24*3600/100000000</f>
        <v>1.82304</v>
      </c>
      <c r="EP38" s="6">
        <f>日流量!EP38*24*3600/100000000</f>
        <v>1.8575999999999999</v>
      </c>
      <c r="EQ38" s="6">
        <f>日流量!EQ38*24*3600/100000000</f>
        <v>1.8748800000000001</v>
      </c>
      <c r="ER38" s="6">
        <f>日流量!ER38*24*3600/100000000</f>
        <v>1.9008</v>
      </c>
      <c r="ES38" s="6">
        <f>日流量!ES38*24*3600/100000000</f>
        <v>1.8662399999999999</v>
      </c>
      <c r="ET38" s="6">
        <f>日流量!ET38*24*3600/100000000</f>
        <v>1.83168</v>
      </c>
      <c r="EU38" s="6">
        <f>日流量!EU38*24*3600/100000000</f>
        <v>1.8835200000000001</v>
      </c>
      <c r="EV38" s="6">
        <f>日流量!EV38*24*3600/100000000</f>
        <v>1.9785600000000001</v>
      </c>
      <c r="EW38" s="6">
        <f>日流量!EW38*24*3600/100000000</f>
        <v>2.0563199999999999</v>
      </c>
      <c r="EX38" s="6">
        <f>日流量!EX38*24*3600/100000000</f>
        <v>2.1427200000000002</v>
      </c>
      <c r="EY38" s="6">
        <f>日流量!EY38*24*3600/100000000</f>
        <v>2.2204799999999998</v>
      </c>
      <c r="EZ38" s="6">
        <f>日流量!EZ38*24*3600/100000000</f>
        <v>2.5228799999999998</v>
      </c>
      <c r="FA38" s="6">
        <f>日流量!FA38*24*3600/100000000</f>
        <v>2.62656</v>
      </c>
      <c r="FB38" s="6">
        <f>日流量!FB38*24*3600/100000000</f>
        <v>2.7302399999999998</v>
      </c>
      <c r="FC38" s="6">
        <f>日流量!FC38*24*3600/100000000</f>
        <v>2.8771200000000001</v>
      </c>
      <c r="FD38" s="6">
        <f>日流量!FD38*24*3600/100000000</f>
        <v>2.9635199999999999</v>
      </c>
      <c r="FE38" s="6">
        <f>日流量!FE38*24*3600/100000000</f>
        <v>3.0844800000000001</v>
      </c>
      <c r="FF38" s="6">
        <f>日流量!FF38*24*3600/100000000</f>
        <v>3.0844800000000001</v>
      </c>
      <c r="FG38" s="6">
        <f>日流量!FG38*24*3600/100000000</f>
        <v>3.04128</v>
      </c>
      <c r="FH38" s="6">
        <f>日流量!FH38*24*3600/100000000</f>
        <v>2.9807999999999999</v>
      </c>
      <c r="FI38" s="6">
        <f>日流量!FI38*24*3600/100000000</f>
        <v>3.21408</v>
      </c>
      <c r="FJ38" s="6">
        <f>日流量!FJ38*24*3600/100000000</f>
        <v>3.5855999999999999</v>
      </c>
      <c r="FK38" s="6">
        <f>日流量!FK38*24*3600/100000000</f>
        <v>3.5078399999999998</v>
      </c>
      <c r="FL38" s="6">
        <f>日流量!FL38*24*3600/100000000</f>
        <v>3.8188800000000001</v>
      </c>
      <c r="FM38" s="6">
        <f>日流量!FM38*24*3600/100000000</f>
        <v>4.4323199999999998</v>
      </c>
      <c r="FN38" s="6">
        <f>日流量!FN38*24*3600/100000000</f>
        <v>4.4409599999999996</v>
      </c>
      <c r="FO38" s="6">
        <f>日流量!FO38*24*3600/100000000</f>
        <v>4.87296</v>
      </c>
      <c r="FP38" s="6">
        <f>日流量!FP38*24*3600/100000000</f>
        <v>5.15808</v>
      </c>
      <c r="FQ38" s="6">
        <f>日流量!FQ38*24*3600/100000000</f>
        <v>5.1494400000000002</v>
      </c>
      <c r="FR38" s="6">
        <f>日流量!FR38*24*3600/100000000</f>
        <v>5.5382400000000001</v>
      </c>
      <c r="FS38" s="6">
        <f>日流量!FS38*24*3600/100000000</f>
        <v>6.7046400000000004</v>
      </c>
      <c r="FT38" s="6">
        <f>日流量!FT38*24*3600/100000000</f>
        <v>6.6787200000000002</v>
      </c>
      <c r="FU38" s="6">
        <f>日流量!FU38*24*3600/100000000</f>
        <v>6.2899200000000004</v>
      </c>
      <c r="FV38" s="6">
        <f>日流量!FV38*24*3600/100000000</f>
        <v>6.6268799999999999</v>
      </c>
      <c r="FW38" s="6">
        <f>日流量!FW38*24*3600/100000000</f>
        <v>7.16256</v>
      </c>
      <c r="FX38" s="6">
        <f>日流量!FX38*24*3600/100000000</f>
        <v>7.8105599999999997</v>
      </c>
      <c r="FY38" s="6">
        <f>日流量!FY38*24*3600/100000000</f>
        <v>8.5449599999999997</v>
      </c>
      <c r="FZ38" s="6">
        <f>日流量!FZ38*24*3600/100000000</f>
        <v>9.1584000000000003</v>
      </c>
      <c r="GA38" s="6">
        <f>日流量!GA38*24*3600/100000000</f>
        <v>9.9359999999999999</v>
      </c>
      <c r="GB38" s="6">
        <f>日流量!GB38*24*3600/100000000</f>
        <v>10.022399999999999</v>
      </c>
      <c r="GC38" s="6">
        <f>日流量!GC38*24*3600/100000000</f>
        <v>10.281599999999999</v>
      </c>
      <c r="GD38" s="6">
        <f>日流量!GD38*24*3600/100000000</f>
        <v>11.664</v>
      </c>
      <c r="GE38" s="6">
        <f>日流量!GE38*24*3600/100000000</f>
        <v>10.972799999999999</v>
      </c>
      <c r="GF38" s="6">
        <f>日流量!GF38*24*3600/100000000</f>
        <v>10.6272</v>
      </c>
      <c r="GG38" s="6">
        <f>日流量!GG38*24*3600/100000000</f>
        <v>11.491199999999999</v>
      </c>
      <c r="GH38" s="6">
        <f>日流量!GH38*24*3600/100000000</f>
        <v>12.528</v>
      </c>
      <c r="GI38" s="6">
        <f>日流量!GI38*24*3600/100000000</f>
        <v>12.096</v>
      </c>
      <c r="GJ38" s="6">
        <f>日流量!GJ38*24*3600/100000000</f>
        <v>12.009600000000001</v>
      </c>
      <c r="GK38" s="6">
        <f>日流量!GK38*24*3600/100000000</f>
        <v>14.0832</v>
      </c>
      <c r="GL38" s="6">
        <f>日流量!GL38*24*3600/100000000</f>
        <v>12.8736</v>
      </c>
      <c r="GM38" s="6">
        <f>日流量!GM38*24*3600/100000000</f>
        <v>11.5776</v>
      </c>
      <c r="GN38" s="6">
        <f>日流量!GN38*24*3600/100000000</f>
        <v>10.4544</v>
      </c>
      <c r="GO38" s="6">
        <f>日流量!GO38*24*3600/100000000</f>
        <v>10.1088</v>
      </c>
      <c r="GP38" s="6">
        <f>日流量!GP38*24*3600/100000000</f>
        <v>9.7631999999999994</v>
      </c>
      <c r="GQ38" s="6">
        <f>日流量!GQ38*24*3600/100000000</f>
        <v>9.0719999999999992</v>
      </c>
      <c r="GR38" s="6">
        <f>日流量!GR38*24*3600/100000000</f>
        <v>8.4672000000000001</v>
      </c>
      <c r="GS38" s="6">
        <f>日流量!GS38*24*3600/100000000</f>
        <v>7.9315199999999999</v>
      </c>
      <c r="GT38" s="6">
        <f>日流量!GT38*24*3600/100000000</f>
        <v>7.7241600000000004</v>
      </c>
      <c r="GU38" s="6">
        <f>日流量!GU38*24*3600/100000000</f>
        <v>7.6377600000000001</v>
      </c>
      <c r="GV38" s="6">
        <f>日流量!GV38*24*3600/100000000</f>
        <v>7.5859199999999998</v>
      </c>
      <c r="GW38" s="6">
        <f>日流量!GW38*24*3600/100000000</f>
        <v>7.8537600000000003</v>
      </c>
      <c r="GX38" s="6">
        <f>日流量!GX38*24*3600/100000000</f>
        <v>8.3376000000000001</v>
      </c>
      <c r="GY38" s="6">
        <f>日流量!GY38*24*3600/100000000</f>
        <v>8.4758399999999998</v>
      </c>
      <c r="GZ38" s="6">
        <f>日流量!GZ38*24*3600/100000000</f>
        <v>9.2447999999999997</v>
      </c>
      <c r="HA38" s="6">
        <f>日流量!HA38*24*3600/100000000</f>
        <v>9.7631999999999994</v>
      </c>
      <c r="HB38" s="6">
        <f>日流量!HB38*24*3600/100000000</f>
        <v>9.1584000000000003</v>
      </c>
      <c r="HC38" s="6">
        <f>日流量!HC38*24*3600/100000000</f>
        <v>8.8127999999999993</v>
      </c>
      <c r="HD38" s="6">
        <f>日流量!HD38*24*3600/100000000</f>
        <v>8.1734399999999994</v>
      </c>
      <c r="HE38" s="6">
        <f>日流量!HE38*24*3600/100000000</f>
        <v>8.1302400000000006</v>
      </c>
      <c r="HF38" s="6">
        <f>日流量!HF38*24*3600/100000000</f>
        <v>8.5190400000000004</v>
      </c>
      <c r="HG38" s="6">
        <f>日流量!HG38*24*3600/100000000</f>
        <v>8.8127999999999993</v>
      </c>
      <c r="HH38" s="6">
        <f>日流量!HH38*24*3600/100000000</f>
        <v>9.3312000000000008</v>
      </c>
      <c r="HI38" s="6">
        <f>日流量!HI38*24*3600/100000000</f>
        <v>9.3312000000000008</v>
      </c>
      <c r="HJ38" s="6">
        <f>日流量!HJ38*24*3600/100000000</f>
        <v>8.9855999999999998</v>
      </c>
      <c r="HK38" s="6">
        <f>日流量!HK38*24*3600/100000000</f>
        <v>8.3203200000000006</v>
      </c>
      <c r="HL38" s="6">
        <f>日流量!HL38*24*3600/100000000</f>
        <v>7.6032000000000002</v>
      </c>
      <c r="HM38" s="6">
        <f>日流量!HM38*24*3600/100000000</f>
        <v>7.0848000000000004</v>
      </c>
      <c r="HN38" s="6">
        <f>日流量!HN38*24*3600/100000000</f>
        <v>7.0415999999999999</v>
      </c>
      <c r="HO38" s="6">
        <f>日流量!HO38*24*3600/100000000</f>
        <v>6.5404799999999996</v>
      </c>
      <c r="HP38" s="6">
        <f>日流量!HP38*24*3600/100000000</f>
        <v>5.95296</v>
      </c>
      <c r="HQ38" s="6">
        <f>日流量!HQ38*24*3600/100000000</f>
        <v>5.4518399999999998</v>
      </c>
      <c r="HR38" s="6">
        <f>日流量!HR38*24*3600/100000000</f>
        <v>5.3049600000000003</v>
      </c>
      <c r="HS38" s="6">
        <f>日流量!HS38*24*3600/100000000</f>
        <v>6.0134400000000001</v>
      </c>
      <c r="HT38" s="6">
        <f>日流量!HT38*24*3600/100000000</f>
        <v>6.1344000000000003</v>
      </c>
      <c r="HU38" s="6">
        <f>日流量!HU38*24*3600/100000000</f>
        <v>5.9270399999999999</v>
      </c>
      <c r="HV38" s="6">
        <f>日流量!HV38*24*3600/100000000</f>
        <v>5.5036800000000001</v>
      </c>
      <c r="HW38" s="6">
        <f>日流量!HW38*24*3600/100000000</f>
        <v>5.1062399999999997</v>
      </c>
      <c r="HX38" s="6">
        <f>日流量!HX38*24*3600/100000000</f>
        <v>4.8556800000000004</v>
      </c>
      <c r="HY38" s="6">
        <f>日流量!HY38*24*3600/100000000</f>
        <v>4.7692800000000002</v>
      </c>
      <c r="HZ38" s="6">
        <f>日流量!HZ38*24*3600/100000000</f>
        <v>4.9852800000000004</v>
      </c>
      <c r="IA38" s="6">
        <f>日流量!IA38*24*3600/100000000</f>
        <v>5.6159999999999997</v>
      </c>
      <c r="IB38" s="6">
        <f>日流量!IB38*24*3600/100000000</f>
        <v>5.9011199999999997</v>
      </c>
      <c r="IC38" s="6">
        <f>日流量!IC38*24*3600/100000000</f>
        <v>5.9097600000000003</v>
      </c>
      <c r="ID38" s="6">
        <f>日流量!ID38*24*3600/100000000</f>
        <v>6.7046400000000004</v>
      </c>
      <c r="IE38" s="6">
        <f>日流量!IE38*24*3600/100000000</f>
        <v>7.2835200000000002</v>
      </c>
      <c r="IF38" s="6">
        <f>日流量!IF38*24*3600/100000000</f>
        <v>8.1561599999999999</v>
      </c>
      <c r="IG38" s="6">
        <f>日流量!IG38*24*3600/100000000</f>
        <v>8.9855999999999998</v>
      </c>
      <c r="IH38" s="6">
        <f>日流量!IH38*24*3600/100000000</f>
        <v>9.1584000000000003</v>
      </c>
      <c r="II38" s="6">
        <f>日流量!II38*24*3600/100000000</f>
        <v>8.9855999999999998</v>
      </c>
      <c r="IJ38" s="6">
        <f>日流量!IJ38*24*3600/100000000</f>
        <v>8.9855999999999998</v>
      </c>
      <c r="IK38" s="6">
        <f>日流量!IK38*24*3600/100000000</f>
        <v>8.7263999999999999</v>
      </c>
      <c r="IL38" s="6">
        <f>日流量!IL38*24*3600/100000000</f>
        <v>8.7263999999999999</v>
      </c>
      <c r="IM38" s="6">
        <f>日流量!IM38*24*3600/100000000</f>
        <v>8.8127999999999993</v>
      </c>
      <c r="IN38" s="6">
        <f>日流量!IN38*24*3600/100000000</f>
        <v>8.5104000000000006</v>
      </c>
      <c r="IO38" s="6">
        <f>日流量!IO38*24*3600/100000000</f>
        <v>8.4153599999999997</v>
      </c>
      <c r="IP38" s="6">
        <f>日流量!IP38*24*3600/100000000</f>
        <v>8.64</v>
      </c>
      <c r="IQ38" s="6">
        <f>日流量!IQ38*24*3600/100000000</f>
        <v>8.8127999999999993</v>
      </c>
      <c r="IR38" s="6">
        <f>日流量!IR38*24*3600/100000000</f>
        <v>9.4176000000000002</v>
      </c>
      <c r="IS38" s="6">
        <f>日流量!IS38*24*3600/100000000</f>
        <v>9.5039999999999996</v>
      </c>
      <c r="IT38" s="6">
        <f>日流量!IT38*24*3600/100000000</f>
        <v>9.5904000000000007</v>
      </c>
      <c r="IU38" s="6">
        <f>日流量!IU38*24*3600/100000000</f>
        <v>9.4176000000000002</v>
      </c>
      <c r="IV38" s="6">
        <f>日流量!IV38*24*3600/100000000</f>
        <v>9.3312000000000008</v>
      </c>
      <c r="IW38" s="6">
        <f>日流量!IW38*24*3600/100000000</f>
        <v>8.8992000000000004</v>
      </c>
      <c r="IX38" s="6">
        <f>日流量!IX38*24*3600/100000000</f>
        <v>8.3721599999999992</v>
      </c>
      <c r="IY38" s="6">
        <f>日流量!IY38*24*3600/100000000</f>
        <v>8.0006400000000006</v>
      </c>
      <c r="IZ38" s="6">
        <f>日流量!IZ38*24*3600/100000000</f>
        <v>7.7328000000000001</v>
      </c>
      <c r="JA38" s="6">
        <f>日流量!JA38*24*3600/100000000</f>
        <v>7.5945600000000004</v>
      </c>
      <c r="JB38" s="6">
        <f>日流量!JB38*24*3600/100000000</f>
        <v>7.5081600000000002</v>
      </c>
      <c r="JC38" s="6">
        <f>日流量!JC38*24*3600/100000000</f>
        <v>7.9488000000000003</v>
      </c>
      <c r="JD38" s="6">
        <f>日流量!JD38*24*3600/100000000</f>
        <v>8.1820799999999991</v>
      </c>
      <c r="JE38" s="6">
        <f>日流量!JE38*24*3600/100000000</f>
        <v>8.1129599999999993</v>
      </c>
      <c r="JF38" s="6">
        <f>日流量!JF38*24*3600/100000000</f>
        <v>8.3808000000000007</v>
      </c>
      <c r="JG38" s="6">
        <f>日流量!JG38*24*3600/100000000</f>
        <v>8.3462399999999999</v>
      </c>
      <c r="JH38" s="6">
        <f>日流量!JH38*24*3600/100000000</f>
        <v>8.5622399999999992</v>
      </c>
      <c r="JI38" s="6">
        <f>日流量!JI38*24*3600/100000000</f>
        <v>8.7263999999999999</v>
      </c>
      <c r="JJ38" s="6">
        <f>日流量!JJ38*24*3600/100000000</f>
        <v>8.5968</v>
      </c>
      <c r="JK38" s="6">
        <f>日流量!JK38*24*3600/100000000</f>
        <v>8.1734399999999994</v>
      </c>
      <c r="JL38" s="6">
        <f>日流量!JL38*24*3600/100000000</f>
        <v>7.8537600000000003</v>
      </c>
      <c r="JM38" s="6">
        <f>日流量!JM38*24*3600/100000000</f>
        <v>7.9833600000000002</v>
      </c>
      <c r="JN38" s="6">
        <f>日流量!JN38*24*3600/100000000</f>
        <v>8.1561599999999999</v>
      </c>
      <c r="JO38" s="6">
        <f>日流量!JO38*24*3600/100000000</f>
        <v>7.992</v>
      </c>
      <c r="JP38" s="6">
        <f>日流量!JP38*24*3600/100000000</f>
        <v>7.8364799999999999</v>
      </c>
      <c r="JQ38" s="6">
        <f>日流量!JQ38*24*3600/100000000</f>
        <v>8.0351999999999997</v>
      </c>
      <c r="JR38" s="6">
        <f>日流量!JR38*24*3600/100000000</f>
        <v>8.2339199999999995</v>
      </c>
      <c r="JS38" s="6">
        <f>日流量!JS38*24*3600/100000000</f>
        <v>8.2512000000000008</v>
      </c>
      <c r="JT38" s="6">
        <f>日流量!JT38*24*3600/100000000</f>
        <v>8.0697600000000005</v>
      </c>
      <c r="JU38" s="6">
        <f>日流量!JU38*24*3600/100000000</f>
        <v>7.6636800000000003</v>
      </c>
      <c r="JV38" s="6">
        <f>日流量!JV38*24*3600/100000000</f>
        <v>7.19712</v>
      </c>
      <c r="JW38" s="6">
        <f>日流量!JW38*24*3600/100000000</f>
        <v>6.7910399999999997</v>
      </c>
      <c r="JX38" s="6">
        <f>日流量!JX38*24*3600/100000000</f>
        <v>6.4281600000000001</v>
      </c>
      <c r="JY38" s="6">
        <f>日流量!JY38*24*3600/100000000</f>
        <v>6.0998400000000004</v>
      </c>
      <c r="JZ38" s="6">
        <f>日流量!JZ38*24*3600/100000000</f>
        <v>5.8060799999999997</v>
      </c>
      <c r="KA38" s="6">
        <f>日流量!KA38*24*3600/100000000</f>
        <v>5.5296000000000003</v>
      </c>
      <c r="KB38" s="6">
        <f>日流量!KB38*24*3600/100000000</f>
        <v>5.2790400000000002</v>
      </c>
      <c r="KC38" s="6">
        <f>日流量!KC38*24*3600/100000000</f>
        <v>5.1062399999999997</v>
      </c>
      <c r="KD38" s="6">
        <f>日流量!KD38*24*3600/100000000</f>
        <v>4.93344</v>
      </c>
      <c r="KE38" s="6">
        <f>日流量!KE38*24*3600/100000000</f>
        <v>4.7519999999999998</v>
      </c>
      <c r="KF38" s="6">
        <f>日流量!KF38*24*3600/100000000</f>
        <v>4.5964799999999997</v>
      </c>
      <c r="KG38" s="6">
        <f>日流量!KG38*24*3600/100000000</f>
        <v>4.4409599999999996</v>
      </c>
      <c r="KH38" s="6">
        <f>日流量!KH38*24*3600/100000000</f>
        <v>4.3372799999999998</v>
      </c>
      <c r="KI38" s="6">
        <f>日流量!KI38*24*3600/100000000</f>
        <v>4.3113599999999996</v>
      </c>
      <c r="KJ38" s="6">
        <f>日流量!KJ38*24*3600/100000000</f>
        <v>4.3977599999999999</v>
      </c>
      <c r="KK38" s="6">
        <f>日流量!KK38*24*3600/100000000</f>
        <v>4.3113599999999996</v>
      </c>
      <c r="KL38" s="6">
        <f>日流量!KL38*24*3600/100000000</f>
        <v>4.1817599999999997</v>
      </c>
      <c r="KM38" s="6">
        <f>日流量!KM38*24*3600/100000000</f>
        <v>4.0521599999999998</v>
      </c>
      <c r="KN38" s="6">
        <f>日流量!KN38*24*3600/100000000</f>
        <v>3.9744000000000002</v>
      </c>
      <c r="KO38" s="6">
        <f>日流量!KO38*24*3600/100000000</f>
        <v>3.9225599999999998</v>
      </c>
      <c r="KP38" s="6">
        <f>日流量!KP38*24*3600/100000000</f>
        <v>3.83616</v>
      </c>
      <c r="KQ38" s="6">
        <f>日流量!KQ38*24*3600/100000000</f>
        <v>3.6979199999999999</v>
      </c>
      <c r="KR38" s="6">
        <f>日流量!KR38*24*3600/100000000</f>
        <v>3.5596800000000002</v>
      </c>
      <c r="KS38" s="6">
        <f>日流量!KS38*24*3600/100000000</f>
        <v>3.456</v>
      </c>
      <c r="KT38" s="6">
        <f>日流量!KT38*24*3600/100000000</f>
        <v>3.3955199999999999</v>
      </c>
      <c r="KU38" s="6">
        <f>日流量!KU38*24*3600/100000000</f>
        <v>3.3868800000000001</v>
      </c>
      <c r="KV38" s="6">
        <f>日流量!KV38*24*3600/100000000</f>
        <v>3.3004799999999999</v>
      </c>
      <c r="KW38" s="6">
        <f>日流量!KW38*24*3600/100000000</f>
        <v>3.1968000000000001</v>
      </c>
      <c r="KX38" s="6">
        <f>日流量!KX38*24*3600/100000000</f>
        <v>3.0931199999999999</v>
      </c>
      <c r="KY38" s="6">
        <f>日流量!KY38*24*3600/100000000</f>
        <v>2.9894400000000001</v>
      </c>
      <c r="KZ38" s="6">
        <f>日流量!KZ38*24*3600/100000000</f>
        <v>2.9203199999999998</v>
      </c>
      <c r="LA38" s="6">
        <f>日流量!LA38*24*3600/100000000</f>
        <v>2.8857599999999999</v>
      </c>
      <c r="LB38" s="6">
        <f>日流量!LB38*24*3600/100000000</f>
        <v>2.8252799999999998</v>
      </c>
      <c r="LC38" s="6">
        <f>日流量!LC38*24*3600/100000000</f>
        <v>2.7475200000000002</v>
      </c>
      <c r="LD38" s="6">
        <f>日流量!LD38*24*3600/100000000</f>
        <v>2.6783999999999999</v>
      </c>
      <c r="LE38" s="6">
        <f>日流量!LE38*24*3600/100000000</f>
        <v>2.6179199999999998</v>
      </c>
      <c r="LF38" s="6">
        <f>日流量!LF38*24*3600/100000000</f>
        <v>2.5660799999999999</v>
      </c>
      <c r="LG38" s="6">
        <f>日流量!LG38*24*3600/100000000</f>
        <v>2.5055999999999998</v>
      </c>
      <c r="LH38" s="6">
        <f>日流量!LH38*24*3600/100000000</f>
        <v>2.4451200000000002</v>
      </c>
      <c r="LI38" s="6">
        <f>日流量!LI38*24*3600/100000000</f>
        <v>2.3932799999999999</v>
      </c>
      <c r="LJ38" s="6">
        <f>日流量!LJ38*24*3600/100000000</f>
        <v>2.3500800000000002</v>
      </c>
      <c r="LK38" s="6">
        <f>日流量!LK38*24*3600/100000000</f>
        <v>2.3155199999999998</v>
      </c>
      <c r="LL38" s="6">
        <f>日流量!LL38*24*3600/100000000</f>
        <v>2.2723200000000001</v>
      </c>
      <c r="LM38" s="6">
        <f>日流量!LM38*24*3600/100000000</f>
        <v>2.22912</v>
      </c>
      <c r="LN38" s="6">
        <f>日流量!LN38*24*3600/100000000</f>
        <v>2.1945600000000001</v>
      </c>
      <c r="LO38" s="6">
        <f>日流量!LO38*24*3600/100000000</f>
        <v>2.1513599999999999</v>
      </c>
      <c r="LP38" s="6">
        <f>日流量!LP38*24*3600/100000000</f>
        <v>2.13408</v>
      </c>
      <c r="LQ38" s="6">
        <f>日流量!LQ38*24*3600/100000000</f>
        <v>2.1081599999999998</v>
      </c>
      <c r="LR38" s="6">
        <f>日流量!LR38*24*3600/100000000</f>
        <v>2.0735999999999999</v>
      </c>
      <c r="LS38" s="6">
        <f>日流量!LS38*24*3600/100000000</f>
        <v>2.0563199999999999</v>
      </c>
      <c r="LT38" s="6">
        <f>日流量!LT38*24*3600/100000000</f>
        <v>2.0476800000000002</v>
      </c>
      <c r="LU38" s="6">
        <f>日流量!LU38*24*3600/100000000</f>
        <v>2.03904</v>
      </c>
      <c r="LV38" s="6">
        <f>日流量!LV38*24*3600/100000000</f>
        <v>2.00448</v>
      </c>
      <c r="LW38" s="6">
        <f>日流量!LW38*24*3600/100000000</f>
        <v>1.9872000000000001</v>
      </c>
      <c r="LX38" s="6">
        <f>日流量!LX38*24*3600/100000000</f>
        <v>1.944</v>
      </c>
      <c r="LY38" s="6">
        <f>日流量!LY38*24*3600/100000000</f>
        <v>1.9008</v>
      </c>
      <c r="LZ38" s="6">
        <f>日流量!LZ38*24*3600/100000000</f>
        <v>1.8748800000000001</v>
      </c>
      <c r="MA38" s="6">
        <f>日流量!MA38*24*3600/100000000</f>
        <v>1.8662399999999999</v>
      </c>
      <c r="MB38" s="6">
        <f>日流量!MB38*24*3600/100000000</f>
        <v>1.84032</v>
      </c>
      <c r="MC38" s="6">
        <f>日流量!MC38*24*3600/100000000</f>
        <v>1.8144</v>
      </c>
      <c r="MD38" s="6">
        <f>日流量!MD38*24*3600/100000000</f>
        <v>1.7884800000000001</v>
      </c>
      <c r="ME38" s="6">
        <f>日流量!ME38*24*3600/100000000</f>
        <v>1.7625599999999999</v>
      </c>
      <c r="MF38" s="6">
        <f>日流量!MF38*24*3600/100000000</f>
        <v>1.728</v>
      </c>
      <c r="MG38" s="6">
        <f>日流量!MG38*24*3600/100000000</f>
        <v>1.6934400000000001</v>
      </c>
      <c r="MH38" s="6">
        <f>日流量!MH38*24*3600/100000000</f>
        <v>1.6588799999999999</v>
      </c>
      <c r="MI38" s="6">
        <f>日流量!MI38*24*3600/100000000</f>
        <v>1.6415999999999999</v>
      </c>
      <c r="MJ38" s="6">
        <f>日流量!MJ38*24*3600/100000000</f>
        <v>1.61568</v>
      </c>
      <c r="MK38" s="6">
        <f>日流量!MK38*24*3600/100000000</f>
        <v>1.5984</v>
      </c>
      <c r="ML38" s="6">
        <f>日流量!ML38*24*3600/100000000</f>
        <v>1.5897600000000001</v>
      </c>
      <c r="MM38" s="6">
        <f>日流量!MM38*24*3600/100000000</f>
        <v>1.5811200000000001</v>
      </c>
      <c r="MN38" s="6">
        <f>日流量!MN38*24*3600/100000000</f>
        <v>1.5724800000000001</v>
      </c>
      <c r="MO38" s="6">
        <f>日流量!MO38*24*3600/100000000</f>
        <v>1.5638399999999999</v>
      </c>
      <c r="MP38" s="6">
        <f>日流量!MP38*24*3600/100000000</f>
        <v>1.5551999999999999</v>
      </c>
      <c r="MQ38" s="6">
        <f>日流量!MQ38*24*3600/100000000</f>
        <v>1.52928</v>
      </c>
      <c r="MR38" s="6">
        <f>日流量!MR38*24*3600/100000000</f>
        <v>1.512</v>
      </c>
      <c r="MS38" s="6">
        <f>日流量!MS38*24*3600/100000000</f>
        <v>1.49472</v>
      </c>
      <c r="MT38" s="6">
        <f>日流量!MT38*24*3600/100000000</f>
        <v>1.49472</v>
      </c>
      <c r="MU38" s="6">
        <f>日流量!MU38*24*3600/100000000</f>
        <v>1.4860800000000001</v>
      </c>
      <c r="MV38" s="6">
        <f>日流量!MV38*24*3600/100000000</f>
        <v>1.4860800000000001</v>
      </c>
      <c r="MW38" s="6">
        <f>日流量!MW38*24*3600/100000000</f>
        <v>1.4860800000000001</v>
      </c>
      <c r="MX38" s="6">
        <f>日流量!MX38*24*3600/100000000</f>
        <v>1.4601599999999999</v>
      </c>
      <c r="MY38" s="6">
        <f>日流量!MY38*24*3600/100000000</f>
        <v>1.4256</v>
      </c>
      <c r="MZ38" s="6">
        <f>日流量!MZ38*24*3600/100000000</f>
        <v>1.39968</v>
      </c>
      <c r="NA38" s="6">
        <f>日流量!NA38*24*3600/100000000</f>
        <v>1.3824000000000001</v>
      </c>
      <c r="NB38" s="6">
        <f>日流量!NB38*24*3600/100000000</f>
        <v>1.3737600000000001</v>
      </c>
      <c r="NC38" s="6"/>
      <c r="ND38" s="6">
        <f>日流量!ND38*24*3600*31/100000000</f>
        <v>27.855360000000001</v>
      </c>
      <c r="NE38" s="6">
        <f>日流量!NE38*24*3600*28/100000000</f>
        <v>21.821183999999999</v>
      </c>
      <c r="NF38" s="6">
        <f>日流量!NF38*24*3600*31/100000000</f>
        <v>23.971679999999999</v>
      </c>
      <c r="NG38" s="6">
        <f>日流量!NG38*24*3600*30/100000000</f>
        <v>32.4</v>
      </c>
      <c r="NH38" s="6">
        <f>日流量!NH38*24*3600*31/100000000</f>
        <v>49.282559999999997</v>
      </c>
      <c r="NI38" s="6">
        <f>日流量!NI38*24*3600*30/100000000</f>
        <v>142.8192</v>
      </c>
      <c r="NJ38" s="6">
        <f>日流量!NJ38*24*3600*31/100000000</f>
        <v>305.33760000000001</v>
      </c>
      <c r="NK38" s="6">
        <f>日流量!NK38*24*3600*31/100000000</f>
        <v>217.48607999999999</v>
      </c>
      <c r="NL38" s="6">
        <f>日流量!NL38*24*3600*30/100000000</f>
        <v>254.27520000000001</v>
      </c>
      <c r="NM38" s="6">
        <f>日流量!NM38*24*3600*31/100000000</f>
        <v>166.59648000000001</v>
      </c>
      <c r="NN38" s="6">
        <f>日流量!NN38*24*3600*30/100000000</f>
        <v>74.3904</v>
      </c>
      <c r="NO38" s="6">
        <f>日流量!NO38*24*3600*31/100000000</f>
        <v>49.550400000000003</v>
      </c>
      <c r="NP38" s="14">
        <f t="shared" si="10"/>
        <v>1365.7861439999999</v>
      </c>
      <c r="NQ38" s="6">
        <f>日流量!NQ38*24*3600/100000000</f>
        <v>14.0832</v>
      </c>
      <c r="NR38" s="4">
        <f>日流量!NR38</f>
        <v>42561</v>
      </c>
      <c r="NS38" s="6">
        <f>日流量!NS38*24*3600/100000000</f>
        <v>0.75427200000000005</v>
      </c>
      <c r="NT38" s="4">
        <f>日流量!NT38</f>
        <v>42426</v>
      </c>
      <c r="NU38" s="7">
        <f>日流量!NP38</f>
        <v>4331.9424657534246</v>
      </c>
      <c r="NW38" s="13">
        <f t="shared" si="0"/>
        <v>1135.7971199999999</v>
      </c>
      <c r="NX38" s="12">
        <f t="shared" si="1"/>
        <v>83.160685513587993</v>
      </c>
      <c r="NY38" s="13">
        <f t="shared" si="2"/>
        <v>919.91808000000003</v>
      </c>
      <c r="NZ38" s="12">
        <f t="shared" si="3"/>
        <v>67.354474493775513</v>
      </c>
      <c r="OA38" s="13">
        <f t="shared" si="4"/>
        <v>229.98902399999997</v>
      </c>
      <c r="OB38" s="12">
        <f t="shared" si="5"/>
        <v>16.839314486412011</v>
      </c>
      <c r="OC38" s="13">
        <f t="shared" si="6"/>
        <v>305.33760000000001</v>
      </c>
      <c r="OD38" s="12">
        <f t="shared" si="7"/>
        <v>22.356179358047434</v>
      </c>
      <c r="OE38" s="12">
        <f t="shared" si="8"/>
        <v>319.10891214953267</v>
      </c>
      <c r="OF38" s="12">
        <f t="shared" si="9"/>
        <v>10.11887722442709</v>
      </c>
    </row>
    <row r="39" spans="1:396" x14ac:dyDescent="0.15">
      <c r="A39" s="2">
        <v>1986</v>
      </c>
      <c r="B39" s="6">
        <f>日流量!B39*24*3600/100000000</f>
        <v>1.3737600000000001</v>
      </c>
      <c r="C39" s="6">
        <f>日流量!C39*24*3600/100000000</f>
        <v>1.3737600000000001</v>
      </c>
      <c r="D39" s="6">
        <f>日流量!D39*24*3600/100000000</f>
        <v>1.3651199999999999</v>
      </c>
      <c r="E39" s="6">
        <f>日流量!E39*24*3600/100000000</f>
        <v>1.3391999999999999</v>
      </c>
      <c r="F39" s="6">
        <f>日流量!F39*24*3600/100000000</f>
        <v>1.33056</v>
      </c>
      <c r="G39" s="6">
        <f>日流量!G39*24*3600/100000000</f>
        <v>1.32192</v>
      </c>
      <c r="H39" s="6">
        <f>日流量!H39*24*3600/100000000</f>
        <v>1.31328</v>
      </c>
      <c r="I39" s="6">
        <f>日流量!I39*24*3600/100000000</f>
        <v>1.31328</v>
      </c>
      <c r="J39" s="6">
        <f>日流量!J39*24*3600/100000000</f>
        <v>1.30464</v>
      </c>
      <c r="K39" s="6">
        <f>日流量!K39*24*3600/100000000</f>
        <v>1.296</v>
      </c>
      <c r="L39" s="6">
        <f>日流量!L39*24*3600/100000000</f>
        <v>1.2873600000000001</v>
      </c>
      <c r="M39" s="6">
        <f>日流量!M39*24*3600/100000000</f>
        <v>1.2787200000000001</v>
      </c>
      <c r="N39" s="6">
        <f>日流量!N39*24*3600/100000000</f>
        <v>1.2614399999999999</v>
      </c>
      <c r="O39" s="6">
        <f>日流量!O39*24*3600/100000000</f>
        <v>1.2441599999999999</v>
      </c>
      <c r="P39" s="6">
        <f>日流量!P39*24*3600/100000000</f>
        <v>1.2441599999999999</v>
      </c>
      <c r="Q39" s="6">
        <f>日流量!Q39*24*3600/100000000</f>
        <v>1.22688</v>
      </c>
      <c r="R39" s="6">
        <f>日流量!R39*24*3600/100000000</f>
        <v>1.21824</v>
      </c>
      <c r="S39" s="6">
        <f>日流量!S39*24*3600/100000000</f>
        <v>1.21824</v>
      </c>
      <c r="T39" s="6">
        <f>日流量!T39*24*3600/100000000</f>
        <v>1.19232</v>
      </c>
      <c r="U39" s="6">
        <f>日流量!U39*24*3600/100000000</f>
        <v>1.1836800000000001</v>
      </c>
      <c r="V39" s="6">
        <f>日流量!V39*24*3600/100000000</f>
        <v>1.1836800000000001</v>
      </c>
      <c r="W39" s="6">
        <f>日流量!W39*24*3600/100000000</f>
        <v>1.1750400000000001</v>
      </c>
      <c r="X39" s="6">
        <f>日流量!X39*24*3600/100000000</f>
        <v>1.1577599999999999</v>
      </c>
      <c r="Y39" s="6">
        <f>日流量!Y39*24*3600/100000000</f>
        <v>1.1577599999999999</v>
      </c>
      <c r="Z39" s="6">
        <f>日流量!Z39*24*3600/100000000</f>
        <v>1.1491199999999999</v>
      </c>
      <c r="AA39" s="6">
        <f>日流量!AA39*24*3600/100000000</f>
        <v>1.13184</v>
      </c>
      <c r="AB39" s="6">
        <f>日流量!AB39*24*3600/100000000</f>
        <v>1.1232</v>
      </c>
      <c r="AC39" s="6">
        <f>日流量!AC39*24*3600/100000000</f>
        <v>1.11456</v>
      </c>
      <c r="AD39" s="6">
        <f>日流量!AD39*24*3600/100000000</f>
        <v>1.11456</v>
      </c>
      <c r="AE39" s="6">
        <f>日流量!AE39*24*3600/100000000</f>
        <v>1.10592</v>
      </c>
      <c r="AF39" s="6">
        <f>日流量!AF39*24*3600/100000000</f>
        <v>1.10592</v>
      </c>
      <c r="AG39" s="6">
        <f>日流量!AG39*24*3600/100000000</f>
        <v>1.09728</v>
      </c>
      <c r="AH39" s="6">
        <f>日流量!AH39*24*3600/100000000</f>
        <v>1.0886400000000001</v>
      </c>
      <c r="AI39" s="6">
        <f>日流量!AI39*24*3600/100000000</f>
        <v>1.0886400000000001</v>
      </c>
      <c r="AJ39" s="6">
        <f>日流量!AJ39*24*3600/100000000</f>
        <v>1.0886400000000001</v>
      </c>
      <c r="AK39" s="6">
        <f>日流量!AK39*24*3600/100000000</f>
        <v>1.08</v>
      </c>
      <c r="AL39" s="6">
        <f>日流量!AL39*24*3600/100000000</f>
        <v>1.0713600000000001</v>
      </c>
      <c r="AM39" s="6">
        <f>日流量!AM39*24*3600/100000000</f>
        <v>1.0627200000000001</v>
      </c>
      <c r="AN39" s="6">
        <f>日流量!AN39*24*3600/100000000</f>
        <v>1.0540799999999999</v>
      </c>
      <c r="AO39" s="6">
        <f>日流量!AO39*24*3600/100000000</f>
        <v>1.0540799999999999</v>
      </c>
      <c r="AP39" s="6">
        <f>日流量!AP39*24*3600/100000000</f>
        <v>1.0540799999999999</v>
      </c>
      <c r="AQ39" s="6">
        <f>日流量!AQ39*24*3600/100000000</f>
        <v>1.0540799999999999</v>
      </c>
      <c r="AR39" s="6">
        <f>日流量!AR39*24*3600/100000000</f>
        <v>1.0540799999999999</v>
      </c>
      <c r="AS39" s="6">
        <f>日流量!AS39*24*3600/100000000</f>
        <v>1.0454399999999999</v>
      </c>
      <c r="AT39" s="6">
        <f>日流量!AT39*24*3600/100000000</f>
        <v>1.02816</v>
      </c>
      <c r="AU39" s="6">
        <f>日流量!AU39*24*3600/100000000</f>
        <v>1.00224</v>
      </c>
      <c r="AV39" s="6">
        <f>日流量!AV39*24*3600/100000000</f>
        <v>0.98495999999999995</v>
      </c>
      <c r="AW39" s="6">
        <f>日流量!AW39*24*3600/100000000</f>
        <v>0.98495999999999995</v>
      </c>
      <c r="AX39" s="6">
        <f>日流量!AX39*24*3600/100000000</f>
        <v>0.97631999999999997</v>
      </c>
      <c r="AY39" s="6">
        <f>日流量!AY39*24*3600/100000000</f>
        <v>0.97631999999999997</v>
      </c>
      <c r="AZ39" s="6">
        <f>日流量!AZ39*24*3600/100000000</f>
        <v>0.99360000000000004</v>
      </c>
      <c r="BA39" s="6">
        <f>日流量!BA39*24*3600/100000000</f>
        <v>0.99360000000000004</v>
      </c>
      <c r="BB39" s="6">
        <f>日流量!BB39*24*3600/100000000</f>
        <v>0.99360000000000004</v>
      </c>
      <c r="BC39" s="6">
        <f>日流量!BC39*24*3600/100000000</f>
        <v>0.98495999999999995</v>
      </c>
      <c r="BD39" s="6">
        <f>日流量!BD39*24*3600/100000000</f>
        <v>0.98495999999999995</v>
      </c>
      <c r="BE39" s="6">
        <f>日流量!BE39*24*3600/100000000</f>
        <v>0.96767999999999998</v>
      </c>
      <c r="BF39" s="6">
        <f>日流量!BF39*24*3600/100000000</f>
        <v>0.95904</v>
      </c>
      <c r="BG39" s="6">
        <f>日流量!BG39*24*3600/100000000</f>
        <v>0.95904</v>
      </c>
      <c r="BH39" s="6">
        <f>日流量!BH39*24*3600/100000000</f>
        <v>0.95904</v>
      </c>
      <c r="BI39" s="6"/>
      <c r="BJ39" s="6">
        <f>日流量!BJ39*24*3600/100000000</f>
        <v>0.95904</v>
      </c>
      <c r="BK39" s="6">
        <f>日流量!BK39*24*3600/100000000</f>
        <v>0.95904</v>
      </c>
      <c r="BL39" s="6">
        <f>日流量!BL39*24*3600/100000000</f>
        <v>0.95904</v>
      </c>
      <c r="BM39" s="6">
        <f>日流量!BM39*24*3600/100000000</f>
        <v>0.95904</v>
      </c>
      <c r="BN39" s="6">
        <f>日流量!BN39*24*3600/100000000</f>
        <v>0.95904</v>
      </c>
      <c r="BO39" s="6">
        <f>日流量!BO39*24*3600/100000000</f>
        <v>0.95904</v>
      </c>
      <c r="BP39" s="6">
        <f>日流量!BP39*24*3600/100000000</f>
        <v>0.95904</v>
      </c>
      <c r="BQ39" s="6">
        <f>日流量!BQ39*24*3600/100000000</f>
        <v>0.95904</v>
      </c>
      <c r="BR39" s="6">
        <f>日流量!BR39*24*3600/100000000</f>
        <v>0.95040000000000002</v>
      </c>
      <c r="BS39" s="6">
        <f>日流量!BS39*24*3600/100000000</f>
        <v>0.93311999999999995</v>
      </c>
      <c r="BT39" s="6">
        <f>日流量!BT39*24*3600/100000000</f>
        <v>0.92447999999999997</v>
      </c>
      <c r="BU39" s="6">
        <f>日流量!BU39*24*3600/100000000</f>
        <v>0.92447999999999997</v>
      </c>
      <c r="BV39" s="6">
        <f>日流量!BV39*24*3600/100000000</f>
        <v>0.92447999999999997</v>
      </c>
      <c r="BW39" s="6">
        <f>日流量!BW39*24*3600/100000000</f>
        <v>0.92447999999999997</v>
      </c>
      <c r="BX39" s="6">
        <f>日流量!BX39*24*3600/100000000</f>
        <v>0.92447999999999997</v>
      </c>
      <c r="BY39" s="6">
        <f>日流量!BY39*24*3600/100000000</f>
        <v>0.91583999999999999</v>
      </c>
      <c r="BZ39" s="6">
        <f>日流量!BZ39*24*3600/100000000</f>
        <v>0.90720000000000001</v>
      </c>
      <c r="CA39" s="6">
        <f>日流量!CA39*24*3600/100000000</f>
        <v>0.90720000000000001</v>
      </c>
      <c r="CB39" s="6">
        <f>日流量!CB39*24*3600/100000000</f>
        <v>0.92447999999999997</v>
      </c>
      <c r="CC39" s="6">
        <f>日流量!CC39*24*3600/100000000</f>
        <v>0.92447999999999997</v>
      </c>
      <c r="CD39" s="6">
        <f>日流量!CD39*24*3600/100000000</f>
        <v>0.92447999999999997</v>
      </c>
      <c r="CE39" s="6">
        <f>日流量!CE39*24*3600/100000000</f>
        <v>0.92447999999999997</v>
      </c>
      <c r="CF39" s="6">
        <f>日流量!CF39*24*3600/100000000</f>
        <v>0.91583999999999999</v>
      </c>
      <c r="CG39" s="6">
        <f>日流量!CG39*24*3600/100000000</f>
        <v>0.90720000000000001</v>
      </c>
      <c r="CH39" s="6">
        <f>日流量!CH39*24*3600/100000000</f>
        <v>0.89856000000000003</v>
      </c>
      <c r="CI39" s="6">
        <f>日流量!CI39*24*3600/100000000</f>
        <v>0.89856000000000003</v>
      </c>
      <c r="CJ39" s="6">
        <f>日流量!CJ39*24*3600/100000000</f>
        <v>0.89856000000000003</v>
      </c>
      <c r="CK39" s="6">
        <f>日流量!CK39*24*3600/100000000</f>
        <v>0.89856000000000003</v>
      </c>
      <c r="CL39" s="6">
        <f>日流量!CL39*24*3600/100000000</f>
        <v>0.89856000000000003</v>
      </c>
      <c r="CM39" s="6">
        <f>日流量!CM39*24*3600/100000000</f>
        <v>0.88992000000000004</v>
      </c>
      <c r="CN39" s="6">
        <f>日流量!CN39*24*3600/100000000</f>
        <v>0.88992000000000004</v>
      </c>
      <c r="CO39" s="6">
        <f>日流量!CO39*24*3600/100000000</f>
        <v>0.89856000000000003</v>
      </c>
      <c r="CP39" s="6">
        <f>日流量!CP39*24*3600/100000000</f>
        <v>0.89856000000000003</v>
      </c>
      <c r="CQ39" s="6">
        <f>日流量!CQ39*24*3600/100000000</f>
        <v>0.89856000000000003</v>
      </c>
      <c r="CR39" s="6">
        <f>日流量!CR39*24*3600/100000000</f>
        <v>0.89856000000000003</v>
      </c>
      <c r="CS39" s="6">
        <f>日流量!CS39*24*3600/100000000</f>
        <v>0.90720000000000001</v>
      </c>
      <c r="CT39" s="6">
        <f>日流量!CT39*24*3600/100000000</f>
        <v>0.91583999999999999</v>
      </c>
      <c r="CU39" s="6">
        <f>日流量!CU39*24*3600/100000000</f>
        <v>0.95904</v>
      </c>
      <c r="CV39" s="6">
        <f>日流量!CV39*24*3600/100000000</f>
        <v>0.97631999999999997</v>
      </c>
      <c r="CW39" s="6">
        <f>日流量!CW39*24*3600/100000000</f>
        <v>0.98495999999999995</v>
      </c>
      <c r="CX39" s="6">
        <f>日流量!CX39*24*3600/100000000</f>
        <v>0.97631999999999997</v>
      </c>
      <c r="CY39" s="6">
        <f>日流量!CY39*24*3600/100000000</f>
        <v>0.97631999999999997</v>
      </c>
      <c r="CZ39" s="6">
        <f>日流量!CZ39*24*3600/100000000</f>
        <v>0.96767999999999998</v>
      </c>
      <c r="DA39" s="6">
        <f>日流量!DA39*24*3600/100000000</f>
        <v>0.95904</v>
      </c>
      <c r="DB39" s="6">
        <f>日流量!DB39*24*3600/100000000</f>
        <v>0.94176000000000004</v>
      </c>
      <c r="DC39" s="6">
        <f>日流量!DC39*24*3600/100000000</f>
        <v>0.94176000000000004</v>
      </c>
      <c r="DD39" s="6">
        <f>日流量!DD39*24*3600/100000000</f>
        <v>0.95904</v>
      </c>
      <c r="DE39" s="6">
        <f>日流量!DE39*24*3600/100000000</f>
        <v>0.99360000000000004</v>
      </c>
      <c r="DF39" s="6">
        <f>日流量!DF39*24*3600/100000000</f>
        <v>1.0454399999999999</v>
      </c>
      <c r="DG39" s="6">
        <f>日流量!DG39*24*3600/100000000</f>
        <v>1.0886400000000001</v>
      </c>
      <c r="DH39" s="6">
        <f>日流量!DH39*24*3600/100000000</f>
        <v>1.11456</v>
      </c>
      <c r="DI39" s="6">
        <f>日流量!DI39*24*3600/100000000</f>
        <v>1.1577599999999999</v>
      </c>
      <c r="DJ39" s="6">
        <f>日流量!DJ39*24*3600/100000000</f>
        <v>1.21824</v>
      </c>
      <c r="DK39" s="6">
        <f>日流量!DK39*24*3600/100000000</f>
        <v>1.23552</v>
      </c>
      <c r="DL39" s="6">
        <f>日流量!DL39*24*3600/100000000</f>
        <v>1.20096</v>
      </c>
      <c r="DM39" s="6">
        <f>日流量!DM39*24*3600/100000000</f>
        <v>1.1404799999999999</v>
      </c>
      <c r="DN39" s="6">
        <f>日流量!DN39*24*3600/100000000</f>
        <v>1.10592</v>
      </c>
      <c r="DO39" s="6">
        <f>日流量!DO39*24*3600/100000000</f>
        <v>1.0886400000000001</v>
      </c>
      <c r="DP39" s="6">
        <f>日流量!DP39*24*3600/100000000</f>
        <v>1.09728</v>
      </c>
      <c r="DQ39" s="6">
        <f>日流量!DQ39*24*3600/100000000</f>
        <v>1.1664000000000001</v>
      </c>
      <c r="DR39" s="6">
        <f>日流量!DR39*24*3600/100000000</f>
        <v>1.2873600000000001</v>
      </c>
      <c r="DS39" s="6">
        <f>日流量!DS39*24*3600/100000000</f>
        <v>1.3910400000000001</v>
      </c>
      <c r="DT39" s="6">
        <f>日流量!DT39*24*3600/100000000</f>
        <v>1.4601599999999999</v>
      </c>
      <c r="DU39" s="6">
        <f>日流量!DU39*24*3600/100000000</f>
        <v>1.4860800000000001</v>
      </c>
      <c r="DV39" s="6">
        <f>日流量!DV39*24*3600/100000000</f>
        <v>1.50336</v>
      </c>
      <c r="DW39" s="6">
        <f>日流量!DW39*24*3600/100000000</f>
        <v>1.50336</v>
      </c>
      <c r="DX39" s="6">
        <f>日流量!DX39*24*3600/100000000</f>
        <v>1.50336</v>
      </c>
      <c r="DY39" s="6">
        <f>日流量!DY39*24*3600/100000000</f>
        <v>1.4515199999999999</v>
      </c>
      <c r="DZ39" s="6">
        <f>日流量!DZ39*24*3600/100000000</f>
        <v>1.43424</v>
      </c>
      <c r="EA39" s="6">
        <f>日流量!EA39*24*3600/100000000</f>
        <v>1.4515199999999999</v>
      </c>
      <c r="EB39" s="6">
        <f>日流量!EB39*24*3600/100000000</f>
        <v>1.4601599999999999</v>
      </c>
      <c r="EC39" s="6">
        <f>日流量!EC39*24*3600/100000000</f>
        <v>1.4428799999999999</v>
      </c>
      <c r="ED39" s="6">
        <f>日流量!ED39*24*3600/100000000</f>
        <v>1.4256</v>
      </c>
      <c r="EE39" s="6">
        <f>日流量!EE39*24*3600/100000000</f>
        <v>1.40832</v>
      </c>
      <c r="EF39" s="6">
        <f>日流量!EF39*24*3600/100000000</f>
        <v>1.40832</v>
      </c>
      <c r="EG39" s="6">
        <f>日流量!EG39*24*3600/100000000</f>
        <v>1.4774400000000001</v>
      </c>
      <c r="EH39" s="6">
        <f>日流量!EH39*24*3600/100000000</f>
        <v>1.62432</v>
      </c>
      <c r="EI39" s="6">
        <f>日流量!EI39*24*3600/100000000</f>
        <v>1.84032</v>
      </c>
      <c r="EJ39" s="6">
        <f>日流量!EJ39*24*3600/100000000</f>
        <v>1.9526399999999999</v>
      </c>
      <c r="EK39" s="6">
        <f>日流量!EK39*24*3600/100000000</f>
        <v>1.9872000000000001</v>
      </c>
      <c r="EL39" s="6">
        <f>日流量!EL39*24*3600/100000000</f>
        <v>1.9612799999999999</v>
      </c>
      <c r="EM39" s="6">
        <f>日流量!EM39*24*3600/100000000</f>
        <v>1.944</v>
      </c>
      <c r="EN39" s="6">
        <f>日流量!EN39*24*3600/100000000</f>
        <v>2.0304000000000002</v>
      </c>
      <c r="EO39" s="6">
        <f>日流量!EO39*24*3600/100000000</f>
        <v>2.1427200000000002</v>
      </c>
      <c r="EP39" s="6">
        <f>日流量!EP39*24*3600/100000000</f>
        <v>2.2204799999999998</v>
      </c>
      <c r="EQ39" s="6">
        <f>日流量!EQ39*24*3600/100000000</f>
        <v>2.21184</v>
      </c>
      <c r="ER39" s="6">
        <f>日流量!ER39*24*3600/100000000</f>
        <v>2.2031999999999998</v>
      </c>
      <c r="ES39" s="6">
        <f>日流量!ES39*24*3600/100000000</f>
        <v>2.2982399999999998</v>
      </c>
      <c r="ET39" s="6">
        <f>日流量!ET39*24*3600/100000000</f>
        <v>2.3846400000000001</v>
      </c>
      <c r="EU39" s="6">
        <f>日流量!EU39*24*3600/100000000</f>
        <v>2.3932799999999999</v>
      </c>
      <c r="EV39" s="6">
        <f>日流量!EV39*24*3600/100000000</f>
        <v>2.2982399999999998</v>
      </c>
      <c r="EW39" s="6">
        <f>日流量!EW39*24*3600/100000000</f>
        <v>2.1254400000000002</v>
      </c>
      <c r="EX39" s="6">
        <f>日流量!EX39*24*3600/100000000</f>
        <v>1.9526399999999999</v>
      </c>
      <c r="EY39" s="6">
        <f>日流量!EY39*24*3600/100000000</f>
        <v>1.8144</v>
      </c>
      <c r="EZ39" s="6">
        <f>日流量!EZ39*24*3600/100000000</f>
        <v>1.7539199999999999</v>
      </c>
      <c r="FA39" s="6">
        <f>日流量!FA39*24*3600/100000000</f>
        <v>1.73664</v>
      </c>
      <c r="FB39" s="6">
        <f>日流量!FB39*24*3600/100000000</f>
        <v>1.7452799999999999</v>
      </c>
      <c r="FC39" s="6">
        <f>日流量!FC39*24*3600/100000000</f>
        <v>1.728</v>
      </c>
      <c r="FD39" s="6">
        <f>日流量!FD39*24*3600/100000000</f>
        <v>1.70208</v>
      </c>
      <c r="FE39" s="6">
        <f>日流量!FE39*24*3600/100000000</f>
        <v>1.71072</v>
      </c>
      <c r="FF39" s="6">
        <f>日流量!FF39*24*3600/100000000</f>
        <v>1.70208</v>
      </c>
      <c r="FG39" s="6">
        <f>日流量!FG39*24*3600/100000000</f>
        <v>1.6588799999999999</v>
      </c>
      <c r="FH39" s="6">
        <f>日流量!FH39*24*3600/100000000</f>
        <v>1.71072</v>
      </c>
      <c r="FI39" s="6">
        <f>日流量!FI39*24*3600/100000000</f>
        <v>1.82304</v>
      </c>
      <c r="FJ39" s="6">
        <f>日流量!FJ39*24*3600/100000000</f>
        <v>1.7625599999999999</v>
      </c>
      <c r="FK39" s="6">
        <f>日流量!FK39*24*3600/100000000</f>
        <v>1.7971200000000001</v>
      </c>
      <c r="FL39" s="6">
        <f>日流量!FL39*24*3600/100000000</f>
        <v>1.8489599999999999</v>
      </c>
      <c r="FM39" s="6">
        <f>日流量!FM39*24*3600/100000000</f>
        <v>1.80576</v>
      </c>
      <c r="FN39" s="6">
        <f>日流量!FN39*24*3600/100000000</f>
        <v>1.7798400000000001</v>
      </c>
      <c r="FO39" s="6">
        <f>日流量!FO39*24*3600/100000000</f>
        <v>1.90944</v>
      </c>
      <c r="FP39" s="6">
        <f>日流量!FP39*24*3600/100000000</f>
        <v>2.4537599999999999</v>
      </c>
      <c r="FQ39" s="6">
        <f>日流量!FQ39*24*3600/100000000</f>
        <v>2.7475200000000002</v>
      </c>
      <c r="FR39" s="6">
        <f>日流量!FR39*24*3600/100000000</f>
        <v>3.1103999999999998</v>
      </c>
      <c r="FS39" s="6">
        <f>日流量!FS39*24*3600/100000000</f>
        <v>3.83616</v>
      </c>
      <c r="FT39" s="6">
        <f>日流量!FT39*24*3600/100000000</f>
        <v>3.83616</v>
      </c>
      <c r="FU39" s="6">
        <f>日流量!FU39*24*3600/100000000</f>
        <v>3.3696000000000002</v>
      </c>
      <c r="FV39" s="6">
        <f>日流量!FV39*24*3600/100000000</f>
        <v>3.2918400000000001</v>
      </c>
      <c r="FW39" s="6">
        <f>日流量!FW39*24*3600/100000000</f>
        <v>3.0672000000000001</v>
      </c>
      <c r="FX39" s="6">
        <f>日流量!FX39*24*3600/100000000</f>
        <v>2.9030399999999998</v>
      </c>
      <c r="FY39" s="6">
        <f>日流量!FY39*24*3600/100000000</f>
        <v>2.6179199999999998</v>
      </c>
      <c r="FZ39" s="6">
        <f>日流量!FZ39*24*3600/100000000</f>
        <v>2.3328000000000002</v>
      </c>
      <c r="GA39" s="6">
        <f>日流量!GA39*24*3600/100000000</f>
        <v>2.32416</v>
      </c>
      <c r="GB39" s="6">
        <f>日流量!GB39*24*3600/100000000</f>
        <v>2.2377600000000002</v>
      </c>
      <c r="GC39" s="6">
        <f>日流量!GC39*24*3600/100000000</f>
        <v>2.1945600000000001</v>
      </c>
      <c r="GD39" s="6">
        <f>日流量!GD39*24*3600/100000000</f>
        <v>2.3500800000000002</v>
      </c>
      <c r="GE39" s="6">
        <f>日流量!GE39*24*3600/100000000</f>
        <v>2.4883199999999999</v>
      </c>
      <c r="GF39" s="6">
        <f>日流量!GF39*24*3600/100000000</f>
        <v>3.1103999999999998</v>
      </c>
      <c r="GG39" s="6">
        <f>日流量!GG39*24*3600/100000000</f>
        <v>3.96576</v>
      </c>
      <c r="GH39" s="6">
        <f>日流量!GH39*24*3600/100000000</f>
        <v>4.3545600000000002</v>
      </c>
      <c r="GI39" s="6">
        <f>日流量!GI39*24*3600/100000000</f>
        <v>4.5792000000000002</v>
      </c>
      <c r="GJ39" s="6">
        <f>日流量!GJ39*24*3600/100000000</f>
        <v>4.64832</v>
      </c>
      <c r="GK39" s="6">
        <f>日流量!GK39*24*3600/100000000</f>
        <v>4.4236800000000001</v>
      </c>
      <c r="GL39" s="6">
        <f>日流量!GL39*24*3600/100000000</f>
        <v>4.2940800000000001</v>
      </c>
      <c r="GM39" s="6">
        <f>日流量!GM39*24*3600/100000000</f>
        <v>4.3113599999999996</v>
      </c>
      <c r="GN39" s="6">
        <f>日流量!GN39*24*3600/100000000</f>
        <v>4.1299200000000003</v>
      </c>
      <c r="GO39" s="6">
        <f>日流量!GO39*24*3600/100000000</f>
        <v>3.9052799999999999</v>
      </c>
      <c r="GP39" s="6">
        <f>日流量!GP39*24*3600/100000000</f>
        <v>3.8707199999999999</v>
      </c>
      <c r="GQ39" s="6">
        <f>日流量!GQ39*24*3600/100000000</f>
        <v>3.9139200000000001</v>
      </c>
      <c r="GR39" s="6">
        <f>日流量!GR39*24*3600/100000000</f>
        <v>4.4755200000000004</v>
      </c>
      <c r="GS39" s="6">
        <f>日流量!GS39*24*3600/100000000</f>
        <v>6.0911999999999997</v>
      </c>
      <c r="GT39" s="6">
        <f>日流量!GT39*24*3600/100000000</f>
        <v>7.1711999999999998</v>
      </c>
      <c r="GU39" s="6">
        <f>日流量!GU39*24*3600/100000000</f>
        <v>7.3180800000000001</v>
      </c>
      <c r="GV39" s="6">
        <f>日流量!GV39*24*3600/100000000</f>
        <v>7.67232</v>
      </c>
      <c r="GW39" s="6">
        <f>日流量!GW39*24*3600/100000000</f>
        <v>7.6550399999999996</v>
      </c>
      <c r="GX39" s="6">
        <f>日流量!GX39*24*3600/100000000</f>
        <v>7.29216</v>
      </c>
      <c r="GY39" s="6">
        <f>日流量!GY39*24*3600/100000000</f>
        <v>6.7824</v>
      </c>
      <c r="GZ39" s="6">
        <f>日流量!GZ39*24*3600/100000000</f>
        <v>6.8169599999999999</v>
      </c>
      <c r="HA39" s="6">
        <f>日流量!HA39*24*3600/100000000</f>
        <v>7.1798400000000004</v>
      </c>
      <c r="HB39" s="6">
        <f>日流量!HB39*24*3600/100000000</f>
        <v>7.6377600000000001</v>
      </c>
      <c r="HC39" s="6">
        <f>日流量!HC39*24*3600/100000000</f>
        <v>6.2207999999999997</v>
      </c>
      <c r="HD39" s="6">
        <f>日流量!HD39*24*3600/100000000</f>
        <v>5.3654400000000004</v>
      </c>
      <c r="HE39" s="6">
        <f>日流量!HE39*24*3600/100000000</f>
        <v>5.2099200000000003</v>
      </c>
      <c r="HF39" s="6">
        <f>日流量!HF39*24*3600/100000000</f>
        <v>4.8815999999999997</v>
      </c>
      <c r="HG39" s="6">
        <f>日流量!HG39*24*3600/100000000</f>
        <v>4.6656000000000004</v>
      </c>
      <c r="HH39" s="6">
        <f>日流量!HH39*24*3600/100000000</f>
        <v>4.4927999999999999</v>
      </c>
      <c r="HI39" s="6">
        <f>日流量!HI39*24*3600/100000000</f>
        <v>4.26816</v>
      </c>
      <c r="HJ39" s="6">
        <f>日流量!HJ39*24*3600/100000000</f>
        <v>4.2422399999999998</v>
      </c>
      <c r="HK39" s="6">
        <f>日流量!HK39*24*3600/100000000</f>
        <v>4.3632</v>
      </c>
      <c r="HL39" s="6">
        <f>日流量!HL39*24*3600/100000000</f>
        <v>4.1904000000000003</v>
      </c>
      <c r="HM39" s="6">
        <f>日流量!HM39*24*3600/100000000</f>
        <v>4.04352</v>
      </c>
      <c r="HN39" s="6">
        <f>日流量!HN39*24*3600/100000000</f>
        <v>3.7670400000000002</v>
      </c>
      <c r="HO39" s="6">
        <f>日流量!HO39*24*3600/100000000</f>
        <v>3.53376</v>
      </c>
      <c r="HP39" s="6">
        <f>日流量!HP39*24*3600/100000000</f>
        <v>3.3696000000000002</v>
      </c>
      <c r="HQ39" s="6">
        <f>日流量!HQ39*24*3600/100000000</f>
        <v>3.1795200000000001</v>
      </c>
      <c r="HR39" s="6">
        <f>日流量!HR39*24*3600/100000000</f>
        <v>2.9980799999999999</v>
      </c>
      <c r="HS39" s="6">
        <f>日流量!HS39*24*3600/100000000</f>
        <v>2.8771200000000001</v>
      </c>
      <c r="HT39" s="6">
        <f>日流量!HT39*24*3600/100000000</f>
        <v>2.7648000000000001</v>
      </c>
      <c r="HU39" s="6">
        <f>日流量!HU39*24*3600/100000000</f>
        <v>2.6870400000000001</v>
      </c>
      <c r="HV39" s="6">
        <f>日流量!HV39*24*3600/100000000</f>
        <v>2.7907199999999999</v>
      </c>
      <c r="HW39" s="6">
        <f>日流量!HW39*24*3600/100000000</f>
        <v>2.91168</v>
      </c>
      <c r="HX39" s="6">
        <f>日流量!HX39*24*3600/100000000</f>
        <v>3.4300799999999998</v>
      </c>
      <c r="HY39" s="6">
        <f>日流量!HY39*24*3600/100000000</f>
        <v>3.7497600000000002</v>
      </c>
      <c r="HZ39" s="6">
        <f>日流量!HZ39*24*3600/100000000</f>
        <v>5.66784</v>
      </c>
      <c r="IA39" s="6">
        <f>日流量!IA39*24*3600/100000000</f>
        <v>5.7542400000000002</v>
      </c>
      <c r="IB39" s="6">
        <f>日流量!IB39*24*3600/100000000</f>
        <v>5.2185600000000001</v>
      </c>
      <c r="IC39" s="6">
        <f>日流量!IC39*24*3600/100000000</f>
        <v>4.9420799999999998</v>
      </c>
      <c r="ID39" s="6">
        <f>日流量!ID39*24*3600/100000000</f>
        <v>4.9420799999999998</v>
      </c>
      <c r="IE39" s="6">
        <f>日流量!IE39*24*3600/100000000</f>
        <v>7.1107199999999997</v>
      </c>
      <c r="IF39" s="6">
        <f>日流量!IF39*24*3600/100000000</f>
        <v>7.6463999999999999</v>
      </c>
      <c r="IG39" s="6">
        <f>日流量!IG39*24*3600/100000000</f>
        <v>7.1798400000000004</v>
      </c>
      <c r="IH39" s="6">
        <f>日流量!IH39*24*3600/100000000</f>
        <v>7.48224</v>
      </c>
      <c r="II39" s="6">
        <f>日流量!II39*24*3600/100000000</f>
        <v>8.7263999999999999</v>
      </c>
      <c r="IJ39" s="6">
        <f>日流量!IJ39*24*3600/100000000</f>
        <v>10.1088</v>
      </c>
      <c r="IK39" s="6">
        <f>日流量!IK39*24*3600/100000000</f>
        <v>9.9359999999999999</v>
      </c>
      <c r="IL39" s="6">
        <f>日流量!IL39*24*3600/100000000</f>
        <v>9.4176000000000002</v>
      </c>
      <c r="IM39" s="6">
        <f>日流量!IM39*24*3600/100000000</f>
        <v>10.4544</v>
      </c>
      <c r="IN39" s="6">
        <f>日流量!IN39*24*3600/100000000</f>
        <v>9.9359999999999999</v>
      </c>
      <c r="IO39" s="6">
        <f>日流量!IO39*24*3600/100000000</f>
        <v>9.8496000000000006</v>
      </c>
      <c r="IP39" s="6">
        <f>日流量!IP39*24*3600/100000000</f>
        <v>13.3056</v>
      </c>
      <c r="IQ39" s="6">
        <f>日流量!IQ39*24*3600/100000000</f>
        <v>12.096</v>
      </c>
      <c r="IR39" s="6">
        <f>日流量!IR39*24*3600/100000000</f>
        <v>9.5904000000000007</v>
      </c>
      <c r="IS39" s="6">
        <f>日流量!IS39*24*3600/100000000</f>
        <v>8.1561599999999999</v>
      </c>
      <c r="IT39" s="6">
        <f>日流量!IT39*24*3600/100000000</f>
        <v>7.4476800000000001</v>
      </c>
      <c r="IU39" s="6">
        <f>日流量!IU39*24*3600/100000000</f>
        <v>7.3267199999999999</v>
      </c>
      <c r="IV39" s="6">
        <f>日流量!IV39*24*3600/100000000</f>
        <v>7.2748799999999996</v>
      </c>
      <c r="IW39" s="6">
        <f>日流量!IW39*24*3600/100000000</f>
        <v>7.6982400000000002</v>
      </c>
      <c r="IX39" s="6">
        <f>日流量!IX39*24*3600/100000000</f>
        <v>7.8624000000000001</v>
      </c>
      <c r="IY39" s="6">
        <f>日流量!IY39*24*3600/100000000</f>
        <v>7.7759999999999998</v>
      </c>
      <c r="IZ39" s="6">
        <f>日流量!IZ39*24*3600/100000000</f>
        <v>7.6982400000000002</v>
      </c>
      <c r="JA39" s="6">
        <f>日流量!JA39*24*3600/100000000</f>
        <v>7.9574400000000001</v>
      </c>
      <c r="JB39" s="6">
        <f>日流量!JB39*24*3600/100000000</f>
        <v>7.8796799999999996</v>
      </c>
      <c r="JC39" s="6">
        <f>日流量!JC39*24*3600/100000000</f>
        <v>7.9401599999999997</v>
      </c>
      <c r="JD39" s="6">
        <f>日流量!JD39*24*3600/100000000</f>
        <v>8.7263999999999999</v>
      </c>
      <c r="JE39" s="6">
        <f>日流量!JE39*24*3600/100000000</f>
        <v>8.7263999999999999</v>
      </c>
      <c r="JF39" s="6">
        <f>日流量!JF39*24*3600/100000000</f>
        <v>8.5881600000000002</v>
      </c>
      <c r="JG39" s="6">
        <f>日流量!JG39*24*3600/100000000</f>
        <v>8.0092800000000004</v>
      </c>
      <c r="JH39" s="6">
        <f>日流量!JH39*24*3600/100000000</f>
        <v>7.4563199999999998</v>
      </c>
      <c r="JI39" s="6">
        <f>日流量!JI39*24*3600/100000000</f>
        <v>6.9465599999999998</v>
      </c>
      <c r="JJ39" s="6">
        <f>日流量!JJ39*24*3600/100000000</f>
        <v>6.5404799999999996</v>
      </c>
      <c r="JK39" s="6">
        <f>日流量!JK39*24*3600/100000000</f>
        <v>6.5232000000000001</v>
      </c>
      <c r="JL39" s="6">
        <f>日流量!JL39*24*3600/100000000</f>
        <v>6.68736</v>
      </c>
      <c r="JM39" s="6">
        <f>日流量!JM39*24*3600/100000000</f>
        <v>6.7478400000000001</v>
      </c>
      <c r="JN39" s="6">
        <f>日流量!JN39*24*3600/100000000</f>
        <v>6.6700799999999996</v>
      </c>
      <c r="JO39" s="6">
        <f>日流量!JO39*24*3600/100000000</f>
        <v>6.7132800000000001</v>
      </c>
      <c r="JP39" s="6">
        <f>日流量!JP39*24*3600/100000000</f>
        <v>6.7305599999999997</v>
      </c>
      <c r="JQ39" s="6">
        <f>日流量!JQ39*24*3600/100000000</f>
        <v>6.4886400000000002</v>
      </c>
      <c r="JR39" s="6">
        <f>日流量!JR39*24*3600/100000000</f>
        <v>6.3331200000000001</v>
      </c>
      <c r="JS39" s="6">
        <f>日流量!JS39*24*3600/100000000</f>
        <v>6.5318399999999999</v>
      </c>
      <c r="JT39" s="6">
        <f>日流量!JT39*24*3600/100000000</f>
        <v>7.1107199999999997</v>
      </c>
      <c r="JU39" s="6">
        <f>日流量!JU39*24*3600/100000000</f>
        <v>7.1711999999999998</v>
      </c>
      <c r="JV39" s="6">
        <f>日流量!JV39*24*3600/100000000</f>
        <v>7.1366399999999999</v>
      </c>
      <c r="JW39" s="6">
        <f>日流量!JW39*24*3600/100000000</f>
        <v>7.6032000000000002</v>
      </c>
      <c r="JX39" s="6">
        <f>日流量!JX39*24*3600/100000000</f>
        <v>8.5881600000000002</v>
      </c>
      <c r="JY39" s="6">
        <f>日流量!JY39*24*3600/100000000</f>
        <v>10.540800000000001</v>
      </c>
      <c r="JZ39" s="6">
        <f>日流量!JZ39*24*3600/100000000</f>
        <v>11.4048</v>
      </c>
      <c r="KA39" s="6">
        <f>日流量!KA39*24*3600/100000000</f>
        <v>10.540800000000001</v>
      </c>
      <c r="KB39" s="6">
        <f>日流量!KB39*24*3600/100000000</f>
        <v>9.3312000000000008</v>
      </c>
      <c r="KC39" s="6">
        <f>日流量!KC39*24*3600/100000000</f>
        <v>8.5017600000000009</v>
      </c>
      <c r="KD39" s="6">
        <f>日流量!KD39*24*3600/100000000</f>
        <v>7.7500799999999996</v>
      </c>
      <c r="KE39" s="6">
        <f>日流量!KE39*24*3600/100000000</f>
        <v>7.2144000000000004</v>
      </c>
      <c r="KF39" s="6">
        <f>日流量!KF39*24*3600/100000000</f>
        <v>6.7046400000000004</v>
      </c>
      <c r="KG39" s="6">
        <f>日流量!KG39*24*3600/100000000</f>
        <v>6.2812799999999998</v>
      </c>
      <c r="KH39" s="6">
        <f>日流量!KH39*24*3600/100000000</f>
        <v>5.9011199999999997</v>
      </c>
      <c r="KI39" s="6">
        <f>日流量!KI39*24*3600/100000000</f>
        <v>5.5641600000000002</v>
      </c>
      <c r="KJ39" s="6">
        <f>日流量!KJ39*24*3600/100000000</f>
        <v>5.2444800000000003</v>
      </c>
      <c r="KK39" s="6">
        <f>日流量!KK39*24*3600/100000000</f>
        <v>5.0198400000000003</v>
      </c>
      <c r="KL39" s="6">
        <f>日流量!KL39*24*3600/100000000</f>
        <v>4.8211199999999996</v>
      </c>
      <c r="KM39" s="6">
        <f>日流量!KM39*24*3600/100000000</f>
        <v>4.6656000000000004</v>
      </c>
      <c r="KN39" s="6">
        <f>日流量!KN39*24*3600/100000000</f>
        <v>4.5446400000000002</v>
      </c>
      <c r="KO39" s="6">
        <f>日流量!KO39*24*3600/100000000</f>
        <v>4.4496000000000002</v>
      </c>
      <c r="KP39" s="6">
        <f>日流量!KP39*24*3600/100000000</f>
        <v>4.3027199999999999</v>
      </c>
      <c r="KQ39" s="6">
        <f>日流量!KQ39*24*3600/100000000</f>
        <v>4.13856</v>
      </c>
      <c r="KR39" s="6">
        <f>日流量!KR39*24*3600/100000000</f>
        <v>3.9830399999999999</v>
      </c>
      <c r="KS39" s="6">
        <f>日流量!KS39*24*3600/100000000</f>
        <v>3.8707199999999999</v>
      </c>
      <c r="KT39" s="6">
        <f>日流量!KT39*24*3600/100000000</f>
        <v>3.7584</v>
      </c>
      <c r="KU39" s="6">
        <f>日流量!KU39*24*3600/100000000</f>
        <v>3.6633599999999999</v>
      </c>
      <c r="KV39" s="6">
        <f>日流量!KV39*24*3600/100000000</f>
        <v>3.5596800000000002</v>
      </c>
      <c r="KW39" s="6">
        <f>日流量!KW39*24*3600/100000000</f>
        <v>3.4732799999999999</v>
      </c>
      <c r="KX39" s="6">
        <f>日流量!KX39*24*3600/100000000</f>
        <v>3.4041600000000001</v>
      </c>
      <c r="KY39" s="6">
        <f>日流量!KY39*24*3600/100000000</f>
        <v>3.3264</v>
      </c>
      <c r="KZ39" s="6">
        <f>日流量!KZ39*24*3600/100000000</f>
        <v>3.24</v>
      </c>
      <c r="LA39" s="6">
        <f>日流量!LA39*24*3600/100000000</f>
        <v>3.1449600000000002</v>
      </c>
      <c r="LB39" s="6">
        <f>日流量!LB39*24*3600/100000000</f>
        <v>3.0585599999999999</v>
      </c>
      <c r="LC39" s="6">
        <f>日流量!LC39*24*3600/100000000</f>
        <v>2.9635199999999999</v>
      </c>
      <c r="LD39" s="6">
        <f>日流量!LD39*24*3600/100000000</f>
        <v>2.92896</v>
      </c>
      <c r="LE39" s="6">
        <f>日流量!LE39*24*3600/100000000</f>
        <v>2.9203199999999998</v>
      </c>
      <c r="LF39" s="6">
        <f>日流量!LF39*24*3600/100000000</f>
        <v>2.91168</v>
      </c>
      <c r="LG39" s="6">
        <f>日流量!LG39*24*3600/100000000</f>
        <v>2.8684799999999999</v>
      </c>
      <c r="LH39" s="6">
        <f>日流量!LH39*24*3600/100000000</f>
        <v>2.8252799999999998</v>
      </c>
      <c r="LI39" s="6">
        <f>日流量!LI39*24*3600/100000000</f>
        <v>2.7475200000000002</v>
      </c>
      <c r="LJ39" s="6">
        <f>日流量!LJ39*24*3600/100000000</f>
        <v>2.6697600000000001</v>
      </c>
      <c r="LK39" s="6">
        <f>日流量!LK39*24*3600/100000000</f>
        <v>2.5920000000000001</v>
      </c>
      <c r="LL39" s="6">
        <f>日流量!LL39*24*3600/100000000</f>
        <v>2.53152</v>
      </c>
      <c r="LM39" s="6">
        <f>日流量!LM39*24*3600/100000000</f>
        <v>2.4710399999999999</v>
      </c>
      <c r="LN39" s="6">
        <f>日流量!LN39*24*3600/100000000</f>
        <v>2.4105599999999998</v>
      </c>
      <c r="LO39" s="6">
        <f>日流量!LO39*24*3600/100000000</f>
        <v>2.3759999999999999</v>
      </c>
      <c r="LP39" s="6">
        <f>日流量!LP39*24*3600/100000000</f>
        <v>2.3328000000000002</v>
      </c>
      <c r="LQ39" s="6">
        <f>日流量!LQ39*24*3600/100000000</f>
        <v>2.2809599999999999</v>
      </c>
      <c r="LR39" s="6">
        <f>日流量!LR39*24*3600/100000000</f>
        <v>2.21184</v>
      </c>
      <c r="LS39" s="6">
        <f>日流量!LS39*24*3600/100000000</f>
        <v>2.1772800000000001</v>
      </c>
      <c r="LT39" s="6">
        <f>日流量!LT39*24*3600/100000000</f>
        <v>2.1427200000000002</v>
      </c>
      <c r="LU39" s="6">
        <f>日流量!LU39*24*3600/100000000</f>
        <v>2.0995200000000001</v>
      </c>
      <c r="LV39" s="6">
        <f>日流量!LV39*24*3600/100000000</f>
        <v>2.0649600000000001</v>
      </c>
      <c r="LW39" s="6">
        <f>日流量!LW39*24*3600/100000000</f>
        <v>2.03904</v>
      </c>
      <c r="LX39" s="6">
        <f>日流量!LX39*24*3600/100000000</f>
        <v>2.0131199999999998</v>
      </c>
      <c r="LY39" s="6">
        <f>日流量!LY39*24*3600/100000000</f>
        <v>1.9785600000000001</v>
      </c>
      <c r="LZ39" s="6">
        <f>日流量!LZ39*24*3600/100000000</f>
        <v>1.92672</v>
      </c>
      <c r="MA39" s="6">
        <f>日流量!MA39*24*3600/100000000</f>
        <v>1.8835200000000001</v>
      </c>
      <c r="MB39" s="6">
        <f>日流量!MB39*24*3600/100000000</f>
        <v>1.84032</v>
      </c>
      <c r="MC39" s="6">
        <f>日流量!MC39*24*3600/100000000</f>
        <v>1.7971200000000001</v>
      </c>
      <c r="MD39" s="6">
        <f>日流量!MD39*24*3600/100000000</f>
        <v>1.7625599999999999</v>
      </c>
      <c r="ME39" s="6">
        <f>日流量!ME39*24*3600/100000000</f>
        <v>1.728</v>
      </c>
      <c r="MF39" s="6">
        <f>日流量!MF39*24*3600/100000000</f>
        <v>1.6934400000000001</v>
      </c>
      <c r="MG39" s="6">
        <f>日流量!MG39*24*3600/100000000</f>
        <v>1.6675199999999999</v>
      </c>
      <c r="MH39" s="6">
        <f>日流量!MH39*24*3600/100000000</f>
        <v>1.6415999999999999</v>
      </c>
      <c r="MI39" s="6">
        <f>日流量!MI39*24*3600/100000000</f>
        <v>1.62432</v>
      </c>
      <c r="MJ39" s="6">
        <f>日流量!MJ39*24*3600/100000000</f>
        <v>1.5897600000000001</v>
      </c>
      <c r="MK39" s="6">
        <f>日流量!MK39*24*3600/100000000</f>
        <v>1.5638399999999999</v>
      </c>
      <c r="ML39" s="6">
        <f>日流量!ML39*24*3600/100000000</f>
        <v>1.5465599999999999</v>
      </c>
      <c r="MM39" s="6">
        <f>日流量!MM39*24*3600/100000000</f>
        <v>1.52928</v>
      </c>
      <c r="MN39" s="6">
        <f>日流量!MN39*24*3600/100000000</f>
        <v>1.50336</v>
      </c>
      <c r="MO39" s="6">
        <f>日流量!MO39*24*3600/100000000</f>
        <v>1.4860800000000001</v>
      </c>
      <c r="MP39" s="6">
        <f>日流量!MP39*24*3600/100000000</f>
        <v>1.4688000000000001</v>
      </c>
      <c r="MQ39" s="6">
        <f>日流量!MQ39*24*3600/100000000</f>
        <v>1.43424</v>
      </c>
      <c r="MR39" s="6">
        <f>日流量!MR39*24*3600/100000000</f>
        <v>1.40832</v>
      </c>
      <c r="MS39" s="6">
        <f>日流量!MS39*24*3600/100000000</f>
        <v>1.3910400000000001</v>
      </c>
      <c r="MT39" s="6">
        <f>日流量!MT39*24*3600/100000000</f>
        <v>1.3910400000000001</v>
      </c>
      <c r="MU39" s="6">
        <f>日流量!MU39*24*3600/100000000</f>
        <v>1.3910400000000001</v>
      </c>
      <c r="MV39" s="6">
        <f>日流量!MV39*24*3600/100000000</f>
        <v>1.3824000000000001</v>
      </c>
      <c r="MW39" s="6">
        <f>日流量!MW39*24*3600/100000000</f>
        <v>1.3564799999999999</v>
      </c>
      <c r="MX39" s="6">
        <f>日流量!MX39*24*3600/100000000</f>
        <v>1.3391999999999999</v>
      </c>
      <c r="MY39" s="6">
        <f>日流量!MY39*24*3600/100000000</f>
        <v>1.32192</v>
      </c>
      <c r="MZ39" s="6">
        <f>日流量!MZ39*24*3600/100000000</f>
        <v>1.30464</v>
      </c>
      <c r="NA39" s="6">
        <f>日流量!NA39*24*3600/100000000</f>
        <v>1.2787200000000001</v>
      </c>
      <c r="NB39" s="6">
        <f>日流量!NB39*24*3600/100000000</f>
        <v>1.2527999999999999</v>
      </c>
      <c r="NC39" s="6"/>
      <c r="ND39" s="6">
        <f>日流量!ND39*24*3600*31/100000000</f>
        <v>38.301119999999997</v>
      </c>
      <c r="NE39" s="6">
        <f>日流量!NE39*24*3600*28/100000000</f>
        <v>28.546559999999999</v>
      </c>
      <c r="NF39" s="6">
        <f>日流量!NF39*24*3600*31/100000000</f>
        <v>28.65888</v>
      </c>
      <c r="NG39" s="6">
        <f>日流量!NG39*24*3600*30/100000000</f>
        <v>31.103999999999999</v>
      </c>
      <c r="NH39" s="6">
        <f>日流量!NH39*24*3600*31/100000000</f>
        <v>55.442880000000002</v>
      </c>
      <c r="NI39" s="6">
        <f>日流量!NI39*24*3600*30/100000000</f>
        <v>67.910399999999996</v>
      </c>
      <c r="NJ39" s="6">
        <f>日流量!NJ39*24*3600*31/100000000</f>
        <v>156.41856000000001</v>
      </c>
      <c r="NK39" s="6">
        <f>日流量!NK39*24*3600*31/100000000</f>
        <v>152.93664000000001</v>
      </c>
      <c r="NL39" s="6">
        <f>日流量!NL39*24*3600*30/100000000</f>
        <v>248.05439999999999</v>
      </c>
      <c r="NM39" s="6">
        <f>日流量!NM39*24*3600*31/100000000</f>
        <v>202.2192</v>
      </c>
      <c r="NN39" s="6">
        <f>日流量!NN39*24*3600*30/100000000</f>
        <v>81.388800000000003</v>
      </c>
      <c r="NO39" s="6">
        <f>日流量!NO39*24*3600*31/100000000</f>
        <v>47.675519999999999</v>
      </c>
      <c r="NP39" s="14">
        <f t="shared" si="10"/>
        <v>1138.65696</v>
      </c>
      <c r="NQ39" s="6">
        <f>日流量!NQ39*24*3600/100000000</f>
        <v>13.3056</v>
      </c>
      <c r="NR39" s="4">
        <f>日流量!NR39</f>
        <v>42618</v>
      </c>
      <c r="NS39" s="6">
        <f>日流量!NS39*24*3600/100000000</f>
        <v>0.88992000000000004</v>
      </c>
      <c r="NT39" s="4">
        <f>日流量!NT39</f>
        <v>42459</v>
      </c>
      <c r="NU39" s="7">
        <f>日流量!NP39</f>
        <v>3611.1232876712329</v>
      </c>
      <c r="NW39" s="13">
        <f t="shared" si="0"/>
        <v>882.98208</v>
      </c>
      <c r="NX39" s="12">
        <f t="shared" si="1"/>
        <v>77.545925684237687</v>
      </c>
      <c r="NY39" s="13">
        <f t="shared" si="2"/>
        <v>625.31999999999994</v>
      </c>
      <c r="NZ39" s="12">
        <f t="shared" si="3"/>
        <v>54.917329974428817</v>
      </c>
      <c r="OA39" s="13">
        <f t="shared" si="4"/>
        <v>255.67488000000003</v>
      </c>
      <c r="OB39" s="12">
        <f t="shared" si="5"/>
        <v>22.45407431576232</v>
      </c>
      <c r="OC39" s="13">
        <f t="shared" si="6"/>
        <v>248.05439999999999</v>
      </c>
      <c r="OD39" s="12">
        <f t="shared" si="7"/>
        <v>21.784822709027306</v>
      </c>
      <c r="OE39" s="12">
        <f t="shared" si="8"/>
        <v>266.04134579439256</v>
      </c>
      <c r="OF39" s="12">
        <f t="shared" si="9"/>
        <v>8.4361157342209694</v>
      </c>
    </row>
    <row r="40" spans="1:396" x14ac:dyDescent="0.15">
      <c r="A40" s="2">
        <v>1987</v>
      </c>
      <c r="B40" s="6">
        <f>日流量!B40*24*3600/100000000</f>
        <v>1.2441599999999999</v>
      </c>
      <c r="C40" s="6">
        <f>日流量!C40*24*3600/100000000</f>
        <v>1.23552</v>
      </c>
      <c r="D40" s="6">
        <f>日流量!D40*24*3600/100000000</f>
        <v>1.22688</v>
      </c>
      <c r="E40" s="6">
        <f>日流量!E40*24*3600/100000000</f>
        <v>1.21824</v>
      </c>
      <c r="F40" s="6">
        <f>日流量!F40*24*3600/100000000</f>
        <v>1.2096</v>
      </c>
      <c r="G40" s="6">
        <f>日流量!G40*24*3600/100000000</f>
        <v>1.19232</v>
      </c>
      <c r="H40" s="6">
        <f>日流量!H40*24*3600/100000000</f>
        <v>1.1836800000000001</v>
      </c>
      <c r="I40" s="6">
        <f>日流量!I40*24*3600/100000000</f>
        <v>1.1664000000000001</v>
      </c>
      <c r="J40" s="6">
        <f>日流量!J40*24*3600/100000000</f>
        <v>1.1577599999999999</v>
      </c>
      <c r="K40" s="6">
        <f>日流量!K40*24*3600/100000000</f>
        <v>1.1404799999999999</v>
      </c>
      <c r="L40" s="6">
        <f>日流量!L40*24*3600/100000000</f>
        <v>1.13184</v>
      </c>
      <c r="M40" s="6">
        <f>日流量!M40*24*3600/100000000</f>
        <v>1.1232</v>
      </c>
      <c r="N40" s="6">
        <f>日流量!N40*24*3600/100000000</f>
        <v>1.11456</v>
      </c>
      <c r="O40" s="6">
        <f>日流量!O40*24*3600/100000000</f>
        <v>1.10592</v>
      </c>
      <c r="P40" s="6">
        <f>日流量!P40*24*3600/100000000</f>
        <v>1.10592</v>
      </c>
      <c r="Q40" s="6">
        <f>日流量!Q40*24*3600/100000000</f>
        <v>1.10592</v>
      </c>
      <c r="R40" s="6">
        <f>日流量!R40*24*3600/100000000</f>
        <v>1.09728</v>
      </c>
      <c r="S40" s="6">
        <f>日流量!S40*24*3600/100000000</f>
        <v>1.0886400000000001</v>
      </c>
      <c r="T40" s="6">
        <f>日流量!T40*24*3600/100000000</f>
        <v>1.08</v>
      </c>
      <c r="U40" s="6">
        <f>日流量!U40*24*3600/100000000</f>
        <v>1.08</v>
      </c>
      <c r="V40" s="6">
        <f>日流量!V40*24*3600/100000000</f>
        <v>1.0713600000000001</v>
      </c>
      <c r="W40" s="6">
        <f>日流量!W40*24*3600/100000000</f>
        <v>1.0627200000000001</v>
      </c>
      <c r="X40" s="6">
        <f>日流量!X40*24*3600/100000000</f>
        <v>1.0540799999999999</v>
      </c>
      <c r="Y40" s="6">
        <f>日流量!Y40*24*3600/100000000</f>
        <v>1.0540799999999999</v>
      </c>
      <c r="Z40" s="6">
        <f>日流量!Z40*24*3600/100000000</f>
        <v>1.0454399999999999</v>
      </c>
      <c r="AA40" s="6">
        <f>日流量!AA40*24*3600/100000000</f>
        <v>1.0454399999999999</v>
      </c>
      <c r="AB40" s="6">
        <f>日流量!AB40*24*3600/100000000</f>
        <v>1.0454399999999999</v>
      </c>
      <c r="AC40" s="6">
        <f>日流量!AC40*24*3600/100000000</f>
        <v>1.0454399999999999</v>
      </c>
      <c r="AD40" s="6">
        <f>日流量!AD40*24*3600/100000000</f>
        <v>1.0367999999999999</v>
      </c>
      <c r="AE40" s="6">
        <f>日流量!AE40*24*3600/100000000</f>
        <v>1.0367999999999999</v>
      </c>
      <c r="AF40" s="6">
        <f>日流量!AF40*24*3600/100000000</f>
        <v>1.02816</v>
      </c>
      <c r="AG40" s="6">
        <f>日流量!AG40*24*3600/100000000</f>
        <v>1.02816</v>
      </c>
      <c r="AH40" s="6">
        <f>日流量!AH40*24*3600/100000000</f>
        <v>1.01952</v>
      </c>
      <c r="AI40" s="6">
        <f>日流量!AI40*24*3600/100000000</f>
        <v>1.00224</v>
      </c>
      <c r="AJ40" s="6">
        <f>日流量!AJ40*24*3600/100000000</f>
        <v>1.00224</v>
      </c>
      <c r="AK40" s="6">
        <f>日流量!AK40*24*3600/100000000</f>
        <v>0.99360000000000004</v>
      </c>
      <c r="AL40" s="6">
        <f>日流量!AL40*24*3600/100000000</f>
        <v>0.99360000000000004</v>
      </c>
      <c r="AM40" s="6">
        <f>日流量!AM40*24*3600/100000000</f>
        <v>1.01088</v>
      </c>
      <c r="AN40" s="6">
        <f>日流量!AN40*24*3600/100000000</f>
        <v>1.01952</v>
      </c>
      <c r="AO40" s="6">
        <f>日流量!AO40*24*3600/100000000</f>
        <v>1.02816</v>
      </c>
      <c r="AP40" s="6">
        <f>日流量!AP40*24*3600/100000000</f>
        <v>1.01952</v>
      </c>
      <c r="AQ40" s="6">
        <f>日流量!AQ40*24*3600/100000000</f>
        <v>1.01952</v>
      </c>
      <c r="AR40" s="6">
        <f>日流量!AR40*24*3600/100000000</f>
        <v>1.00224</v>
      </c>
      <c r="AS40" s="6">
        <f>日流量!AS40*24*3600/100000000</f>
        <v>0.99360000000000004</v>
      </c>
      <c r="AT40" s="6">
        <f>日流量!AT40*24*3600/100000000</f>
        <v>0.97631999999999997</v>
      </c>
      <c r="AU40" s="6">
        <f>日流量!AU40*24*3600/100000000</f>
        <v>0.96767999999999998</v>
      </c>
      <c r="AV40" s="6">
        <f>日流量!AV40*24*3600/100000000</f>
        <v>0.95904</v>
      </c>
      <c r="AW40" s="6">
        <f>日流量!AW40*24*3600/100000000</f>
        <v>0.95904</v>
      </c>
      <c r="AX40" s="6">
        <f>日流量!AX40*24*3600/100000000</f>
        <v>0.95040000000000002</v>
      </c>
      <c r="AY40" s="6">
        <f>日流量!AY40*24*3600/100000000</f>
        <v>0.95040000000000002</v>
      </c>
      <c r="AZ40" s="6">
        <f>日流量!AZ40*24*3600/100000000</f>
        <v>0.94176000000000004</v>
      </c>
      <c r="BA40" s="6">
        <f>日流量!BA40*24*3600/100000000</f>
        <v>0.94176000000000004</v>
      </c>
      <c r="BB40" s="6">
        <f>日流量!BB40*24*3600/100000000</f>
        <v>0.94176000000000004</v>
      </c>
      <c r="BC40" s="6">
        <f>日流量!BC40*24*3600/100000000</f>
        <v>0.94176000000000004</v>
      </c>
      <c r="BD40" s="6">
        <f>日流量!BD40*24*3600/100000000</f>
        <v>0.94176000000000004</v>
      </c>
      <c r="BE40" s="6">
        <f>日流量!BE40*24*3600/100000000</f>
        <v>0.93311999999999995</v>
      </c>
      <c r="BF40" s="6">
        <f>日流量!BF40*24*3600/100000000</f>
        <v>0.93311999999999995</v>
      </c>
      <c r="BG40" s="6">
        <f>日流量!BG40*24*3600/100000000</f>
        <v>0.92447999999999997</v>
      </c>
      <c r="BH40" s="6">
        <f>日流量!BH40*24*3600/100000000</f>
        <v>0.92447999999999997</v>
      </c>
      <c r="BI40" s="6"/>
      <c r="BJ40" s="6">
        <f>日流量!BJ40*24*3600/100000000</f>
        <v>0.92447999999999997</v>
      </c>
      <c r="BK40" s="6">
        <f>日流量!BK40*24*3600/100000000</f>
        <v>0.92447999999999997</v>
      </c>
      <c r="BL40" s="6">
        <f>日流量!BL40*24*3600/100000000</f>
        <v>0.91583999999999999</v>
      </c>
      <c r="BM40" s="6">
        <f>日流量!BM40*24*3600/100000000</f>
        <v>0.90720000000000001</v>
      </c>
      <c r="BN40" s="6">
        <f>日流量!BN40*24*3600/100000000</f>
        <v>0.89856000000000003</v>
      </c>
      <c r="BO40" s="6">
        <f>日流量!BO40*24*3600/100000000</f>
        <v>0.89856000000000003</v>
      </c>
      <c r="BP40" s="6">
        <f>日流量!BP40*24*3600/100000000</f>
        <v>0.89856000000000003</v>
      </c>
      <c r="BQ40" s="6">
        <f>日流量!BQ40*24*3600/100000000</f>
        <v>0.88992000000000004</v>
      </c>
      <c r="BR40" s="6">
        <f>日流量!BR40*24*3600/100000000</f>
        <v>0.88127999999999995</v>
      </c>
      <c r="BS40" s="6">
        <f>日流量!BS40*24*3600/100000000</f>
        <v>0.87263999999999997</v>
      </c>
      <c r="BT40" s="6">
        <f>日流量!BT40*24*3600/100000000</f>
        <v>0.86399999999999999</v>
      </c>
      <c r="BU40" s="6">
        <f>日流量!BU40*24*3600/100000000</f>
        <v>0.86227200000000004</v>
      </c>
      <c r="BV40" s="6">
        <f>日流量!BV40*24*3600/100000000</f>
        <v>0.85881600000000002</v>
      </c>
      <c r="BW40" s="6">
        <f>日流量!BW40*24*3600/100000000</f>
        <v>0.85795200000000005</v>
      </c>
      <c r="BX40" s="6">
        <f>日流量!BX40*24*3600/100000000</f>
        <v>0.85795200000000005</v>
      </c>
      <c r="BY40" s="6">
        <f>日流量!BY40*24*3600/100000000</f>
        <v>0.85795200000000005</v>
      </c>
      <c r="BZ40" s="6">
        <f>日流量!BZ40*24*3600/100000000</f>
        <v>0.85795200000000005</v>
      </c>
      <c r="CA40" s="6">
        <f>日流量!CA40*24*3600/100000000</f>
        <v>0.85363199999999995</v>
      </c>
      <c r="CB40" s="6">
        <f>日流量!CB40*24*3600/100000000</f>
        <v>0.84844799999999998</v>
      </c>
      <c r="CC40" s="6">
        <f>日流量!CC40*24*3600/100000000</f>
        <v>0.84844799999999998</v>
      </c>
      <c r="CD40" s="6">
        <f>日流量!CD40*24*3600/100000000</f>
        <v>0.84844799999999998</v>
      </c>
      <c r="CE40" s="6">
        <f>日流量!CE40*24*3600/100000000</f>
        <v>0.84844799999999998</v>
      </c>
      <c r="CF40" s="6">
        <f>日流量!CF40*24*3600/100000000</f>
        <v>0.84412799999999999</v>
      </c>
      <c r="CG40" s="6">
        <f>日流量!CG40*24*3600/100000000</f>
        <v>0.84412799999999999</v>
      </c>
      <c r="CH40" s="6">
        <f>日流量!CH40*24*3600/100000000</f>
        <v>0.84672000000000003</v>
      </c>
      <c r="CI40" s="6">
        <f>日流量!CI40*24*3600/100000000</f>
        <v>0.85190399999999999</v>
      </c>
      <c r="CJ40" s="6">
        <f>日流量!CJ40*24*3600/100000000</f>
        <v>0.84672000000000003</v>
      </c>
      <c r="CK40" s="6">
        <f>日流量!CK40*24*3600/100000000</f>
        <v>0.84067199999999997</v>
      </c>
      <c r="CL40" s="6">
        <f>日流量!CL40*24*3600/100000000</f>
        <v>0.83808000000000005</v>
      </c>
      <c r="CM40" s="6">
        <f>日流量!CM40*24*3600/100000000</f>
        <v>0.83808000000000005</v>
      </c>
      <c r="CN40" s="6">
        <f>日流量!CN40*24*3600/100000000</f>
        <v>0.85190399999999999</v>
      </c>
      <c r="CO40" s="6">
        <f>日流量!CO40*24*3600/100000000</f>
        <v>0.86140799999999995</v>
      </c>
      <c r="CP40" s="6">
        <f>日流量!CP40*24*3600/100000000</f>
        <v>0.86399999999999999</v>
      </c>
      <c r="CQ40" s="6">
        <f>日流量!CQ40*24*3600/100000000</f>
        <v>0.88992000000000004</v>
      </c>
      <c r="CR40" s="6">
        <f>日流量!CR40*24*3600/100000000</f>
        <v>0.89856000000000003</v>
      </c>
      <c r="CS40" s="6">
        <f>日流量!CS40*24*3600/100000000</f>
        <v>0.90720000000000001</v>
      </c>
      <c r="CT40" s="6">
        <f>日流量!CT40*24*3600/100000000</f>
        <v>0.91583999999999999</v>
      </c>
      <c r="CU40" s="6">
        <f>日流量!CU40*24*3600/100000000</f>
        <v>0.94176000000000004</v>
      </c>
      <c r="CV40" s="6">
        <f>日流量!CV40*24*3600/100000000</f>
        <v>0.96767999999999998</v>
      </c>
      <c r="CW40" s="6">
        <f>日流量!CW40*24*3600/100000000</f>
        <v>0.98495999999999995</v>
      </c>
      <c r="CX40" s="6">
        <f>日流量!CX40*24*3600/100000000</f>
        <v>1.00224</v>
      </c>
      <c r="CY40" s="6">
        <f>日流量!CY40*24*3600/100000000</f>
        <v>1.01088</v>
      </c>
      <c r="CZ40" s="6">
        <f>日流量!CZ40*24*3600/100000000</f>
        <v>0.99360000000000004</v>
      </c>
      <c r="DA40" s="6">
        <f>日流量!DA40*24*3600/100000000</f>
        <v>0.98495999999999995</v>
      </c>
      <c r="DB40" s="6">
        <f>日流量!DB40*24*3600/100000000</f>
        <v>0.97631999999999997</v>
      </c>
      <c r="DC40" s="6">
        <f>日流量!DC40*24*3600/100000000</f>
        <v>0.99360000000000004</v>
      </c>
      <c r="DD40" s="6">
        <f>日流量!DD40*24*3600/100000000</f>
        <v>1.00224</v>
      </c>
      <c r="DE40" s="6">
        <f>日流量!DE40*24*3600/100000000</f>
        <v>1.01088</v>
      </c>
      <c r="DF40" s="6">
        <f>日流量!DF40*24*3600/100000000</f>
        <v>1.00224</v>
      </c>
      <c r="DG40" s="6">
        <f>日流量!DG40*24*3600/100000000</f>
        <v>0.99360000000000004</v>
      </c>
      <c r="DH40" s="6">
        <f>日流量!DH40*24*3600/100000000</f>
        <v>0.96767999999999998</v>
      </c>
      <c r="DI40" s="6">
        <f>日流量!DI40*24*3600/100000000</f>
        <v>0.94176000000000004</v>
      </c>
      <c r="DJ40" s="6">
        <f>日流量!DJ40*24*3600/100000000</f>
        <v>0.93311999999999995</v>
      </c>
      <c r="DK40" s="6">
        <f>日流量!DK40*24*3600/100000000</f>
        <v>0.93311999999999995</v>
      </c>
      <c r="DL40" s="6">
        <f>日流量!DL40*24*3600/100000000</f>
        <v>0.93311999999999995</v>
      </c>
      <c r="DM40" s="6">
        <f>日流量!DM40*24*3600/100000000</f>
        <v>0.94176000000000004</v>
      </c>
      <c r="DN40" s="6">
        <f>日流量!DN40*24*3600/100000000</f>
        <v>0.95904</v>
      </c>
      <c r="DO40" s="6">
        <f>日流量!DO40*24*3600/100000000</f>
        <v>0.95904</v>
      </c>
      <c r="DP40" s="6">
        <f>日流量!DP40*24*3600/100000000</f>
        <v>0.96767999999999998</v>
      </c>
      <c r="DQ40" s="6">
        <f>日流量!DQ40*24*3600/100000000</f>
        <v>1.02816</v>
      </c>
      <c r="DR40" s="6">
        <f>日流量!DR40*24*3600/100000000</f>
        <v>1.0886400000000001</v>
      </c>
      <c r="DS40" s="6">
        <f>日流量!DS40*24*3600/100000000</f>
        <v>1.13184</v>
      </c>
      <c r="DT40" s="6">
        <f>日流量!DT40*24*3600/100000000</f>
        <v>1.1404799999999999</v>
      </c>
      <c r="DU40" s="6">
        <f>日流量!DU40*24*3600/100000000</f>
        <v>1.13184</v>
      </c>
      <c r="DV40" s="6">
        <f>日流量!DV40*24*3600/100000000</f>
        <v>1.10592</v>
      </c>
      <c r="DW40" s="6">
        <f>日流量!DW40*24*3600/100000000</f>
        <v>1.08</v>
      </c>
      <c r="DX40" s="6">
        <f>日流量!DX40*24*3600/100000000</f>
        <v>1.0454399999999999</v>
      </c>
      <c r="DY40" s="6">
        <f>日流量!DY40*24*3600/100000000</f>
        <v>1.0367999999999999</v>
      </c>
      <c r="DZ40" s="6">
        <f>日流量!DZ40*24*3600/100000000</f>
        <v>1.0627200000000001</v>
      </c>
      <c r="EA40" s="6">
        <f>日流量!EA40*24*3600/100000000</f>
        <v>1.0886400000000001</v>
      </c>
      <c r="EB40" s="6">
        <f>日流量!EB40*24*3600/100000000</f>
        <v>1.10592</v>
      </c>
      <c r="EC40" s="6">
        <f>日流量!EC40*24*3600/100000000</f>
        <v>1.0886400000000001</v>
      </c>
      <c r="ED40" s="6">
        <f>日流量!ED40*24*3600/100000000</f>
        <v>1.0713600000000001</v>
      </c>
      <c r="EE40" s="6">
        <f>日流量!EE40*24*3600/100000000</f>
        <v>1.0367999999999999</v>
      </c>
      <c r="EF40" s="6">
        <f>日流量!EF40*24*3600/100000000</f>
        <v>1.01952</v>
      </c>
      <c r="EG40" s="6">
        <f>日流量!EG40*24*3600/100000000</f>
        <v>1.02816</v>
      </c>
      <c r="EH40" s="6">
        <f>日流量!EH40*24*3600/100000000</f>
        <v>1.08</v>
      </c>
      <c r="EI40" s="6">
        <f>日流量!EI40*24*3600/100000000</f>
        <v>1.1664000000000001</v>
      </c>
      <c r="EJ40" s="6">
        <f>日流量!EJ40*24*3600/100000000</f>
        <v>1.19232</v>
      </c>
      <c r="EK40" s="6">
        <f>日流量!EK40*24*3600/100000000</f>
        <v>1.19232</v>
      </c>
      <c r="EL40" s="6">
        <f>日流量!EL40*24*3600/100000000</f>
        <v>1.1836800000000001</v>
      </c>
      <c r="EM40" s="6">
        <f>日流量!EM40*24*3600/100000000</f>
        <v>1.1664000000000001</v>
      </c>
      <c r="EN40" s="6">
        <f>日流量!EN40*24*3600/100000000</f>
        <v>1.1577599999999999</v>
      </c>
      <c r="EO40" s="6">
        <f>日流量!EO40*24*3600/100000000</f>
        <v>1.1404799999999999</v>
      </c>
      <c r="EP40" s="6">
        <f>日流量!EP40*24*3600/100000000</f>
        <v>1.1232</v>
      </c>
      <c r="EQ40" s="6">
        <f>日流量!EQ40*24*3600/100000000</f>
        <v>1.1577599999999999</v>
      </c>
      <c r="ER40" s="6">
        <f>日流量!ER40*24*3600/100000000</f>
        <v>1.19232</v>
      </c>
      <c r="ES40" s="6">
        <f>日流量!ES40*24*3600/100000000</f>
        <v>1.22688</v>
      </c>
      <c r="ET40" s="6">
        <f>日流量!ET40*24*3600/100000000</f>
        <v>1.2614399999999999</v>
      </c>
      <c r="EU40" s="6">
        <f>日流量!EU40*24*3600/100000000</f>
        <v>1.31328</v>
      </c>
      <c r="EV40" s="6">
        <f>日流量!EV40*24*3600/100000000</f>
        <v>1.43424</v>
      </c>
      <c r="EW40" s="6">
        <f>日流量!EW40*24*3600/100000000</f>
        <v>1.5724800000000001</v>
      </c>
      <c r="EX40" s="6">
        <f>日流量!EX40*24*3600/100000000</f>
        <v>1.60704</v>
      </c>
      <c r="EY40" s="6">
        <f>日流量!EY40*24*3600/100000000</f>
        <v>1.7712000000000001</v>
      </c>
      <c r="EZ40" s="6">
        <f>日流量!EZ40*24*3600/100000000</f>
        <v>1.6588799999999999</v>
      </c>
      <c r="FA40" s="6">
        <f>日流量!FA40*24*3600/100000000</f>
        <v>1.4860800000000001</v>
      </c>
      <c r="FB40" s="6">
        <f>日流量!FB40*24*3600/100000000</f>
        <v>1.43424</v>
      </c>
      <c r="FC40" s="6">
        <f>日流量!FC40*24*3600/100000000</f>
        <v>1.33056</v>
      </c>
      <c r="FD40" s="6">
        <f>日流量!FD40*24*3600/100000000</f>
        <v>1.30464</v>
      </c>
      <c r="FE40" s="6">
        <f>日流量!FE40*24*3600/100000000</f>
        <v>1.3564799999999999</v>
      </c>
      <c r="FF40" s="6">
        <f>日流量!FF40*24*3600/100000000</f>
        <v>1.4601599999999999</v>
      </c>
      <c r="FG40" s="6">
        <f>日流量!FG40*24*3600/100000000</f>
        <v>1.5638399999999999</v>
      </c>
      <c r="FH40" s="6">
        <f>日流量!FH40*24*3600/100000000</f>
        <v>1.7971200000000001</v>
      </c>
      <c r="FI40" s="6">
        <f>日流量!FI40*24*3600/100000000</f>
        <v>1.8748800000000001</v>
      </c>
      <c r="FJ40" s="6">
        <f>日流量!FJ40*24*3600/100000000</f>
        <v>1.7625599999999999</v>
      </c>
      <c r="FK40" s="6">
        <f>日流量!FK40*24*3600/100000000</f>
        <v>1.6675199999999999</v>
      </c>
      <c r="FL40" s="6">
        <f>日流量!FL40*24*3600/100000000</f>
        <v>1.5811200000000001</v>
      </c>
      <c r="FM40" s="6">
        <f>日流量!FM40*24*3600/100000000</f>
        <v>1.5811200000000001</v>
      </c>
      <c r="FN40" s="6">
        <f>日流量!FN40*24*3600/100000000</f>
        <v>1.6502399999999999</v>
      </c>
      <c r="FO40" s="6">
        <f>日流量!FO40*24*3600/100000000</f>
        <v>1.71072</v>
      </c>
      <c r="FP40" s="6">
        <f>日流量!FP40*24*3600/100000000</f>
        <v>1.91808</v>
      </c>
      <c r="FQ40" s="6">
        <f>日流量!FQ40*24*3600/100000000</f>
        <v>2.1427200000000002</v>
      </c>
      <c r="FR40" s="6">
        <f>日流量!FR40*24*3600/100000000</f>
        <v>2.16</v>
      </c>
      <c r="FS40" s="6">
        <f>日流量!FS40*24*3600/100000000</f>
        <v>2.0476800000000002</v>
      </c>
      <c r="FT40" s="6">
        <f>日流量!FT40*24*3600/100000000</f>
        <v>1.92672</v>
      </c>
      <c r="FU40" s="6">
        <f>日流量!FU40*24*3600/100000000</f>
        <v>1.8921600000000001</v>
      </c>
      <c r="FV40" s="6">
        <f>日流量!FV40*24*3600/100000000</f>
        <v>2.1254400000000002</v>
      </c>
      <c r="FW40" s="6">
        <f>日流量!FW40*24*3600/100000000</f>
        <v>2.4451200000000002</v>
      </c>
      <c r="FX40" s="6">
        <f>日流量!FX40*24*3600/100000000</f>
        <v>2.6611199999999999</v>
      </c>
      <c r="FY40" s="6">
        <f>日流量!FY40*24*3600/100000000</f>
        <v>3.2831999999999999</v>
      </c>
      <c r="FZ40" s="6">
        <f>日流量!FZ40*24*3600/100000000</f>
        <v>4.1126399999999999</v>
      </c>
      <c r="GA40" s="6">
        <f>日流量!GA40*24*3600/100000000</f>
        <v>4.7001600000000003</v>
      </c>
      <c r="GB40" s="6">
        <f>日流量!GB40*24*3600/100000000</f>
        <v>5.2790400000000002</v>
      </c>
      <c r="GC40" s="6">
        <f>日流量!GC40*24*3600/100000000</f>
        <v>5.1840000000000002</v>
      </c>
      <c r="GD40" s="6">
        <f>日流量!GD40*24*3600/100000000</f>
        <v>5.1062399999999997</v>
      </c>
      <c r="GE40" s="6">
        <f>日流量!GE40*24*3600/100000000</f>
        <v>5.4</v>
      </c>
      <c r="GF40" s="6">
        <f>日流量!GF40*24*3600/100000000</f>
        <v>6.0134400000000001</v>
      </c>
      <c r="GG40" s="6">
        <f>日流量!GG40*24*3600/100000000</f>
        <v>7.6463999999999999</v>
      </c>
      <c r="GH40" s="6">
        <f>日流量!GH40*24*3600/100000000</f>
        <v>7.9228800000000001</v>
      </c>
      <c r="GI40" s="6">
        <f>日流量!GI40*24*3600/100000000</f>
        <v>7.3267199999999999</v>
      </c>
      <c r="GJ40" s="6">
        <f>日流量!GJ40*24*3600/100000000</f>
        <v>6.7564799999999998</v>
      </c>
      <c r="GK40" s="6">
        <f>日流量!GK40*24*3600/100000000</f>
        <v>6.6096000000000004</v>
      </c>
      <c r="GL40" s="6">
        <f>日流量!GL40*24*3600/100000000</f>
        <v>6.6441600000000003</v>
      </c>
      <c r="GM40" s="6">
        <f>日流量!GM40*24*3600/100000000</f>
        <v>6.7132800000000001</v>
      </c>
      <c r="GN40" s="6">
        <f>日流量!GN40*24*3600/100000000</f>
        <v>7.8192000000000004</v>
      </c>
      <c r="GO40" s="6">
        <f>日流量!GO40*24*3600/100000000</f>
        <v>7.7846399999999996</v>
      </c>
      <c r="GP40" s="6">
        <f>日流量!GP40*24*3600/100000000</f>
        <v>7.7414399999999999</v>
      </c>
      <c r="GQ40" s="6">
        <f>日流量!GQ40*24*3600/100000000</f>
        <v>8.5622399999999992</v>
      </c>
      <c r="GR40" s="6">
        <f>日流量!GR40*24*3600/100000000</f>
        <v>8.4844799999999996</v>
      </c>
      <c r="GS40" s="6">
        <f>日流量!GS40*24*3600/100000000</f>
        <v>8.8992000000000004</v>
      </c>
      <c r="GT40" s="6">
        <f>日流量!GT40*24*3600/100000000</f>
        <v>8.8992000000000004</v>
      </c>
      <c r="GU40" s="6">
        <f>日流量!GU40*24*3600/100000000</f>
        <v>9.0719999999999992</v>
      </c>
      <c r="GV40" s="6">
        <f>日流量!GV40*24*3600/100000000</f>
        <v>10.281599999999999</v>
      </c>
      <c r="GW40" s="6">
        <f>日流量!GW40*24*3600/100000000</f>
        <v>11.750400000000001</v>
      </c>
      <c r="GX40" s="6">
        <f>日流量!GX40*24*3600/100000000</f>
        <v>11.5776</v>
      </c>
      <c r="GY40" s="6">
        <f>日流量!GY40*24*3600/100000000</f>
        <v>12.700799999999999</v>
      </c>
      <c r="GZ40" s="6">
        <f>日流量!GZ40*24*3600/100000000</f>
        <v>12.441599999999999</v>
      </c>
      <c r="HA40" s="6">
        <f>日流量!HA40*24*3600/100000000</f>
        <v>11.3184</v>
      </c>
      <c r="HB40" s="6">
        <f>日流量!HB40*24*3600/100000000</f>
        <v>9.9359999999999999</v>
      </c>
      <c r="HC40" s="6">
        <f>日流量!HC40*24*3600/100000000</f>
        <v>8.9855999999999998</v>
      </c>
      <c r="HD40" s="6">
        <f>日流量!HD40*24*3600/100000000</f>
        <v>8.5795200000000005</v>
      </c>
      <c r="HE40" s="6">
        <f>日流量!HE40*24*3600/100000000</f>
        <v>8.5017600000000009</v>
      </c>
      <c r="HF40" s="6">
        <f>日流量!HF40*24*3600/100000000</f>
        <v>8.4672000000000001</v>
      </c>
      <c r="HG40" s="6">
        <f>日流量!HG40*24*3600/100000000</f>
        <v>7.9401599999999997</v>
      </c>
      <c r="HH40" s="6">
        <f>日流量!HH40*24*3600/100000000</f>
        <v>7.4649599999999996</v>
      </c>
      <c r="HI40" s="6">
        <f>日流量!HI40*24*3600/100000000</f>
        <v>7.7155199999999997</v>
      </c>
      <c r="HJ40" s="6">
        <f>日流量!HJ40*24*3600/100000000</f>
        <v>7.48224</v>
      </c>
      <c r="HK40" s="6">
        <f>日流量!HK40*24*3600/100000000</f>
        <v>7.3872</v>
      </c>
      <c r="HL40" s="6">
        <f>日流量!HL40*24*3600/100000000</f>
        <v>7.48224</v>
      </c>
      <c r="HM40" s="6">
        <f>日流量!HM40*24*3600/100000000</f>
        <v>7.89696</v>
      </c>
      <c r="HN40" s="6">
        <f>日流量!HN40*24*3600/100000000</f>
        <v>8.8127999999999993</v>
      </c>
      <c r="HO40" s="6">
        <f>日流量!HO40*24*3600/100000000</f>
        <v>9.1584000000000003</v>
      </c>
      <c r="HP40" s="6">
        <f>日流量!HP40*24*3600/100000000</f>
        <v>9.2447999999999997</v>
      </c>
      <c r="HQ40" s="6">
        <f>日流量!HQ40*24*3600/100000000</f>
        <v>9.2447999999999997</v>
      </c>
      <c r="HR40" s="6">
        <f>日流量!HR40*24*3600/100000000</f>
        <v>9.5039999999999996</v>
      </c>
      <c r="HS40" s="6">
        <f>日流量!HS40*24*3600/100000000</f>
        <v>9.9359999999999999</v>
      </c>
      <c r="HT40" s="6">
        <f>日流量!HT40*24*3600/100000000</f>
        <v>10.1088</v>
      </c>
      <c r="HU40" s="6">
        <f>日流量!HU40*24*3600/100000000</f>
        <v>10.1952</v>
      </c>
      <c r="HV40" s="6">
        <f>日流量!HV40*24*3600/100000000</f>
        <v>10.4544</v>
      </c>
      <c r="HW40" s="6">
        <f>日流量!HW40*24*3600/100000000</f>
        <v>10.1952</v>
      </c>
      <c r="HX40" s="6">
        <f>日流量!HX40*24*3600/100000000</f>
        <v>9.5039999999999996</v>
      </c>
      <c r="HY40" s="6">
        <f>日流量!HY40*24*3600/100000000</f>
        <v>8.8127999999999993</v>
      </c>
      <c r="HZ40" s="6">
        <f>日流量!HZ40*24*3600/100000000</f>
        <v>8.5968</v>
      </c>
      <c r="IA40" s="6">
        <f>日流量!IA40*24*3600/100000000</f>
        <v>8.5449599999999997</v>
      </c>
      <c r="IB40" s="6">
        <f>日流量!IB40*24*3600/100000000</f>
        <v>8.8992000000000004</v>
      </c>
      <c r="IC40" s="6">
        <f>日流量!IC40*24*3600/100000000</f>
        <v>10.4544</v>
      </c>
      <c r="ID40" s="6">
        <f>日流量!ID40*24*3600/100000000</f>
        <v>10.6272</v>
      </c>
      <c r="IE40" s="6">
        <f>日流量!IE40*24*3600/100000000</f>
        <v>10.1088</v>
      </c>
      <c r="IF40" s="6">
        <f>日流量!IF40*24*3600/100000000</f>
        <v>10.022399999999999</v>
      </c>
      <c r="IG40" s="6">
        <f>日流量!IG40*24*3600/100000000</f>
        <v>10.1088</v>
      </c>
      <c r="IH40" s="6">
        <f>日流量!IH40*24*3600/100000000</f>
        <v>9.5039999999999996</v>
      </c>
      <c r="II40" s="6">
        <f>日流量!II40*24*3600/100000000</f>
        <v>9.3312000000000008</v>
      </c>
      <c r="IJ40" s="6">
        <f>日流量!IJ40*24*3600/100000000</f>
        <v>9.1584000000000003</v>
      </c>
      <c r="IK40" s="6">
        <f>日流量!IK40*24*3600/100000000</f>
        <v>8.6054399999999998</v>
      </c>
      <c r="IL40" s="6">
        <f>日流量!IL40*24*3600/100000000</f>
        <v>8.2684800000000003</v>
      </c>
      <c r="IM40" s="6">
        <f>日流量!IM40*24*3600/100000000</f>
        <v>9.1584000000000003</v>
      </c>
      <c r="IN40" s="6">
        <f>日流量!IN40*24*3600/100000000</f>
        <v>9.5039999999999996</v>
      </c>
      <c r="IO40" s="6">
        <f>日流量!IO40*24*3600/100000000</f>
        <v>9.5039999999999996</v>
      </c>
      <c r="IP40" s="6">
        <f>日流量!IP40*24*3600/100000000</f>
        <v>9.2447999999999997</v>
      </c>
      <c r="IQ40" s="6">
        <f>日流量!IQ40*24*3600/100000000</f>
        <v>9.5904000000000007</v>
      </c>
      <c r="IR40" s="6">
        <f>日流量!IR40*24*3600/100000000</f>
        <v>9.5904000000000007</v>
      </c>
      <c r="IS40" s="6">
        <f>日流量!IS40*24*3600/100000000</f>
        <v>10.281599999999999</v>
      </c>
      <c r="IT40" s="6">
        <f>日流量!IT40*24*3600/100000000</f>
        <v>10.972799999999999</v>
      </c>
      <c r="IU40" s="6">
        <f>日流量!IU40*24*3600/100000000</f>
        <v>10.7136</v>
      </c>
      <c r="IV40" s="6">
        <f>日流量!IV40*24*3600/100000000</f>
        <v>9.9359999999999999</v>
      </c>
      <c r="IW40" s="6">
        <f>日流量!IW40*24*3600/100000000</f>
        <v>9.2447999999999997</v>
      </c>
      <c r="IX40" s="6">
        <f>日流量!IX40*24*3600/100000000</f>
        <v>8.9855999999999998</v>
      </c>
      <c r="IY40" s="6">
        <f>日流量!IY40*24*3600/100000000</f>
        <v>8.9855999999999998</v>
      </c>
      <c r="IZ40" s="6">
        <f>日流量!IZ40*24*3600/100000000</f>
        <v>9.0719999999999992</v>
      </c>
      <c r="JA40" s="6">
        <f>日流量!JA40*24*3600/100000000</f>
        <v>9.0719999999999992</v>
      </c>
      <c r="JB40" s="6">
        <f>日流量!JB40*24*3600/100000000</f>
        <v>9.0719999999999992</v>
      </c>
      <c r="JC40" s="6">
        <f>日流量!JC40*24*3600/100000000</f>
        <v>11.1456</v>
      </c>
      <c r="JD40" s="6">
        <f>日流量!JD40*24*3600/100000000</f>
        <v>13.651199999999999</v>
      </c>
      <c r="JE40" s="6">
        <f>日流量!JE40*24*3600/100000000</f>
        <v>14.688000000000001</v>
      </c>
      <c r="JF40" s="6">
        <f>日流量!JF40*24*3600/100000000</f>
        <v>14.5152</v>
      </c>
      <c r="JG40" s="6">
        <f>日流量!JG40*24*3600/100000000</f>
        <v>13.3056</v>
      </c>
      <c r="JH40" s="6">
        <f>日流量!JH40*24*3600/100000000</f>
        <v>12.441599999999999</v>
      </c>
      <c r="JI40" s="6">
        <f>日流量!JI40*24*3600/100000000</f>
        <v>11.5776</v>
      </c>
      <c r="JJ40" s="6">
        <f>日流量!JJ40*24*3600/100000000</f>
        <v>10.8</v>
      </c>
      <c r="JK40" s="6">
        <f>日流量!JK40*24*3600/100000000</f>
        <v>10.4544</v>
      </c>
      <c r="JL40" s="6">
        <f>日流量!JL40*24*3600/100000000</f>
        <v>10.4544</v>
      </c>
      <c r="JM40" s="6">
        <f>日流量!JM40*24*3600/100000000</f>
        <v>10.7136</v>
      </c>
      <c r="JN40" s="6">
        <f>日流量!JN40*24*3600/100000000</f>
        <v>11.059200000000001</v>
      </c>
      <c r="JO40" s="6">
        <f>日流量!JO40*24*3600/100000000</f>
        <v>10.972799999999999</v>
      </c>
      <c r="JP40" s="6">
        <f>日流量!JP40*24*3600/100000000</f>
        <v>10.8864</v>
      </c>
      <c r="JQ40" s="6">
        <f>日流量!JQ40*24*3600/100000000</f>
        <v>10.540800000000001</v>
      </c>
      <c r="JR40" s="6">
        <f>日流量!JR40*24*3600/100000000</f>
        <v>10.368</v>
      </c>
      <c r="JS40" s="6">
        <f>日流量!JS40*24*3600/100000000</f>
        <v>10.4544</v>
      </c>
      <c r="JT40" s="6">
        <f>日流量!JT40*24*3600/100000000</f>
        <v>9.8496000000000006</v>
      </c>
      <c r="JU40" s="6">
        <f>日流量!JU40*24*3600/100000000</f>
        <v>9.1584000000000003</v>
      </c>
      <c r="JV40" s="6">
        <f>日流量!JV40*24*3600/100000000</f>
        <v>8.5535999999999994</v>
      </c>
      <c r="JW40" s="6">
        <f>日流量!JW40*24*3600/100000000</f>
        <v>8.1993600000000004</v>
      </c>
      <c r="JX40" s="6">
        <f>日流量!JX40*24*3600/100000000</f>
        <v>7.89696</v>
      </c>
      <c r="JY40" s="6">
        <f>日流量!JY40*24*3600/100000000</f>
        <v>7.6291200000000003</v>
      </c>
      <c r="JZ40" s="6">
        <f>日流量!JZ40*24*3600/100000000</f>
        <v>7.3699199999999996</v>
      </c>
      <c r="KA40" s="6">
        <f>日流量!KA40*24*3600/100000000</f>
        <v>7.0502399999999996</v>
      </c>
      <c r="KB40" s="6">
        <f>日流量!KB40*24*3600/100000000</f>
        <v>6.7651199999999996</v>
      </c>
      <c r="KC40" s="6">
        <f>日流量!KC40*24*3600/100000000</f>
        <v>6.46272</v>
      </c>
      <c r="KD40" s="6">
        <f>日流量!KD40*24*3600/100000000</f>
        <v>6.2121599999999999</v>
      </c>
      <c r="KE40" s="6">
        <f>日流量!KE40*24*3600/100000000</f>
        <v>5.9184000000000001</v>
      </c>
      <c r="KF40" s="6">
        <f>日流量!KF40*24*3600/100000000</f>
        <v>5.6332800000000001</v>
      </c>
      <c r="KG40" s="6">
        <f>日流量!KG40*24*3600/100000000</f>
        <v>5.3913599999999997</v>
      </c>
      <c r="KH40" s="6">
        <f>日流量!KH40*24*3600/100000000</f>
        <v>5.1667199999999998</v>
      </c>
      <c r="KI40" s="6">
        <f>日流量!KI40*24*3600/100000000</f>
        <v>5.0025599999999999</v>
      </c>
      <c r="KJ40" s="6">
        <f>日流量!KJ40*24*3600/100000000</f>
        <v>4.8384</v>
      </c>
      <c r="KK40" s="6">
        <f>日流量!KK40*24*3600/100000000</f>
        <v>4.6569599999999998</v>
      </c>
      <c r="KL40" s="6">
        <f>日流量!KL40*24*3600/100000000</f>
        <v>4.5100800000000003</v>
      </c>
      <c r="KM40" s="6">
        <f>日流量!KM40*24*3600/100000000</f>
        <v>4.3718399999999997</v>
      </c>
      <c r="KN40" s="6">
        <f>日流量!KN40*24*3600/100000000</f>
        <v>4.2422399999999998</v>
      </c>
      <c r="KO40" s="6">
        <f>日流量!KO40*24*3600/100000000</f>
        <v>4.13856</v>
      </c>
      <c r="KP40" s="6">
        <f>日流量!KP40*24*3600/100000000</f>
        <v>4.04352</v>
      </c>
      <c r="KQ40" s="6">
        <f>日流量!KQ40*24*3600/100000000</f>
        <v>3.9398399999999998</v>
      </c>
      <c r="KR40" s="6">
        <f>日流量!KR40*24*3600/100000000</f>
        <v>3.8448000000000002</v>
      </c>
      <c r="KS40" s="6">
        <f>日流量!KS40*24*3600/100000000</f>
        <v>3.7497600000000002</v>
      </c>
      <c r="KT40" s="6">
        <f>日流量!KT40*24*3600/100000000</f>
        <v>3.6374399999999998</v>
      </c>
      <c r="KU40" s="6">
        <f>日流量!KU40*24*3600/100000000</f>
        <v>3.55104</v>
      </c>
      <c r="KV40" s="6">
        <f>日流量!KV40*24*3600/100000000</f>
        <v>3.4473600000000002</v>
      </c>
      <c r="KW40" s="6">
        <f>日流量!KW40*24*3600/100000000</f>
        <v>3.3696000000000002</v>
      </c>
      <c r="KX40" s="6">
        <f>日流量!KX40*24*3600/100000000</f>
        <v>3.2918400000000001</v>
      </c>
      <c r="KY40" s="6">
        <f>日流量!KY40*24*3600/100000000</f>
        <v>3.24</v>
      </c>
      <c r="KZ40" s="6">
        <f>日流量!KZ40*24*3600/100000000</f>
        <v>3.21408</v>
      </c>
      <c r="LA40" s="6">
        <f>日流量!LA40*24*3600/100000000</f>
        <v>3.1536</v>
      </c>
      <c r="LB40" s="6">
        <f>日流量!LB40*24*3600/100000000</f>
        <v>3.0844800000000001</v>
      </c>
      <c r="LC40" s="6">
        <f>日流量!LC40*24*3600/100000000</f>
        <v>3.0067200000000001</v>
      </c>
      <c r="LD40" s="6">
        <f>日流量!LD40*24*3600/100000000</f>
        <v>2.94624</v>
      </c>
      <c r="LE40" s="6">
        <f>日流量!LE40*24*3600/100000000</f>
        <v>2.8857599999999999</v>
      </c>
      <c r="LF40" s="6">
        <f>日流量!LF40*24*3600/100000000</f>
        <v>2.81664</v>
      </c>
      <c r="LG40" s="6">
        <f>日流量!LG40*24*3600/100000000</f>
        <v>2.7475200000000002</v>
      </c>
      <c r="LH40" s="6">
        <f>日流量!LH40*24*3600/100000000</f>
        <v>2.6697600000000001</v>
      </c>
      <c r="LI40" s="6">
        <f>日流量!LI40*24*3600/100000000</f>
        <v>2.62656</v>
      </c>
      <c r="LJ40" s="6">
        <f>日流量!LJ40*24*3600/100000000</f>
        <v>2.5920000000000001</v>
      </c>
      <c r="LK40" s="6">
        <f>日流量!LK40*24*3600/100000000</f>
        <v>2.6352000000000002</v>
      </c>
      <c r="LL40" s="6">
        <f>日流量!LL40*24*3600/100000000</f>
        <v>2.64384</v>
      </c>
      <c r="LM40" s="6">
        <f>日流量!LM40*24*3600/100000000</f>
        <v>2.5833599999999999</v>
      </c>
      <c r="LN40" s="6">
        <f>日流量!LN40*24*3600/100000000</f>
        <v>2.5055999999999998</v>
      </c>
      <c r="LO40" s="6">
        <f>日流量!LO40*24*3600/100000000</f>
        <v>2.43648</v>
      </c>
      <c r="LP40" s="6">
        <f>日流量!LP40*24*3600/100000000</f>
        <v>2.3673600000000001</v>
      </c>
      <c r="LQ40" s="6">
        <f>日流量!LQ40*24*3600/100000000</f>
        <v>2.32416</v>
      </c>
      <c r="LR40" s="6">
        <f>日流量!LR40*24*3600/100000000</f>
        <v>2.2809599999999999</v>
      </c>
      <c r="LS40" s="6">
        <f>日流量!LS40*24*3600/100000000</f>
        <v>2.22912</v>
      </c>
      <c r="LT40" s="6">
        <f>日流量!LT40*24*3600/100000000</f>
        <v>2.1772800000000001</v>
      </c>
      <c r="LU40" s="6">
        <f>日流量!LU40*24*3600/100000000</f>
        <v>2.13408</v>
      </c>
      <c r="LV40" s="6">
        <f>日流量!LV40*24*3600/100000000</f>
        <v>2.0908799999999998</v>
      </c>
      <c r="LW40" s="6">
        <f>日流量!LW40*24*3600/100000000</f>
        <v>2.0476800000000002</v>
      </c>
      <c r="LX40" s="6">
        <f>日流量!LX40*24*3600/100000000</f>
        <v>2.00448</v>
      </c>
      <c r="LY40" s="6">
        <f>日流量!LY40*24*3600/100000000</f>
        <v>1.9699199999999999</v>
      </c>
      <c r="LZ40" s="6">
        <f>日流量!LZ40*24*3600/100000000</f>
        <v>1.9526399999999999</v>
      </c>
      <c r="MA40" s="6">
        <f>日流量!MA40*24*3600/100000000</f>
        <v>1.91808</v>
      </c>
      <c r="MB40" s="6">
        <f>日流量!MB40*24*3600/100000000</f>
        <v>1.9008</v>
      </c>
      <c r="MC40" s="6">
        <f>日流量!MC40*24*3600/100000000</f>
        <v>1.8748800000000001</v>
      </c>
      <c r="MD40" s="6">
        <f>日流量!MD40*24*3600/100000000</f>
        <v>1.8575999999999999</v>
      </c>
      <c r="ME40" s="6">
        <f>日流量!ME40*24*3600/100000000</f>
        <v>1.84032</v>
      </c>
      <c r="MF40" s="6">
        <f>日流量!MF40*24*3600/100000000</f>
        <v>1.82304</v>
      </c>
      <c r="MG40" s="6">
        <f>日流量!MG40*24*3600/100000000</f>
        <v>1.80576</v>
      </c>
      <c r="MH40" s="6">
        <f>日流量!MH40*24*3600/100000000</f>
        <v>1.7798400000000001</v>
      </c>
      <c r="MI40" s="6">
        <f>日流量!MI40*24*3600/100000000</f>
        <v>1.7625599999999999</v>
      </c>
      <c r="MJ40" s="6">
        <f>日流量!MJ40*24*3600/100000000</f>
        <v>1.7452799999999999</v>
      </c>
      <c r="MK40" s="6">
        <f>日流量!MK40*24*3600/100000000</f>
        <v>1.71936</v>
      </c>
      <c r="ML40" s="6">
        <f>日流量!ML40*24*3600/100000000</f>
        <v>1.6934400000000001</v>
      </c>
      <c r="MM40" s="6">
        <f>日流量!MM40*24*3600/100000000</f>
        <v>1.6675199999999999</v>
      </c>
      <c r="MN40" s="6">
        <f>日流量!MN40*24*3600/100000000</f>
        <v>1.6588799999999999</v>
      </c>
      <c r="MO40" s="6">
        <f>日流量!MO40*24*3600/100000000</f>
        <v>1.6502399999999999</v>
      </c>
      <c r="MP40" s="6">
        <f>日流量!MP40*24*3600/100000000</f>
        <v>1.63296</v>
      </c>
      <c r="MQ40" s="6">
        <f>日流量!MQ40*24*3600/100000000</f>
        <v>1.62432</v>
      </c>
      <c r="MR40" s="6">
        <f>日流量!MR40*24*3600/100000000</f>
        <v>1.5984</v>
      </c>
      <c r="MS40" s="6">
        <f>日流量!MS40*24*3600/100000000</f>
        <v>1.5724800000000001</v>
      </c>
      <c r="MT40" s="6">
        <f>日流量!MT40*24*3600/100000000</f>
        <v>1.53792</v>
      </c>
      <c r="MU40" s="6">
        <f>日流量!MU40*24*3600/100000000</f>
        <v>1.512</v>
      </c>
      <c r="MV40" s="6">
        <f>日流量!MV40*24*3600/100000000</f>
        <v>1.4860800000000001</v>
      </c>
      <c r="MW40" s="6">
        <f>日流量!MW40*24*3600/100000000</f>
        <v>1.4774400000000001</v>
      </c>
      <c r="MX40" s="6">
        <f>日流量!MX40*24*3600/100000000</f>
        <v>1.4515199999999999</v>
      </c>
      <c r="MY40" s="6">
        <f>日流量!MY40*24*3600/100000000</f>
        <v>1.4256</v>
      </c>
      <c r="MZ40" s="6">
        <f>日流量!MZ40*24*3600/100000000</f>
        <v>1.40832</v>
      </c>
      <c r="NA40" s="6">
        <f>日流量!NA40*24*3600/100000000</f>
        <v>1.3910400000000001</v>
      </c>
      <c r="NB40" s="6">
        <f>日流量!NB40*24*3600/100000000</f>
        <v>1.3824000000000001</v>
      </c>
      <c r="NC40" s="6"/>
      <c r="ND40" s="6">
        <f>日流量!ND40*24*3600*31/100000000</f>
        <v>34.551360000000003</v>
      </c>
      <c r="NE40" s="6">
        <f>日流量!NE40*24*3600*28/100000000</f>
        <v>27.336960000000001</v>
      </c>
      <c r="NF40" s="6">
        <f>日流量!NF40*24*3600*31/100000000</f>
        <v>26.783999999999999</v>
      </c>
      <c r="NG40" s="6">
        <f>日流量!NG40*24*3600*30/100000000</f>
        <v>28.7712</v>
      </c>
      <c r="NH40" s="6">
        <f>日流量!NH40*24*3600*31/100000000</f>
        <v>35.622720000000001</v>
      </c>
      <c r="NI40" s="6">
        <f>日流量!NI40*24*3600*30/100000000</f>
        <v>60.134399999999999</v>
      </c>
      <c r="NJ40" s="6">
        <f>日流量!NJ40*24*3600*31/100000000</f>
        <v>257.92991999999998</v>
      </c>
      <c r="NK40" s="6">
        <f>日流量!NK40*24*3600*31/100000000</f>
        <v>281.23200000000003</v>
      </c>
      <c r="NL40" s="6">
        <f>日流量!NL40*24*3600*30/100000000</f>
        <v>316.22399999999999</v>
      </c>
      <c r="NM40" s="6">
        <f>日流量!NM40*24*3600*31/100000000</f>
        <v>200.61215999999999</v>
      </c>
      <c r="NN40" s="6">
        <f>日流量!NN40*24*3600*30/100000000</f>
        <v>81.129599999999996</v>
      </c>
      <c r="NO40" s="6">
        <f>日流量!NO40*24*3600*31/100000000</f>
        <v>51.425280000000001</v>
      </c>
      <c r="NP40" s="14">
        <f t="shared" si="10"/>
        <v>1401.7535999999998</v>
      </c>
      <c r="NQ40" s="6">
        <f>日流量!NQ40*24*3600/100000000</f>
        <v>14.688000000000001</v>
      </c>
      <c r="NR40" s="4">
        <f>日流量!NR40</f>
        <v>42633</v>
      </c>
      <c r="NS40" s="6">
        <f>日流量!NS40*24*3600/100000000</f>
        <v>0.83808000000000005</v>
      </c>
      <c r="NT40" s="4">
        <f>日流量!NT40</f>
        <v>42458</v>
      </c>
      <c r="NU40" s="7">
        <f>日流量!NP40</f>
        <v>4452.9479452054793</v>
      </c>
      <c r="NW40" s="13">
        <f t="shared" si="0"/>
        <v>1151.7551999999998</v>
      </c>
      <c r="NX40" s="12">
        <f t="shared" si="1"/>
        <v>82.165310650887577</v>
      </c>
      <c r="NY40" s="13">
        <f t="shared" si="2"/>
        <v>915.52031999999986</v>
      </c>
      <c r="NZ40" s="12">
        <f t="shared" si="3"/>
        <v>65.3125</v>
      </c>
      <c r="OA40" s="13">
        <f t="shared" si="4"/>
        <v>249.99839999999995</v>
      </c>
      <c r="OB40" s="12">
        <f t="shared" si="5"/>
        <v>17.834689349112427</v>
      </c>
      <c r="OC40" s="13">
        <f t="shared" si="6"/>
        <v>316.22399999999999</v>
      </c>
      <c r="OD40" s="12">
        <f t="shared" si="7"/>
        <v>22.559171597633139</v>
      </c>
      <c r="OE40" s="12">
        <f t="shared" si="8"/>
        <v>327.5125233644859</v>
      </c>
      <c r="OF40" s="12">
        <f t="shared" si="9"/>
        <v>10.385353987965686</v>
      </c>
    </row>
    <row r="41" spans="1:396" x14ac:dyDescent="0.15">
      <c r="A41" s="2">
        <v>1988</v>
      </c>
      <c r="B41" s="6">
        <f>日流量!B41*24*3600/100000000</f>
        <v>1.33056</v>
      </c>
      <c r="C41" s="6">
        <f>日流量!C41*24*3600/100000000</f>
        <v>1.32192</v>
      </c>
      <c r="D41" s="6">
        <f>日流量!D41*24*3600/100000000</f>
        <v>1.31328</v>
      </c>
      <c r="E41" s="6">
        <f>日流量!E41*24*3600/100000000</f>
        <v>1.31328</v>
      </c>
      <c r="F41" s="6">
        <f>日流量!F41*24*3600/100000000</f>
        <v>1.31328</v>
      </c>
      <c r="G41" s="6">
        <f>日流量!G41*24*3600/100000000</f>
        <v>1.31328</v>
      </c>
      <c r="H41" s="6">
        <f>日流量!H41*24*3600/100000000</f>
        <v>1.31328</v>
      </c>
      <c r="I41" s="6">
        <f>日流量!I41*24*3600/100000000</f>
        <v>1.33056</v>
      </c>
      <c r="J41" s="6">
        <f>日流量!J41*24*3600/100000000</f>
        <v>1.33056</v>
      </c>
      <c r="K41" s="6">
        <f>日流量!K41*24*3600/100000000</f>
        <v>1.32192</v>
      </c>
      <c r="L41" s="6">
        <f>日流量!L41*24*3600/100000000</f>
        <v>1.31328</v>
      </c>
      <c r="M41" s="6">
        <f>日流量!M41*24*3600/100000000</f>
        <v>1.296</v>
      </c>
      <c r="N41" s="6">
        <f>日流量!N41*24*3600/100000000</f>
        <v>1.2873600000000001</v>
      </c>
      <c r="O41" s="6">
        <f>日流量!O41*24*3600/100000000</f>
        <v>1.2873600000000001</v>
      </c>
      <c r="P41" s="6">
        <f>日流量!P41*24*3600/100000000</f>
        <v>1.2700800000000001</v>
      </c>
      <c r="Q41" s="6">
        <f>日流量!Q41*24*3600/100000000</f>
        <v>1.2527999999999999</v>
      </c>
      <c r="R41" s="6">
        <f>日流量!R41*24*3600/100000000</f>
        <v>1.23552</v>
      </c>
      <c r="S41" s="6">
        <f>日流量!S41*24*3600/100000000</f>
        <v>1.22688</v>
      </c>
      <c r="T41" s="6">
        <f>日流量!T41*24*3600/100000000</f>
        <v>1.21824</v>
      </c>
      <c r="U41" s="6">
        <f>日流量!U41*24*3600/100000000</f>
        <v>1.2096</v>
      </c>
      <c r="V41" s="6">
        <f>日流量!V41*24*3600/100000000</f>
        <v>1.19232</v>
      </c>
      <c r="W41" s="6">
        <f>日流量!W41*24*3600/100000000</f>
        <v>1.1836800000000001</v>
      </c>
      <c r="X41" s="6">
        <f>日流量!X41*24*3600/100000000</f>
        <v>1.1664000000000001</v>
      </c>
      <c r="Y41" s="6">
        <f>日流量!Y41*24*3600/100000000</f>
        <v>1.1577599999999999</v>
      </c>
      <c r="Z41" s="6">
        <f>日流量!Z41*24*3600/100000000</f>
        <v>1.1491199999999999</v>
      </c>
      <c r="AA41" s="6">
        <f>日流量!AA41*24*3600/100000000</f>
        <v>1.13184</v>
      </c>
      <c r="AB41" s="6">
        <f>日流量!AB41*24*3600/100000000</f>
        <v>1.1232</v>
      </c>
      <c r="AC41" s="6">
        <f>日流量!AC41*24*3600/100000000</f>
        <v>1.10592</v>
      </c>
      <c r="AD41" s="6">
        <f>日流量!AD41*24*3600/100000000</f>
        <v>1.10592</v>
      </c>
      <c r="AE41" s="6">
        <f>日流量!AE41*24*3600/100000000</f>
        <v>1.09728</v>
      </c>
      <c r="AF41" s="6">
        <f>日流量!AF41*24*3600/100000000</f>
        <v>1.09728</v>
      </c>
      <c r="AG41" s="6">
        <f>日流量!AG41*24*3600/100000000</f>
        <v>1.0886400000000001</v>
      </c>
      <c r="AH41" s="6">
        <f>日流量!AH41*24*3600/100000000</f>
        <v>1.08</v>
      </c>
      <c r="AI41" s="6">
        <f>日流量!AI41*24*3600/100000000</f>
        <v>1.08</v>
      </c>
      <c r="AJ41" s="6">
        <f>日流量!AJ41*24*3600/100000000</f>
        <v>1.0713600000000001</v>
      </c>
      <c r="AK41" s="6">
        <f>日流量!AK41*24*3600/100000000</f>
        <v>1.0627200000000001</v>
      </c>
      <c r="AL41" s="6">
        <f>日流量!AL41*24*3600/100000000</f>
        <v>1.0540799999999999</v>
      </c>
      <c r="AM41" s="6">
        <f>日流量!AM41*24*3600/100000000</f>
        <v>1.0454399999999999</v>
      </c>
      <c r="AN41" s="6">
        <f>日流量!AN41*24*3600/100000000</f>
        <v>1.0367999999999999</v>
      </c>
      <c r="AO41" s="6">
        <f>日流量!AO41*24*3600/100000000</f>
        <v>1.02816</v>
      </c>
      <c r="AP41" s="6">
        <f>日流量!AP41*24*3600/100000000</f>
        <v>1.02816</v>
      </c>
      <c r="AQ41" s="6">
        <f>日流量!AQ41*24*3600/100000000</f>
        <v>1.02816</v>
      </c>
      <c r="AR41" s="6">
        <f>日流量!AR41*24*3600/100000000</f>
        <v>1.02816</v>
      </c>
      <c r="AS41" s="6">
        <f>日流量!AS41*24*3600/100000000</f>
        <v>1.02816</v>
      </c>
      <c r="AT41" s="6">
        <f>日流量!AT41*24*3600/100000000</f>
        <v>1.01952</v>
      </c>
      <c r="AU41" s="6">
        <f>日流量!AU41*24*3600/100000000</f>
        <v>1.01952</v>
      </c>
      <c r="AV41" s="6">
        <f>日流量!AV41*24*3600/100000000</f>
        <v>1.01952</v>
      </c>
      <c r="AW41" s="6">
        <f>日流量!AW41*24*3600/100000000</f>
        <v>1.01952</v>
      </c>
      <c r="AX41" s="6">
        <f>日流量!AX41*24*3600/100000000</f>
        <v>1.01952</v>
      </c>
      <c r="AY41" s="6">
        <f>日流量!AY41*24*3600/100000000</f>
        <v>1.0367999999999999</v>
      </c>
      <c r="AZ41" s="6">
        <f>日流量!AZ41*24*3600/100000000</f>
        <v>1.02816</v>
      </c>
      <c r="BA41" s="6">
        <f>日流量!BA41*24*3600/100000000</f>
        <v>1.02816</v>
      </c>
      <c r="BB41" s="6">
        <f>日流量!BB41*24*3600/100000000</f>
        <v>1.01952</v>
      </c>
      <c r="BC41" s="6">
        <f>日流量!BC41*24*3600/100000000</f>
        <v>1.00224</v>
      </c>
      <c r="BD41" s="6">
        <f>日流量!BD41*24*3600/100000000</f>
        <v>0.98495999999999995</v>
      </c>
      <c r="BE41" s="6">
        <f>日流量!BE41*24*3600/100000000</f>
        <v>0.97631999999999997</v>
      </c>
      <c r="BF41" s="6">
        <f>日流量!BF41*24*3600/100000000</f>
        <v>0.96767999999999998</v>
      </c>
      <c r="BG41" s="6">
        <f>日流量!BG41*24*3600/100000000</f>
        <v>0.97631999999999997</v>
      </c>
      <c r="BH41" s="6">
        <f>日流量!BH41*24*3600/100000000</f>
        <v>0.98495999999999995</v>
      </c>
      <c r="BI41" s="6">
        <f>日流量!BI41*24*3600/100000000</f>
        <v>0.99360000000000004</v>
      </c>
      <c r="BJ41" s="6">
        <f>日流量!BJ41*24*3600/100000000</f>
        <v>0.99360000000000004</v>
      </c>
      <c r="BK41" s="6">
        <f>日流量!BK41*24*3600/100000000</f>
        <v>0.98495999999999995</v>
      </c>
      <c r="BL41" s="6">
        <f>日流量!BL41*24*3600/100000000</f>
        <v>0.96767999999999998</v>
      </c>
      <c r="BM41" s="6">
        <f>日流量!BM41*24*3600/100000000</f>
        <v>0.95904</v>
      </c>
      <c r="BN41" s="6">
        <f>日流量!BN41*24*3600/100000000</f>
        <v>0.95040000000000002</v>
      </c>
      <c r="BO41" s="6">
        <f>日流量!BO41*24*3600/100000000</f>
        <v>0.95040000000000002</v>
      </c>
      <c r="BP41" s="6">
        <f>日流量!BP41*24*3600/100000000</f>
        <v>0.95904</v>
      </c>
      <c r="BQ41" s="6">
        <f>日流量!BQ41*24*3600/100000000</f>
        <v>0.95904</v>
      </c>
      <c r="BR41" s="6">
        <f>日流量!BR41*24*3600/100000000</f>
        <v>0.95040000000000002</v>
      </c>
      <c r="BS41" s="6">
        <f>日流量!BS41*24*3600/100000000</f>
        <v>0.93311999999999995</v>
      </c>
      <c r="BT41" s="6">
        <f>日流量!BT41*24*3600/100000000</f>
        <v>0.93311999999999995</v>
      </c>
      <c r="BU41" s="6">
        <f>日流量!BU41*24*3600/100000000</f>
        <v>0.92447999999999997</v>
      </c>
      <c r="BV41" s="6">
        <f>日流量!BV41*24*3600/100000000</f>
        <v>0.91583999999999999</v>
      </c>
      <c r="BW41" s="6">
        <f>日流量!BW41*24*3600/100000000</f>
        <v>0.92447999999999997</v>
      </c>
      <c r="BX41" s="6">
        <f>日流量!BX41*24*3600/100000000</f>
        <v>0.93311999999999995</v>
      </c>
      <c r="BY41" s="6">
        <f>日流量!BY41*24*3600/100000000</f>
        <v>0.95040000000000002</v>
      </c>
      <c r="BZ41" s="6">
        <f>日流量!BZ41*24*3600/100000000</f>
        <v>0.97631999999999997</v>
      </c>
      <c r="CA41" s="6">
        <f>日流量!CA41*24*3600/100000000</f>
        <v>1.00224</v>
      </c>
      <c r="CB41" s="6">
        <f>日流量!CB41*24*3600/100000000</f>
        <v>1.0627200000000001</v>
      </c>
      <c r="CC41" s="6">
        <f>日流量!CC41*24*3600/100000000</f>
        <v>1.09728</v>
      </c>
      <c r="CD41" s="6">
        <f>日流量!CD41*24*3600/100000000</f>
        <v>1.0627200000000001</v>
      </c>
      <c r="CE41" s="6">
        <f>日流量!CE41*24*3600/100000000</f>
        <v>1.02816</v>
      </c>
      <c r="CF41" s="6">
        <f>日流量!CF41*24*3600/100000000</f>
        <v>1.00224</v>
      </c>
      <c r="CG41" s="6">
        <f>日流量!CG41*24*3600/100000000</f>
        <v>1.02816</v>
      </c>
      <c r="CH41" s="6">
        <f>日流量!CH41*24*3600/100000000</f>
        <v>1.0886400000000001</v>
      </c>
      <c r="CI41" s="6">
        <f>日流量!CI41*24*3600/100000000</f>
        <v>1.08</v>
      </c>
      <c r="CJ41" s="6">
        <f>日流量!CJ41*24*3600/100000000</f>
        <v>1.0454399999999999</v>
      </c>
      <c r="CK41" s="6">
        <f>日流量!CK41*24*3600/100000000</f>
        <v>1.00224</v>
      </c>
      <c r="CL41" s="6">
        <f>日流量!CL41*24*3600/100000000</f>
        <v>0.96767999999999998</v>
      </c>
      <c r="CM41" s="6">
        <f>日流量!CM41*24*3600/100000000</f>
        <v>0.95040000000000002</v>
      </c>
      <c r="CN41" s="6">
        <f>日流量!CN41*24*3600/100000000</f>
        <v>0.95040000000000002</v>
      </c>
      <c r="CO41" s="6">
        <f>日流量!CO41*24*3600/100000000</f>
        <v>0.95040000000000002</v>
      </c>
      <c r="CP41" s="6">
        <f>日流量!CP41*24*3600/100000000</f>
        <v>0.96767999999999998</v>
      </c>
      <c r="CQ41" s="6">
        <f>日流量!CQ41*24*3600/100000000</f>
        <v>0.99360000000000004</v>
      </c>
      <c r="CR41" s="6">
        <f>日流量!CR41*24*3600/100000000</f>
        <v>1.00224</v>
      </c>
      <c r="CS41" s="6">
        <f>日流量!CS41*24*3600/100000000</f>
        <v>1.00224</v>
      </c>
      <c r="CT41" s="6">
        <f>日流量!CT41*24*3600/100000000</f>
        <v>0.98495999999999995</v>
      </c>
      <c r="CU41" s="6">
        <f>日流量!CU41*24*3600/100000000</f>
        <v>0.98495999999999995</v>
      </c>
      <c r="CV41" s="6">
        <f>日流量!CV41*24*3600/100000000</f>
        <v>1.00224</v>
      </c>
      <c r="CW41" s="6">
        <f>日流量!CW41*24*3600/100000000</f>
        <v>1.00224</v>
      </c>
      <c r="CX41" s="6">
        <f>日流量!CX41*24*3600/100000000</f>
        <v>0.99360000000000004</v>
      </c>
      <c r="CY41" s="6">
        <f>日流量!CY41*24*3600/100000000</f>
        <v>0.99360000000000004</v>
      </c>
      <c r="CZ41" s="6">
        <f>日流量!CZ41*24*3600/100000000</f>
        <v>1.00224</v>
      </c>
      <c r="DA41" s="6">
        <f>日流量!DA41*24*3600/100000000</f>
        <v>1.00224</v>
      </c>
      <c r="DB41" s="6">
        <f>日流量!DB41*24*3600/100000000</f>
        <v>1.02816</v>
      </c>
      <c r="DC41" s="6">
        <f>日流量!DC41*24*3600/100000000</f>
        <v>1.1664000000000001</v>
      </c>
      <c r="DD41" s="6">
        <f>日流量!DD41*24*3600/100000000</f>
        <v>1.2873600000000001</v>
      </c>
      <c r="DE41" s="6">
        <f>日流量!DE41*24*3600/100000000</f>
        <v>1.3651199999999999</v>
      </c>
      <c r="DF41" s="6">
        <f>日流量!DF41*24*3600/100000000</f>
        <v>1.3824000000000001</v>
      </c>
      <c r="DG41" s="6">
        <f>日流量!DG41*24*3600/100000000</f>
        <v>1.3564799999999999</v>
      </c>
      <c r="DH41" s="6">
        <f>日流量!DH41*24*3600/100000000</f>
        <v>1.3391999999999999</v>
      </c>
      <c r="DI41" s="6">
        <f>日流量!DI41*24*3600/100000000</f>
        <v>1.3391999999999999</v>
      </c>
      <c r="DJ41" s="6">
        <f>日流量!DJ41*24*3600/100000000</f>
        <v>1.32192</v>
      </c>
      <c r="DK41" s="6">
        <f>日流量!DK41*24*3600/100000000</f>
        <v>1.2873600000000001</v>
      </c>
      <c r="DL41" s="6">
        <f>日流量!DL41*24*3600/100000000</f>
        <v>1.2441599999999999</v>
      </c>
      <c r="DM41" s="6">
        <f>日流量!DM41*24*3600/100000000</f>
        <v>1.22688</v>
      </c>
      <c r="DN41" s="6">
        <f>日流量!DN41*24*3600/100000000</f>
        <v>1.2614399999999999</v>
      </c>
      <c r="DO41" s="6">
        <f>日流量!DO41*24*3600/100000000</f>
        <v>1.31328</v>
      </c>
      <c r="DP41" s="6">
        <f>日流量!DP41*24*3600/100000000</f>
        <v>1.33056</v>
      </c>
      <c r="DQ41" s="6">
        <f>日流量!DQ41*24*3600/100000000</f>
        <v>1.32192</v>
      </c>
      <c r="DR41" s="6">
        <f>日流量!DR41*24*3600/100000000</f>
        <v>1.2873600000000001</v>
      </c>
      <c r="DS41" s="6">
        <f>日流量!DS41*24*3600/100000000</f>
        <v>1.2700800000000001</v>
      </c>
      <c r="DT41" s="6">
        <f>日流量!DT41*24*3600/100000000</f>
        <v>1.2787200000000001</v>
      </c>
      <c r="DU41" s="6">
        <f>日流量!DU41*24*3600/100000000</f>
        <v>1.2873600000000001</v>
      </c>
      <c r="DV41" s="6">
        <f>日流量!DV41*24*3600/100000000</f>
        <v>1.296</v>
      </c>
      <c r="DW41" s="6">
        <f>日流量!DW41*24*3600/100000000</f>
        <v>1.2873600000000001</v>
      </c>
      <c r="DX41" s="6">
        <f>日流量!DX41*24*3600/100000000</f>
        <v>1.32192</v>
      </c>
      <c r="DY41" s="6">
        <f>日流量!DY41*24*3600/100000000</f>
        <v>1.4428799999999999</v>
      </c>
      <c r="DZ41" s="6">
        <f>日流量!DZ41*24*3600/100000000</f>
        <v>1.5638399999999999</v>
      </c>
      <c r="EA41" s="6">
        <f>日流量!EA41*24*3600/100000000</f>
        <v>1.71072</v>
      </c>
      <c r="EB41" s="6">
        <f>日流量!EB41*24*3600/100000000</f>
        <v>1.80576</v>
      </c>
      <c r="EC41" s="6">
        <f>日流量!EC41*24*3600/100000000</f>
        <v>1.8144</v>
      </c>
      <c r="ED41" s="6">
        <f>日流量!ED41*24*3600/100000000</f>
        <v>1.7712000000000001</v>
      </c>
      <c r="EE41" s="6">
        <f>日流量!EE41*24*3600/100000000</f>
        <v>1.728</v>
      </c>
      <c r="EF41" s="6">
        <f>日流量!EF41*24*3600/100000000</f>
        <v>1.71072</v>
      </c>
      <c r="EG41" s="6">
        <f>日流量!EG41*24*3600/100000000</f>
        <v>1.70208</v>
      </c>
      <c r="EH41" s="6">
        <f>日流量!EH41*24*3600/100000000</f>
        <v>1.6675199999999999</v>
      </c>
      <c r="EI41" s="6">
        <f>日流量!EI41*24*3600/100000000</f>
        <v>1.63296</v>
      </c>
      <c r="EJ41" s="6">
        <f>日流量!EJ41*24*3600/100000000</f>
        <v>1.5811200000000001</v>
      </c>
      <c r="EK41" s="6">
        <f>日流量!EK41*24*3600/100000000</f>
        <v>1.52928</v>
      </c>
      <c r="EL41" s="6">
        <f>日流量!EL41*24*3600/100000000</f>
        <v>1.49472</v>
      </c>
      <c r="EM41" s="6">
        <f>日流量!EM41*24*3600/100000000</f>
        <v>1.4428799999999999</v>
      </c>
      <c r="EN41" s="6">
        <f>日流量!EN41*24*3600/100000000</f>
        <v>1.4428799999999999</v>
      </c>
      <c r="EO41" s="6">
        <f>日流量!EO41*24*3600/100000000</f>
        <v>1.50336</v>
      </c>
      <c r="EP41" s="6">
        <f>日流量!EP41*24*3600/100000000</f>
        <v>1.5724800000000001</v>
      </c>
      <c r="EQ41" s="6">
        <f>日流量!EQ41*24*3600/100000000</f>
        <v>1.6675199999999999</v>
      </c>
      <c r="ER41" s="6">
        <f>日流量!ER41*24*3600/100000000</f>
        <v>1.7539199999999999</v>
      </c>
      <c r="ES41" s="6">
        <f>日流量!ES41*24*3600/100000000</f>
        <v>1.7884800000000001</v>
      </c>
      <c r="ET41" s="6">
        <f>日流量!ET41*24*3600/100000000</f>
        <v>1.7539199999999999</v>
      </c>
      <c r="EU41" s="6">
        <f>日流量!EU41*24*3600/100000000</f>
        <v>1.7452799999999999</v>
      </c>
      <c r="EV41" s="6">
        <f>日流量!EV41*24*3600/100000000</f>
        <v>1.8144</v>
      </c>
      <c r="EW41" s="6">
        <f>日流量!EW41*24*3600/100000000</f>
        <v>1.9785600000000001</v>
      </c>
      <c r="EX41" s="6">
        <f>日流量!EX41*24*3600/100000000</f>
        <v>2.1081599999999998</v>
      </c>
      <c r="EY41" s="6">
        <f>日流量!EY41*24*3600/100000000</f>
        <v>2.21184</v>
      </c>
      <c r="EZ41" s="6">
        <f>日流量!EZ41*24*3600/100000000</f>
        <v>2.2204799999999998</v>
      </c>
      <c r="FA41" s="6">
        <f>日流量!FA41*24*3600/100000000</f>
        <v>2.1513599999999999</v>
      </c>
      <c r="FB41" s="6">
        <f>日流量!FB41*24*3600/100000000</f>
        <v>2.0304000000000002</v>
      </c>
      <c r="FC41" s="6">
        <f>日流量!FC41*24*3600/100000000</f>
        <v>1.8662399999999999</v>
      </c>
      <c r="FD41" s="6">
        <f>日流量!FD41*24*3600/100000000</f>
        <v>1.73664</v>
      </c>
      <c r="FE41" s="6">
        <f>日流量!FE41*24*3600/100000000</f>
        <v>1.70208</v>
      </c>
      <c r="FF41" s="6">
        <f>日流量!FF41*24*3600/100000000</f>
        <v>1.82304</v>
      </c>
      <c r="FG41" s="6">
        <f>日流量!FG41*24*3600/100000000</f>
        <v>2.02176</v>
      </c>
      <c r="FH41" s="6">
        <f>日流量!FH41*24*3600/100000000</f>
        <v>2.0304000000000002</v>
      </c>
      <c r="FI41" s="6">
        <f>日流量!FI41*24*3600/100000000</f>
        <v>2.00448</v>
      </c>
      <c r="FJ41" s="6">
        <f>日流量!FJ41*24*3600/100000000</f>
        <v>2.0304000000000002</v>
      </c>
      <c r="FK41" s="6">
        <f>日流量!FK41*24*3600/100000000</f>
        <v>2.1686399999999999</v>
      </c>
      <c r="FL41" s="6">
        <f>日流量!FL41*24*3600/100000000</f>
        <v>2.2031999999999998</v>
      </c>
      <c r="FM41" s="6">
        <f>日流量!FM41*24*3600/100000000</f>
        <v>2.2204799999999998</v>
      </c>
      <c r="FN41" s="6">
        <f>日流量!FN41*24*3600/100000000</f>
        <v>2.2204799999999998</v>
      </c>
      <c r="FO41" s="6">
        <f>日流量!FO41*24*3600/100000000</f>
        <v>2.32416</v>
      </c>
      <c r="FP41" s="6">
        <f>日流量!FP41*24*3600/100000000</f>
        <v>2.6352000000000002</v>
      </c>
      <c r="FQ41" s="6">
        <f>日流量!FQ41*24*3600/100000000</f>
        <v>3.2831999999999999</v>
      </c>
      <c r="FR41" s="6">
        <f>日流量!FR41*24*3600/100000000</f>
        <v>3.6028799999999999</v>
      </c>
      <c r="FS41" s="6">
        <f>日流量!FS41*24*3600/100000000</f>
        <v>3.64608</v>
      </c>
      <c r="FT41" s="6">
        <f>日流量!FT41*24*3600/100000000</f>
        <v>3.8188800000000001</v>
      </c>
      <c r="FU41" s="6">
        <f>日流量!FU41*24*3600/100000000</f>
        <v>4.1990400000000001</v>
      </c>
      <c r="FV41" s="6">
        <f>日流量!FV41*24*3600/100000000</f>
        <v>3.8879999999999999</v>
      </c>
      <c r="FW41" s="6">
        <f>日流量!FW41*24*3600/100000000</f>
        <v>3.8016000000000001</v>
      </c>
      <c r="FX41" s="6">
        <f>日流量!FX41*24*3600/100000000</f>
        <v>3.7670400000000002</v>
      </c>
      <c r="FY41" s="6">
        <f>日流量!FY41*24*3600/100000000</f>
        <v>4.0348800000000002</v>
      </c>
      <c r="FZ41" s="6">
        <f>日流量!FZ41*24*3600/100000000</f>
        <v>3.6892800000000001</v>
      </c>
      <c r="GA41" s="6">
        <f>日流量!GA41*24*3600/100000000</f>
        <v>3.4300799999999998</v>
      </c>
      <c r="GB41" s="6">
        <f>日流量!GB41*24*3600/100000000</f>
        <v>3.21408</v>
      </c>
      <c r="GC41" s="6">
        <f>日流量!GC41*24*3600/100000000</f>
        <v>3.0326399999999998</v>
      </c>
      <c r="GD41" s="6">
        <f>日流量!GD41*24*3600/100000000</f>
        <v>3.2745600000000001</v>
      </c>
      <c r="GE41" s="6">
        <f>日流量!GE41*24*3600/100000000</f>
        <v>3.83616</v>
      </c>
      <c r="GF41" s="6">
        <f>日流量!GF41*24*3600/100000000</f>
        <v>3.72384</v>
      </c>
      <c r="GG41" s="6">
        <f>日流量!GG41*24*3600/100000000</f>
        <v>4.0953600000000003</v>
      </c>
      <c r="GH41" s="6">
        <f>日流量!GH41*24*3600/100000000</f>
        <v>4.2076799999999999</v>
      </c>
      <c r="GI41" s="6">
        <f>日流量!GI41*24*3600/100000000</f>
        <v>3.9830399999999999</v>
      </c>
      <c r="GJ41" s="6">
        <f>日流量!GJ41*24*3600/100000000</f>
        <v>3.7584</v>
      </c>
      <c r="GK41" s="6">
        <f>日流量!GK41*24*3600/100000000</f>
        <v>3.6547200000000002</v>
      </c>
      <c r="GL41" s="6">
        <f>日流量!GL41*24*3600/100000000</f>
        <v>3.72384</v>
      </c>
      <c r="GM41" s="6">
        <f>日流量!GM41*24*3600/100000000</f>
        <v>3.9916800000000001</v>
      </c>
      <c r="GN41" s="6">
        <f>日流量!GN41*24*3600/100000000</f>
        <v>4.5878399999999999</v>
      </c>
      <c r="GO41" s="6">
        <f>日流量!GO41*24*3600/100000000</f>
        <v>5.2617599999999998</v>
      </c>
      <c r="GP41" s="6">
        <f>日流量!GP41*24*3600/100000000</f>
        <v>5.0975999999999999</v>
      </c>
      <c r="GQ41" s="6">
        <f>日流量!GQ41*24*3600/100000000</f>
        <v>4.7260799999999996</v>
      </c>
      <c r="GR41" s="6">
        <f>日流量!GR41*24*3600/100000000</f>
        <v>4.3545600000000002</v>
      </c>
      <c r="GS41" s="6">
        <f>日流量!GS41*24*3600/100000000</f>
        <v>4.3459199999999996</v>
      </c>
      <c r="GT41" s="6">
        <f>日流量!GT41*24*3600/100000000</f>
        <v>4.32</v>
      </c>
      <c r="GU41" s="6">
        <f>日流量!GU41*24*3600/100000000</f>
        <v>4.2854400000000004</v>
      </c>
      <c r="GV41" s="6">
        <f>日流量!GV41*24*3600/100000000</f>
        <v>4.2076799999999999</v>
      </c>
      <c r="GW41" s="6">
        <f>日流量!GW41*24*3600/100000000</f>
        <v>4.2767999999999997</v>
      </c>
      <c r="GX41" s="6">
        <f>日流量!GX41*24*3600/100000000</f>
        <v>4.5014399999999997</v>
      </c>
      <c r="GY41" s="6">
        <f>日流量!GY41*24*3600/100000000</f>
        <v>4.55328</v>
      </c>
      <c r="GZ41" s="6">
        <f>日流量!GZ41*24*3600/100000000</f>
        <v>4.6396800000000002</v>
      </c>
      <c r="HA41" s="6">
        <f>日流量!HA41*24*3600/100000000</f>
        <v>4.7779199999999999</v>
      </c>
      <c r="HB41" s="6">
        <f>日流量!HB41*24*3600/100000000</f>
        <v>5.1667199999999998</v>
      </c>
      <c r="HC41" s="6">
        <f>日流量!HC41*24*3600/100000000</f>
        <v>5.7023999999999999</v>
      </c>
      <c r="HD41" s="6">
        <f>日流量!HD41*24*3600/100000000</f>
        <v>5.9702400000000004</v>
      </c>
      <c r="HE41" s="6">
        <f>日流量!HE41*24*3600/100000000</f>
        <v>5.7801600000000004</v>
      </c>
      <c r="HF41" s="6">
        <f>日流量!HF41*24*3600/100000000</f>
        <v>5.25312</v>
      </c>
      <c r="HG41" s="6">
        <f>日流量!HG41*24*3600/100000000</f>
        <v>5.1235200000000001</v>
      </c>
      <c r="HH41" s="6">
        <f>日流量!HH41*24*3600/100000000</f>
        <v>5.2099200000000003</v>
      </c>
      <c r="HI41" s="6">
        <f>日流量!HI41*24*3600/100000000</f>
        <v>5.1494400000000002</v>
      </c>
      <c r="HJ41" s="6">
        <f>日流量!HJ41*24*3600/100000000</f>
        <v>4.74336</v>
      </c>
      <c r="HK41" s="6">
        <f>日流量!HK41*24*3600/100000000</f>
        <v>4.4150400000000003</v>
      </c>
      <c r="HL41" s="6">
        <f>日流量!HL41*24*3600/100000000</f>
        <v>4.4150400000000003</v>
      </c>
      <c r="HM41" s="6">
        <f>日流量!HM41*24*3600/100000000</f>
        <v>4.2854400000000004</v>
      </c>
      <c r="HN41" s="6">
        <f>日流量!HN41*24*3600/100000000</f>
        <v>4.0003200000000003</v>
      </c>
      <c r="HO41" s="6">
        <f>日流量!HO41*24*3600/100000000</f>
        <v>3.8188800000000001</v>
      </c>
      <c r="HP41" s="6">
        <f>日流量!HP41*24*3600/100000000</f>
        <v>3.7670400000000002</v>
      </c>
      <c r="HQ41" s="6">
        <f>日流量!HQ41*24*3600/100000000</f>
        <v>3.7843200000000001</v>
      </c>
      <c r="HR41" s="6">
        <f>日流量!HR41*24*3600/100000000</f>
        <v>3.8879999999999999</v>
      </c>
      <c r="HS41" s="6">
        <f>日流量!HS41*24*3600/100000000</f>
        <v>4.04352</v>
      </c>
      <c r="HT41" s="6">
        <f>日流量!HT41*24*3600/100000000</f>
        <v>4.6915199999999997</v>
      </c>
      <c r="HU41" s="6">
        <f>日流量!HU41*24*3600/100000000</f>
        <v>4.9161599999999996</v>
      </c>
      <c r="HV41" s="6">
        <f>日流量!HV41*24*3600/100000000</f>
        <v>4.968</v>
      </c>
      <c r="HW41" s="6">
        <f>日流量!HW41*24*3600/100000000</f>
        <v>5.47776</v>
      </c>
      <c r="HX41" s="6">
        <f>日流量!HX41*24*3600/100000000</f>
        <v>6.5404799999999996</v>
      </c>
      <c r="HY41" s="6">
        <f>日流量!HY41*24*3600/100000000</f>
        <v>6.4972799999999999</v>
      </c>
      <c r="HZ41" s="6">
        <f>日流量!HZ41*24*3600/100000000</f>
        <v>6.1862399999999997</v>
      </c>
      <c r="IA41" s="6">
        <f>日流量!IA41*24*3600/100000000</f>
        <v>6.8255999999999997</v>
      </c>
      <c r="IB41" s="6">
        <f>日流量!IB41*24*3600/100000000</f>
        <v>7.2230400000000001</v>
      </c>
      <c r="IC41" s="6">
        <f>日流量!IC41*24*3600/100000000</f>
        <v>7.8537600000000003</v>
      </c>
      <c r="ID41" s="6">
        <f>日流量!ID41*24*3600/100000000</f>
        <v>7.6463999999999999</v>
      </c>
      <c r="IE41" s="6">
        <f>日流量!IE41*24*3600/100000000</f>
        <v>7.4995200000000004</v>
      </c>
      <c r="IF41" s="6">
        <f>日流量!IF41*24*3600/100000000</f>
        <v>7.6809599999999998</v>
      </c>
      <c r="IG41" s="6">
        <f>日流量!IG41*24*3600/100000000</f>
        <v>8.3635199999999994</v>
      </c>
      <c r="IH41" s="6">
        <f>日流量!IH41*24*3600/100000000</f>
        <v>8.8992000000000004</v>
      </c>
      <c r="II41" s="6">
        <f>日流量!II41*24*3600/100000000</f>
        <v>9.3312000000000008</v>
      </c>
      <c r="IJ41" s="6">
        <f>日流量!IJ41*24*3600/100000000</f>
        <v>9.3312000000000008</v>
      </c>
      <c r="IK41" s="6">
        <f>日流量!IK41*24*3600/100000000</f>
        <v>9.3312000000000008</v>
      </c>
      <c r="IL41" s="6">
        <f>日流量!IL41*24*3600/100000000</f>
        <v>10.6272</v>
      </c>
      <c r="IM41" s="6">
        <f>日流量!IM41*24*3600/100000000</f>
        <v>10.540800000000001</v>
      </c>
      <c r="IN41" s="6">
        <f>日流量!IN41*24*3600/100000000</f>
        <v>10.368</v>
      </c>
      <c r="IO41" s="6">
        <f>日流量!IO41*24*3600/100000000</f>
        <v>11.059200000000001</v>
      </c>
      <c r="IP41" s="6">
        <f>日流量!IP41*24*3600/100000000</f>
        <v>10.540800000000001</v>
      </c>
      <c r="IQ41" s="6">
        <f>日流量!IQ41*24*3600/100000000</f>
        <v>10.6272</v>
      </c>
      <c r="IR41" s="6">
        <f>日流量!IR41*24*3600/100000000</f>
        <v>10.4544</v>
      </c>
      <c r="IS41" s="6">
        <f>日流量!IS41*24*3600/100000000</f>
        <v>9.8496000000000006</v>
      </c>
      <c r="IT41" s="6">
        <f>日流量!IT41*24*3600/100000000</f>
        <v>9.5039999999999996</v>
      </c>
      <c r="IU41" s="6">
        <f>日流量!IU41*24*3600/100000000</f>
        <v>9.0719999999999992</v>
      </c>
      <c r="IV41" s="6">
        <f>日流量!IV41*24*3600/100000000</f>
        <v>8.9855999999999998</v>
      </c>
      <c r="IW41" s="6">
        <f>日流量!IW41*24*3600/100000000</f>
        <v>9.4176000000000002</v>
      </c>
      <c r="IX41" s="6">
        <f>日流量!IX41*24*3600/100000000</f>
        <v>9.5039999999999996</v>
      </c>
      <c r="IY41" s="6">
        <f>日流量!IY41*24*3600/100000000</f>
        <v>9.9359999999999999</v>
      </c>
      <c r="IZ41" s="6">
        <f>日流量!IZ41*24*3600/100000000</f>
        <v>10.8</v>
      </c>
      <c r="JA41" s="6">
        <f>日流量!JA41*24*3600/100000000</f>
        <v>9.7631999999999994</v>
      </c>
      <c r="JB41" s="6">
        <f>日流量!JB41*24*3600/100000000</f>
        <v>8.6227199999999993</v>
      </c>
      <c r="JC41" s="6">
        <f>日流量!JC41*24*3600/100000000</f>
        <v>7.7328000000000001</v>
      </c>
      <c r="JD41" s="6">
        <f>日流量!JD41*24*3600/100000000</f>
        <v>7.0848000000000004</v>
      </c>
      <c r="JE41" s="6">
        <f>日流量!JE41*24*3600/100000000</f>
        <v>6.6182400000000001</v>
      </c>
      <c r="JF41" s="6">
        <f>日流量!JF41*24*3600/100000000</f>
        <v>6.9551999999999996</v>
      </c>
      <c r="JG41" s="6">
        <f>日流量!JG41*24*3600/100000000</f>
        <v>7.7155199999999997</v>
      </c>
      <c r="JH41" s="6">
        <f>日流量!JH41*24*3600/100000000</f>
        <v>6.9033600000000002</v>
      </c>
      <c r="JI41" s="6">
        <f>日流量!JI41*24*3600/100000000</f>
        <v>6.5145600000000004</v>
      </c>
      <c r="JJ41" s="6">
        <f>日流量!JJ41*24*3600/100000000</f>
        <v>6.4367999999999999</v>
      </c>
      <c r="JK41" s="6">
        <f>日流量!JK41*24*3600/100000000</f>
        <v>6.4022399999999999</v>
      </c>
      <c r="JL41" s="6">
        <f>日流量!JL41*24*3600/100000000</f>
        <v>6.87744</v>
      </c>
      <c r="JM41" s="6">
        <f>日流量!JM41*24*3600/100000000</f>
        <v>7.2316799999999999</v>
      </c>
      <c r="JN41" s="6">
        <f>日流量!JN41*24*3600/100000000</f>
        <v>7.4736000000000002</v>
      </c>
      <c r="JO41" s="6">
        <f>日流量!JO41*24*3600/100000000</f>
        <v>7.4303999999999997</v>
      </c>
      <c r="JP41" s="6">
        <f>日流量!JP41*24*3600/100000000</f>
        <v>7.3353599999999997</v>
      </c>
      <c r="JQ41" s="6">
        <f>日流量!JQ41*24*3600/100000000</f>
        <v>7.3872</v>
      </c>
      <c r="JR41" s="6">
        <f>日流量!JR41*24*3600/100000000</f>
        <v>7.3180800000000001</v>
      </c>
      <c r="JS41" s="6">
        <f>日流量!JS41*24*3600/100000000</f>
        <v>7.1884800000000002</v>
      </c>
      <c r="JT41" s="6">
        <f>日流量!JT41*24*3600/100000000</f>
        <v>7.0415999999999999</v>
      </c>
      <c r="JU41" s="6">
        <f>日流量!JU41*24*3600/100000000</f>
        <v>6.7824</v>
      </c>
      <c r="JV41" s="6">
        <f>日流量!JV41*24*3600/100000000</f>
        <v>6.3936000000000002</v>
      </c>
      <c r="JW41" s="6">
        <f>日流量!JW41*24*3600/100000000</f>
        <v>6.0307199999999996</v>
      </c>
      <c r="JX41" s="6">
        <f>日流量!JX41*24*3600/100000000</f>
        <v>5.7801600000000004</v>
      </c>
      <c r="JY41" s="6">
        <f>日流量!JY41*24*3600/100000000</f>
        <v>5.4691200000000002</v>
      </c>
      <c r="JZ41" s="6">
        <f>日流量!JZ41*24*3600/100000000</f>
        <v>5.2185600000000001</v>
      </c>
      <c r="KA41" s="6">
        <f>日流量!KA41*24*3600/100000000</f>
        <v>4.9161599999999996</v>
      </c>
      <c r="KB41" s="6">
        <f>日流量!KB41*24*3600/100000000</f>
        <v>4.6915199999999997</v>
      </c>
      <c r="KC41" s="6">
        <f>日流量!KC41*24*3600/100000000</f>
        <v>4.4755200000000004</v>
      </c>
      <c r="KD41" s="6">
        <f>日流量!KD41*24*3600/100000000</f>
        <v>4.3545600000000002</v>
      </c>
      <c r="KE41" s="6">
        <f>日流量!KE41*24*3600/100000000</f>
        <v>4.32</v>
      </c>
      <c r="KF41" s="6">
        <f>日流量!KF41*24*3600/100000000</f>
        <v>4.2854400000000004</v>
      </c>
      <c r="KG41" s="6">
        <f>日流量!KG41*24*3600/100000000</f>
        <v>4.7779199999999999</v>
      </c>
      <c r="KH41" s="6">
        <f>日流量!KH41*24*3600/100000000</f>
        <v>5.6419199999999998</v>
      </c>
      <c r="KI41" s="6">
        <f>日流量!KI41*24*3600/100000000</f>
        <v>6.3763199999999998</v>
      </c>
      <c r="KJ41" s="6">
        <f>日流量!KJ41*24*3600/100000000</f>
        <v>6.4713599999999998</v>
      </c>
      <c r="KK41" s="6">
        <f>日流量!KK41*24*3600/100000000</f>
        <v>6.0134400000000001</v>
      </c>
      <c r="KL41" s="6">
        <f>日流量!KL41*24*3600/100000000</f>
        <v>5.7369599999999998</v>
      </c>
      <c r="KM41" s="6">
        <f>日流量!KM41*24*3600/100000000</f>
        <v>5.2617599999999998</v>
      </c>
      <c r="KN41" s="6">
        <f>日流量!KN41*24*3600/100000000</f>
        <v>4.8211199999999996</v>
      </c>
      <c r="KO41" s="6">
        <f>日流量!KO41*24*3600/100000000</f>
        <v>4.4755200000000004</v>
      </c>
      <c r="KP41" s="6">
        <f>日流量!KP41*24*3600/100000000</f>
        <v>4.1990400000000001</v>
      </c>
      <c r="KQ41" s="6">
        <f>日流量!KQ41*24*3600/100000000</f>
        <v>3.9916800000000001</v>
      </c>
      <c r="KR41" s="6">
        <f>日流量!KR41*24*3600/100000000</f>
        <v>3.7843200000000001</v>
      </c>
      <c r="KS41" s="6">
        <f>日流量!KS41*24*3600/100000000</f>
        <v>3.6374399999999998</v>
      </c>
      <c r="KT41" s="6">
        <f>日流量!KT41*24*3600/100000000</f>
        <v>3.5078399999999998</v>
      </c>
      <c r="KU41" s="6">
        <f>日流量!KU41*24*3600/100000000</f>
        <v>3.3868800000000001</v>
      </c>
      <c r="KV41" s="6">
        <f>日流量!KV41*24*3600/100000000</f>
        <v>3.2918400000000001</v>
      </c>
      <c r="KW41" s="6">
        <f>日流量!KW41*24*3600/100000000</f>
        <v>3.1968000000000001</v>
      </c>
      <c r="KX41" s="6">
        <f>日流量!KX41*24*3600/100000000</f>
        <v>3.11904</v>
      </c>
      <c r="KY41" s="6">
        <f>日流量!KY41*24*3600/100000000</f>
        <v>3.0499200000000002</v>
      </c>
      <c r="KZ41" s="6">
        <f>日流量!KZ41*24*3600/100000000</f>
        <v>2.9980799999999999</v>
      </c>
      <c r="LA41" s="6">
        <f>日流量!LA41*24*3600/100000000</f>
        <v>2.92896</v>
      </c>
      <c r="LB41" s="6">
        <f>日流量!LB41*24*3600/100000000</f>
        <v>2.8684799999999999</v>
      </c>
      <c r="LC41" s="6">
        <f>日流量!LC41*24*3600/100000000</f>
        <v>2.8252799999999998</v>
      </c>
      <c r="LD41" s="6">
        <f>日流量!LD41*24*3600/100000000</f>
        <v>2.7734399999999999</v>
      </c>
      <c r="LE41" s="6">
        <f>日流量!LE41*24*3600/100000000</f>
        <v>2.7216</v>
      </c>
      <c r="LF41" s="6">
        <f>日流量!LF41*24*3600/100000000</f>
        <v>2.6783999999999999</v>
      </c>
      <c r="LG41" s="6">
        <f>日流量!LG41*24*3600/100000000</f>
        <v>2.6352000000000002</v>
      </c>
      <c r="LH41" s="6">
        <f>日流量!LH41*24*3600/100000000</f>
        <v>2.5747200000000001</v>
      </c>
      <c r="LI41" s="6">
        <f>日流量!LI41*24*3600/100000000</f>
        <v>2.51424</v>
      </c>
      <c r="LJ41" s="6">
        <f>日流量!LJ41*24*3600/100000000</f>
        <v>2.4537599999999999</v>
      </c>
      <c r="LK41" s="6">
        <f>日流量!LK41*24*3600/100000000</f>
        <v>2.3846400000000001</v>
      </c>
      <c r="LL41" s="6">
        <f>日流量!LL41*24*3600/100000000</f>
        <v>2.32416</v>
      </c>
      <c r="LM41" s="6">
        <f>日流量!LM41*24*3600/100000000</f>
        <v>2.2809599999999999</v>
      </c>
      <c r="LN41" s="6">
        <f>日流量!LN41*24*3600/100000000</f>
        <v>2.2809599999999999</v>
      </c>
      <c r="LO41" s="6">
        <f>日流量!LO41*24*3600/100000000</f>
        <v>2.30688</v>
      </c>
      <c r="LP41" s="6">
        <f>日流量!LP41*24*3600/100000000</f>
        <v>2.2982399999999998</v>
      </c>
      <c r="LQ41" s="6">
        <f>日流量!LQ41*24*3600/100000000</f>
        <v>2.2464</v>
      </c>
      <c r="LR41" s="6">
        <f>日流量!LR41*24*3600/100000000</f>
        <v>2.1945600000000001</v>
      </c>
      <c r="LS41" s="6">
        <f>日流量!LS41*24*3600/100000000</f>
        <v>2.1513599999999999</v>
      </c>
      <c r="LT41" s="6">
        <f>日流量!LT41*24*3600/100000000</f>
        <v>2.0995200000000001</v>
      </c>
      <c r="LU41" s="6">
        <f>日流量!LU41*24*3600/100000000</f>
        <v>2.0649600000000001</v>
      </c>
      <c r="LV41" s="6">
        <f>日流量!LV41*24*3600/100000000</f>
        <v>2.0131199999999998</v>
      </c>
      <c r="LW41" s="6">
        <f>日流量!LW41*24*3600/100000000</f>
        <v>1.9785600000000001</v>
      </c>
      <c r="LX41" s="6">
        <f>日流量!LX41*24*3600/100000000</f>
        <v>1.9612799999999999</v>
      </c>
      <c r="LY41" s="6">
        <f>日流量!LY41*24*3600/100000000</f>
        <v>1.944</v>
      </c>
      <c r="LZ41" s="6">
        <f>日流量!LZ41*24*3600/100000000</f>
        <v>1.91808</v>
      </c>
      <c r="MA41" s="6">
        <f>日流量!MA41*24*3600/100000000</f>
        <v>1.90944</v>
      </c>
      <c r="MB41" s="6">
        <f>日流量!MB41*24*3600/100000000</f>
        <v>1.91808</v>
      </c>
      <c r="MC41" s="6">
        <f>日流量!MC41*24*3600/100000000</f>
        <v>1.9008</v>
      </c>
      <c r="MD41" s="6">
        <f>日流量!MD41*24*3600/100000000</f>
        <v>1.84032</v>
      </c>
      <c r="ME41" s="6">
        <f>日流量!ME41*24*3600/100000000</f>
        <v>1.7971200000000001</v>
      </c>
      <c r="MF41" s="6">
        <f>日流量!MF41*24*3600/100000000</f>
        <v>1.7798400000000001</v>
      </c>
      <c r="MG41" s="6">
        <f>日流量!MG41*24*3600/100000000</f>
        <v>1.7539199999999999</v>
      </c>
      <c r="MH41" s="6">
        <f>日流量!MH41*24*3600/100000000</f>
        <v>1.728</v>
      </c>
      <c r="MI41" s="6">
        <f>日流量!MI41*24*3600/100000000</f>
        <v>1.70208</v>
      </c>
      <c r="MJ41" s="6">
        <f>日流量!MJ41*24*3600/100000000</f>
        <v>1.6675199999999999</v>
      </c>
      <c r="MK41" s="6">
        <f>日流量!MK41*24*3600/100000000</f>
        <v>1.6502399999999999</v>
      </c>
      <c r="ML41" s="6">
        <f>日流量!ML41*24*3600/100000000</f>
        <v>1.63296</v>
      </c>
      <c r="MM41" s="6">
        <f>日流量!MM41*24*3600/100000000</f>
        <v>1.5984</v>
      </c>
      <c r="MN41" s="6">
        <f>日流量!MN41*24*3600/100000000</f>
        <v>1.5638399999999999</v>
      </c>
      <c r="MO41" s="6">
        <f>日流量!MO41*24*3600/100000000</f>
        <v>1.52928</v>
      </c>
      <c r="MP41" s="6">
        <f>日流量!MP41*24*3600/100000000</f>
        <v>1.50336</v>
      </c>
      <c r="MQ41" s="6">
        <f>日流量!MQ41*24*3600/100000000</f>
        <v>1.4774400000000001</v>
      </c>
      <c r="MR41" s="6">
        <f>日流量!MR41*24*3600/100000000</f>
        <v>1.4601599999999999</v>
      </c>
      <c r="MS41" s="6">
        <f>日流量!MS41*24*3600/100000000</f>
        <v>1.4428799999999999</v>
      </c>
      <c r="MT41" s="6">
        <f>日流量!MT41*24*3600/100000000</f>
        <v>1.4256</v>
      </c>
      <c r="MU41" s="6">
        <f>日流量!MU41*24*3600/100000000</f>
        <v>1.40832</v>
      </c>
      <c r="MV41" s="6">
        <f>日流量!MV41*24*3600/100000000</f>
        <v>1.3910400000000001</v>
      </c>
      <c r="MW41" s="6">
        <f>日流量!MW41*24*3600/100000000</f>
        <v>1.3651199999999999</v>
      </c>
      <c r="MX41" s="6">
        <f>日流量!MX41*24*3600/100000000</f>
        <v>1.3564799999999999</v>
      </c>
      <c r="MY41" s="6">
        <f>日流量!MY41*24*3600/100000000</f>
        <v>1.3391999999999999</v>
      </c>
      <c r="MZ41" s="6">
        <f>日流量!MZ41*24*3600/100000000</f>
        <v>1.33056</v>
      </c>
      <c r="NA41" s="6">
        <f>日流量!NA41*24*3600/100000000</f>
        <v>1.33056</v>
      </c>
      <c r="NB41" s="6">
        <f>日流量!NB41*24*3600/100000000</f>
        <v>1.32192</v>
      </c>
      <c r="NC41" s="6">
        <f>日流量!NC41*24*3600/100000000</f>
        <v>1.30464</v>
      </c>
      <c r="ND41" s="6">
        <f>日流量!ND41*24*3600*31/100000000</f>
        <v>38.301119999999997</v>
      </c>
      <c r="NE41" s="6">
        <f>日流量!NE41*24*3600*29/100000000</f>
        <v>29.81664</v>
      </c>
      <c r="NF41" s="6">
        <f>日流量!NF41*24*3600*31/100000000</f>
        <v>30.533760000000001</v>
      </c>
      <c r="NG41" s="6">
        <f>日流量!NG41*24*3600*30/100000000</f>
        <v>34.732799999999997</v>
      </c>
      <c r="NH41" s="6">
        <f>日流量!NH41*24*3600*31/100000000</f>
        <v>49.282559999999997</v>
      </c>
      <c r="NI41" s="6">
        <f>日流量!NI41*24*3600*30/100000000</f>
        <v>80.870400000000004</v>
      </c>
      <c r="NJ41" s="6">
        <f>日流量!NJ41*24*3600*31/100000000</f>
        <v>136.33055999999999</v>
      </c>
      <c r="NK41" s="6">
        <f>日流量!NK41*24*3600*31/100000000</f>
        <v>185.88095999999999</v>
      </c>
      <c r="NL41" s="6">
        <f>日流量!NL41*24*3600*30/100000000</f>
        <v>261.79199999999997</v>
      </c>
      <c r="NM41" s="6">
        <f>日流量!NM41*24*3600*31/100000000</f>
        <v>167.66784000000001</v>
      </c>
      <c r="NN41" s="6">
        <f>日流量!NN41*24*3600*30/100000000</f>
        <v>76.723200000000006</v>
      </c>
      <c r="NO41" s="6">
        <f>日流量!NO41*24*3600*31/100000000</f>
        <v>49.282559999999997</v>
      </c>
      <c r="NP41" s="14">
        <f t="shared" si="10"/>
        <v>1141.2144000000001</v>
      </c>
      <c r="NQ41" s="6">
        <f>日流量!NQ41*24*3600/100000000</f>
        <v>11.059200000000001</v>
      </c>
      <c r="NR41" s="4">
        <f>日流量!NR41</f>
        <v>42617</v>
      </c>
      <c r="NS41" s="6">
        <f>日流量!NS41*24*3600/100000000</f>
        <v>0.91583999999999999</v>
      </c>
      <c r="NT41" s="4">
        <f>日流量!NT41</f>
        <v>42442</v>
      </c>
      <c r="NU41" s="7">
        <f>日流量!NP41</f>
        <v>3606.3387978142077</v>
      </c>
      <c r="NW41" s="13">
        <f t="shared" si="0"/>
        <v>881.82431999999994</v>
      </c>
      <c r="NX41" s="12">
        <f t="shared" si="1"/>
        <v>77.27069689972366</v>
      </c>
      <c r="NY41" s="13">
        <f t="shared" si="2"/>
        <v>664.87392</v>
      </c>
      <c r="NZ41" s="12">
        <f t="shared" si="3"/>
        <v>58.260211227618576</v>
      </c>
      <c r="OA41" s="13">
        <f t="shared" si="4"/>
        <v>259.39008000000013</v>
      </c>
      <c r="OB41" s="12">
        <f t="shared" si="5"/>
        <v>22.729303100276347</v>
      </c>
      <c r="OC41" s="13">
        <f t="shared" si="6"/>
        <v>261.79199999999997</v>
      </c>
      <c r="OD41" s="12">
        <f t="shared" si="7"/>
        <v>22.939773630616646</v>
      </c>
      <c r="OE41" s="12">
        <f t="shared" si="8"/>
        <v>266.6388785046729</v>
      </c>
      <c r="OF41" s="12">
        <f t="shared" si="9"/>
        <v>8.4550633721674568</v>
      </c>
    </row>
    <row r="42" spans="1:396" x14ac:dyDescent="0.15">
      <c r="A42" s="2">
        <v>1989</v>
      </c>
      <c r="B42" s="6">
        <f>日流量!B42*24*3600/100000000</f>
        <v>1.30464</v>
      </c>
      <c r="C42" s="6">
        <f>日流量!C42*24*3600/100000000</f>
        <v>1.296</v>
      </c>
      <c r="D42" s="6">
        <f>日流量!D42*24*3600/100000000</f>
        <v>1.2787200000000001</v>
      </c>
      <c r="E42" s="6">
        <f>日流量!E42*24*3600/100000000</f>
        <v>1.2614399999999999</v>
      </c>
      <c r="F42" s="6">
        <f>日流量!F42*24*3600/100000000</f>
        <v>1.2441599999999999</v>
      </c>
      <c r="G42" s="6">
        <f>日流量!G42*24*3600/100000000</f>
        <v>1.23552</v>
      </c>
      <c r="H42" s="6">
        <f>日流量!H42*24*3600/100000000</f>
        <v>1.21824</v>
      </c>
      <c r="I42" s="6">
        <f>日流量!I42*24*3600/100000000</f>
        <v>1.20096</v>
      </c>
      <c r="J42" s="6">
        <f>日流量!J42*24*3600/100000000</f>
        <v>1.19232</v>
      </c>
      <c r="K42" s="6">
        <f>日流量!K42*24*3600/100000000</f>
        <v>1.1750400000000001</v>
      </c>
      <c r="L42" s="6">
        <f>日流量!L42*24*3600/100000000</f>
        <v>1.1577599999999999</v>
      </c>
      <c r="M42" s="6">
        <f>日流量!M42*24*3600/100000000</f>
        <v>1.1491199999999999</v>
      </c>
      <c r="N42" s="6">
        <f>日流量!N42*24*3600/100000000</f>
        <v>1.13184</v>
      </c>
      <c r="O42" s="6">
        <f>日流量!O42*24*3600/100000000</f>
        <v>1.1232</v>
      </c>
      <c r="P42" s="6">
        <f>日流量!P42*24*3600/100000000</f>
        <v>1.1232</v>
      </c>
      <c r="Q42" s="6">
        <f>日流量!Q42*24*3600/100000000</f>
        <v>1.1232</v>
      </c>
      <c r="R42" s="6">
        <f>日流量!R42*24*3600/100000000</f>
        <v>1.1232</v>
      </c>
      <c r="S42" s="6">
        <f>日流量!S42*24*3600/100000000</f>
        <v>1.11456</v>
      </c>
      <c r="T42" s="6">
        <f>日流量!T42*24*3600/100000000</f>
        <v>1.09728</v>
      </c>
      <c r="U42" s="6">
        <f>日流量!U42*24*3600/100000000</f>
        <v>1.0713600000000001</v>
      </c>
      <c r="V42" s="6">
        <f>日流量!V42*24*3600/100000000</f>
        <v>1.0454399999999999</v>
      </c>
      <c r="W42" s="6">
        <f>日流量!W42*24*3600/100000000</f>
        <v>1.0367999999999999</v>
      </c>
      <c r="X42" s="6">
        <f>日流量!X42*24*3600/100000000</f>
        <v>1.02816</v>
      </c>
      <c r="Y42" s="6">
        <f>日流量!Y42*24*3600/100000000</f>
        <v>1.01952</v>
      </c>
      <c r="Z42" s="6">
        <f>日流量!Z42*24*3600/100000000</f>
        <v>1.01952</v>
      </c>
      <c r="AA42" s="6">
        <f>日流量!AA42*24*3600/100000000</f>
        <v>1.01088</v>
      </c>
      <c r="AB42" s="6">
        <f>日流量!AB42*24*3600/100000000</f>
        <v>1.00224</v>
      </c>
      <c r="AC42" s="6">
        <f>日流量!AC42*24*3600/100000000</f>
        <v>0.99360000000000004</v>
      </c>
      <c r="AD42" s="6">
        <f>日流量!AD42*24*3600/100000000</f>
        <v>0.98495999999999995</v>
      </c>
      <c r="AE42" s="6">
        <f>日流量!AE42*24*3600/100000000</f>
        <v>0.98495999999999995</v>
      </c>
      <c r="AF42" s="6">
        <f>日流量!AF42*24*3600/100000000</f>
        <v>0.97631999999999997</v>
      </c>
      <c r="AG42" s="6">
        <f>日流量!AG42*24*3600/100000000</f>
        <v>0.97631999999999997</v>
      </c>
      <c r="AH42" s="6">
        <f>日流量!AH42*24*3600/100000000</f>
        <v>0.97631999999999997</v>
      </c>
      <c r="AI42" s="6">
        <f>日流量!AI42*24*3600/100000000</f>
        <v>0.97631999999999997</v>
      </c>
      <c r="AJ42" s="6">
        <f>日流量!AJ42*24*3600/100000000</f>
        <v>0.97631999999999997</v>
      </c>
      <c r="AK42" s="6">
        <f>日流量!AK42*24*3600/100000000</f>
        <v>0.97631999999999997</v>
      </c>
      <c r="AL42" s="6">
        <f>日流量!AL42*24*3600/100000000</f>
        <v>0.97631999999999997</v>
      </c>
      <c r="AM42" s="6">
        <f>日流量!AM42*24*3600/100000000</f>
        <v>0.98495999999999995</v>
      </c>
      <c r="AN42" s="6">
        <f>日流量!AN42*24*3600/100000000</f>
        <v>0.99360000000000004</v>
      </c>
      <c r="AO42" s="6">
        <f>日流量!AO42*24*3600/100000000</f>
        <v>1.00224</v>
      </c>
      <c r="AP42" s="6">
        <f>日流量!AP42*24*3600/100000000</f>
        <v>1.00224</v>
      </c>
      <c r="AQ42" s="6">
        <f>日流量!AQ42*24*3600/100000000</f>
        <v>0.99360000000000004</v>
      </c>
      <c r="AR42" s="6">
        <f>日流量!AR42*24*3600/100000000</f>
        <v>0.97631999999999997</v>
      </c>
      <c r="AS42" s="6">
        <f>日流量!AS42*24*3600/100000000</f>
        <v>0.97631999999999997</v>
      </c>
      <c r="AT42" s="6">
        <f>日流量!AT42*24*3600/100000000</f>
        <v>0.95904</v>
      </c>
      <c r="AU42" s="6">
        <f>日流量!AU42*24*3600/100000000</f>
        <v>0.95040000000000002</v>
      </c>
      <c r="AV42" s="6">
        <f>日流量!AV42*24*3600/100000000</f>
        <v>0.94176000000000004</v>
      </c>
      <c r="AW42" s="6">
        <f>日流量!AW42*24*3600/100000000</f>
        <v>0.92447999999999997</v>
      </c>
      <c r="AX42" s="6">
        <f>日流量!AX42*24*3600/100000000</f>
        <v>0.91583999999999999</v>
      </c>
      <c r="AY42" s="6">
        <f>日流量!AY42*24*3600/100000000</f>
        <v>0.90720000000000001</v>
      </c>
      <c r="AZ42" s="6">
        <f>日流量!AZ42*24*3600/100000000</f>
        <v>0.89856000000000003</v>
      </c>
      <c r="BA42" s="6">
        <f>日流量!BA42*24*3600/100000000</f>
        <v>0.88992000000000004</v>
      </c>
      <c r="BB42" s="6">
        <f>日流量!BB42*24*3600/100000000</f>
        <v>0.88992000000000004</v>
      </c>
      <c r="BC42" s="6">
        <f>日流量!BC42*24*3600/100000000</f>
        <v>0.88992000000000004</v>
      </c>
      <c r="BD42" s="6">
        <f>日流量!BD42*24*3600/100000000</f>
        <v>0.88992000000000004</v>
      </c>
      <c r="BE42" s="6">
        <f>日流量!BE42*24*3600/100000000</f>
        <v>0.89856000000000003</v>
      </c>
      <c r="BF42" s="6">
        <f>日流量!BF42*24*3600/100000000</f>
        <v>0.90720000000000001</v>
      </c>
      <c r="BG42" s="6">
        <f>日流量!BG42*24*3600/100000000</f>
        <v>0.88992000000000004</v>
      </c>
      <c r="BH42" s="6">
        <f>日流量!BH42*24*3600/100000000</f>
        <v>0.87263999999999997</v>
      </c>
      <c r="BI42" s="6"/>
      <c r="BJ42" s="6">
        <f>日流量!BJ42*24*3600/100000000</f>
        <v>0.85795200000000005</v>
      </c>
      <c r="BK42" s="6">
        <f>日流量!BK42*24*3600/100000000</f>
        <v>0.85276799999999997</v>
      </c>
      <c r="BL42" s="6">
        <f>日流量!BL42*24*3600/100000000</f>
        <v>0.85190399999999999</v>
      </c>
      <c r="BM42" s="6">
        <f>日流量!BM42*24*3600/100000000</f>
        <v>0.85190399999999999</v>
      </c>
      <c r="BN42" s="6">
        <f>日流量!BN42*24*3600/100000000</f>
        <v>0.85363199999999995</v>
      </c>
      <c r="BO42" s="6">
        <f>日流量!BO42*24*3600/100000000</f>
        <v>0.85968</v>
      </c>
      <c r="BP42" s="6">
        <f>日流量!BP42*24*3600/100000000</f>
        <v>0.86399999999999999</v>
      </c>
      <c r="BQ42" s="6">
        <f>日流量!BQ42*24*3600/100000000</f>
        <v>0.88127999999999995</v>
      </c>
      <c r="BR42" s="6">
        <f>日流量!BR42*24*3600/100000000</f>
        <v>0.88992000000000004</v>
      </c>
      <c r="BS42" s="6">
        <f>日流量!BS42*24*3600/100000000</f>
        <v>0.89856000000000003</v>
      </c>
      <c r="BT42" s="6">
        <f>日流量!BT42*24*3600/100000000</f>
        <v>0.88992000000000004</v>
      </c>
      <c r="BU42" s="6">
        <f>日流量!BU42*24*3600/100000000</f>
        <v>0.88127999999999995</v>
      </c>
      <c r="BV42" s="6">
        <f>日流量!BV42*24*3600/100000000</f>
        <v>0.86399999999999999</v>
      </c>
      <c r="BW42" s="6">
        <f>日流量!BW42*24*3600/100000000</f>
        <v>0.86399999999999999</v>
      </c>
      <c r="BX42" s="6">
        <f>日流量!BX42*24*3600/100000000</f>
        <v>0.85795200000000005</v>
      </c>
      <c r="BY42" s="6">
        <f>日流量!BY42*24*3600/100000000</f>
        <v>0.84672000000000003</v>
      </c>
      <c r="BZ42" s="6">
        <f>日流量!BZ42*24*3600/100000000</f>
        <v>0.84412799999999999</v>
      </c>
      <c r="CA42" s="6">
        <f>日流量!CA42*24*3600/100000000</f>
        <v>0.84240000000000004</v>
      </c>
      <c r="CB42" s="6">
        <f>日流量!CB42*24*3600/100000000</f>
        <v>0.84153599999999995</v>
      </c>
      <c r="CC42" s="6">
        <f>日流量!CC42*24*3600/100000000</f>
        <v>0.84153599999999995</v>
      </c>
      <c r="CD42" s="6">
        <f>日流量!CD42*24*3600/100000000</f>
        <v>0.84153599999999995</v>
      </c>
      <c r="CE42" s="6">
        <f>日流量!CE42*24*3600/100000000</f>
        <v>0.84153599999999995</v>
      </c>
      <c r="CF42" s="6">
        <f>日流量!CF42*24*3600/100000000</f>
        <v>0.84412799999999999</v>
      </c>
      <c r="CG42" s="6">
        <f>日流量!CG42*24*3600/100000000</f>
        <v>0.84844799999999998</v>
      </c>
      <c r="CH42" s="6">
        <f>日流量!CH42*24*3600/100000000</f>
        <v>0.85536000000000001</v>
      </c>
      <c r="CI42" s="6">
        <f>日流量!CI42*24*3600/100000000</f>
        <v>0.86227200000000004</v>
      </c>
      <c r="CJ42" s="6">
        <f>日流量!CJ42*24*3600/100000000</f>
        <v>0.87263999999999997</v>
      </c>
      <c r="CK42" s="6">
        <f>日流量!CK42*24*3600/100000000</f>
        <v>0.88992000000000004</v>
      </c>
      <c r="CL42" s="6">
        <f>日流量!CL42*24*3600/100000000</f>
        <v>0.89856000000000003</v>
      </c>
      <c r="CM42" s="6">
        <f>日流量!CM42*24*3600/100000000</f>
        <v>0.89856000000000003</v>
      </c>
      <c r="CN42" s="6">
        <f>日流量!CN42*24*3600/100000000</f>
        <v>0.89856000000000003</v>
      </c>
      <c r="CO42" s="6">
        <f>日流量!CO42*24*3600/100000000</f>
        <v>0.88992000000000004</v>
      </c>
      <c r="CP42" s="6">
        <f>日流量!CP42*24*3600/100000000</f>
        <v>0.88992000000000004</v>
      </c>
      <c r="CQ42" s="6">
        <f>日流量!CQ42*24*3600/100000000</f>
        <v>0.88127999999999995</v>
      </c>
      <c r="CR42" s="6">
        <f>日流量!CR42*24*3600/100000000</f>
        <v>0.88127999999999995</v>
      </c>
      <c r="CS42" s="6">
        <f>日流量!CS42*24*3600/100000000</f>
        <v>0.88127999999999995</v>
      </c>
      <c r="CT42" s="6">
        <f>日流量!CT42*24*3600/100000000</f>
        <v>0.86399999999999999</v>
      </c>
      <c r="CU42" s="6">
        <f>日流量!CU42*24*3600/100000000</f>
        <v>0.86313600000000001</v>
      </c>
      <c r="CV42" s="6">
        <f>日流量!CV42*24*3600/100000000</f>
        <v>0.86313600000000001</v>
      </c>
      <c r="CW42" s="6">
        <f>日流量!CW42*24*3600/100000000</f>
        <v>0.86399999999999999</v>
      </c>
      <c r="CX42" s="6">
        <f>日流量!CX42*24*3600/100000000</f>
        <v>0.88127999999999995</v>
      </c>
      <c r="CY42" s="6">
        <f>日流量!CY42*24*3600/100000000</f>
        <v>0.88127999999999995</v>
      </c>
      <c r="CZ42" s="6">
        <f>日流量!CZ42*24*3600/100000000</f>
        <v>0.88992000000000004</v>
      </c>
      <c r="DA42" s="6">
        <f>日流量!DA42*24*3600/100000000</f>
        <v>0.88992000000000004</v>
      </c>
      <c r="DB42" s="6">
        <f>日流量!DB42*24*3600/100000000</f>
        <v>0.88992000000000004</v>
      </c>
      <c r="DC42" s="6">
        <f>日流量!DC42*24*3600/100000000</f>
        <v>0.88992000000000004</v>
      </c>
      <c r="DD42" s="6">
        <f>日流量!DD42*24*3600/100000000</f>
        <v>0.88992000000000004</v>
      </c>
      <c r="DE42" s="6">
        <f>日流量!DE42*24*3600/100000000</f>
        <v>0.89856000000000003</v>
      </c>
      <c r="DF42" s="6">
        <f>日流量!DF42*24*3600/100000000</f>
        <v>0.88992000000000004</v>
      </c>
      <c r="DG42" s="6">
        <f>日流量!DG42*24*3600/100000000</f>
        <v>0.88992000000000004</v>
      </c>
      <c r="DH42" s="6">
        <f>日流量!DH42*24*3600/100000000</f>
        <v>0.88127999999999995</v>
      </c>
      <c r="DI42" s="6">
        <f>日流量!DI42*24*3600/100000000</f>
        <v>0.88127999999999995</v>
      </c>
      <c r="DJ42" s="6">
        <f>日流量!DJ42*24*3600/100000000</f>
        <v>0.88127999999999995</v>
      </c>
      <c r="DK42" s="6">
        <f>日流量!DK42*24*3600/100000000</f>
        <v>0.88127999999999995</v>
      </c>
      <c r="DL42" s="6">
        <f>日流量!DL42*24*3600/100000000</f>
        <v>0.88992000000000004</v>
      </c>
      <c r="DM42" s="6">
        <f>日流量!DM42*24*3600/100000000</f>
        <v>0.89856000000000003</v>
      </c>
      <c r="DN42" s="6">
        <f>日流量!DN42*24*3600/100000000</f>
        <v>0.92447999999999997</v>
      </c>
      <c r="DO42" s="6">
        <f>日流量!DO42*24*3600/100000000</f>
        <v>0.95040000000000002</v>
      </c>
      <c r="DP42" s="6">
        <f>日流量!DP42*24*3600/100000000</f>
        <v>0.95040000000000002</v>
      </c>
      <c r="DQ42" s="6">
        <f>日流量!DQ42*24*3600/100000000</f>
        <v>0.94176000000000004</v>
      </c>
      <c r="DR42" s="6">
        <f>日流量!DR42*24*3600/100000000</f>
        <v>0.94176000000000004</v>
      </c>
      <c r="DS42" s="6">
        <f>日流量!DS42*24*3600/100000000</f>
        <v>0.94176000000000004</v>
      </c>
      <c r="DT42" s="6">
        <f>日流量!DT42*24*3600/100000000</f>
        <v>0.95904</v>
      </c>
      <c r="DU42" s="6">
        <f>日流量!DU42*24*3600/100000000</f>
        <v>0.99360000000000004</v>
      </c>
      <c r="DV42" s="6">
        <f>日流量!DV42*24*3600/100000000</f>
        <v>1.0627200000000001</v>
      </c>
      <c r="DW42" s="6">
        <f>日流量!DW42*24*3600/100000000</f>
        <v>1.0713600000000001</v>
      </c>
      <c r="DX42" s="6">
        <f>日流量!DX42*24*3600/100000000</f>
        <v>1.0886400000000001</v>
      </c>
      <c r="DY42" s="6">
        <f>日流量!DY42*24*3600/100000000</f>
        <v>1.11456</v>
      </c>
      <c r="DZ42" s="6">
        <f>日流量!DZ42*24*3600/100000000</f>
        <v>1.1232</v>
      </c>
      <c r="EA42" s="6">
        <f>日流量!EA42*24*3600/100000000</f>
        <v>1.2614399999999999</v>
      </c>
      <c r="EB42" s="6">
        <f>日流量!EB42*24*3600/100000000</f>
        <v>1.41696</v>
      </c>
      <c r="EC42" s="6">
        <f>日流量!EC42*24*3600/100000000</f>
        <v>1.62432</v>
      </c>
      <c r="ED42" s="6">
        <f>日流量!ED42*24*3600/100000000</f>
        <v>1.8489599999999999</v>
      </c>
      <c r="EE42" s="6">
        <f>日流量!EE42*24*3600/100000000</f>
        <v>1.9785600000000001</v>
      </c>
      <c r="EF42" s="6">
        <f>日流量!EF42*24*3600/100000000</f>
        <v>1.9872000000000001</v>
      </c>
      <c r="EG42" s="6">
        <f>日流量!EG42*24*3600/100000000</f>
        <v>1.8489599999999999</v>
      </c>
      <c r="EH42" s="6">
        <f>日流量!EH42*24*3600/100000000</f>
        <v>1.6848000000000001</v>
      </c>
      <c r="EI42" s="6">
        <f>日流量!EI42*24*3600/100000000</f>
        <v>1.6588799999999999</v>
      </c>
      <c r="EJ42" s="6">
        <f>日流量!EJ42*24*3600/100000000</f>
        <v>1.6761600000000001</v>
      </c>
      <c r="EK42" s="6">
        <f>日流量!EK42*24*3600/100000000</f>
        <v>1.62432</v>
      </c>
      <c r="EL42" s="6">
        <f>日流量!EL42*24*3600/100000000</f>
        <v>1.5811200000000001</v>
      </c>
      <c r="EM42" s="6">
        <f>日流量!EM42*24*3600/100000000</f>
        <v>1.5811200000000001</v>
      </c>
      <c r="EN42" s="6">
        <f>日流量!EN42*24*3600/100000000</f>
        <v>1.53792</v>
      </c>
      <c r="EO42" s="6">
        <f>日流量!EO42*24*3600/100000000</f>
        <v>1.53792</v>
      </c>
      <c r="EP42" s="6">
        <f>日流量!EP42*24*3600/100000000</f>
        <v>1.5724800000000001</v>
      </c>
      <c r="EQ42" s="6">
        <f>日流量!EQ42*24*3600/100000000</f>
        <v>1.71936</v>
      </c>
      <c r="ER42" s="6">
        <f>日流量!ER42*24*3600/100000000</f>
        <v>1.93536</v>
      </c>
      <c r="ES42" s="6">
        <f>日流量!ES42*24*3600/100000000</f>
        <v>2.0995200000000001</v>
      </c>
      <c r="ET42" s="6">
        <f>日流量!ET42*24*3600/100000000</f>
        <v>2.1254400000000002</v>
      </c>
      <c r="EU42" s="6">
        <f>日流量!EU42*24*3600/100000000</f>
        <v>2.1254400000000002</v>
      </c>
      <c r="EV42" s="6">
        <f>日流量!EV42*24*3600/100000000</f>
        <v>2.2377600000000002</v>
      </c>
      <c r="EW42" s="6">
        <f>日流量!EW42*24*3600/100000000</f>
        <v>2.5660799999999999</v>
      </c>
      <c r="EX42" s="6">
        <f>日流量!EX42*24*3600/100000000</f>
        <v>2.7734399999999999</v>
      </c>
      <c r="EY42" s="6">
        <f>日流量!EY42*24*3600/100000000</f>
        <v>3.0326399999999998</v>
      </c>
      <c r="EZ42" s="6">
        <f>日流量!EZ42*24*3600/100000000</f>
        <v>3.3955199999999999</v>
      </c>
      <c r="FA42" s="6">
        <f>日流量!FA42*24*3600/100000000</f>
        <v>3.6720000000000002</v>
      </c>
      <c r="FB42" s="6">
        <f>日流量!FB42*24*3600/100000000</f>
        <v>3.9571200000000002</v>
      </c>
      <c r="FC42" s="6">
        <f>日流量!FC42*24*3600/100000000</f>
        <v>3.8016000000000001</v>
      </c>
      <c r="FD42" s="6">
        <f>日流量!FD42*24*3600/100000000</f>
        <v>3.6028799999999999</v>
      </c>
      <c r="FE42" s="6">
        <f>日流量!FE42*24*3600/100000000</f>
        <v>3.4041600000000001</v>
      </c>
      <c r="FF42" s="6">
        <f>日流量!FF42*24*3600/100000000</f>
        <v>3.2572800000000002</v>
      </c>
      <c r="FG42" s="6">
        <f>日流量!FG42*24*3600/100000000</f>
        <v>3.23136</v>
      </c>
      <c r="FH42" s="6">
        <f>日流量!FH42*24*3600/100000000</f>
        <v>3.24864</v>
      </c>
      <c r="FI42" s="6">
        <f>日流量!FI42*24*3600/100000000</f>
        <v>3.2918400000000001</v>
      </c>
      <c r="FJ42" s="6">
        <f>日流量!FJ42*24*3600/100000000</f>
        <v>3.1708799999999999</v>
      </c>
      <c r="FK42" s="6">
        <f>日流量!FK42*24*3600/100000000</f>
        <v>3.0067200000000001</v>
      </c>
      <c r="FL42" s="6">
        <f>日流量!FL42*24*3600/100000000</f>
        <v>2.9376000000000002</v>
      </c>
      <c r="FM42" s="6">
        <f>日流量!FM42*24*3600/100000000</f>
        <v>3.1449600000000002</v>
      </c>
      <c r="FN42" s="6">
        <f>日流量!FN42*24*3600/100000000</f>
        <v>3.024</v>
      </c>
      <c r="FO42" s="6">
        <f>日流量!FO42*24*3600/100000000</f>
        <v>2.9807999999999999</v>
      </c>
      <c r="FP42" s="6">
        <f>日流量!FP42*24*3600/100000000</f>
        <v>3.21408</v>
      </c>
      <c r="FQ42" s="6">
        <f>日流量!FQ42*24*3600/100000000</f>
        <v>3.4905599999999999</v>
      </c>
      <c r="FR42" s="6">
        <f>日流量!FR42*24*3600/100000000</f>
        <v>3.7670400000000002</v>
      </c>
      <c r="FS42" s="6">
        <f>日流量!FS42*24*3600/100000000</f>
        <v>4.5187200000000001</v>
      </c>
      <c r="FT42" s="6">
        <f>日流量!FT42*24*3600/100000000</f>
        <v>4.7347200000000003</v>
      </c>
      <c r="FU42" s="6">
        <f>日流量!FU42*24*3600/100000000</f>
        <v>4.7174399999999999</v>
      </c>
      <c r="FV42" s="6">
        <f>日流量!FV42*24*3600/100000000</f>
        <v>5.1321599999999998</v>
      </c>
      <c r="FW42" s="6">
        <f>日流量!FW42*24*3600/100000000</f>
        <v>5.6246400000000003</v>
      </c>
      <c r="FX42" s="6">
        <f>日流量!FX42*24*3600/100000000</f>
        <v>6.0739200000000002</v>
      </c>
      <c r="FY42" s="6">
        <f>日流量!FY42*24*3600/100000000</f>
        <v>6.7910399999999997</v>
      </c>
      <c r="FZ42" s="6">
        <f>日流量!FZ42*24*3600/100000000</f>
        <v>7.5427200000000001</v>
      </c>
      <c r="GA42" s="6">
        <f>日流量!GA42*24*3600/100000000</f>
        <v>8.1388800000000003</v>
      </c>
      <c r="GB42" s="6">
        <f>日流量!GB42*24*3600/100000000</f>
        <v>9.0719999999999992</v>
      </c>
      <c r="GC42" s="6">
        <f>日流量!GC42*24*3600/100000000</f>
        <v>9.2447999999999997</v>
      </c>
      <c r="GD42" s="6">
        <f>日流量!GD42*24*3600/100000000</f>
        <v>9.3312000000000008</v>
      </c>
      <c r="GE42" s="6">
        <f>日流量!GE42*24*3600/100000000</f>
        <v>8.8127999999999993</v>
      </c>
      <c r="GF42" s="6">
        <f>日流量!GF42*24*3600/100000000</f>
        <v>8.6313600000000008</v>
      </c>
      <c r="GG42" s="6">
        <f>日流量!GG42*24*3600/100000000</f>
        <v>9.3312000000000008</v>
      </c>
      <c r="GH42" s="6">
        <f>日流量!GH42*24*3600/100000000</f>
        <v>9.1584000000000003</v>
      </c>
      <c r="GI42" s="6">
        <f>日流量!GI42*24*3600/100000000</f>
        <v>8.2684800000000003</v>
      </c>
      <c r="GJ42" s="6">
        <f>日流量!GJ42*24*3600/100000000</f>
        <v>7.67232</v>
      </c>
      <c r="GK42" s="6">
        <f>日流量!GK42*24*3600/100000000</f>
        <v>7.9228800000000001</v>
      </c>
      <c r="GL42" s="6">
        <f>日流量!GL42*24*3600/100000000</f>
        <v>8.7263999999999999</v>
      </c>
      <c r="GM42" s="6">
        <f>日流量!GM42*24*3600/100000000</f>
        <v>9.1584000000000003</v>
      </c>
      <c r="GN42" s="6">
        <f>日流量!GN42*24*3600/100000000</f>
        <v>9.5904000000000007</v>
      </c>
      <c r="GO42" s="6">
        <f>日流量!GO42*24*3600/100000000</f>
        <v>9.2447999999999997</v>
      </c>
      <c r="GP42" s="6">
        <f>日流量!GP42*24*3600/100000000</f>
        <v>8.8992000000000004</v>
      </c>
      <c r="GQ42" s="6">
        <f>日流量!GQ42*24*3600/100000000</f>
        <v>8.4585600000000003</v>
      </c>
      <c r="GR42" s="6">
        <f>日流量!GR42*24*3600/100000000</f>
        <v>7.8796799999999996</v>
      </c>
      <c r="GS42" s="6">
        <f>日流量!GS42*24*3600/100000000</f>
        <v>7.4303999999999997</v>
      </c>
      <c r="GT42" s="6">
        <f>日流量!GT42*24*3600/100000000</f>
        <v>7.5686400000000003</v>
      </c>
      <c r="GU42" s="6">
        <f>日流量!GU42*24*3600/100000000</f>
        <v>7.4995200000000004</v>
      </c>
      <c r="GV42" s="6">
        <f>日流量!GV42*24*3600/100000000</f>
        <v>7.0588800000000003</v>
      </c>
      <c r="GW42" s="6">
        <f>日流量!GW42*24*3600/100000000</f>
        <v>6.5663999999999998</v>
      </c>
      <c r="GX42" s="6">
        <f>日流量!GX42*24*3600/100000000</f>
        <v>6.2553599999999996</v>
      </c>
      <c r="GY42" s="6">
        <f>日流量!GY42*24*3600/100000000</f>
        <v>5.9702400000000004</v>
      </c>
      <c r="GZ42" s="6">
        <f>日流量!GZ42*24*3600/100000000</f>
        <v>5.7715199999999998</v>
      </c>
      <c r="HA42" s="6">
        <f>日流量!HA42*24*3600/100000000</f>
        <v>5.6592000000000002</v>
      </c>
      <c r="HB42" s="6">
        <f>日流量!HB42*24*3600/100000000</f>
        <v>5.8406399999999996</v>
      </c>
      <c r="HC42" s="6">
        <f>日流量!HC42*24*3600/100000000</f>
        <v>7.3872</v>
      </c>
      <c r="HD42" s="6">
        <f>日流量!HD42*24*3600/100000000</f>
        <v>8.9855999999999998</v>
      </c>
      <c r="HE42" s="6">
        <f>日流量!HE42*24*3600/100000000</f>
        <v>9.9359999999999999</v>
      </c>
      <c r="HF42" s="6">
        <f>日流量!HF42*24*3600/100000000</f>
        <v>9.9359999999999999</v>
      </c>
      <c r="HG42" s="6">
        <f>日流量!HG42*24*3600/100000000</f>
        <v>9.0719999999999992</v>
      </c>
      <c r="HH42" s="6">
        <f>日流量!HH42*24*3600/100000000</f>
        <v>7.80192</v>
      </c>
      <c r="HI42" s="6">
        <f>日流量!HI42*24*3600/100000000</f>
        <v>6.9897600000000004</v>
      </c>
      <c r="HJ42" s="6">
        <f>日流量!HJ42*24*3600/100000000</f>
        <v>6.9465599999999998</v>
      </c>
      <c r="HK42" s="6">
        <f>日流量!HK42*24*3600/100000000</f>
        <v>6.59232</v>
      </c>
      <c r="HL42" s="6">
        <f>日流量!HL42*24*3600/100000000</f>
        <v>6.0566399999999998</v>
      </c>
      <c r="HM42" s="6">
        <f>日流量!HM42*24*3600/100000000</f>
        <v>5.7110399999999997</v>
      </c>
      <c r="HN42" s="6">
        <f>日流量!HN42*24*3600/100000000</f>
        <v>5.9702400000000004</v>
      </c>
      <c r="HO42" s="6">
        <f>日流量!HO42*24*3600/100000000</f>
        <v>6.3244800000000003</v>
      </c>
      <c r="HP42" s="6">
        <f>日流量!HP42*24*3600/100000000</f>
        <v>6.5750400000000004</v>
      </c>
      <c r="HQ42" s="6">
        <f>日流量!HQ42*24*3600/100000000</f>
        <v>6.6700799999999996</v>
      </c>
      <c r="HR42" s="6">
        <f>日流量!HR42*24*3600/100000000</f>
        <v>6.6009599999999997</v>
      </c>
      <c r="HS42" s="6">
        <f>日流量!HS42*24*3600/100000000</f>
        <v>6.3244800000000003</v>
      </c>
      <c r="HT42" s="6">
        <f>日流量!HT42*24*3600/100000000</f>
        <v>6.2207999999999997</v>
      </c>
      <c r="HU42" s="6">
        <f>日流量!HU42*24*3600/100000000</f>
        <v>6.1948800000000004</v>
      </c>
      <c r="HV42" s="6">
        <f>日流量!HV42*24*3600/100000000</f>
        <v>6.3849600000000004</v>
      </c>
      <c r="HW42" s="6">
        <f>日流量!HW42*24*3600/100000000</f>
        <v>6.6787200000000002</v>
      </c>
      <c r="HX42" s="6">
        <f>日流量!HX42*24*3600/100000000</f>
        <v>6.6528</v>
      </c>
      <c r="HY42" s="6">
        <f>日流量!HY42*24*3600/100000000</f>
        <v>7.0243200000000003</v>
      </c>
      <c r="HZ42" s="6">
        <f>日流量!HZ42*24*3600/100000000</f>
        <v>8.0784000000000002</v>
      </c>
      <c r="IA42" s="6">
        <f>日流量!IA42*24*3600/100000000</f>
        <v>9.5039999999999996</v>
      </c>
      <c r="IB42" s="6">
        <f>日流量!IB42*24*3600/100000000</f>
        <v>9.3312000000000008</v>
      </c>
      <c r="IC42" s="6">
        <f>日流量!IC42*24*3600/100000000</f>
        <v>9.0719999999999992</v>
      </c>
      <c r="ID42" s="6">
        <f>日流量!ID42*24*3600/100000000</f>
        <v>8.5535999999999994</v>
      </c>
      <c r="IE42" s="6">
        <f>日流量!IE42*24*3600/100000000</f>
        <v>7.89696</v>
      </c>
      <c r="IF42" s="6">
        <f>日流量!IF42*24*3600/100000000</f>
        <v>7.3699199999999996</v>
      </c>
      <c r="IG42" s="6">
        <f>日流量!IG42*24*3600/100000000</f>
        <v>7.1280000000000001</v>
      </c>
      <c r="IH42" s="6">
        <f>日流量!IH42*24*3600/100000000</f>
        <v>7.06752</v>
      </c>
      <c r="II42" s="6">
        <f>日流量!II42*24*3600/100000000</f>
        <v>7.3094400000000004</v>
      </c>
      <c r="IJ42" s="6">
        <f>日流量!IJ42*24*3600/100000000</f>
        <v>6.9811199999999998</v>
      </c>
      <c r="IK42" s="6">
        <f>日流量!IK42*24*3600/100000000</f>
        <v>6.59232</v>
      </c>
      <c r="IL42" s="6">
        <f>日流量!IL42*24*3600/100000000</f>
        <v>6.2812799999999998</v>
      </c>
      <c r="IM42" s="6">
        <f>日流量!IM42*24*3600/100000000</f>
        <v>6.5836800000000002</v>
      </c>
      <c r="IN42" s="6">
        <f>日流量!IN42*24*3600/100000000</f>
        <v>6.7910399999999997</v>
      </c>
      <c r="IO42" s="6">
        <f>日流量!IO42*24*3600/100000000</f>
        <v>7.4563199999999998</v>
      </c>
      <c r="IP42" s="6">
        <f>日流量!IP42*24*3600/100000000</f>
        <v>8.3721599999999992</v>
      </c>
      <c r="IQ42" s="6">
        <f>日流量!IQ42*24*3600/100000000</f>
        <v>9.3312000000000008</v>
      </c>
      <c r="IR42" s="6">
        <f>日流量!IR42*24*3600/100000000</f>
        <v>9.0719999999999992</v>
      </c>
      <c r="IS42" s="6">
        <f>日流量!IS42*24*3600/100000000</f>
        <v>8.8992000000000004</v>
      </c>
      <c r="IT42" s="6">
        <f>日流量!IT42*24*3600/100000000</f>
        <v>8.5795200000000005</v>
      </c>
      <c r="IU42" s="6">
        <f>日流量!IU42*24*3600/100000000</f>
        <v>8.3808000000000007</v>
      </c>
      <c r="IV42" s="6">
        <f>日流量!IV42*24*3600/100000000</f>
        <v>8.0611200000000007</v>
      </c>
      <c r="IW42" s="6">
        <f>日流量!IW42*24*3600/100000000</f>
        <v>7.9228800000000001</v>
      </c>
      <c r="IX42" s="6">
        <f>日流量!IX42*24*3600/100000000</f>
        <v>7.89696</v>
      </c>
      <c r="IY42" s="6">
        <f>日流量!IY42*24*3600/100000000</f>
        <v>8.0006400000000006</v>
      </c>
      <c r="IZ42" s="6">
        <f>日流量!IZ42*24*3600/100000000</f>
        <v>8.5104000000000006</v>
      </c>
      <c r="JA42" s="6">
        <f>日流量!JA42*24*3600/100000000</f>
        <v>8.9855999999999998</v>
      </c>
      <c r="JB42" s="6">
        <f>日流量!JB42*24*3600/100000000</f>
        <v>9.4176000000000002</v>
      </c>
      <c r="JC42" s="6">
        <f>日流量!JC42*24*3600/100000000</f>
        <v>9.3312000000000008</v>
      </c>
      <c r="JD42" s="6">
        <f>日流量!JD42*24*3600/100000000</f>
        <v>9.5039999999999996</v>
      </c>
      <c r="JE42" s="6">
        <f>日流量!JE42*24*3600/100000000</f>
        <v>9.8496000000000006</v>
      </c>
      <c r="JF42" s="6">
        <f>日流量!JF42*24*3600/100000000</f>
        <v>10.1952</v>
      </c>
      <c r="JG42" s="6">
        <f>日流量!JG42*24*3600/100000000</f>
        <v>10.1952</v>
      </c>
      <c r="JH42" s="6">
        <f>日流量!JH42*24*3600/100000000</f>
        <v>9.5904000000000007</v>
      </c>
      <c r="JI42" s="6">
        <f>日流量!JI42*24*3600/100000000</f>
        <v>8.9855999999999998</v>
      </c>
      <c r="JJ42" s="6">
        <f>日流量!JJ42*24*3600/100000000</f>
        <v>8.2252799999999997</v>
      </c>
      <c r="JK42" s="6">
        <f>日流量!JK42*24*3600/100000000</f>
        <v>7.6463999999999999</v>
      </c>
      <c r="JL42" s="6">
        <f>日流量!JL42*24*3600/100000000</f>
        <v>7.2316799999999999</v>
      </c>
      <c r="JM42" s="6">
        <f>日流量!JM42*24*3600/100000000</f>
        <v>6.8601599999999996</v>
      </c>
      <c r="JN42" s="6">
        <f>日流量!JN42*24*3600/100000000</f>
        <v>6.6528</v>
      </c>
      <c r="JO42" s="6">
        <f>日流量!JO42*24*3600/100000000</f>
        <v>6.59232</v>
      </c>
      <c r="JP42" s="6">
        <f>日流量!JP42*24*3600/100000000</f>
        <v>6.5750400000000004</v>
      </c>
      <c r="JQ42" s="6">
        <f>日流量!JQ42*24*3600/100000000</f>
        <v>7.06752</v>
      </c>
      <c r="JR42" s="6">
        <f>日流量!JR42*24*3600/100000000</f>
        <v>7.5254399999999997</v>
      </c>
      <c r="JS42" s="6">
        <f>日流量!JS42*24*3600/100000000</f>
        <v>7.4649599999999996</v>
      </c>
      <c r="JT42" s="6">
        <f>日流量!JT42*24*3600/100000000</f>
        <v>7.0761599999999998</v>
      </c>
      <c r="JU42" s="6">
        <f>日流量!JU42*24*3600/100000000</f>
        <v>6.7996800000000004</v>
      </c>
      <c r="JV42" s="6">
        <f>日流量!JV42*24*3600/100000000</f>
        <v>7.2316799999999999</v>
      </c>
      <c r="JW42" s="6">
        <f>日流量!JW42*24*3600/100000000</f>
        <v>7.5081600000000002</v>
      </c>
      <c r="JX42" s="6">
        <f>日流量!JX42*24*3600/100000000</f>
        <v>8.3030399999999993</v>
      </c>
      <c r="JY42" s="6">
        <f>日流量!JY42*24*3600/100000000</f>
        <v>8.8992000000000004</v>
      </c>
      <c r="JZ42" s="6">
        <f>日流量!JZ42*24*3600/100000000</f>
        <v>10.022399999999999</v>
      </c>
      <c r="KA42" s="6">
        <f>日流量!KA42*24*3600/100000000</f>
        <v>10.8864</v>
      </c>
      <c r="KB42" s="6">
        <f>日流量!KB42*24*3600/100000000</f>
        <v>10.368</v>
      </c>
      <c r="KC42" s="6">
        <f>日流量!KC42*24*3600/100000000</f>
        <v>9.2447999999999997</v>
      </c>
      <c r="KD42" s="6">
        <f>日流量!KD42*24*3600/100000000</f>
        <v>8.3808000000000007</v>
      </c>
      <c r="KE42" s="6">
        <f>日流量!KE42*24*3600/100000000</f>
        <v>8.0179200000000002</v>
      </c>
      <c r="KF42" s="6">
        <f>日流量!KF42*24*3600/100000000</f>
        <v>9.3312000000000008</v>
      </c>
      <c r="KG42" s="6">
        <f>日流量!KG42*24*3600/100000000</f>
        <v>10.6272</v>
      </c>
      <c r="KH42" s="6">
        <f>日流量!KH42*24*3600/100000000</f>
        <v>10.281599999999999</v>
      </c>
      <c r="KI42" s="6">
        <f>日流量!KI42*24*3600/100000000</f>
        <v>10.1952</v>
      </c>
      <c r="KJ42" s="6">
        <f>日流量!KJ42*24*3600/100000000</f>
        <v>9.7631999999999994</v>
      </c>
      <c r="KK42" s="6">
        <f>日流量!KK42*24*3600/100000000</f>
        <v>9.2447999999999997</v>
      </c>
      <c r="KL42" s="6">
        <f>日流量!KL42*24*3600/100000000</f>
        <v>8.4931199999999993</v>
      </c>
      <c r="KM42" s="6">
        <f>日流量!KM42*24*3600/100000000</f>
        <v>7.7500799999999996</v>
      </c>
      <c r="KN42" s="6">
        <f>日流量!KN42*24*3600/100000000</f>
        <v>7.19712</v>
      </c>
      <c r="KO42" s="6">
        <f>日流量!KO42*24*3600/100000000</f>
        <v>6.7910399999999997</v>
      </c>
      <c r="KP42" s="6">
        <f>日流量!KP42*24*3600/100000000</f>
        <v>6.3244800000000003</v>
      </c>
      <c r="KQ42" s="6">
        <f>日流量!KQ42*24*3600/100000000</f>
        <v>5.95296</v>
      </c>
      <c r="KR42" s="6">
        <f>日流量!KR42*24*3600/100000000</f>
        <v>5.66784</v>
      </c>
      <c r="KS42" s="6">
        <f>日流量!KS42*24*3600/100000000</f>
        <v>5.4086400000000001</v>
      </c>
      <c r="KT42" s="6">
        <f>日流量!KT42*24*3600/100000000</f>
        <v>5.1494400000000002</v>
      </c>
      <c r="KU42" s="6">
        <f>日流量!KU42*24*3600/100000000</f>
        <v>4.9248000000000003</v>
      </c>
      <c r="KV42" s="6">
        <f>日流量!KV42*24*3600/100000000</f>
        <v>4.7692800000000002</v>
      </c>
      <c r="KW42" s="6">
        <f>日流量!KW42*24*3600/100000000</f>
        <v>4.6137600000000001</v>
      </c>
      <c r="KX42" s="6">
        <f>日流量!KX42*24*3600/100000000</f>
        <v>4.4409599999999996</v>
      </c>
      <c r="KY42" s="6">
        <f>日流量!KY42*24*3600/100000000</f>
        <v>4.2940800000000001</v>
      </c>
      <c r="KZ42" s="6">
        <f>日流量!KZ42*24*3600/100000000</f>
        <v>4.1299200000000003</v>
      </c>
      <c r="LA42" s="6">
        <f>日流量!LA42*24*3600/100000000</f>
        <v>3.9916800000000001</v>
      </c>
      <c r="LB42" s="6">
        <f>日流量!LB42*24*3600/100000000</f>
        <v>3.8707199999999999</v>
      </c>
      <c r="LC42" s="6">
        <f>日流量!LC42*24*3600/100000000</f>
        <v>3.7497600000000002</v>
      </c>
      <c r="LD42" s="6">
        <f>日流量!LD42*24*3600/100000000</f>
        <v>3.6374399999999998</v>
      </c>
      <c r="LE42" s="6">
        <f>日流量!LE42*24*3600/100000000</f>
        <v>3.5424000000000002</v>
      </c>
      <c r="LF42" s="6">
        <f>日流量!LF42*24*3600/100000000</f>
        <v>3.4473600000000002</v>
      </c>
      <c r="LG42" s="6">
        <f>日流量!LG42*24*3600/100000000</f>
        <v>3.34368</v>
      </c>
      <c r="LH42" s="6">
        <f>日流量!LH42*24*3600/100000000</f>
        <v>3.24864</v>
      </c>
      <c r="LI42" s="6">
        <f>日流量!LI42*24*3600/100000000</f>
        <v>3.1622400000000002</v>
      </c>
      <c r="LJ42" s="6">
        <f>日流量!LJ42*24*3600/100000000</f>
        <v>3.0931199999999999</v>
      </c>
      <c r="LK42" s="6">
        <f>日流量!LK42*24*3600/100000000</f>
        <v>3.024</v>
      </c>
      <c r="LL42" s="6">
        <f>日流量!LL42*24*3600/100000000</f>
        <v>2.9548800000000002</v>
      </c>
      <c r="LM42" s="6">
        <f>日流量!LM42*24*3600/100000000</f>
        <v>2.9030399999999998</v>
      </c>
      <c r="LN42" s="6">
        <f>日流量!LN42*24*3600/100000000</f>
        <v>2.8598400000000002</v>
      </c>
      <c r="LO42" s="6">
        <f>日流量!LO42*24*3600/100000000</f>
        <v>2.8079999999999998</v>
      </c>
      <c r="LP42" s="6">
        <f>日流量!LP42*24*3600/100000000</f>
        <v>2.7475200000000002</v>
      </c>
      <c r="LQ42" s="6">
        <f>日流量!LQ42*24*3600/100000000</f>
        <v>2.6870400000000001</v>
      </c>
      <c r="LR42" s="6">
        <f>日流量!LR42*24*3600/100000000</f>
        <v>2.6352000000000002</v>
      </c>
      <c r="LS42" s="6">
        <f>日流量!LS42*24*3600/100000000</f>
        <v>2.6006399999999998</v>
      </c>
      <c r="LT42" s="6">
        <f>日流量!LT42*24*3600/100000000</f>
        <v>2.5574400000000002</v>
      </c>
      <c r="LU42" s="6">
        <f>日流量!LU42*24*3600/100000000</f>
        <v>2.4969600000000001</v>
      </c>
      <c r="LV42" s="6">
        <f>日流量!LV42*24*3600/100000000</f>
        <v>2.43648</v>
      </c>
      <c r="LW42" s="6">
        <f>日流量!LW42*24*3600/100000000</f>
        <v>2.4019200000000001</v>
      </c>
      <c r="LX42" s="6">
        <f>日流量!LX42*24*3600/100000000</f>
        <v>2.3846400000000001</v>
      </c>
      <c r="LY42" s="6">
        <f>日流量!LY42*24*3600/100000000</f>
        <v>2.3500800000000002</v>
      </c>
      <c r="LZ42" s="6">
        <f>日流量!LZ42*24*3600/100000000</f>
        <v>2.3155199999999998</v>
      </c>
      <c r="MA42" s="6">
        <f>日流量!MA42*24*3600/100000000</f>
        <v>2.2809599999999999</v>
      </c>
      <c r="MB42" s="6">
        <f>日流量!MB42*24*3600/100000000</f>
        <v>2.2464</v>
      </c>
      <c r="MC42" s="6">
        <f>日流量!MC42*24*3600/100000000</f>
        <v>2.21184</v>
      </c>
      <c r="MD42" s="6">
        <f>日流量!MD42*24*3600/100000000</f>
        <v>2.1427200000000002</v>
      </c>
      <c r="ME42" s="6">
        <f>日流量!ME42*24*3600/100000000</f>
        <v>2.0822400000000001</v>
      </c>
      <c r="MF42" s="6">
        <f>日流量!MF42*24*3600/100000000</f>
        <v>2.03904</v>
      </c>
      <c r="MG42" s="6">
        <f>日流量!MG42*24*3600/100000000</f>
        <v>1.9958400000000001</v>
      </c>
      <c r="MH42" s="6">
        <f>日流量!MH42*24*3600/100000000</f>
        <v>1.9612799999999999</v>
      </c>
      <c r="MI42" s="6">
        <f>日流量!MI42*24*3600/100000000</f>
        <v>1.92672</v>
      </c>
      <c r="MJ42" s="6">
        <f>日流量!MJ42*24*3600/100000000</f>
        <v>1.91808</v>
      </c>
      <c r="MK42" s="6">
        <f>日流量!MK42*24*3600/100000000</f>
        <v>1.90944</v>
      </c>
      <c r="ML42" s="6">
        <f>日流量!ML42*24*3600/100000000</f>
        <v>1.9008</v>
      </c>
      <c r="MM42" s="6">
        <f>日流量!MM42*24*3600/100000000</f>
        <v>1.8921600000000001</v>
      </c>
      <c r="MN42" s="6">
        <f>日流量!MN42*24*3600/100000000</f>
        <v>1.8921600000000001</v>
      </c>
      <c r="MO42" s="6">
        <f>日流量!MO42*24*3600/100000000</f>
        <v>1.8748800000000001</v>
      </c>
      <c r="MP42" s="6">
        <f>日流量!MP42*24*3600/100000000</f>
        <v>1.8575999999999999</v>
      </c>
      <c r="MQ42" s="6">
        <f>日流量!MQ42*24*3600/100000000</f>
        <v>1.84032</v>
      </c>
      <c r="MR42" s="6">
        <f>日流量!MR42*24*3600/100000000</f>
        <v>1.80576</v>
      </c>
      <c r="MS42" s="6">
        <f>日流量!MS42*24*3600/100000000</f>
        <v>1.7798400000000001</v>
      </c>
      <c r="MT42" s="6">
        <f>日流量!MT42*24*3600/100000000</f>
        <v>1.728</v>
      </c>
      <c r="MU42" s="6">
        <f>日流量!MU42*24*3600/100000000</f>
        <v>1.6848000000000001</v>
      </c>
      <c r="MV42" s="6">
        <f>日流量!MV42*24*3600/100000000</f>
        <v>1.6761600000000001</v>
      </c>
      <c r="MW42" s="6">
        <f>日流量!MW42*24*3600/100000000</f>
        <v>1.6588799999999999</v>
      </c>
      <c r="MX42" s="6">
        <f>日流量!MX42*24*3600/100000000</f>
        <v>1.6502399999999999</v>
      </c>
      <c r="MY42" s="6">
        <f>日流量!MY42*24*3600/100000000</f>
        <v>1.63296</v>
      </c>
      <c r="MZ42" s="6">
        <f>日流量!MZ42*24*3600/100000000</f>
        <v>1.62432</v>
      </c>
      <c r="NA42" s="6">
        <f>日流量!NA42*24*3600/100000000</f>
        <v>1.60704</v>
      </c>
      <c r="NB42" s="6">
        <f>日流量!NB42*24*3600/100000000</f>
        <v>1.5897600000000001</v>
      </c>
      <c r="NC42" s="6"/>
      <c r="ND42" s="6">
        <f>日流量!ND42*24*3600*31/100000000</f>
        <v>34.819200000000002</v>
      </c>
      <c r="NE42" s="6">
        <f>日流量!NE42*24*3600*28/100000000</f>
        <v>26.36928</v>
      </c>
      <c r="NF42" s="6">
        <f>日流量!NF42*24*3600*31/100000000</f>
        <v>26.783999999999999</v>
      </c>
      <c r="NG42" s="6">
        <f>日流量!NG42*24*3600*30/100000000</f>
        <v>26.697600000000001</v>
      </c>
      <c r="NH42" s="6">
        <f>日流量!NH42*24*3600*31/100000000</f>
        <v>49.550400000000003</v>
      </c>
      <c r="NI42" s="6">
        <f>日流量!NI42*24*3600*30/100000000</f>
        <v>122.6016</v>
      </c>
      <c r="NJ42" s="6">
        <f>日流量!NJ42*24*3600*31/100000000</f>
        <v>251.23392000000001</v>
      </c>
      <c r="NK42" s="6">
        <f>日流量!NK42*24*3600*31/100000000</f>
        <v>221.77152000000001</v>
      </c>
      <c r="NL42" s="6">
        <f>日流量!NL42*24*3600*30/100000000</f>
        <v>249.35040000000001</v>
      </c>
      <c r="NM42" s="6">
        <f>日流量!NM42*24*3600*31/100000000</f>
        <v>249.62688</v>
      </c>
      <c r="NN42" s="6">
        <f>日流量!NN42*24*3600*30/100000000</f>
        <v>99.792000000000002</v>
      </c>
      <c r="NO42" s="6">
        <f>日流量!NO42*24*3600*31/100000000</f>
        <v>58.656959999999998</v>
      </c>
      <c r="NP42" s="14">
        <f t="shared" si="10"/>
        <v>1417.2537600000001</v>
      </c>
      <c r="NQ42" s="6">
        <f>日流量!NQ42*24*3600/100000000</f>
        <v>10.8864</v>
      </c>
      <c r="NR42" s="4">
        <f>日流量!NR42</f>
        <v>42655</v>
      </c>
      <c r="NS42" s="6">
        <f>日流量!NS42*24*3600/100000000</f>
        <v>0.84153599999999995</v>
      </c>
      <c r="NT42" s="4">
        <f>日流量!NT42</f>
        <v>42448</v>
      </c>
      <c r="NU42" s="7">
        <f>日流量!NP42</f>
        <v>4494.2219178082196</v>
      </c>
      <c r="NW42" s="13">
        <f t="shared" si="0"/>
        <v>1144.13472</v>
      </c>
      <c r="NX42" s="12">
        <f t="shared" si="1"/>
        <v>80.728995208310465</v>
      </c>
      <c r="NY42" s="13">
        <f t="shared" si="2"/>
        <v>844.95744000000013</v>
      </c>
      <c r="NZ42" s="12">
        <f t="shared" si="3"/>
        <v>59.619347208505559</v>
      </c>
      <c r="OA42" s="13">
        <f t="shared" si="4"/>
        <v>273.11904000000004</v>
      </c>
      <c r="OB42" s="12">
        <f t="shared" si="5"/>
        <v>19.271004791689531</v>
      </c>
      <c r="OC42" s="13">
        <f t="shared" si="6"/>
        <v>251.23392000000001</v>
      </c>
      <c r="OD42" s="12">
        <f t="shared" si="7"/>
        <v>17.726812733945401</v>
      </c>
      <c r="OE42" s="12">
        <f t="shared" si="8"/>
        <v>331.13405607476636</v>
      </c>
      <c r="OF42" s="12">
        <f t="shared" si="9"/>
        <v>10.500192036871079</v>
      </c>
    </row>
    <row r="43" spans="1:396" x14ac:dyDescent="0.15">
      <c r="A43" s="2">
        <v>1990</v>
      </c>
      <c r="B43" s="6">
        <f>日流量!B43*24*3600/100000000</f>
        <v>1.5724800000000001</v>
      </c>
      <c r="C43" s="6">
        <f>日流量!C43*24*3600/100000000</f>
        <v>1.5551999999999999</v>
      </c>
      <c r="D43" s="6">
        <f>日流量!D43*24*3600/100000000</f>
        <v>1.52928</v>
      </c>
      <c r="E43" s="6">
        <f>日流量!E43*24*3600/100000000</f>
        <v>1.50336</v>
      </c>
      <c r="F43" s="6">
        <f>日流量!F43*24*3600/100000000</f>
        <v>1.4688000000000001</v>
      </c>
      <c r="G43" s="6">
        <f>日流量!G43*24*3600/100000000</f>
        <v>1.4515199999999999</v>
      </c>
      <c r="H43" s="6">
        <f>日流量!H43*24*3600/100000000</f>
        <v>1.4428799999999999</v>
      </c>
      <c r="I43" s="6">
        <f>日流量!I43*24*3600/100000000</f>
        <v>1.4256</v>
      </c>
      <c r="J43" s="6">
        <f>日流量!J43*24*3600/100000000</f>
        <v>1.41696</v>
      </c>
      <c r="K43" s="6">
        <f>日流量!K43*24*3600/100000000</f>
        <v>1.39968</v>
      </c>
      <c r="L43" s="6">
        <f>日流量!L43*24*3600/100000000</f>
        <v>1.3910400000000001</v>
      </c>
      <c r="M43" s="6">
        <f>日流量!M43*24*3600/100000000</f>
        <v>1.3910400000000001</v>
      </c>
      <c r="N43" s="6">
        <f>日流量!N43*24*3600/100000000</f>
        <v>1.3737600000000001</v>
      </c>
      <c r="O43" s="6">
        <f>日流量!O43*24*3600/100000000</f>
        <v>1.3651199999999999</v>
      </c>
      <c r="P43" s="6">
        <f>日流量!P43*24*3600/100000000</f>
        <v>1.3651199999999999</v>
      </c>
      <c r="Q43" s="6">
        <f>日流量!Q43*24*3600/100000000</f>
        <v>1.3651199999999999</v>
      </c>
      <c r="R43" s="6">
        <f>日流量!R43*24*3600/100000000</f>
        <v>1.3564799999999999</v>
      </c>
      <c r="S43" s="6">
        <f>日流量!S43*24*3600/100000000</f>
        <v>1.3478399999999999</v>
      </c>
      <c r="T43" s="6">
        <f>日流量!T43*24*3600/100000000</f>
        <v>1.3478399999999999</v>
      </c>
      <c r="U43" s="6">
        <f>日流量!U43*24*3600/100000000</f>
        <v>1.3478399999999999</v>
      </c>
      <c r="V43" s="6">
        <f>日流量!V43*24*3600/100000000</f>
        <v>1.3478399999999999</v>
      </c>
      <c r="W43" s="6">
        <f>日流量!W43*24*3600/100000000</f>
        <v>1.3391999999999999</v>
      </c>
      <c r="X43" s="6">
        <f>日流量!X43*24*3600/100000000</f>
        <v>1.33056</v>
      </c>
      <c r="Y43" s="6">
        <f>日流量!Y43*24*3600/100000000</f>
        <v>1.33056</v>
      </c>
      <c r="Z43" s="6">
        <f>日流量!Z43*24*3600/100000000</f>
        <v>1.3391999999999999</v>
      </c>
      <c r="AA43" s="6">
        <f>日流量!AA43*24*3600/100000000</f>
        <v>1.3478399999999999</v>
      </c>
      <c r="AB43" s="6">
        <f>日流量!AB43*24*3600/100000000</f>
        <v>1.3564799999999999</v>
      </c>
      <c r="AC43" s="6">
        <f>日流量!AC43*24*3600/100000000</f>
        <v>1.3478399999999999</v>
      </c>
      <c r="AD43" s="6">
        <f>日流量!AD43*24*3600/100000000</f>
        <v>1.33056</v>
      </c>
      <c r="AE43" s="6">
        <f>日流量!AE43*24*3600/100000000</f>
        <v>1.31328</v>
      </c>
      <c r="AF43" s="6">
        <f>日流量!AF43*24*3600/100000000</f>
        <v>1.30464</v>
      </c>
      <c r="AG43" s="6">
        <f>日流量!AG43*24*3600/100000000</f>
        <v>1.2873600000000001</v>
      </c>
      <c r="AH43" s="6">
        <f>日流量!AH43*24*3600/100000000</f>
        <v>1.2787200000000001</v>
      </c>
      <c r="AI43" s="6">
        <f>日流量!AI43*24*3600/100000000</f>
        <v>1.2873600000000001</v>
      </c>
      <c r="AJ43" s="6">
        <f>日流量!AJ43*24*3600/100000000</f>
        <v>1.2873600000000001</v>
      </c>
      <c r="AK43" s="6">
        <f>日流量!AK43*24*3600/100000000</f>
        <v>1.2787200000000001</v>
      </c>
      <c r="AL43" s="6">
        <f>日流量!AL43*24*3600/100000000</f>
        <v>1.2700800000000001</v>
      </c>
      <c r="AM43" s="6">
        <f>日流量!AM43*24*3600/100000000</f>
        <v>1.2527999999999999</v>
      </c>
      <c r="AN43" s="6">
        <f>日流量!AN43*24*3600/100000000</f>
        <v>1.23552</v>
      </c>
      <c r="AO43" s="6">
        <f>日流量!AO43*24*3600/100000000</f>
        <v>1.23552</v>
      </c>
      <c r="AP43" s="6">
        <f>日流量!AP43*24*3600/100000000</f>
        <v>1.2096</v>
      </c>
      <c r="AQ43" s="6">
        <f>日流量!AQ43*24*3600/100000000</f>
        <v>1.20096</v>
      </c>
      <c r="AR43" s="6">
        <f>日流量!AR43*24*3600/100000000</f>
        <v>1.19232</v>
      </c>
      <c r="AS43" s="6">
        <f>日流量!AS43*24*3600/100000000</f>
        <v>1.1836800000000001</v>
      </c>
      <c r="AT43" s="6">
        <f>日流量!AT43*24*3600/100000000</f>
        <v>1.1750400000000001</v>
      </c>
      <c r="AU43" s="6">
        <f>日流量!AU43*24*3600/100000000</f>
        <v>1.1750400000000001</v>
      </c>
      <c r="AV43" s="6">
        <f>日流量!AV43*24*3600/100000000</f>
        <v>1.1750400000000001</v>
      </c>
      <c r="AW43" s="6">
        <f>日流量!AW43*24*3600/100000000</f>
        <v>1.1750400000000001</v>
      </c>
      <c r="AX43" s="6">
        <f>日流量!AX43*24*3600/100000000</f>
        <v>1.1750400000000001</v>
      </c>
      <c r="AY43" s="6">
        <f>日流量!AY43*24*3600/100000000</f>
        <v>1.1750400000000001</v>
      </c>
      <c r="AZ43" s="6">
        <f>日流量!AZ43*24*3600/100000000</f>
        <v>1.1750400000000001</v>
      </c>
      <c r="BA43" s="6">
        <f>日流量!BA43*24*3600/100000000</f>
        <v>1.1664000000000001</v>
      </c>
      <c r="BB43" s="6">
        <f>日流量!BB43*24*3600/100000000</f>
        <v>1.1664000000000001</v>
      </c>
      <c r="BC43" s="6">
        <f>日流量!BC43*24*3600/100000000</f>
        <v>1.1577599999999999</v>
      </c>
      <c r="BD43" s="6">
        <f>日流量!BD43*24*3600/100000000</f>
        <v>1.1404799999999999</v>
      </c>
      <c r="BE43" s="6">
        <f>日流量!BE43*24*3600/100000000</f>
        <v>1.13184</v>
      </c>
      <c r="BF43" s="6">
        <f>日流量!BF43*24*3600/100000000</f>
        <v>1.1232</v>
      </c>
      <c r="BG43" s="6">
        <f>日流量!BG43*24*3600/100000000</f>
        <v>1.1232</v>
      </c>
      <c r="BH43" s="6">
        <f>日流量!BH43*24*3600/100000000</f>
        <v>1.1232</v>
      </c>
      <c r="BI43" s="6"/>
      <c r="BJ43" s="6">
        <f>日流量!BJ43*24*3600/100000000</f>
        <v>1.11456</v>
      </c>
      <c r="BK43" s="6">
        <f>日流量!BK43*24*3600/100000000</f>
        <v>1.11456</v>
      </c>
      <c r="BL43" s="6">
        <f>日流量!BL43*24*3600/100000000</f>
        <v>1.10592</v>
      </c>
      <c r="BM43" s="6">
        <f>日流量!BM43*24*3600/100000000</f>
        <v>1.09728</v>
      </c>
      <c r="BN43" s="6">
        <f>日流量!BN43*24*3600/100000000</f>
        <v>1.0886400000000001</v>
      </c>
      <c r="BO43" s="6">
        <f>日流量!BO43*24*3600/100000000</f>
        <v>1.0886400000000001</v>
      </c>
      <c r="BP43" s="6">
        <f>日流量!BP43*24*3600/100000000</f>
        <v>1.09728</v>
      </c>
      <c r="BQ43" s="6">
        <f>日流量!BQ43*24*3600/100000000</f>
        <v>1.10592</v>
      </c>
      <c r="BR43" s="6">
        <f>日流量!BR43*24*3600/100000000</f>
        <v>1.11456</v>
      </c>
      <c r="BS43" s="6">
        <f>日流量!BS43*24*3600/100000000</f>
        <v>1.11456</v>
      </c>
      <c r="BT43" s="6">
        <f>日流量!BT43*24*3600/100000000</f>
        <v>1.11456</v>
      </c>
      <c r="BU43" s="6">
        <f>日流量!BU43*24*3600/100000000</f>
        <v>1.11456</v>
      </c>
      <c r="BV43" s="6">
        <f>日流量!BV43*24*3600/100000000</f>
        <v>1.10592</v>
      </c>
      <c r="BW43" s="6">
        <f>日流量!BW43*24*3600/100000000</f>
        <v>1.09728</v>
      </c>
      <c r="BX43" s="6">
        <f>日流量!BX43*24*3600/100000000</f>
        <v>1.08</v>
      </c>
      <c r="BY43" s="6">
        <f>日流量!BY43*24*3600/100000000</f>
        <v>1.0713600000000001</v>
      </c>
      <c r="BZ43" s="6">
        <f>日流量!BZ43*24*3600/100000000</f>
        <v>1.0886400000000001</v>
      </c>
      <c r="CA43" s="6">
        <f>日流量!CA43*24*3600/100000000</f>
        <v>1.11456</v>
      </c>
      <c r="CB43" s="6">
        <f>日流量!CB43*24*3600/100000000</f>
        <v>1.1232</v>
      </c>
      <c r="CC43" s="6">
        <f>日流量!CC43*24*3600/100000000</f>
        <v>1.13184</v>
      </c>
      <c r="CD43" s="6">
        <f>日流量!CD43*24*3600/100000000</f>
        <v>1.11456</v>
      </c>
      <c r="CE43" s="6">
        <f>日流量!CE43*24*3600/100000000</f>
        <v>1.09728</v>
      </c>
      <c r="CF43" s="6">
        <f>日流量!CF43*24*3600/100000000</f>
        <v>1.0713600000000001</v>
      </c>
      <c r="CG43" s="6">
        <f>日流量!CG43*24*3600/100000000</f>
        <v>1.0540799999999999</v>
      </c>
      <c r="CH43" s="6">
        <f>日流量!CH43*24*3600/100000000</f>
        <v>1.0540799999999999</v>
      </c>
      <c r="CI43" s="6">
        <f>日流量!CI43*24*3600/100000000</f>
        <v>1.0713600000000001</v>
      </c>
      <c r="CJ43" s="6">
        <f>日流量!CJ43*24*3600/100000000</f>
        <v>1.08</v>
      </c>
      <c r="CK43" s="6">
        <f>日流量!CK43*24*3600/100000000</f>
        <v>1.09728</v>
      </c>
      <c r="CL43" s="6">
        <f>日流量!CL43*24*3600/100000000</f>
        <v>1.11456</v>
      </c>
      <c r="CM43" s="6">
        <f>日流量!CM43*24*3600/100000000</f>
        <v>1.13184</v>
      </c>
      <c r="CN43" s="6">
        <f>日流量!CN43*24*3600/100000000</f>
        <v>1.1491199999999999</v>
      </c>
      <c r="CO43" s="6">
        <f>日流量!CO43*24*3600/100000000</f>
        <v>1.13184</v>
      </c>
      <c r="CP43" s="6">
        <f>日流量!CP43*24*3600/100000000</f>
        <v>1.11456</v>
      </c>
      <c r="CQ43" s="6">
        <f>日流量!CQ43*24*3600/100000000</f>
        <v>1.0886400000000001</v>
      </c>
      <c r="CR43" s="6">
        <f>日流量!CR43*24*3600/100000000</f>
        <v>1.0713600000000001</v>
      </c>
      <c r="CS43" s="6">
        <f>日流量!CS43*24*3600/100000000</f>
        <v>1.0713600000000001</v>
      </c>
      <c r="CT43" s="6">
        <f>日流量!CT43*24*3600/100000000</f>
        <v>1.0713600000000001</v>
      </c>
      <c r="CU43" s="6">
        <f>日流量!CU43*24*3600/100000000</f>
        <v>1.0713600000000001</v>
      </c>
      <c r="CV43" s="6">
        <f>日流量!CV43*24*3600/100000000</f>
        <v>1.0713600000000001</v>
      </c>
      <c r="CW43" s="6">
        <f>日流量!CW43*24*3600/100000000</f>
        <v>1.08</v>
      </c>
      <c r="CX43" s="6">
        <f>日流量!CX43*24*3600/100000000</f>
        <v>1.08</v>
      </c>
      <c r="CY43" s="6">
        <f>日流量!CY43*24*3600/100000000</f>
        <v>1.08</v>
      </c>
      <c r="CZ43" s="6">
        <f>日流量!CZ43*24*3600/100000000</f>
        <v>1.0713600000000001</v>
      </c>
      <c r="DA43" s="6">
        <f>日流量!DA43*24*3600/100000000</f>
        <v>1.08</v>
      </c>
      <c r="DB43" s="6">
        <f>日流量!DB43*24*3600/100000000</f>
        <v>1.0713600000000001</v>
      </c>
      <c r="DC43" s="6">
        <f>日流量!DC43*24*3600/100000000</f>
        <v>1.08</v>
      </c>
      <c r="DD43" s="6">
        <f>日流量!DD43*24*3600/100000000</f>
        <v>1.0886400000000001</v>
      </c>
      <c r="DE43" s="6">
        <f>日流量!DE43*24*3600/100000000</f>
        <v>1.0713600000000001</v>
      </c>
      <c r="DF43" s="6">
        <f>日流量!DF43*24*3600/100000000</f>
        <v>1.08</v>
      </c>
      <c r="DG43" s="6">
        <f>日流量!DG43*24*3600/100000000</f>
        <v>1.11456</v>
      </c>
      <c r="DH43" s="6">
        <f>日流量!DH43*24*3600/100000000</f>
        <v>1.1232</v>
      </c>
      <c r="DI43" s="6">
        <f>日流量!DI43*24*3600/100000000</f>
        <v>1.11456</v>
      </c>
      <c r="DJ43" s="6">
        <f>日流量!DJ43*24*3600/100000000</f>
        <v>1.11456</v>
      </c>
      <c r="DK43" s="6">
        <f>日流量!DK43*24*3600/100000000</f>
        <v>1.1232</v>
      </c>
      <c r="DL43" s="6">
        <f>日流量!DL43*24*3600/100000000</f>
        <v>1.1836800000000001</v>
      </c>
      <c r="DM43" s="6">
        <f>日流量!DM43*24*3600/100000000</f>
        <v>1.2441599999999999</v>
      </c>
      <c r="DN43" s="6">
        <f>日流量!DN43*24*3600/100000000</f>
        <v>1.296</v>
      </c>
      <c r="DO43" s="6">
        <f>日流量!DO43*24*3600/100000000</f>
        <v>1.3651199999999999</v>
      </c>
      <c r="DP43" s="6">
        <f>日流量!DP43*24*3600/100000000</f>
        <v>1.39968</v>
      </c>
      <c r="DQ43" s="6">
        <f>日流量!DQ43*24*3600/100000000</f>
        <v>1.39968</v>
      </c>
      <c r="DR43" s="6">
        <f>日流量!DR43*24*3600/100000000</f>
        <v>1.39968</v>
      </c>
      <c r="DS43" s="6">
        <f>日流量!DS43*24*3600/100000000</f>
        <v>1.3824000000000001</v>
      </c>
      <c r="DT43" s="6">
        <f>日流量!DT43*24*3600/100000000</f>
        <v>1.3910400000000001</v>
      </c>
      <c r="DU43" s="6">
        <f>日流量!DU43*24*3600/100000000</f>
        <v>1.52064</v>
      </c>
      <c r="DV43" s="6">
        <f>日流量!DV43*24*3600/100000000</f>
        <v>1.6675199999999999</v>
      </c>
      <c r="DW43" s="6">
        <f>日流量!DW43*24*3600/100000000</f>
        <v>1.728</v>
      </c>
      <c r="DX43" s="6">
        <f>日流量!DX43*24*3600/100000000</f>
        <v>1.71936</v>
      </c>
      <c r="DY43" s="6">
        <f>日流量!DY43*24*3600/100000000</f>
        <v>1.6848000000000001</v>
      </c>
      <c r="DZ43" s="6">
        <f>日流量!DZ43*24*3600/100000000</f>
        <v>1.62432</v>
      </c>
      <c r="EA43" s="6">
        <f>日流量!EA43*24*3600/100000000</f>
        <v>1.53792</v>
      </c>
      <c r="EB43" s="6">
        <f>日流量!EB43*24*3600/100000000</f>
        <v>1.512</v>
      </c>
      <c r="EC43" s="6">
        <f>日流量!EC43*24*3600/100000000</f>
        <v>1.5465599999999999</v>
      </c>
      <c r="ED43" s="6">
        <f>日流量!ED43*24*3600/100000000</f>
        <v>1.5984</v>
      </c>
      <c r="EE43" s="6">
        <f>日流量!EE43*24*3600/100000000</f>
        <v>1.71936</v>
      </c>
      <c r="EF43" s="6">
        <f>日流量!EF43*24*3600/100000000</f>
        <v>1.8921600000000001</v>
      </c>
      <c r="EG43" s="6">
        <f>日流量!EG43*24*3600/100000000</f>
        <v>2.02176</v>
      </c>
      <c r="EH43" s="6">
        <f>日流量!EH43*24*3600/100000000</f>
        <v>2.4451200000000002</v>
      </c>
      <c r="EI43" s="6">
        <f>日流量!EI43*24*3600/100000000</f>
        <v>2.91168</v>
      </c>
      <c r="EJ43" s="6">
        <f>日流量!EJ43*24*3600/100000000</f>
        <v>2.7907199999999999</v>
      </c>
      <c r="EK43" s="6">
        <f>日流量!EK43*24*3600/100000000</f>
        <v>2.5833599999999999</v>
      </c>
      <c r="EL43" s="6">
        <f>日流量!EL43*24*3600/100000000</f>
        <v>2.30688</v>
      </c>
      <c r="EM43" s="6">
        <f>日流量!EM43*24*3600/100000000</f>
        <v>2.0822400000000001</v>
      </c>
      <c r="EN43" s="6">
        <f>日流量!EN43*24*3600/100000000</f>
        <v>1.9785600000000001</v>
      </c>
      <c r="EO43" s="6">
        <f>日流量!EO43*24*3600/100000000</f>
        <v>2.13408</v>
      </c>
      <c r="EP43" s="6">
        <f>日流量!EP43*24*3600/100000000</f>
        <v>2.7993600000000001</v>
      </c>
      <c r="EQ43" s="6">
        <f>日流量!EQ43*24*3600/100000000</f>
        <v>3.7151999999999998</v>
      </c>
      <c r="ER43" s="6">
        <f>日流量!ER43*24*3600/100000000</f>
        <v>3.83616</v>
      </c>
      <c r="ES43" s="6">
        <f>日流量!ES43*24*3600/100000000</f>
        <v>3.74112</v>
      </c>
      <c r="ET43" s="6">
        <f>日流量!ET43*24*3600/100000000</f>
        <v>3.5164800000000001</v>
      </c>
      <c r="EU43" s="6">
        <f>日流量!EU43*24*3600/100000000</f>
        <v>3.5164800000000001</v>
      </c>
      <c r="EV43" s="6">
        <f>日流量!EV43*24*3600/100000000</f>
        <v>3.4127999999999998</v>
      </c>
      <c r="EW43" s="6">
        <f>日流量!EW43*24*3600/100000000</f>
        <v>3.83616</v>
      </c>
      <c r="EX43" s="6">
        <f>日流量!EX43*24*3600/100000000</f>
        <v>4.26816</v>
      </c>
      <c r="EY43" s="6">
        <f>日流量!EY43*24*3600/100000000</f>
        <v>3.9830399999999999</v>
      </c>
      <c r="EZ43" s="6">
        <f>日流量!EZ43*24*3600/100000000</f>
        <v>3.7670400000000002</v>
      </c>
      <c r="FA43" s="6">
        <f>日流量!FA43*24*3600/100000000</f>
        <v>4.0694400000000002</v>
      </c>
      <c r="FB43" s="6">
        <f>日流量!FB43*24*3600/100000000</f>
        <v>4.3632</v>
      </c>
      <c r="FC43" s="6">
        <f>日流量!FC43*24*3600/100000000</f>
        <v>4.3718399999999997</v>
      </c>
      <c r="FD43" s="6">
        <f>日流量!FD43*24*3600/100000000</f>
        <v>4.13856</v>
      </c>
      <c r="FE43" s="6">
        <f>日流量!FE43*24*3600/100000000</f>
        <v>4.0348800000000002</v>
      </c>
      <c r="FF43" s="6">
        <f>日流量!FF43*24*3600/100000000</f>
        <v>4.3891200000000001</v>
      </c>
      <c r="FG43" s="6">
        <f>日流量!FG43*24*3600/100000000</f>
        <v>4.8643200000000002</v>
      </c>
      <c r="FH43" s="6">
        <f>日流量!FH43*24*3600/100000000</f>
        <v>5.0544000000000002</v>
      </c>
      <c r="FI43" s="6">
        <f>日流量!FI43*24*3600/100000000</f>
        <v>5.25312</v>
      </c>
      <c r="FJ43" s="6">
        <f>日流量!FJ43*24*3600/100000000</f>
        <v>4.9075199999999999</v>
      </c>
      <c r="FK43" s="6">
        <f>日流量!FK43*24*3600/100000000</f>
        <v>4.4927999999999999</v>
      </c>
      <c r="FL43" s="6">
        <f>日流量!FL43*24*3600/100000000</f>
        <v>4.87296</v>
      </c>
      <c r="FM43" s="6">
        <f>日流量!FM43*24*3600/100000000</f>
        <v>5.6505599999999996</v>
      </c>
      <c r="FN43" s="6">
        <f>日流量!FN43*24*3600/100000000</f>
        <v>5.2358399999999996</v>
      </c>
      <c r="FO43" s="6">
        <f>日流量!FO43*24*3600/100000000</f>
        <v>5.5123199999999999</v>
      </c>
      <c r="FP43" s="6">
        <f>日流量!FP43*24*3600/100000000</f>
        <v>6.3936000000000002</v>
      </c>
      <c r="FQ43" s="6">
        <f>日流量!FQ43*24*3600/100000000</f>
        <v>8.0697600000000005</v>
      </c>
      <c r="FR43" s="6">
        <f>日流量!FR43*24*3600/100000000</f>
        <v>9.2447999999999997</v>
      </c>
      <c r="FS43" s="6">
        <f>日流量!FS43*24*3600/100000000</f>
        <v>9.8496000000000006</v>
      </c>
      <c r="FT43" s="6">
        <f>日流量!FT43*24*3600/100000000</f>
        <v>9.7631999999999994</v>
      </c>
      <c r="FU43" s="6">
        <f>日流量!FU43*24*3600/100000000</f>
        <v>9.2447999999999997</v>
      </c>
      <c r="FV43" s="6">
        <f>日流量!FV43*24*3600/100000000</f>
        <v>9.0719999999999992</v>
      </c>
      <c r="FW43" s="6">
        <f>日流量!FW43*24*3600/100000000</f>
        <v>9.6768000000000001</v>
      </c>
      <c r="FX43" s="6">
        <f>日流量!FX43*24*3600/100000000</f>
        <v>8.8992000000000004</v>
      </c>
      <c r="FY43" s="6">
        <f>日流量!FY43*24*3600/100000000</f>
        <v>7.7155199999999997</v>
      </c>
      <c r="FZ43" s="6">
        <f>日流量!FZ43*24*3600/100000000</f>
        <v>6.8083200000000001</v>
      </c>
      <c r="GA43" s="6">
        <f>日流量!GA43*24*3600/100000000</f>
        <v>6.3936000000000002</v>
      </c>
      <c r="GB43" s="6">
        <f>日流量!GB43*24*3600/100000000</f>
        <v>6.7305599999999997</v>
      </c>
      <c r="GC43" s="6">
        <f>日流量!GC43*24*3600/100000000</f>
        <v>7.06752</v>
      </c>
      <c r="GD43" s="6">
        <f>日流量!GD43*24*3600/100000000</f>
        <v>6.5232000000000001</v>
      </c>
      <c r="GE43" s="6">
        <f>日流量!GE43*24*3600/100000000</f>
        <v>6.3071999999999999</v>
      </c>
      <c r="GF43" s="6">
        <f>日流量!GF43*24*3600/100000000</f>
        <v>5.7715199999999998</v>
      </c>
      <c r="GG43" s="6">
        <f>日流量!GG43*24*3600/100000000</f>
        <v>5.3049600000000003</v>
      </c>
      <c r="GH43" s="6">
        <f>日流量!GH43*24*3600/100000000</f>
        <v>5.3136000000000001</v>
      </c>
      <c r="GI43" s="6">
        <f>日流量!GI43*24*3600/100000000</f>
        <v>5.3395200000000003</v>
      </c>
      <c r="GJ43" s="6">
        <f>日流量!GJ43*24*3600/100000000</f>
        <v>5.1667199999999998</v>
      </c>
      <c r="GK43" s="6">
        <f>日流量!GK43*24*3600/100000000</f>
        <v>5.5468799999999998</v>
      </c>
      <c r="GL43" s="6">
        <f>日流量!GL43*24*3600/100000000</f>
        <v>5.4432</v>
      </c>
      <c r="GM43" s="6">
        <f>日流量!GM43*24*3600/100000000</f>
        <v>4.8988800000000001</v>
      </c>
      <c r="GN43" s="6">
        <f>日流量!GN43*24*3600/100000000</f>
        <v>4.4927999999999999</v>
      </c>
      <c r="GO43" s="6">
        <f>日流量!GO43*24*3600/100000000</f>
        <v>4.6310399999999996</v>
      </c>
      <c r="GP43" s="6">
        <f>日流量!GP43*24*3600/100000000</f>
        <v>4.8902400000000004</v>
      </c>
      <c r="GQ43" s="6">
        <f>日流量!GQ43*24*3600/100000000</f>
        <v>5.0975999999999999</v>
      </c>
      <c r="GR43" s="6">
        <f>日流量!GR43*24*3600/100000000</f>
        <v>5.0716799999999997</v>
      </c>
      <c r="GS43" s="6">
        <f>日流量!GS43*24*3600/100000000</f>
        <v>5.1321599999999998</v>
      </c>
      <c r="GT43" s="6">
        <f>日流量!GT43*24*3600/100000000</f>
        <v>6.5318399999999999</v>
      </c>
      <c r="GU43" s="6">
        <f>日流量!GU43*24*3600/100000000</f>
        <v>6.7392000000000003</v>
      </c>
      <c r="GV43" s="6">
        <f>日流量!GV43*24*3600/100000000</f>
        <v>7.0329600000000001</v>
      </c>
      <c r="GW43" s="6">
        <f>日流量!GW43*24*3600/100000000</f>
        <v>8.5795200000000005</v>
      </c>
      <c r="GX43" s="6">
        <f>日流量!GX43*24*3600/100000000</f>
        <v>9.9359999999999999</v>
      </c>
      <c r="GY43" s="6">
        <f>日流量!GY43*24*3600/100000000</f>
        <v>9.6768000000000001</v>
      </c>
      <c r="GZ43" s="6">
        <f>日流量!GZ43*24*3600/100000000</f>
        <v>10.022399999999999</v>
      </c>
      <c r="HA43" s="6">
        <f>日流量!HA43*24*3600/100000000</f>
        <v>10.281599999999999</v>
      </c>
      <c r="HB43" s="6">
        <f>日流量!HB43*24*3600/100000000</f>
        <v>11.231999999999999</v>
      </c>
      <c r="HC43" s="6">
        <f>日流量!HC43*24*3600/100000000</f>
        <v>11.9232</v>
      </c>
      <c r="HD43" s="6">
        <f>日流量!HD43*24*3600/100000000</f>
        <v>11.491199999999999</v>
      </c>
      <c r="HE43" s="6">
        <f>日流量!HE43*24*3600/100000000</f>
        <v>11.1456</v>
      </c>
      <c r="HF43" s="6">
        <f>日流量!HF43*24*3600/100000000</f>
        <v>10.8864</v>
      </c>
      <c r="HG43" s="6">
        <f>日流量!HG43*24*3600/100000000</f>
        <v>10.540800000000001</v>
      </c>
      <c r="HH43" s="6">
        <f>日流量!HH43*24*3600/100000000</f>
        <v>9.8496000000000006</v>
      </c>
      <c r="HI43" s="6">
        <f>日流量!HI43*24*3600/100000000</f>
        <v>10.022399999999999</v>
      </c>
      <c r="HJ43" s="6">
        <f>日流量!HJ43*24*3600/100000000</f>
        <v>9.5039999999999996</v>
      </c>
      <c r="HK43" s="6">
        <f>日流量!HK43*24*3600/100000000</f>
        <v>8.64</v>
      </c>
      <c r="HL43" s="6">
        <f>日流量!HL43*24*3600/100000000</f>
        <v>7.9660799999999998</v>
      </c>
      <c r="HM43" s="6">
        <f>日流量!HM43*24*3600/100000000</f>
        <v>7.2230400000000001</v>
      </c>
      <c r="HN43" s="6">
        <f>日流量!HN43*24*3600/100000000</f>
        <v>6.6700799999999996</v>
      </c>
      <c r="HO43" s="6">
        <f>日流量!HO43*24*3600/100000000</f>
        <v>6.1948800000000004</v>
      </c>
      <c r="HP43" s="6">
        <f>日流量!HP43*24*3600/100000000</f>
        <v>5.9615999999999998</v>
      </c>
      <c r="HQ43" s="6">
        <f>日流量!HQ43*24*3600/100000000</f>
        <v>5.6592000000000002</v>
      </c>
      <c r="HR43" s="6">
        <f>日流量!HR43*24*3600/100000000</f>
        <v>5.2963199999999997</v>
      </c>
      <c r="HS43" s="6">
        <f>日流量!HS43*24*3600/100000000</f>
        <v>5.06304</v>
      </c>
      <c r="HT43" s="6">
        <f>日流量!HT43*24*3600/100000000</f>
        <v>4.8470399999999998</v>
      </c>
      <c r="HU43" s="6">
        <f>日流量!HU43*24*3600/100000000</f>
        <v>4.7692800000000002</v>
      </c>
      <c r="HV43" s="6">
        <f>日流量!HV43*24*3600/100000000</f>
        <v>4.968</v>
      </c>
      <c r="HW43" s="6">
        <f>日流量!HW43*24*3600/100000000</f>
        <v>4.9593600000000002</v>
      </c>
      <c r="HX43" s="6">
        <f>日流量!HX43*24*3600/100000000</f>
        <v>5.0371199999999998</v>
      </c>
      <c r="HY43" s="6">
        <f>日流量!HY43*24*3600/100000000</f>
        <v>5.1235200000000001</v>
      </c>
      <c r="HZ43" s="6">
        <f>日流量!HZ43*24*3600/100000000</f>
        <v>5.1667199999999998</v>
      </c>
      <c r="IA43" s="6">
        <f>日流量!IA43*24*3600/100000000</f>
        <v>5.2012799999999997</v>
      </c>
      <c r="IB43" s="6">
        <f>日流量!IB43*24*3600/100000000</f>
        <v>5.4432</v>
      </c>
      <c r="IC43" s="6">
        <f>日流量!IC43*24*3600/100000000</f>
        <v>5.8838400000000002</v>
      </c>
      <c r="ID43" s="6">
        <f>日流量!ID43*24*3600/100000000</f>
        <v>6.3936000000000002</v>
      </c>
      <c r="IE43" s="6">
        <f>日流量!IE43*24*3600/100000000</f>
        <v>7.0934400000000002</v>
      </c>
      <c r="IF43" s="6">
        <f>日流量!IF43*24*3600/100000000</f>
        <v>8.2339199999999995</v>
      </c>
      <c r="IG43" s="6">
        <f>日流量!IG43*24*3600/100000000</f>
        <v>8.3030399999999993</v>
      </c>
      <c r="IH43" s="6">
        <f>日流量!IH43*24*3600/100000000</f>
        <v>9.2447999999999997</v>
      </c>
      <c r="II43" s="6">
        <f>日流量!II43*24*3600/100000000</f>
        <v>9.5039999999999996</v>
      </c>
      <c r="IJ43" s="6">
        <f>日流量!IJ43*24*3600/100000000</f>
        <v>8.9855999999999998</v>
      </c>
      <c r="IK43" s="6">
        <f>日流量!IK43*24*3600/100000000</f>
        <v>8.4326399999999992</v>
      </c>
      <c r="IL43" s="6">
        <f>日流量!IL43*24*3600/100000000</f>
        <v>8.1043199999999995</v>
      </c>
      <c r="IM43" s="6">
        <f>日流量!IM43*24*3600/100000000</f>
        <v>7.9660799999999998</v>
      </c>
      <c r="IN43" s="6">
        <f>日流量!IN43*24*3600/100000000</f>
        <v>7.7846399999999996</v>
      </c>
      <c r="IO43" s="6">
        <f>日流量!IO43*24*3600/100000000</f>
        <v>7.7846399999999996</v>
      </c>
      <c r="IP43" s="6">
        <f>日流量!IP43*24*3600/100000000</f>
        <v>7.3612799999999998</v>
      </c>
      <c r="IQ43" s="6">
        <f>日流量!IQ43*24*3600/100000000</f>
        <v>7.29216</v>
      </c>
      <c r="IR43" s="6">
        <f>日流量!IR43*24*3600/100000000</f>
        <v>7.4995200000000004</v>
      </c>
      <c r="IS43" s="6">
        <f>日流量!IS43*24*3600/100000000</f>
        <v>7.3094400000000004</v>
      </c>
      <c r="IT43" s="6">
        <f>日流量!IT43*24*3600/100000000</f>
        <v>7.29216</v>
      </c>
      <c r="IU43" s="6">
        <f>日流量!IU43*24*3600/100000000</f>
        <v>7.5167999999999999</v>
      </c>
      <c r="IV43" s="6">
        <f>日流量!IV43*24*3600/100000000</f>
        <v>7.4131200000000002</v>
      </c>
      <c r="IW43" s="6">
        <f>日流量!IW43*24*3600/100000000</f>
        <v>7.2748799999999996</v>
      </c>
      <c r="IX43" s="6">
        <f>日流量!IX43*24*3600/100000000</f>
        <v>7.6204799999999997</v>
      </c>
      <c r="IY43" s="6">
        <f>日流量!IY43*24*3600/100000000</f>
        <v>7.9747199999999996</v>
      </c>
      <c r="IZ43" s="6">
        <f>日流量!IZ43*24*3600/100000000</f>
        <v>8.8127999999999993</v>
      </c>
      <c r="JA43" s="6">
        <f>日流量!JA43*24*3600/100000000</f>
        <v>9.4176000000000002</v>
      </c>
      <c r="JB43" s="6">
        <f>日流量!JB43*24*3600/100000000</f>
        <v>9.8496000000000006</v>
      </c>
      <c r="JC43" s="6">
        <f>日流量!JC43*24*3600/100000000</f>
        <v>10.972799999999999</v>
      </c>
      <c r="JD43" s="6">
        <f>日流量!JD43*24*3600/100000000</f>
        <v>11.8368</v>
      </c>
      <c r="JE43" s="6">
        <f>日流量!JE43*24*3600/100000000</f>
        <v>11.491199999999999</v>
      </c>
      <c r="JF43" s="6">
        <f>日流量!JF43*24*3600/100000000</f>
        <v>10.6272</v>
      </c>
      <c r="JG43" s="6">
        <f>日流量!JG43*24*3600/100000000</f>
        <v>9.7631999999999994</v>
      </c>
      <c r="JH43" s="6">
        <f>日流量!JH43*24*3600/100000000</f>
        <v>9.0719999999999992</v>
      </c>
      <c r="JI43" s="6">
        <f>日流量!JI43*24*3600/100000000</f>
        <v>8.5708800000000007</v>
      </c>
      <c r="JJ43" s="6">
        <f>日流量!JJ43*24*3600/100000000</f>
        <v>8.1129599999999993</v>
      </c>
      <c r="JK43" s="6">
        <f>日流量!JK43*24*3600/100000000</f>
        <v>7.7932800000000002</v>
      </c>
      <c r="JL43" s="6">
        <f>日流量!JL43*24*3600/100000000</f>
        <v>7.6550399999999996</v>
      </c>
      <c r="JM43" s="6">
        <f>日流量!JM43*24*3600/100000000</f>
        <v>7.57728</v>
      </c>
      <c r="JN43" s="6">
        <f>日流量!JN43*24*3600/100000000</f>
        <v>7.5427200000000001</v>
      </c>
      <c r="JO43" s="6">
        <f>日流量!JO43*24*3600/100000000</f>
        <v>7.7500799999999996</v>
      </c>
      <c r="JP43" s="6">
        <f>日流量!JP43*24*3600/100000000</f>
        <v>8.1302400000000006</v>
      </c>
      <c r="JQ43" s="6">
        <f>日流量!JQ43*24*3600/100000000</f>
        <v>8.5276800000000001</v>
      </c>
      <c r="JR43" s="6">
        <f>日流量!JR43*24*3600/100000000</f>
        <v>8.8992000000000004</v>
      </c>
      <c r="JS43" s="6">
        <f>日流量!JS43*24*3600/100000000</f>
        <v>9.2447999999999997</v>
      </c>
      <c r="JT43" s="6">
        <f>日流量!JT43*24*3600/100000000</f>
        <v>9.5904000000000007</v>
      </c>
      <c r="JU43" s="6">
        <f>日流量!JU43*24*3600/100000000</f>
        <v>9.6768000000000001</v>
      </c>
      <c r="JV43" s="6">
        <f>日流量!JV43*24*3600/100000000</f>
        <v>9.3312000000000008</v>
      </c>
      <c r="JW43" s="6">
        <f>日流量!JW43*24*3600/100000000</f>
        <v>9.6768000000000001</v>
      </c>
      <c r="JX43" s="6">
        <f>日流量!JX43*24*3600/100000000</f>
        <v>10.4544</v>
      </c>
      <c r="JY43" s="6">
        <f>日流量!JY43*24*3600/100000000</f>
        <v>10.281599999999999</v>
      </c>
      <c r="JZ43" s="6">
        <f>日流量!JZ43*24*3600/100000000</f>
        <v>9.4176000000000002</v>
      </c>
      <c r="KA43" s="6">
        <f>日流量!KA43*24*3600/100000000</f>
        <v>8.64</v>
      </c>
      <c r="KB43" s="6">
        <f>日流量!KB43*24*3600/100000000</f>
        <v>8.0611200000000007</v>
      </c>
      <c r="KC43" s="6">
        <f>日流量!KC43*24*3600/100000000</f>
        <v>7.7414399999999999</v>
      </c>
      <c r="KD43" s="6">
        <f>日流量!KD43*24*3600/100000000</f>
        <v>7.4563199999999998</v>
      </c>
      <c r="KE43" s="6">
        <f>日流量!KE43*24*3600/100000000</f>
        <v>7.1798400000000004</v>
      </c>
      <c r="KF43" s="6">
        <f>日流量!KF43*24*3600/100000000</f>
        <v>6.9206399999999997</v>
      </c>
      <c r="KG43" s="6">
        <f>日流量!KG43*24*3600/100000000</f>
        <v>6.7046400000000004</v>
      </c>
      <c r="KH43" s="6">
        <f>日流量!KH43*24*3600/100000000</f>
        <v>6.4454399999999996</v>
      </c>
      <c r="KI43" s="6">
        <f>日流量!KI43*24*3600/100000000</f>
        <v>6.1862399999999997</v>
      </c>
      <c r="KJ43" s="6">
        <f>日流量!KJ43*24*3600/100000000</f>
        <v>5.9615999999999998</v>
      </c>
      <c r="KK43" s="6">
        <f>日流量!KK43*24*3600/100000000</f>
        <v>5.7283200000000001</v>
      </c>
      <c r="KL43" s="6">
        <f>日流量!KL43*24*3600/100000000</f>
        <v>5.47776</v>
      </c>
      <c r="KM43" s="6">
        <f>日流量!KM43*24*3600/100000000</f>
        <v>5.2876799999999999</v>
      </c>
      <c r="KN43" s="6">
        <f>日流量!KN43*24*3600/100000000</f>
        <v>5.1062399999999997</v>
      </c>
      <c r="KO43" s="6">
        <f>日流量!KO43*24*3600/100000000</f>
        <v>4.93344</v>
      </c>
      <c r="KP43" s="6">
        <f>日流量!KP43*24*3600/100000000</f>
        <v>4.7952000000000004</v>
      </c>
      <c r="KQ43" s="6">
        <f>日流量!KQ43*24*3600/100000000</f>
        <v>4.6742400000000002</v>
      </c>
      <c r="KR43" s="6">
        <f>日流量!KR43*24*3600/100000000</f>
        <v>4.6137600000000001</v>
      </c>
      <c r="KS43" s="6">
        <f>日流量!KS43*24*3600/100000000</f>
        <v>4.5187200000000001</v>
      </c>
      <c r="KT43" s="6">
        <f>日流量!KT43*24*3600/100000000</f>
        <v>4.4063999999999997</v>
      </c>
      <c r="KU43" s="6">
        <f>日流量!KU43*24*3600/100000000</f>
        <v>4.2595200000000002</v>
      </c>
      <c r="KV43" s="6">
        <f>日流量!KV43*24*3600/100000000</f>
        <v>4.1040000000000001</v>
      </c>
      <c r="KW43" s="6">
        <f>日流量!KW43*24*3600/100000000</f>
        <v>3.96576</v>
      </c>
      <c r="KX43" s="6">
        <f>日流量!KX43*24*3600/100000000</f>
        <v>3.85344</v>
      </c>
      <c r="KY43" s="6">
        <f>日流量!KY43*24*3600/100000000</f>
        <v>3.7756799999999999</v>
      </c>
      <c r="KZ43" s="6">
        <f>日流量!KZ43*24*3600/100000000</f>
        <v>3.6979199999999999</v>
      </c>
      <c r="LA43" s="6">
        <f>日流量!LA43*24*3600/100000000</f>
        <v>3.6115200000000001</v>
      </c>
      <c r="LB43" s="6">
        <f>日流量!LB43*24*3600/100000000</f>
        <v>3.5078399999999998</v>
      </c>
      <c r="LC43" s="6">
        <f>日流量!LC43*24*3600/100000000</f>
        <v>3.4127999999999998</v>
      </c>
      <c r="LD43" s="6">
        <f>日流量!LD43*24*3600/100000000</f>
        <v>3.34368</v>
      </c>
      <c r="LE43" s="6">
        <f>日流量!LE43*24*3600/100000000</f>
        <v>3.2831999999999999</v>
      </c>
      <c r="LF43" s="6">
        <f>日流量!LF43*24*3600/100000000</f>
        <v>3.2227199999999998</v>
      </c>
      <c r="LG43" s="6">
        <f>日流量!LG43*24*3600/100000000</f>
        <v>3.11904</v>
      </c>
      <c r="LH43" s="6">
        <f>日流量!LH43*24*3600/100000000</f>
        <v>3.04128</v>
      </c>
      <c r="LI43" s="6">
        <f>日流量!LI43*24*3600/100000000</f>
        <v>2.9807999999999999</v>
      </c>
      <c r="LJ43" s="6">
        <f>日流量!LJ43*24*3600/100000000</f>
        <v>2.9376000000000002</v>
      </c>
      <c r="LK43" s="6">
        <f>日流量!LK43*24*3600/100000000</f>
        <v>2.8944000000000001</v>
      </c>
      <c r="LL43" s="6">
        <f>日流量!LL43*24*3600/100000000</f>
        <v>2.8425600000000002</v>
      </c>
      <c r="LM43" s="6">
        <f>日流量!LM43*24*3600/100000000</f>
        <v>2.7734399999999999</v>
      </c>
      <c r="LN43" s="6">
        <f>日流量!LN43*24*3600/100000000</f>
        <v>2.7129599999999998</v>
      </c>
      <c r="LO43" s="6">
        <f>日流量!LO43*24*3600/100000000</f>
        <v>2.6697600000000001</v>
      </c>
      <c r="LP43" s="6">
        <f>日流量!LP43*24*3600/100000000</f>
        <v>2.60928</v>
      </c>
      <c r="LQ43" s="6">
        <f>日流量!LQ43*24*3600/100000000</f>
        <v>2.5660799999999999</v>
      </c>
      <c r="LR43" s="6">
        <f>日流量!LR43*24*3600/100000000</f>
        <v>2.5228799999999998</v>
      </c>
      <c r="LS43" s="6">
        <f>日流量!LS43*24*3600/100000000</f>
        <v>2.4883199999999999</v>
      </c>
      <c r="LT43" s="6">
        <f>日流量!LT43*24*3600/100000000</f>
        <v>2.4451200000000002</v>
      </c>
      <c r="LU43" s="6">
        <f>日流量!LU43*24*3600/100000000</f>
        <v>2.4019200000000001</v>
      </c>
      <c r="LV43" s="6">
        <f>日流量!LV43*24*3600/100000000</f>
        <v>2.3759999999999999</v>
      </c>
      <c r="LW43" s="6">
        <f>日流量!LW43*24*3600/100000000</f>
        <v>2.34144</v>
      </c>
      <c r="LX43" s="6">
        <f>日流量!LX43*24*3600/100000000</f>
        <v>2.32416</v>
      </c>
      <c r="LY43" s="6">
        <f>日流量!LY43*24*3600/100000000</f>
        <v>2.3155199999999998</v>
      </c>
      <c r="LZ43" s="6">
        <f>日流量!LZ43*24*3600/100000000</f>
        <v>2.2982399999999998</v>
      </c>
      <c r="MA43" s="6">
        <f>日流量!MA43*24*3600/100000000</f>
        <v>2.2982399999999998</v>
      </c>
      <c r="MB43" s="6">
        <f>日流量!MB43*24*3600/100000000</f>
        <v>2.30688</v>
      </c>
      <c r="MC43" s="6">
        <f>日流量!MC43*24*3600/100000000</f>
        <v>2.2723200000000001</v>
      </c>
      <c r="MD43" s="6">
        <f>日流量!MD43*24*3600/100000000</f>
        <v>2.22912</v>
      </c>
      <c r="ME43" s="6">
        <f>日流量!ME43*24*3600/100000000</f>
        <v>2.1859199999999999</v>
      </c>
      <c r="MF43" s="6">
        <f>日流量!MF43*24*3600/100000000</f>
        <v>2.1427200000000002</v>
      </c>
      <c r="MG43" s="6">
        <f>日流量!MG43*24*3600/100000000</f>
        <v>2.0995200000000001</v>
      </c>
      <c r="MH43" s="6">
        <f>日流量!MH43*24*3600/100000000</f>
        <v>2.0476800000000002</v>
      </c>
      <c r="MI43" s="6">
        <f>日流量!MI43*24*3600/100000000</f>
        <v>2.00448</v>
      </c>
      <c r="MJ43" s="6">
        <f>日流量!MJ43*24*3600/100000000</f>
        <v>1.9872000000000001</v>
      </c>
      <c r="MK43" s="6">
        <f>日流量!MK43*24*3600/100000000</f>
        <v>1.9526399999999999</v>
      </c>
      <c r="ML43" s="6">
        <f>日流量!ML43*24*3600/100000000</f>
        <v>1.92672</v>
      </c>
      <c r="MM43" s="6">
        <f>日流量!MM43*24*3600/100000000</f>
        <v>1.90944</v>
      </c>
      <c r="MN43" s="6">
        <f>日流量!MN43*24*3600/100000000</f>
        <v>1.8921600000000001</v>
      </c>
      <c r="MO43" s="6">
        <f>日流量!MO43*24*3600/100000000</f>
        <v>1.8575999999999999</v>
      </c>
      <c r="MP43" s="6">
        <f>日流量!MP43*24*3600/100000000</f>
        <v>1.84032</v>
      </c>
      <c r="MQ43" s="6">
        <f>日流量!MQ43*24*3600/100000000</f>
        <v>1.82304</v>
      </c>
      <c r="MR43" s="6">
        <f>日流量!MR43*24*3600/100000000</f>
        <v>1.8144</v>
      </c>
      <c r="MS43" s="6">
        <f>日流量!MS43*24*3600/100000000</f>
        <v>1.80576</v>
      </c>
      <c r="MT43" s="6">
        <f>日流量!MT43*24*3600/100000000</f>
        <v>1.7971200000000001</v>
      </c>
      <c r="MU43" s="6">
        <f>日流量!MU43*24*3600/100000000</f>
        <v>1.7884800000000001</v>
      </c>
      <c r="MV43" s="6">
        <f>日流量!MV43*24*3600/100000000</f>
        <v>1.7712000000000001</v>
      </c>
      <c r="MW43" s="6">
        <f>日流量!MW43*24*3600/100000000</f>
        <v>1.7539199999999999</v>
      </c>
      <c r="MX43" s="6">
        <f>日流量!MX43*24*3600/100000000</f>
        <v>1.728</v>
      </c>
      <c r="MY43" s="6">
        <f>日流量!MY43*24*3600/100000000</f>
        <v>1.71072</v>
      </c>
      <c r="MZ43" s="6">
        <f>日流量!MZ43*24*3600/100000000</f>
        <v>1.6934400000000001</v>
      </c>
      <c r="NA43" s="6">
        <f>日流量!NA43*24*3600/100000000</f>
        <v>1.6761600000000001</v>
      </c>
      <c r="NB43" s="6">
        <f>日流量!NB43*24*3600/100000000</f>
        <v>1.6675199999999999</v>
      </c>
      <c r="NC43" s="6"/>
      <c r="ND43" s="6">
        <f>日流量!ND43*24*3600*31/100000000</f>
        <v>43.122239999999998</v>
      </c>
      <c r="NE43" s="6">
        <f>日流量!NE43*24*3600*28/100000000</f>
        <v>33.62688</v>
      </c>
      <c r="NF43" s="6">
        <f>日流量!NF43*24*3600*31/100000000</f>
        <v>34.015680000000003</v>
      </c>
      <c r="NG43" s="6">
        <f>日流量!NG43*24*3600*30/100000000</f>
        <v>34.473599999999998</v>
      </c>
      <c r="NH43" s="6">
        <f>日流量!NH43*24*3600*31/100000000</f>
        <v>72.048959999999994</v>
      </c>
      <c r="NI43" s="6">
        <f>日流量!NI43*24*3600*30/100000000</f>
        <v>184.2912</v>
      </c>
      <c r="NJ43" s="6">
        <f>日流量!NJ43*24*3600*31/100000000</f>
        <v>224.18208000000001</v>
      </c>
      <c r="NK43" s="6">
        <f>日流量!NK43*24*3600*31/100000000</f>
        <v>216.14688000000001</v>
      </c>
      <c r="NL43" s="6">
        <f>日流量!NL43*24*3600*30/100000000</f>
        <v>252.97919999999999</v>
      </c>
      <c r="NM43" s="6">
        <f>日流量!NM43*24*3600*31/100000000</f>
        <v>224.18208000000001</v>
      </c>
      <c r="NN43" s="6">
        <f>日流量!NN43*24*3600*30/100000000</f>
        <v>92.016000000000005</v>
      </c>
      <c r="NO43" s="6">
        <f>日流量!NO43*24*3600*31/100000000</f>
        <v>60.264000000000003</v>
      </c>
      <c r="NP43" s="14">
        <f t="shared" si="10"/>
        <v>1471.3488</v>
      </c>
      <c r="NQ43" s="6">
        <f>日流量!NQ43*24*3600/100000000</f>
        <v>11.9232</v>
      </c>
      <c r="NR43" s="4">
        <f>日流量!NR43</f>
        <v>42579</v>
      </c>
      <c r="NS43" s="6">
        <f>日流量!NS43*24*3600/100000000</f>
        <v>1.0540799999999999</v>
      </c>
      <c r="NT43" s="4">
        <f>日流量!NT43</f>
        <v>42453</v>
      </c>
      <c r="NU43" s="7">
        <f>日流量!NP43</f>
        <v>4666.0547945205481</v>
      </c>
      <c r="NW43" s="13">
        <f t="shared" si="0"/>
        <v>1173.8304000000001</v>
      </c>
      <c r="NX43" s="12">
        <f t="shared" si="1"/>
        <v>79.779206670777185</v>
      </c>
      <c r="NY43" s="13">
        <f t="shared" si="2"/>
        <v>877.59936000000005</v>
      </c>
      <c r="NZ43" s="12">
        <f t="shared" si="3"/>
        <v>59.645908570421923</v>
      </c>
      <c r="OA43" s="13">
        <f t="shared" si="4"/>
        <v>297.51839999999993</v>
      </c>
      <c r="OB43" s="12">
        <f t="shared" si="5"/>
        <v>20.220793329222815</v>
      </c>
      <c r="OC43" s="13">
        <f t="shared" si="6"/>
        <v>252.97919999999999</v>
      </c>
      <c r="OD43" s="12">
        <f t="shared" si="7"/>
        <v>17.193693296925922</v>
      </c>
      <c r="OE43" s="12">
        <f t="shared" si="8"/>
        <v>343.77308411214955</v>
      </c>
      <c r="OF43" s="12">
        <f t="shared" si="9"/>
        <v>10.900972986813468</v>
      </c>
    </row>
    <row r="44" spans="1:396" x14ac:dyDescent="0.15">
      <c r="A44" s="2">
        <v>1991</v>
      </c>
      <c r="B44" s="6">
        <f>日流量!B44*24*3600/100000000</f>
        <v>1.5897600000000001</v>
      </c>
      <c r="C44" s="6">
        <f>日流量!C44*24*3600/100000000</f>
        <v>1.5724800000000001</v>
      </c>
      <c r="D44" s="6">
        <f>日流量!D44*24*3600/100000000</f>
        <v>1.5551999999999999</v>
      </c>
      <c r="E44" s="6">
        <f>日流量!E44*24*3600/100000000</f>
        <v>1.5897600000000001</v>
      </c>
      <c r="F44" s="6">
        <f>日流量!F44*24*3600/100000000</f>
        <v>1.61568</v>
      </c>
      <c r="G44" s="6">
        <f>日流量!G44*24*3600/100000000</f>
        <v>1.63296</v>
      </c>
      <c r="H44" s="6">
        <f>日流量!H44*24*3600/100000000</f>
        <v>1.60704</v>
      </c>
      <c r="I44" s="6">
        <f>日流量!I44*24*3600/100000000</f>
        <v>1.5811200000000001</v>
      </c>
      <c r="J44" s="6">
        <f>日流量!J44*24*3600/100000000</f>
        <v>1.5551999999999999</v>
      </c>
      <c r="K44" s="6">
        <f>日流量!K44*24*3600/100000000</f>
        <v>1.52064</v>
      </c>
      <c r="L44" s="6">
        <f>日流量!L44*24*3600/100000000</f>
        <v>1.4860800000000001</v>
      </c>
      <c r="M44" s="6">
        <f>日流量!M44*24*3600/100000000</f>
        <v>1.4688000000000001</v>
      </c>
      <c r="N44" s="6">
        <f>日流量!N44*24*3600/100000000</f>
        <v>1.4515199999999999</v>
      </c>
      <c r="O44" s="6">
        <f>日流量!O44*24*3600/100000000</f>
        <v>1.4428799999999999</v>
      </c>
      <c r="P44" s="6">
        <f>日流量!P44*24*3600/100000000</f>
        <v>1.4256</v>
      </c>
      <c r="Q44" s="6">
        <f>日流量!Q44*24*3600/100000000</f>
        <v>1.40832</v>
      </c>
      <c r="R44" s="6">
        <f>日流量!R44*24*3600/100000000</f>
        <v>1.39968</v>
      </c>
      <c r="S44" s="6">
        <f>日流量!S44*24*3600/100000000</f>
        <v>1.3910400000000001</v>
      </c>
      <c r="T44" s="6">
        <f>日流量!T44*24*3600/100000000</f>
        <v>1.3824000000000001</v>
      </c>
      <c r="U44" s="6">
        <f>日流量!U44*24*3600/100000000</f>
        <v>1.3737600000000001</v>
      </c>
      <c r="V44" s="6">
        <f>日流量!V44*24*3600/100000000</f>
        <v>1.3478399999999999</v>
      </c>
      <c r="W44" s="6">
        <f>日流量!W44*24*3600/100000000</f>
        <v>1.33056</v>
      </c>
      <c r="X44" s="6">
        <f>日流量!X44*24*3600/100000000</f>
        <v>1.31328</v>
      </c>
      <c r="Y44" s="6">
        <f>日流量!Y44*24*3600/100000000</f>
        <v>1.296</v>
      </c>
      <c r="Z44" s="6">
        <f>日流量!Z44*24*3600/100000000</f>
        <v>1.2873600000000001</v>
      </c>
      <c r="AA44" s="6">
        <f>日流量!AA44*24*3600/100000000</f>
        <v>1.2700800000000001</v>
      </c>
      <c r="AB44" s="6">
        <f>日流量!AB44*24*3600/100000000</f>
        <v>1.2614399999999999</v>
      </c>
      <c r="AC44" s="6">
        <f>日流量!AC44*24*3600/100000000</f>
        <v>1.2527999999999999</v>
      </c>
      <c r="AD44" s="6">
        <f>日流量!AD44*24*3600/100000000</f>
        <v>1.2441599999999999</v>
      </c>
      <c r="AE44" s="6">
        <f>日流量!AE44*24*3600/100000000</f>
        <v>1.2441599999999999</v>
      </c>
      <c r="AF44" s="6">
        <f>日流量!AF44*24*3600/100000000</f>
        <v>1.23552</v>
      </c>
      <c r="AG44" s="6">
        <f>日流量!AG44*24*3600/100000000</f>
        <v>1.22688</v>
      </c>
      <c r="AH44" s="6">
        <f>日流量!AH44*24*3600/100000000</f>
        <v>1.23552</v>
      </c>
      <c r="AI44" s="6">
        <f>日流量!AI44*24*3600/100000000</f>
        <v>1.2441599999999999</v>
      </c>
      <c r="AJ44" s="6">
        <f>日流量!AJ44*24*3600/100000000</f>
        <v>1.2441599999999999</v>
      </c>
      <c r="AK44" s="6">
        <f>日流量!AK44*24*3600/100000000</f>
        <v>1.2614399999999999</v>
      </c>
      <c r="AL44" s="6">
        <f>日流量!AL44*24*3600/100000000</f>
        <v>1.2614399999999999</v>
      </c>
      <c r="AM44" s="6">
        <f>日流量!AM44*24*3600/100000000</f>
        <v>1.2614399999999999</v>
      </c>
      <c r="AN44" s="6">
        <f>日流量!AN44*24*3600/100000000</f>
        <v>1.2527999999999999</v>
      </c>
      <c r="AO44" s="6">
        <f>日流量!AO44*24*3600/100000000</f>
        <v>1.2441599999999999</v>
      </c>
      <c r="AP44" s="6">
        <f>日流量!AP44*24*3600/100000000</f>
        <v>1.22688</v>
      </c>
      <c r="AQ44" s="6">
        <f>日流量!AQ44*24*3600/100000000</f>
        <v>1.21824</v>
      </c>
      <c r="AR44" s="6">
        <f>日流量!AR44*24*3600/100000000</f>
        <v>1.20096</v>
      </c>
      <c r="AS44" s="6">
        <f>日流量!AS44*24*3600/100000000</f>
        <v>1.19232</v>
      </c>
      <c r="AT44" s="6">
        <f>日流量!AT44*24*3600/100000000</f>
        <v>1.19232</v>
      </c>
      <c r="AU44" s="6">
        <f>日流量!AU44*24*3600/100000000</f>
        <v>1.1836800000000001</v>
      </c>
      <c r="AV44" s="6">
        <f>日流量!AV44*24*3600/100000000</f>
        <v>1.1750400000000001</v>
      </c>
      <c r="AW44" s="6">
        <f>日流量!AW44*24*3600/100000000</f>
        <v>1.1750400000000001</v>
      </c>
      <c r="AX44" s="6">
        <f>日流量!AX44*24*3600/100000000</f>
        <v>1.1836800000000001</v>
      </c>
      <c r="AY44" s="6">
        <f>日流量!AY44*24*3600/100000000</f>
        <v>1.1836800000000001</v>
      </c>
      <c r="AZ44" s="6">
        <f>日流量!AZ44*24*3600/100000000</f>
        <v>1.1750400000000001</v>
      </c>
      <c r="BA44" s="6">
        <f>日流量!BA44*24*3600/100000000</f>
        <v>1.1664000000000001</v>
      </c>
      <c r="BB44" s="6">
        <f>日流量!BB44*24*3600/100000000</f>
        <v>1.1664000000000001</v>
      </c>
      <c r="BC44" s="6">
        <f>日流量!BC44*24*3600/100000000</f>
        <v>1.1750400000000001</v>
      </c>
      <c r="BD44" s="6">
        <f>日流量!BD44*24*3600/100000000</f>
        <v>1.1836800000000001</v>
      </c>
      <c r="BE44" s="6">
        <f>日流量!BE44*24*3600/100000000</f>
        <v>1.19232</v>
      </c>
      <c r="BF44" s="6">
        <f>日流量!BF44*24*3600/100000000</f>
        <v>1.19232</v>
      </c>
      <c r="BG44" s="6">
        <f>日流量!BG44*24*3600/100000000</f>
        <v>1.1836800000000001</v>
      </c>
      <c r="BH44" s="6">
        <f>日流量!BH44*24*3600/100000000</f>
        <v>1.1750400000000001</v>
      </c>
      <c r="BI44" s="6"/>
      <c r="BJ44" s="6">
        <f>日流量!BJ44*24*3600/100000000</f>
        <v>1.1577599999999999</v>
      </c>
      <c r="BK44" s="6">
        <f>日流量!BK44*24*3600/100000000</f>
        <v>1.1577599999999999</v>
      </c>
      <c r="BL44" s="6">
        <f>日流量!BL44*24*3600/100000000</f>
        <v>1.1491199999999999</v>
      </c>
      <c r="BM44" s="6">
        <f>日流量!BM44*24*3600/100000000</f>
        <v>1.1491199999999999</v>
      </c>
      <c r="BN44" s="6">
        <f>日流量!BN44*24*3600/100000000</f>
        <v>1.1491199999999999</v>
      </c>
      <c r="BO44" s="6">
        <f>日流量!BO44*24*3600/100000000</f>
        <v>1.1491199999999999</v>
      </c>
      <c r="BP44" s="6">
        <f>日流量!BP44*24*3600/100000000</f>
        <v>1.1491199999999999</v>
      </c>
      <c r="BQ44" s="6">
        <f>日流量!BQ44*24*3600/100000000</f>
        <v>1.13184</v>
      </c>
      <c r="BR44" s="6">
        <f>日流量!BR44*24*3600/100000000</f>
        <v>1.1232</v>
      </c>
      <c r="BS44" s="6">
        <f>日流量!BS44*24*3600/100000000</f>
        <v>1.1232</v>
      </c>
      <c r="BT44" s="6">
        <f>日流量!BT44*24*3600/100000000</f>
        <v>1.13184</v>
      </c>
      <c r="BU44" s="6">
        <f>日流量!BU44*24*3600/100000000</f>
        <v>1.1232</v>
      </c>
      <c r="BV44" s="6">
        <f>日流量!BV44*24*3600/100000000</f>
        <v>1.11456</v>
      </c>
      <c r="BW44" s="6">
        <f>日流量!BW44*24*3600/100000000</f>
        <v>1.10592</v>
      </c>
      <c r="BX44" s="6">
        <f>日流量!BX44*24*3600/100000000</f>
        <v>1.10592</v>
      </c>
      <c r="BY44" s="6">
        <f>日流量!BY44*24*3600/100000000</f>
        <v>1.10592</v>
      </c>
      <c r="BZ44" s="6">
        <f>日流量!BZ44*24*3600/100000000</f>
        <v>1.10592</v>
      </c>
      <c r="CA44" s="6">
        <f>日流量!CA44*24*3600/100000000</f>
        <v>1.10592</v>
      </c>
      <c r="CB44" s="6">
        <f>日流量!CB44*24*3600/100000000</f>
        <v>1.10592</v>
      </c>
      <c r="CC44" s="6">
        <f>日流量!CC44*24*3600/100000000</f>
        <v>1.10592</v>
      </c>
      <c r="CD44" s="6">
        <f>日流量!CD44*24*3600/100000000</f>
        <v>1.10592</v>
      </c>
      <c r="CE44" s="6">
        <f>日流量!CE44*24*3600/100000000</f>
        <v>1.10592</v>
      </c>
      <c r="CF44" s="6">
        <f>日流量!CF44*24*3600/100000000</f>
        <v>1.10592</v>
      </c>
      <c r="CG44" s="6">
        <f>日流量!CG44*24*3600/100000000</f>
        <v>1.10592</v>
      </c>
      <c r="CH44" s="6">
        <f>日流量!CH44*24*3600/100000000</f>
        <v>1.11456</v>
      </c>
      <c r="CI44" s="6">
        <f>日流量!CI44*24*3600/100000000</f>
        <v>1.1404799999999999</v>
      </c>
      <c r="CJ44" s="6">
        <f>日流量!CJ44*24*3600/100000000</f>
        <v>1.1491199999999999</v>
      </c>
      <c r="CK44" s="6">
        <f>日流量!CK44*24*3600/100000000</f>
        <v>1.1491199999999999</v>
      </c>
      <c r="CL44" s="6">
        <f>日流量!CL44*24*3600/100000000</f>
        <v>1.1750400000000001</v>
      </c>
      <c r="CM44" s="6">
        <f>日流量!CM44*24*3600/100000000</f>
        <v>1.1750400000000001</v>
      </c>
      <c r="CN44" s="6">
        <f>日流量!CN44*24*3600/100000000</f>
        <v>1.1664000000000001</v>
      </c>
      <c r="CO44" s="6">
        <f>日流量!CO44*24*3600/100000000</f>
        <v>1.1664000000000001</v>
      </c>
      <c r="CP44" s="6">
        <f>日流量!CP44*24*3600/100000000</f>
        <v>1.1664000000000001</v>
      </c>
      <c r="CQ44" s="6">
        <f>日流量!CQ44*24*3600/100000000</f>
        <v>1.1836800000000001</v>
      </c>
      <c r="CR44" s="6">
        <f>日流量!CR44*24*3600/100000000</f>
        <v>1.21824</v>
      </c>
      <c r="CS44" s="6">
        <f>日流量!CS44*24*3600/100000000</f>
        <v>1.22688</v>
      </c>
      <c r="CT44" s="6">
        <f>日流量!CT44*24*3600/100000000</f>
        <v>1.22688</v>
      </c>
      <c r="CU44" s="6">
        <f>日流量!CU44*24*3600/100000000</f>
        <v>1.22688</v>
      </c>
      <c r="CV44" s="6">
        <f>日流量!CV44*24*3600/100000000</f>
        <v>1.21824</v>
      </c>
      <c r="CW44" s="6">
        <f>日流量!CW44*24*3600/100000000</f>
        <v>1.22688</v>
      </c>
      <c r="CX44" s="6">
        <f>日流量!CX44*24*3600/100000000</f>
        <v>1.22688</v>
      </c>
      <c r="CY44" s="6">
        <f>日流量!CY44*24*3600/100000000</f>
        <v>1.21824</v>
      </c>
      <c r="CZ44" s="6">
        <f>日流量!CZ44*24*3600/100000000</f>
        <v>1.2096</v>
      </c>
      <c r="DA44" s="6">
        <f>日流量!DA44*24*3600/100000000</f>
        <v>1.21824</v>
      </c>
      <c r="DB44" s="6">
        <f>日流量!DB44*24*3600/100000000</f>
        <v>1.22688</v>
      </c>
      <c r="DC44" s="6">
        <f>日流量!DC44*24*3600/100000000</f>
        <v>1.21824</v>
      </c>
      <c r="DD44" s="6">
        <f>日流量!DD44*24*3600/100000000</f>
        <v>1.2096</v>
      </c>
      <c r="DE44" s="6">
        <f>日流量!DE44*24*3600/100000000</f>
        <v>1.19232</v>
      </c>
      <c r="DF44" s="6">
        <f>日流量!DF44*24*3600/100000000</f>
        <v>1.1750400000000001</v>
      </c>
      <c r="DG44" s="6">
        <f>日流量!DG44*24*3600/100000000</f>
        <v>1.1664000000000001</v>
      </c>
      <c r="DH44" s="6">
        <f>日流量!DH44*24*3600/100000000</f>
        <v>1.1577599999999999</v>
      </c>
      <c r="DI44" s="6">
        <f>日流量!DI44*24*3600/100000000</f>
        <v>1.1664000000000001</v>
      </c>
      <c r="DJ44" s="6">
        <f>日流量!DJ44*24*3600/100000000</f>
        <v>1.1836800000000001</v>
      </c>
      <c r="DK44" s="6">
        <f>日流量!DK44*24*3600/100000000</f>
        <v>1.19232</v>
      </c>
      <c r="DL44" s="6">
        <f>日流量!DL44*24*3600/100000000</f>
        <v>1.1750400000000001</v>
      </c>
      <c r="DM44" s="6">
        <f>日流量!DM44*24*3600/100000000</f>
        <v>1.1664000000000001</v>
      </c>
      <c r="DN44" s="6">
        <f>日流量!DN44*24*3600/100000000</f>
        <v>1.1577599999999999</v>
      </c>
      <c r="DO44" s="6">
        <f>日流量!DO44*24*3600/100000000</f>
        <v>1.1577599999999999</v>
      </c>
      <c r="DP44" s="6">
        <f>日流量!DP44*24*3600/100000000</f>
        <v>1.1404799999999999</v>
      </c>
      <c r="DQ44" s="6">
        <f>日流量!DQ44*24*3600/100000000</f>
        <v>1.11456</v>
      </c>
      <c r="DR44" s="6">
        <f>日流量!DR44*24*3600/100000000</f>
        <v>1.11456</v>
      </c>
      <c r="DS44" s="6">
        <f>日流量!DS44*24*3600/100000000</f>
        <v>1.13184</v>
      </c>
      <c r="DT44" s="6">
        <f>日流量!DT44*24*3600/100000000</f>
        <v>1.1750400000000001</v>
      </c>
      <c r="DU44" s="6">
        <f>日流量!DU44*24*3600/100000000</f>
        <v>1.23552</v>
      </c>
      <c r="DV44" s="6">
        <f>日流量!DV44*24*3600/100000000</f>
        <v>1.3564799999999999</v>
      </c>
      <c r="DW44" s="6">
        <f>日流量!DW44*24*3600/100000000</f>
        <v>1.512</v>
      </c>
      <c r="DX44" s="6">
        <f>日流量!DX44*24*3600/100000000</f>
        <v>1.5638399999999999</v>
      </c>
      <c r="DY44" s="6">
        <f>日流量!DY44*24*3600/100000000</f>
        <v>1.5724800000000001</v>
      </c>
      <c r="DZ44" s="6">
        <f>日流量!DZ44*24*3600/100000000</f>
        <v>1.5638399999999999</v>
      </c>
      <c r="EA44" s="6">
        <f>日流量!EA44*24*3600/100000000</f>
        <v>1.60704</v>
      </c>
      <c r="EB44" s="6">
        <f>日流量!EB44*24*3600/100000000</f>
        <v>1.62432</v>
      </c>
      <c r="EC44" s="6">
        <f>日流量!EC44*24*3600/100000000</f>
        <v>1.6415999999999999</v>
      </c>
      <c r="ED44" s="6">
        <f>日流量!ED44*24*3600/100000000</f>
        <v>1.7539199999999999</v>
      </c>
      <c r="EE44" s="6">
        <f>日流量!EE44*24*3600/100000000</f>
        <v>1.80576</v>
      </c>
      <c r="EF44" s="6">
        <f>日流量!EF44*24*3600/100000000</f>
        <v>1.7712000000000001</v>
      </c>
      <c r="EG44" s="6">
        <f>日流量!EG44*24*3600/100000000</f>
        <v>1.7971200000000001</v>
      </c>
      <c r="EH44" s="6">
        <f>日流量!EH44*24*3600/100000000</f>
        <v>1.91808</v>
      </c>
      <c r="EI44" s="6">
        <f>日流量!EI44*24*3600/100000000</f>
        <v>2.02176</v>
      </c>
      <c r="EJ44" s="6">
        <f>日流量!EJ44*24*3600/100000000</f>
        <v>2.13408</v>
      </c>
      <c r="EK44" s="6">
        <f>日流量!EK44*24*3600/100000000</f>
        <v>2.1945600000000001</v>
      </c>
      <c r="EL44" s="6">
        <f>日流量!EL44*24*3600/100000000</f>
        <v>2.22912</v>
      </c>
      <c r="EM44" s="6">
        <f>日流量!EM44*24*3600/100000000</f>
        <v>2.2204799999999998</v>
      </c>
      <c r="EN44" s="6">
        <f>日流量!EN44*24*3600/100000000</f>
        <v>2.1772800000000001</v>
      </c>
      <c r="EO44" s="6">
        <f>日流量!EO44*24*3600/100000000</f>
        <v>2.13408</v>
      </c>
      <c r="EP44" s="6">
        <f>日流量!EP44*24*3600/100000000</f>
        <v>2.1427200000000002</v>
      </c>
      <c r="EQ44" s="6">
        <f>日流量!EQ44*24*3600/100000000</f>
        <v>2.1859199999999999</v>
      </c>
      <c r="ER44" s="6">
        <f>日流量!ER44*24*3600/100000000</f>
        <v>2.2204799999999998</v>
      </c>
      <c r="ES44" s="6">
        <f>日流量!ES44*24*3600/100000000</f>
        <v>2.32416</v>
      </c>
      <c r="ET44" s="6">
        <f>日流量!ET44*24*3600/100000000</f>
        <v>2.4537599999999999</v>
      </c>
      <c r="EU44" s="6">
        <f>日流量!EU44*24*3600/100000000</f>
        <v>2.4192</v>
      </c>
      <c r="EV44" s="6">
        <f>日流量!EV44*24*3600/100000000</f>
        <v>2.2982399999999998</v>
      </c>
      <c r="EW44" s="6">
        <f>日流量!EW44*24*3600/100000000</f>
        <v>2.1859199999999999</v>
      </c>
      <c r="EX44" s="6">
        <f>日流量!EX44*24*3600/100000000</f>
        <v>2.2550400000000002</v>
      </c>
      <c r="EY44" s="6">
        <f>日流量!EY44*24*3600/100000000</f>
        <v>2.4019200000000001</v>
      </c>
      <c r="EZ44" s="6">
        <f>日流量!EZ44*24*3600/100000000</f>
        <v>2.4883199999999999</v>
      </c>
      <c r="FA44" s="6">
        <f>日流量!FA44*24*3600/100000000</f>
        <v>2.4796800000000001</v>
      </c>
      <c r="FB44" s="6">
        <f>日流量!FB44*24*3600/100000000</f>
        <v>2.5055999999999998</v>
      </c>
      <c r="FC44" s="6">
        <f>日流量!FC44*24*3600/100000000</f>
        <v>2.5401600000000002</v>
      </c>
      <c r="FD44" s="6">
        <f>日流量!FD44*24*3600/100000000</f>
        <v>2.64384</v>
      </c>
      <c r="FE44" s="6">
        <f>日流量!FE44*24*3600/100000000</f>
        <v>2.6352000000000002</v>
      </c>
      <c r="FF44" s="6">
        <f>日流量!FF44*24*3600/100000000</f>
        <v>2.5055999999999998</v>
      </c>
      <c r="FG44" s="6">
        <f>日流量!FG44*24*3600/100000000</f>
        <v>2.5401600000000002</v>
      </c>
      <c r="FH44" s="6">
        <f>日流量!FH44*24*3600/100000000</f>
        <v>2.4883199999999999</v>
      </c>
      <c r="FI44" s="6">
        <f>日流量!FI44*24*3600/100000000</f>
        <v>2.4710399999999999</v>
      </c>
      <c r="FJ44" s="6">
        <f>日流量!FJ44*24*3600/100000000</f>
        <v>2.32416</v>
      </c>
      <c r="FK44" s="6">
        <f>日流量!FK44*24*3600/100000000</f>
        <v>2.22912</v>
      </c>
      <c r="FL44" s="6">
        <f>日流量!FL44*24*3600/100000000</f>
        <v>2.43648</v>
      </c>
      <c r="FM44" s="6">
        <f>日流量!FM44*24*3600/100000000</f>
        <v>2.6524800000000002</v>
      </c>
      <c r="FN44" s="6">
        <f>日流量!FN44*24*3600/100000000</f>
        <v>2.9894400000000001</v>
      </c>
      <c r="FO44" s="6">
        <f>日流量!FO44*24*3600/100000000</f>
        <v>3.1449600000000002</v>
      </c>
      <c r="FP44" s="6">
        <f>日流量!FP44*24*3600/100000000</f>
        <v>3.5078399999999998</v>
      </c>
      <c r="FQ44" s="6">
        <f>日流量!FQ44*24*3600/100000000</f>
        <v>4.1990400000000001</v>
      </c>
      <c r="FR44" s="6">
        <f>日流量!FR44*24*3600/100000000</f>
        <v>5.0803200000000004</v>
      </c>
      <c r="FS44" s="6">
        <f>日流量!FS44*24*3600/100000000</f>
        <v>5.3740800000000002</v>
      </c>
      <c r="FT44" s="6">
        <f>日流量!FT44*24*3600/100000000</f>
        <v>4.9852800000000004</v>
      </c>
      <c r="FU44" s="6">
        <f>日流量!FU44*24*3600/100000000</f>
        <v>4.7347200000000003</v>
      </c>
      <c r="FV44" s="6">
        <f>日流量!FV44*24*3600/100000000</f>
        <v>4.7952000000000004</v>
      </c>
      <c r="FW44" s="6">
        <f>日流量!FW44*24*3600/100000000</f>
        <v>5.1926399999999999</v>
      </c>
      <c r="FX44" s="6">
        <f>日流量!FX44*24*3600/100000000</f>
        <v>5.3049600000000003</v>
      </c>
      <c r="FY44" s="6">
        <f>日流量!FY44*24*3600/100000000</f>
        <v>5.0284800000000001</v>
      </c>
      <c r="FZ44" s="6">
        <f>日流量!FZ44*24*3600/100000000</f>
        <v>4.7519999999999998</v>
      </c>
      <c r="GA44" s="6">
        <f>日流量!GA44*24*3600/100000000</f>
        <v>4.5619199999999998</v>
      </c>
      <c r="GB44" s="6">
        <f>日流量!GB44*24*3600/100000000</f>
        <v>4.93344</v>
      </c>
      <c r="GC44" s="6">
        <f>日流量!GC44*24*3600/100000000</f>
        <v>5.8492800000000003</v>
      </c>
      <c r="GD44" s="6">
        <f>日流量!GD44*24*3600/100000000</f>
        <v>6.3763199999999998</v>
      </c>
      <c r="GE44" s="6">
        <f>日流量!GE44*24*3600/100000000</f>
        <v>6.6182400000000001</v>
      </c>
      <c r="GF44" s="6">
        <f>日流量!GF44*24*3600/100000000</f>
        <v>6.6182400000000001</v>
      </c>
      <c r="GG44" s="6">
        <f>日流量!GG44*24*3600/100000000</f>
        <v>6.97248</v>
      </c>
      <c r="GH44" s="6">
        <f>日流量!GH44*24*3600/100000000</f>
        <v>7.4390400000000003</v>
      </c>
      <c r="GI44" s="6">
        <f>日流量!GI44*24*3600/100000000</f>
        <v>8.5363199999999999</v>
      </c>
      <c r="GJ44" s="6">
        <f>日流量!GJ44*24*3600/100000000</f>
        <v>10.8864</v>
      </c>
      <c r="GK44" s="6">
        <f>日流量!GK44*24*3600/100000000</f>
        <v>11.750400000000001</v>
      </c>
      <c r="GL44" s="6">
        <f>日流量!GL44*24*3600/100000000</f>
        <v>12.6144</v>
      </c>
      <c r="GM44" s="6">
        <f>日流量!GM44*24*3600/100000000</f>
        <v>12.96</v>
      </c>
      <c r="GN44" s="6">
        <f>日流量!GN44*24*3600/100000000</f>
        <v>12.182399999999999</v>
      </c>
      <c r="GO44" s="6">
        <f>日流量!GO44*24*3600/100000000</f>
        <v>11.8368</v>
      </c>
      <c r="GP44" s="6">
        <f>日流量!GP44*24*3600/100000000</f>
        <v>12.3552</v>
      </c>
      <c r="GQ44" s="6">
        <f>日流量!GQ44*24*3600/100000000</f>
        <v>12.3552</v>
      </c>
      <c r="GR44" s="6">
        <f>日流量!GR44*24*3600/100000000</f>
        <v>12.182399999999999</v>
      </c>
      <c r="GS44" s="6">
        <f>日流量!GS44*24*3600/100000000</f>
        <v>10.972799999999999</v>
      </c>
      <c r="GT44" s="6">
        <f>日流量!GT44*24*3600/100000000</f>
        <v>9.9359999999999999</v>
      </c>
      <c r="GU44" s="6">
        <f>日流量!GU44*24*3600/100000000</f>
        <v>8.6054399999999998</v>
      </c>
      <c r="GV44" s="6">
        <f>日流量!GV44*24*3600/100000000</f>
        <v>7.70688</v>
      </c>
      <c r="GW44" s="6">
        <f>日流量!GW44*24*3600/100000000</f>
        <v>6.7478400000000001</v>
      </c>
      <c r="GX44" s="6">
        <f>日流量!GX44*24*3600/100000000</f>
        <v>6.6009599999999997</v>
      </c>
      <c r="GY44" s="6">
        <f>日流量!GY44*24*3600/100000000</f>
        <v>6.6700799999999996</v>
      </c>
      <c r="GZ44" s="6">
        <f>日流量!GZ44*24*3600/100000000</f>
        <v>6.48</v>
      </c>
      <c r="HA44" s="6">
        <f>日流量!HA44*24*3600/100000000</f>
        <v>6.0393600000000003</v>
      </c>
      <c r="HB44" s="6">
        <f>日流量!HB44*24*3600/100000000</f>
        <v>5.6592000000000002</v>
      </c>
      <c r="HC44" s="6">
        <f>日流量!HC44*24*3600/100000000</f>
        <v>5.3395200000000003</v>
      </c>
      <c r="HD44" s="6">
        <f>日流量!HD44*24*3600/100000000</f>
        <v>5.2185600000000001</v>
      </c>
      <c r="HE44" s="6">
        <f>日流量!HE44*24*3600/100000000</f>
        <v>5.2617599999999998</v>
      </c>
      <c r="HF44" s="6">
        <f>日流量!HF44*24*3600/100000000</f>
        <v>6.3417599999999998</v>
      </c>
      <c r="HG44" s="6">
        <f>日流量!HG44*24*3600/100000000</f>
        <v>7.5167999999999999</v>
      </c>
      <c r="HH44" s="6">
        <f>日流量!HH44*24*3600/100000000</f>
        <v>8.5795200000000005</v>
      </c>
      <c r="HI44" s="6">
        <f>日流量!HI44*24*3600/100000000</f>
        <v>9.5039999999999996</v>
      </c>
      <c r="HJ44" s="6">
        <f>日流量!HJ44*24*3600/100000000</f>
        <v>10.540800000000001</v>
      </c>
      <c r="HK44" s="6">
        <f>日流量!HK44*24*3600/100000000</f>
        <v>11.4048</v>
      </c>
      <c r="HL44" s="6">
        <f>日流量!HL44*24*3600/100000000</f>
        <v>11.5776</v>
      </c>
      <c r="HM44" s="6">
        <f>日流量!HM44*24*3600/100000000</f>
        <v>11.491199999999999</v>
      </c>
      <c r="HN44" s="6">
        <f>日流量!HN44*24*3600/100000000</f>
        <v>11.8368</v>
      </c>
      <c r="HO44" s="6">
        <f>日流量!HO44*24*3600/100000000</f>
        <v>12.268800000000001</v>
      </c>
      <c r="HP44" s="6">
        <f>日流量!HP44*24*3600/100000000</f>
        <v>13.651199999999999</v>
      </c>
      <c r="HQ44" s="6">
        <f>日流量!HQ44*24*3600/100000000</f>
        <v>14.688000000000001</v>
      </c>
      <c r="HR44" s="6">
        <f>日流量!HR44*24*3600/100000000</f>
        <v>14.428800000000001</v>
      </c>
      <c r="HS44" s="6">
        <f>日流量!HS44*24*3600/100000000</f>
        <v>13.7376</v>
      </c>
      <c r="HT44" s="6">
        <f>日流量!HT44*24*3600/100000000</f>
        <v>13.478400000000001</v>
      </c>
      <c r="HU44" s="6">
        <f>日流量!HU44*24*3600/100000000</f>
        <v>14.9472</v>
      </c>
      <c r="HV44" s="6">
        <f>日流量!HV44*24*3600/100000000</f>
        <v>17.798400000000001</v>
      </c>
      <c r="HW44" s="6">
        <f>日流量!HW44*24*3600/100000000</f>
        <v>18.143999999999998</v>
      </c>
      <c r="HX44" s="6">
        <f>日流量!HX44*24*3600/100000000</f>
        <v>17.020800000000001</v>
      </c>
      <c r="HY44" s="6">
        <f>日流量!HY44*24*3600/100000000</f>
        <v>15.12</v>
      </c>
      <c r="HZ44" s="6">
        <f>日流量!HZ44*24*3600/100000000</f>
        <v>13.1328</v>
      </c>
      <c r="IA44" s="6">
        <f>日流量!IA44*24*3600/100000000</f>
        <v>11.9232</v>
      </c>
      <c r="IB44" s="6">
        <f>日流量!IB44*24*3600/100000000</f>
        <v>11.9232</v>
      </c>
      <c r="IC44" s="6">
        <f>日流量!IC44*24*3600/100000000</f>
        <v>11.8368</v>
      </c>
      <c r="ID44" s="6">
        <f>日流量!ID44*24*3600/100000000</f>
        <v>11.491199999999999</v>
      </c>
      <c r="IE44" s="6">
        <f>日流量!IE44*24*3600/100000000</f>
        <v>10.8</v>
      </c>
      <c r="IF44" s="6">
        <f>日流量!IF44*24*3600/100000000</f>
        <v>10.281599999999999</v>
      </c>
      <c r="IG44" s="6">
        <f>日流量!IG44*24*3600/100000000</f>
        <v>9.9359999999999999</v>
      </c>
      <c r="IH44" s="6">
        <f>日流量!IH44*24*3600/100000000</f>
        <v>9.9359999999999999</v>
      </c>
      <c r="II44" s="6">
        <f>日流量!II44*24*3600/100000000</f>
        <v>9.9359999999999999</v>
      </c>
      <c r="IJ44" s="6">
        <f>日流量!IJ44*24*3600/100000000</f>
        <v>9.6768000000000001</v>
      </c>
      <c r="IK44" s="6">
        <f>日流量!IK44*24*3600/100000000</f>
        <v>9.6768000000000001</v>
      </c>
      <c r="IL44" s="6">
        <f>日流量!IL44*24*3600/100000000</f>
        <v>9.9359999999999999</v>
      </c>
      <c r="IM44" s="6">
        <f>日流量!IM44*24*3600/100000000</f>
        <v>9.8496000000000006</v>
      </c>
      <c r="IN44" s="6">
        <f>日流量!IN44*24*3600/100000000</f>
        <v>9.3312000000000008</v>
      </c>
      <c r="IO44" s="6">
        <f>日流量!IO44*24*3600/100000000</f>
        <v>9.3312000000000008</v>
      </c>
      <c r="IP44" s="6">
        <f>日流量!IP44*24*3600/100000000</f>
        <v>9.0719999999999992</v>
      </c>
      <c r="IQ44" s="6">
        <f>日流量!IQ44*24*3600/100000000</f>
        <v>9.1584000000000003</v>
      </c>
      <c r="IR44" s="6">
        <f>日流量!IR44*24*3600/100000000</f>
        <v>9.1584000000000003</v>
      </c>
      <c r="IS44" s="6">
        <f>日流量!IS44*24*3600/100000000</f>
        <v>9.0719999999999992</v>
      </c>
      <c r="IT44" s="6">
        <f>日流量!IT44*24*3600/100000000</f>
        <v>9.5039999999999996</v>
      </c>
      <c r="IU44" s="6">
        <f>日流量!IU44*24*3600/100000000</f>
        <v>9.4176000000000002</v>
      </c>
      <c r="IV44" s="6">
        <f>日流量!IV44*24*3600/100000000</f>
        <v>9.6768000000000001</v>
      </c>
      <c r="IW44" s="6">
        <f>日流量!IW44*24*3600/100000000</f>
        <v>10.7136</v>
      </c>
      <c r="IX44" s="6">
        <f>日流量!IX44*24*3600/100000000</f>
        <v>12.528</v>
      </c>
      <c r="IY44" s="6">
        <f>日流量!IY44*24*3600/100000000</f>
        <v>13.5648</v>
      </c>
      <c r="IZ44" s="6">
        <f>日流量!IZ44*24*3600/100000000</f>
        <v>11.9232</v>
      </c>
      <c r="JA44" s="6">
        <f>日流量!JA44*24*3600/100000000</f>
        <v>10.4544</v>
      </c>
      <c r="JB44" s="6">
        <f>日流量!JB44*24*3600/100000000</f>
        <v>9.8496000000000006</v>
      </c>
      <c r="JC44" s="6">
        <f>日流量!JC44*24*3600/100000000</f>
        <v>9.3312000000000008</v>
      </c>
      <c r="JD44" s="6">
        <f>日流量!JD44*24*3600/100000000</f>
        <v>10.1088</v>
      </c>
      <c r="JE44" s="6">
        <f>日流量!JE44*24*3600/100000000</f>
        <v>11.491199999999999</v>
      </c>
      <c r="JF44" s="6">
        <f>日流量!JF44*24*3600/100000000</f>
        <v>11.4048</v>
      </c>
      <c r="JG44" s="6">
        <f>日流量!JG44*24*3600/100000000</f>
        <v>10.368</v>
      </c>
      <c r="JH44" s="6">
        <f>日流量!JH44*24*3600/100000000</f>
        <v>9.5904000000000007</v>
      </c>
      <c r="JI44" s="6">
        <f>日流量!JI44*24*3600/100000000</f>
        <v>9.5904000000000007</v>
      </c>
      <c r="JJ44" s="6">
        <f>日流量!JJ44*24*3600/100000000</f>
        <v>10.6272</v>
      </c>
      <c r="JK44" s="6">
        <f>日流量!JK44*24*3600/100000000</f>
        <v>11.059200000000001</v>
      </c>
      <c r="JL44" s="6">
        <f>日流量!JL44*24*3600/100000000</f>
        <v>10.8864</v>
      </c>
      <c r="JM44" s="6">
        <f>日流量!JM44*24*3600/100000000</f>
        <v>10.6272</v>
      </c>
      <c r="JN44" s="6">
        <f>日流量!JN44*24*3600/100000000</f>
        <v>10.368</v>
      </c>
      <c r="JO44" s="6">
        <f>日流量!JO44*24*3600/100000000</f>
        <v>9.8496000000000006</v>
      </c>
      <c r="JP44" s="6">
        <f>日流量!JP44*24*3600/100000000</f>
        <v>9.2447999999999997</v>
      </c>
      <c r="JQ44" s="6">
        <f>日流量!JQ44*24*3600/100000000</f>
        <v>8.5622399999999992</v>
      </c>
      <c r="JR44" s="6">
        <f>日流量!JR44*24*3600/100000000</f>
        <v>7.9574400000000001</v>
      </c>
      <c r="JS44" s="6">
        <f>日流量!JS44*24*3600/100000000</f>
        <v>7.6982400000000002</v>
      </c>
      <c r="JT44" s="6">
        <f>日流量!JT44*24*3600/100000000</f>
        <v>7.6636800000000003</v>
      </c>
      <c r="JU44" s="6">
        <f>日流量!JU44*24*3600/100000000</f>
        <v>7.80192</v>
      </c>
      <c r="JV44" s="6">
        <f>日流量!JV44*24*3600/100000000</f>
        <v>8.2252799999999997</v>
      </c>
      <c r="JW44" s="6">
        <f>日流量!JW44*24*3600/100000000</f>
        <v>8.1734399999999994</v>
      </c>
      <c r="JX44" s="6">
        <f>日流量!JX44*24*3600/100000000</f>
        <v>7.7155199999999997</v>
      </c>
      <c r="JY44" s="6">
        <f>日流量!JY44*24*3600/100000000</f>
        <v>7.2489600000000003</v>
      </c>
      <c r="JZ44" s="6">
        <f>日流量!JZ44*24*3600/100000000</f>
        <v>6.8083200000000001</v>
      </c>
      <c r="KA44" s="6">
        <f>日流量!KA44*24*3600/100000000</f>
        <v>6.4195200000000003</v>
      </c>
      <c r="KB44" s="6">
        <f>日流量!KB44*24*3600/100000000</f>
        <v>6.0134400000000001</v>
      </c>
      <c r="KC44" s="6">
        <f>日流量!KC44*24*3600/100000000</f>
        <v>5.6937600000000002</v>
      </c>
      <c r="KD44" s="6">
        <f>日流量!KD44*24*3600/100000000</f>
        <v>5.4172799999999999</v>
      </c>
      <c r="KE44" s="6">
        <f>日流量!KE44*24*3600/100000000</f>
        <v>5.1667199999999998</v>
      </c>
      <c r="KF44" s="6">
        <f>日流量!KF44*24*3600/100000000</f>
        <v>4.9593600000000002</v>
      </c>
      <c r="KG44" s="6">
        <f>日流量!KG44*24*3600/100000000</f>
        <v>4.7865599999999997</v>
      </c>
      <c r="KH44" s="6">
        <f>日流量!KH44*24*3600/100000000</f>
        <v>4.64832</v>
      </c>
      <c r="KI44" s="6">
        <f>日流量!KI44*24*3600/100000000</f>
        <v>4.4841600000000001</v>
      </c>
      <c r="KJ44" s="6">
        <f>日流量!KJ44*24*3600/100000000</f>
        <v>4.4323199999999998</v>
      </c>
      <c r="KK44" s="6">
        <f>日流量!KK44*24*3600/100000000</f>
        <v>4.26816</v>
      </c>
      <c r="KL44" s="6">
        <f>日流量!KL44*24*3600/100000000</f>
        <v>4.1904000000000003</v>
      </c>
      <c r="KM44" s="6">
        <f>日流量!KM44*24*3600/100000000</f>
        <v>4.1731199999999999</v>
      </c>
      <c r="KN44" s="6">
        <f>日流量!KN44*24*3600/100000000</f>
        <v>4.04352</v>
      </c>
      <c r="KO44" s="6">
        <f>日流量!KO44*24*3600/100000000</f>
        <v>3.9312</v>
      </c>
      <c r="KP44" s="6">
        <f>日流量!KP44*24*3600/100000000</f>
        <v>3.8448000000000002</v>
      </c>
      <c r="KQ44" s="6">
        <f>日流量!KQ44*24*3600/100000000</f>
        <v>3.7584</v>
      </c>
      <c r="KR44" s="6">
        <f>日流量!KR44*24*3600/100000000</f>
        <v>3.6720000000000002</v>
      </c>
      <c r="KS44" s="6">
        <f>日流量!KS44*24*3600/100000000</f>
        <v>3.5942400000000001</v>
      </c>
      <c r="KT44" s="6">
        <f>日流量!KT44*24*3600/100000000</f>
        <v>3.5078399999999998</v>
      </c>
      <c r="KU44" s="6">
        <f>日流量!KU44*24*3600/100000000</f>
        <v>3.6201599999999998</v>
      </c>
      <c r="KV44" s="6">
        <f>日流量!KV44*24*3600/100000000</f>
        <v>4.04352</v>
      </c>
      <c r="KW44" s="6">
        <f>日流量!KW44*24*3600/100000000</f>
        <v>4.1471999999999998</v>
      </c>
      <c r="KX44" s="6">
        <f>日流量!KX44*24*3600/100000000</f>
        <v>3.8275199999999998</v>
      </c>
      <c r="KY44" s="6">
        <f>日流量!KY44*24*3600/100000000</f>
        <v>3.5855999999999999</v>
      </c>
      <c r="KZ44" s="6">
        <f>日流量!KZ44*24*3600/100000000</f>
        <v>3.4300799999999998</v>
      </c>
      <c r="LA44" s="6">
        <f>日流量!LA44*24*3600/100000000</f>
        <v>3.3091200000000001</v>
      </c>
      <c r="LB44" s="6">
        <f>日流量!LB44*24*3600/100000000</f>
        <v>3.2227199999999998</v>
      </c>
      <c r="LC44" s="6">
        <f>日流量!LC44*24*3600/100000000</f>
        <v>3.13632</v>
      </c>
      <c r="LD44" s="6">
        <f>日流量!LD44*24*3600/100000000</f>
        <v>3.0672000000000001</v>
      </c>
      <c r="LE44" s="6">
        <f>日流量!LE44*24*3600/100000000</f>
        <v>2.9980799999999999</v>
      </c>
      <c r="LF44" s="6">
        <f>日流量!LF44*24*3600/100000000</f>
        <v>2.91168</v>
      </c>
      <c r="LG44" s="6">
        <f>日流量!LG44*24*3600/100000000</f>
        <v>2.8425600000000002</v>
      </c>
      <c r="LH44" s="6">
        <f>日流量!LH44*24*3600/100000000</f>
        <v>2.7648000000000001</v>
      </c>
      <c r="LI44" s="6">
        <f>日流量!LI44*24*3600/100000000</f>
        <v>2.6956799999999999</v>
      </c>
      <c r="LJ44" s="6">
        <f>日流量!LJ44*24*3600/100000000</f>
        <v>2.64384</v>
      </c>
      <c r="LK44" s="6">
        <f>日流量!LK44*24*3600/100000000</f>
        <v>2.6006399999999998</v>
      </c>
      <c r="LL44" s="6">
        <f>日流量!LL44*24*3600/100000000</f>
        <v>2.5488</v>
      </c>
      <c r="LM44" s="6">
        <f>日流量!LM44*24*3600/100000000</f>
        <v>2.4883199999999999</v>
      </c>
      <c r="LN44" s="6">
        <f>日流量!LN44*24*3600/100000000</f>
        <v>2.43648</v>
      </c>
      <c r="LO44" s="6">
        <f>日流量!LO44*24*3600/100000000</f>
        <v>2.3846400000000001</v>
      </c>
      <c r="LP44" s="6">
        <f>日流量!LP44*24*3600/100000000</f>
        <v>2.34144</v>
      </c>
      <c r="LQ44" s="6">
        <f>日流量!LQ44*24*3600/100000000</f>
        <v>2.2982399999999998</v>
      </c>
      <c r="LR44" s="6">
        <f>日流量!LR44*24*3600/100000000</f>
        <v>2.2550400000000002</v>
      </c>
      <c r="LS44" s="6">
        <f>日流量!LS44*24*3600/100000000</f>
        <v>2.2204799999999998</v>
      </c>
      <c r="LT44" s="6">
        <f>日流量!LT44*24*3600/100000000</f>
        <v>2.21184</v>
      </c>
      <c r="LU44" s="6">
        <f>日流量!LU44*24*3600/100000000</f>
        <v>2.1772800000000001</v>
      </c>
      <c r="LV44" s="6">
        <f>日流量!LV44*24*3600/100000000</f>
        <v>2.1686399999999999</v>
      </c>
      <c r="LW44" s="6">
        <f>日流量!LW44*24*3600/100000000</f>
        <v>2.13408</v>
      </c>
      <c r="LX44" s="6">
        <f>日流量!LX44*24*3600/100000000</f>
        <v>2.0908799999999998</v>
      </c>
      <c r="LY44" s="6">
        <f>日流量!LY44*24*3600/100000000</f>
        <v>2.0649600000000001</v>
      </c>
      <c r="LZ44" s="6">
        <f>日流量!LZ44*24*3600/100000000</f>
        <v>2.03904</v>
      </c>
      <c r="MA44" s="6">
        <f>日流量!MA44*24*3600/100000000</f>
        <v>2.02176</v>
      </c>
      <c r="MB44" s="6">
        <f>日流量!MB44*24*3600/100000000</f>
        <v>1.9785600000000001</v>
      </c>
      <c r="MC44" s="6">
        <f>日流量!MC44*24*3600/100000000</f>
        <v>1.9526399999999999</v>
      </c>
      <c r="MD44" s="6">
        <f>日流量!MD44*24*3600/100000000</f>
        <v>1.92672</v>
      </c>
      <c r="ME44" s="6">
        <f>日流量!ME44*24*3600/100000000</f>
        <v>1.9008</v>
      </c>
      <c r="MF44" s="6">
        <f>日流量!MF44*24*3600/100000000</f>
        <v>1.8662399999999999</v>
      </c>
      <c r="MG44" s="6">
        <f>日流量!MG44*24*3600/100000000</f>
        <v>1.83168</v>
      </c>
      <c r="MH44" s="6">
        <f>日流量!MH44*24*3600/100000000</f>
        <v>1.7884800000000001</v>
      </c>
      <c r="MI44" s="6">
        <f>日流量!MI44*24*3600/100000000</f>
        <v>1.7625599999999999</v>
      </c>
      <c r="MJ44" s="6">
        <f>日流量!MJ44*24*3600/100000000</f>
        <v>1.7452799999999999</v>
      </c>
      <c r="MK44" s="6">
        <f>日流量!MK44*24*3600/100000000</f>
        <v>1.728</v>
      </c>
      <c r="ML44" s="6">
        <f>日流量!ML44*24*3600/100000000</f>
        <v>1.71072</v>
      </c>
      <c r="MM44" s="6">
        <f>日流量!MM44*24*3600/100000000</f>
        <v>1.6934400000000001</v>
      </c>
      <c r="MN44" s="6">
        <f>日流量!MN44*24*3600/100000000</f>
        <v>1.6848000000000001</v>
      </c>
      <c r="MO44" s="6">
        <f>日流量!MO44*24*3600/100000000</f>
        <v>1.6934400000000001</v>
      </c>
      <c r="MP44" s="6">
        <f>日流量!MP44*24*3600/100000000</f>
        <v>1.6588799999999999</v>
      </c>
      <c r="MQ44" s="6">
        <f>日流量!MQ44*24*3600/100000000</f>
        <v>1.6415999999999999</v>
      </c>
      <c r="MR44" s="6">
        <f>日流量!MR44*24*3600/100000000</f>
        <v>1.61568</v>
      </c>
      <c r="MS44" s="6">
        <f>日流量!MS44*24*3600/100000000</f>
        <v>1.5984</v>
      </c>
      <c r="MT44" s="6">
        <f>日流量!MT44*24*3600/100000000</f>
        <v>1.5811200000000001</v>
      </c>
      <c r="MU44" s="6">
        <f>日流量!MU44*24*3600/100000000</f>
        <v>1.5724800000000001</v>
      </c>
      <c r="MV44" s="6">
        <f>日流量!MV44*24*3600/100000000</f>
        <v>1.5551999999999999</v>
      </c>
      <c r="MW44" s="6">
        <f>日流量!MW44*24*3600/100000000</f>
        <v>1.5465599999999999</v>
      </c>
      <c r="MX44" s="6">
        <f>日流量!MX44*24*3600/100000000</f>
        <v>1.53792</v>
      </c>
      <c r="MY44" s="6">
        <f>日流量!MY44*24*3600/100000000</f>
        <v>1.53792</v>
      </c>
      <c r="MZ44" s="6">
        <f>日流量!MZ44*24*3600/100000000</f>
        <v>1.5465599999999999</v>
      </c>
      <c r="NA44" s="6">
        <f>日流量!NA44*24*3600/100000000</f>
        <v>1.5551999999999999</v>
      </c>
      <c r="NB44" s="6">
        <f>日流量!NB44*24*3600/100000000</f>
        <v>1.5551999999999999</v>
      </c>
      <c r="NC44" s="6"/>
      <c r="ND44" s="6">
        <f>日流量!ND44*24*3600*31/100000000</f>
        <v>44.193600000000004</v>
      </c>
      <c r="NE44" s="6">
        <f>日流量!NE44*24*3600*28/100000000</f>
        <v>33.8688</v>
      </c>
      <c r="NF44" s="6">
        <f>日流量!NF44*24*3600*31/100000000</f>
        <v>35.087040000000002</v>
      </c>
      <c r="NG44" s="6">
        <f>日流量!NG44*24*3600*30/100000000</f>
        <v>35.769599999999997</v>
      </c>
      <c r="NH44" s="6">
        <f>日流量!NH44*24*3600*31/100000000</f>
        <v>58.389119999999998</v>
      </c>
      <c r="NI44" s="6">
        <f>日流量!NI44*24*3600*30/100000000</f>
        <v>103.16160000000001</v>
      </c>
      <c r="NJ44" s="6">
        <f>日流量!NJ44*24*3600*31/100000000</f>
        <v>260.07263999999998</v>
      </c>
      <c r="NK44" s="6">
        <f>日流量!NK44*24*3600*31/100000000</f>
        <v>377.65440000000001</v>
      </c>
      <c r="NL44" s="6">
        <f>日流量!NL44*24*3600*30/100000000</f>
        <v>308.44799999999998</v>
      </c>
      <c r="NM44" s="6">
        <f>日流量!NM44*24*3600*31/100000000</f>
        <v>178.11359999999999</v>
      </c>
      <c r="NN44" s="6">
        <f>日流量!NN44*24*3600*30/100000000</f>
        <v>84.499200000000002</v>
      </c>
      <c r="NO44" s="6">
        <f>日流量!NO44*24*3600*31/100000000</f>
        <v>53.567999999999998</v>
      </c>
      <c r="NP44" s="14">
        <f t="shared" si="10"/>
        <v>1572.8255999999999</v>
      </c>
      <c r="NQ44" s="6">
        <f>日流量!NQ44*24*3600/100000000</f>
        <v>18.143999999999998</v>
      </c>
      <c r="NR44" s="4">
        <f>日流量!NR44</f>
        <v>42599</v>
      </c>
      <c r="NS44" s="6">
        <f>日流量!NS44*24*3600/100000000</f>
        <v>1.10592</v>
      </c>
      <c r="NT44" s="4">
        <f>日流量!NT44</f>
        <v>42443</v>
      </c>
      <c r="NU44" s="7">
        <f>日流量!NP44</f>
        <v>4986.4931506849316</v>
      </c>
      <c r="NW44" s="13">
        <f t="shared" si="0"/>
        <v>1285.8393599999997</v>
      </c>
      <c r="NX44" s="12">
        <f t="shared" si="1"/>
        <v>81.753460777851004</v>
      </c>
      <c r="NY44" s="13">
        <f t="shared" si="2"/>
        <v>1049.33664</v>
      </c>
      <c r="NZ44" s="12">
        <f t="shared" si="3"/>
        <v>66.716655680070318</v>
      </c>
      <c r="OA44" s="13">
        <f t="shared" si="4"/>
        <v>286.98624000000018</v>
      </c>
      <c r="OB44" s="12">
        <f t="shared" si="5"/>
        <v>18.246539222148993</v>
      </c>
      <c r="OC44" s="13">
        <f t="shared" si="6"/>
        <v>377.65440000000001</v>
      </c>
      <c r="OD44" s="12">
        <f t="shared" si="7"/>
        <v>24.011206328279503</v>
      </c>
      <c r="OE44" s="12">
        <f t="shared" si="8"/>
        <v>367.48261682242992</v>
      </c>
      <c r="OF44" s="12">
        <f t="shared" si="9"/>
        <v>11.652797337088723</v>
      </c>
    </row>
    <row r="45" spans="1:396" x14ac:dyDescent="0.15">
      <c r="A45" s="2">
        <v>1992</v>
      </c>
      <c r="B45" s="6">
        <f>日流量!B45*24*3600/100000000</f>
        <v>1.5724800000000001</v>
      </c>
      <c r="C45" s="6">
        <f>日流量!C45*24*3600/100000000</f>
        <v>1.53792</v>
      </c>
      <c r="D45" s="6">
        <f>日流量!D45*24*3600/100000000</f>
        <v>1.512</v>
      </c>
      <c r="E45" s="6">
        <f>日流量!E45*24*3600/100000000</f>
        <v>1.49472</v>
      </c>
      <c r="F45" s="6">
        <f>日流量!F45*24*3600/100000000</f>
        <v>1.4601599999999999</v>
      </c>
      <c r="G45" s="6">
        <f>日流量!G45*24*3600/100000000</f>
        <v>1.41696</v>
      </c>
      <c r="H45" s="6">
        <f>日流量!H45*24*3600/100000000</f>
        <v>1.3824000000000001</v>
      </c>
      <c r="I45" s="6">
        <f>日流量!I45*24*3600/100000000</f>
        <v>1.3564799999999999</v>
      </c>
      <c r="J45" s="6">
        <f>日流量!J45*24*3600/100000000</f>
        <v>1.3391999999999999</v>
      </c>
      <c r="K45" s="6">
        <f>日流量!K45*24*3600/100000000</f>
        <v>1.3391999999999999</v>
      </c>
      <c r="L45" s="6">
        <f>日流量!L45*24*3600/100000000</f>
        <v>1.3391999999999999</v>
      </c>
      <c r="M45" s="6">
        <f>日流量!M45*24*3600/100000000</f>
        <v>1.33056</v>
      </c>
      <c r="N45" s="6">
        <f>日流量!N45*24*3600/100000000</f>
        <v>1.32192</v>
      </c>
      <c r="O45" s="6">
        <f>日流量!O45*24*3600/100000000</f>
        <v>1.31328</v>
      </c>
      <c r="P45" s="6">
        <f>日流量!P45*24*3600/100000000</f>
        <v>1.30464</v>
      </c>
      <c r="Q45" s="6">
        <f>日流量!Q45*24*3600/100000000</f>
        <v>1.296</v>
      </c>
      <c r="R45" s="6">
        <f>日流量!R45*24*3600/100000000</f>
        <v>1.31328</v>
      </c>
      <c r="S45" s="6">
        <f>日流量!S45*24*3600/100000000</f>
        <v>1.32192</v>
      </c>
      <c r="T45" s="6">
        <f>日流量!T45*24*3600/100000000</f>
        <v>1.296</v>
      </c>
      <c r="U45" s="6">
        <f>日流量!U45*24*3600/100000000</f>
        <v>1.296</v>
      </c>
      <c r="V45" s="6">
        <f>日流量!V45*24*3600/100000000</f>
        <v>1.2873600000000001</v>
      </c>
      <c r="W45" s="6">
        <f>日流量!W45*24*3600/100000000</f>
        <v>1.2787200000000001</v>
      </c>
      <c r="X45" s="6">
        <f>日流量!X45*24*3600/100000000</f>
        <v>1.2787200000000001</v>
      </c>
      <c r="Y45" s="6">
        <f>日流量!Y45*24*3600/100000000</f>
        <v>1.2700800000000001</v>
      </c>
      <c r="Z45" s="6">
        <f>日流量!Z45*24*3600/100000000</f>
        <v>1.2700800000000001</v>
      </c>
      <c r="AA45" s="6">
        <f>日流量!AA45*24*3600/100000000</f>
        <v>1.2614399999999999</v>
      </c>
      <c r="AB45" s="6">
        <f>日流量!AB45*24*3600/100000000</f>
        <v>1.23552</v>
      </c>
      <c r="AC45" s="6">
        <f>日流量!AC45*24*3600/100000000</f>
        <v>1.22688</v>
      </c>
      <c r="AD45" s="6">
        <f>日流量!AD45*24*3600/100000000</f>
        <v>1.20096</v>
      </c>
      <c r="AE45" s="6">
        <f>日流量!AE45*24*3600/100000000</f>
        <v>1.1836800000000001</v>
      </c>
      <c r="AF45" s="6">
        <f>日流量!AF45*24*3600/100000000</f>
        <v>1.1750400000000001</v>
      </c>
      <c r="AG45" s="6">
        <f>日流量!AG45*24*3600/100000000</f>
        <v>1.1664000000000001</v>
      </c>
      <c r="AH45" s="6">
        <f>日流量!AH45*24*3600/100000000</f>
        <v>1.1577599999999999</v>
      </c>
      <c r="AI45" s="6">
        <f>日流量!AI45*24*3600/100000000</f>
        <v>1.1491199999999999</v>
      </c>
      <c r="AJ45" s="6">
        <f>日流量!AJ45*24*3600/100000000</f>
        <v>1.1404799999999999</v>
      </c>
      <c r="AK45" s="6">
        <f>日流量!AK45*24*3600/100000000</f>
        <v>1.1491199999999999</v>
      </c>
      <c r="AL45" s="6">
        <f>日流量!AL45*24*3600/100000000</f>
        <v>1.1664000000000001</v>
      </c>
      <c r="AM45" s="6">
        <f>日流量!AM45*24*3600/100000000</f>
        <v>1.1664000000000001</v>
      </c>
      <c r="AN45" s="6">
        <f>日流量!AN45*24*3600/100000000</f>
        <v>1.1577599999999999</v>
      </c>
      <c r="AO45" s="6">
        <f>日流量!AO45*24*3600/100000000</f>
        <v>1.1491199999999999</v>
      </c>
      <c r="AP45" s="6">
        <f>日流量!AP45*24*3600/100000000</f>
        <v>1.13184</v>
      </c>
      <c r="AQ45" s="6">
        <f>日流量!AQ45*24*3600/100000000</f>
        <v>1.1232</v>
      </c>
      <c r="AR45" s="6">
        <f>日流量!AR45*24*3600/100000000</f>
        <v>1.10592</v>
      </c>
      <c r="AS45" s="6">
        <f>日流量!AS45*24*3600/100000000</f>
        <v>1.0713600000000001</v>
      </c>
      <c r="AT45" s="6">
        <f>日流量!AT45*24*3600/100000000</f>
        <v>1.0540799999999999</v>
      </c>
      <c r="AU45" s="6">
        <f>日流量!AU45*24*3600/100000000</f>
        <v>1.0454399999999999</v>
      </c>
      <c r="AV45" s="6">
        <f>日流量!AV45*24*3600/100000000</f>
        <v>1.0454399999999999</v>
      </c>
      <c r="AW45" s="6">
        <f>日流量!AW45*24*3600/100000000</f>
        <v>1.0454399999999999</v>
      </c>
      <c r="AX45" s="6">
        <f>日流量!AX45*24*3600/100000000</f>
        <v>1.0454399999999999</v>
      </c>
      <c r="AY45" s="6">
        <f>日流量!AY45*24*3600/100000000</f>
        <v>1.02816</v>
      </c>
      <c r="AZ45" s="6">
        <f>日流量!AZ45*24*3600/100000000</f>
        <v>1.02816</v>
      </c>
      <c r="BA45" s="6">
        <f>日流量!BA45*24*3600/100000000</f>
        <v>1.0454399999999999</v>
      </c>
      <c r="BB45" s="6">
        <f>日流量!BB45*24*3600/100000000</f>
        <v>1.0454399999999999</v>
      </c>
      <c r="BC45" s="6">
        <f>日流量!BC45*24*3600/100000000</f>
        <v>1.0454399999999999</v>
      </c>
      <c r="BD45" s="6">
        <f>日流量!BD45*24*3600/100000000</f>
        <v>1.0367999999999999</v>
      </c>
      <c r="BE45" s="6">
        <f>日流量!BE45*24*3600/100000000</f>
        <v>1.02816</v>
      </c>
      <c r="BF45" s="6">
        <f>日流量!BF45*24*3600/100000000</f>
        <v>1.02816</v>
      </c>
      <c r="BG45" s="6">
        <f>日流量!BG45*24*3600/100000000</f>
        <v>1.0540799999999999</v>
      </c>
      <c r="BH45" s="6">
        <f>日流量!BH45*24*3600/100000000</f>
        <v>1.0540799999999999</v>
      </c>
      <c r="BI45" s="6">
        <f>日流量!BI45*24*3600/100000000</f>
        <v>1.0540799999999999</v>
      </c>
      <c r="BJ45" s="6">
        <f>日流量!BJ45*24*3600/100000000</f>
        <v>1.0367999999999999</v>
      </c>
      <c r="BK45" s="6">
        <f>日流量!BK45*24*3600/100000000</f>
        <v>1.01952</v>
      </c>
      <c r="BL45" s="6">
        <f>日流量!BL45*24*3600/100000000</f>
        <v>1.00224</v>
      </c>
      <c r="BM45" s="6">
        <f>日流量!BM45*24*3600/100000000</f>
        <v>0.99360000000000004</v>
      </c>
      <c r="BN45" s="6">
        <f>日流量!BN45*24*3600/100000000</f>
        <v>0.98495999999999995</v>
      </c>
      <c r="BO45" s="6">
        <f>日流量!BO45*24*3600/100000000</f>
        <v>0.98495999999999995</v>
      </c>
      <c r="BP45" s="6">
        <f>日流量!BP45*24*3600/100000000</f>
        <v>0.98495999999999995</v>
      </c>
      <c r="BQ45" s="6">
        <f>日流量!BQ45*24*3600/100000000</f>
        <v>0.98495999999999995</v>
      </c>
      <c r="BR45" s="6">
        <f>日流量!BR45*24*3600/100000000</f>
        <v>0.98495999999999995</v>
      </c>
      <c r="BS45" s="6">
        <f>日流量!BS45*24*3600/100000000</f>
        <v>0.98495999999999995</v>
      </c>
      <c r="BT45" s="6">
        <f>日流量!BT45*24*3600/100000000</f>
        <v>0.97631999999999997</v>
      </c>
      <c r="BU45" s="6">
        <f>日流量!BU45*24*3600/100000000</f>
        <v>0.96767999999999998</v>
      </c>
      <c r="BV45" s="6">
        <f>日流量!BV45*24*3600/100000000</f>
        <v>0.96767999999999998</v>
      </c>
      <c r="BW45" s="6">
        <f>日流量!BW45*24*3600/100000000</f>
        <v>0.95904</v>
      </c>
      <c r="BX45" s="6">
        <f>日流量!BX45*24*3600/100000000</f>
        <v>0.95904</v>
      </c>
      <c r="BY45" s="6">
        <f>日流量!BY45*24*3600/100000000</f>
        <v>0.95904</v>
      </c>
      <c r="BZ45" s="6">
        <f>日流量!BZ45*24*3600/100000000</f>
        <v>0.95904</v>
      </c>
      <c r="CA45" s="6">
        <f>日流量!CA45*24*3600/100000000</f>
        <v>0.95904</v>
      </c>
      <c r="CB45" s="6">
        <f>日流量!CB45*24*3600/100000000</f>
        <v>0.98495999999999995</v>
      </c>
      <c r="CC45" s="6">
        <f>日流量!CC45*24*3600/100000000</f>
        <v>1.02816</v>
      </c>
      <c r="CD45" s="6">
        <f>日流量!CD45*24*3600/100000000</f>
        <v>1.0367999999999999</v>
      </c>
      <c r="CE45" s="6">
        <f>日流量!CE45*24*3600/100000000</f>
        <v>1.01952</v>
      </c>
      <c r="CF45" s="6">
        <f>日流量!CF45*24*3600/100000000</f>
        <v>1.00224</v>
      </c>
      <c r="CG45" s="6">
        <f>日流量!CG45*24*3600/100000000</f>
        <v>1.00224</v>
      </c>
      <c r="CH45" s="6">
        <f>日流量!CH45*24*3600/100000000</f>
        <v>0.99360000000000004</v>
      </c>
      <c r="CI45" s="6">
        <f>日流量!CI45*24*3600/100000000</f>
        <v>1.01952</v>
      </c>
      <c r="CJ45" s="6">
        <f>日流量!CJ45*24*3600/100000000</f>
        <v>1.08</v>
      </c>
      <c r="CK45" s="6">
        <f>日流量!CK45*24*3600/100000000</f>
        <v>1.21824</v>
      </c>
      <c r="CL45" s="6">
        <f>日流量!CL45*24*3600/100000000</f>
        <v>1.2787200000000001</v>
      </c>
      <c r="CM45" s="6">
        <f>日流量!CM45*24*3600/100000000</f>
        <v>1.23552</v>
      </c>
      <c r="CN45" s="6">
        <f>日流量!CN45*24*3600/100000000</f>
        <v>1.2096</v>
      </c>
      <c r="CO45" s="6">
        <f>日流量!CO45*24*3600/100000000</f>
        <v>1.23552</v>
      </c>
      <c r="CP45" s="6">
        <f>日流量!CP45*24*3600/100000000</f>
        <v>1.2873600000000001</v>
      </c>
      <c r="CQ45" s="6">
        <f>日流量!CQ45*24*3600/100000000</f>
        <v>1.3564799999999999</v>
      </c>
      <c r="CR45" s="6">
        <f>日流量!CR45*24*3600/100000000</f>
        <v>1.39968</v>
      </c>
      <c r="CS45" s="6">
        <f>日流量!CS45*24*3600/100000000</f>
        <v>1.4256</v>
      </c>
      <c r="CT45" s="6">
        <f>日流量!CT45*24*3600/100000000</f>
        <v>1.4515199999999999</v>
      </c>
      <c r="CU45" s="6">
        <f>日流量!CU45*24*3600/100000000</f>
        <v>1.3824000000000001</v>
      </c>
      <c r="CV45" s="6">
        <f>日流量!CV45*24*3600/100000000</f>
        <v>1.296</v>
      </c>
      <c r="CW45" s="6">
        <f>日流量!CW45*24*3600/100000000</f>
        <v>1.2614399999999999</v>
      </c>
      <c r="CX45" s="6">
        <f>日流量!CX45*24*3600/100000000</f>
        <v>1.2614399999999999</v>
      </c>
      <c r="CY45" s="6">
        <f>日流量!CY45*24*3600/100000000</f>
        <v>1.2700800000000001</v>
      </c>
      <c r="CZ45" s="6">
        <f>日流量!CZ45*24*3600/100000000</f>
        <v>1.2787200000000001</v>
      </c>
      <c r="DA45" s="6">
        <f>日流量!DA45*24*3600/100000000</f>
        <v>1.3564799999999999</v>
      </c>
      <c r="DB45" s="6">
        <f>日流量!DB45*24*3600/100000000</f>
        <v>1.52064</v>
      </c>
      <c r="DC45" s="6">
        <f>日流量!DC45*24*3600/100000000</f>
        <v>1.70208</v>
      </c>
      <c r="DD45" s="6">
        <f>日流量!DD45*24*3600/100000000</f>
        <v>1.82304</v>
      </c>
      <c r="DE45" s="6">
        <f>日流量!DE45*24*3600/100000000</f>
        <v>1.9612799999999999</v>
      </c>
      <c r="DF45" s="6">
        <f>日流量!DF45*24*3600/100000000</f>
        <v>2.0131199999999998</v>
      </c>
      <c r="DG45" s="6">
        <f>日流量!DG45*24*3600/100000000</f>
        <v>1.9785600000000001</v>
      </c>
      <c r="DH45" s="6">
        <f>日流量!DH45*24*3600/100000000</f>
        <v>1.90944</v>
      </c>
      <c r="DI45" s="6">
        <f>日流量!DI45*24*3600/100000000</f>
        <v>1.82304</v>
      </c>
      <c r="DJ45" s="6">
        <f>日流量!DJ45*24*3600/100000000</f>
        <v>1.73664</v>
      </c>
      <c r="DK45" s="6">
        <f>日流量!DK45*24*3600/100000000</f>
        <v>1.70208</v>
      </c>
      <c r="DL45" s="6">
        <f>日流量!DL45*24*3600/100000000</f>
        <v>1.71936</v>
      </c>
      <c r="DM45" s="6">
        <f>日流量!DM45*24*3600/100000000</f>
        <v>1.8489599999999999</v>
      </c>
      <c r="DN45" s="6">
        <f>日流量!DN45*24*3600/100000000</f>
        <v>1.9008</v>
      </c>
      <c r="DO45" s="6">
        <f>日流量!DO45*24*3600/100000000</f>
        <v>1.944</v>
      </c>
      <c r="DP45" s="6">
        <f>日流量!DP45*24*3600/100000000</f>
        <v>1.90944</v>
      </c>
      <c r="DQ45" s="6">
        <f>日流量!DQ45*24*3600/100000000</f>
        <v>1.91808</v>
      </c>
      <c r="DR45" s="6">
        <f>日流量!DR45*24*3600/100000000</f>
        <v>1.91808</v>
      </c>
      <c r="DS45" s="6">
        <f>日流量!DS45*24*3600/100000000</f>
        <v>1.8748800000000001</v>
      </c>
      <c r="DT45" s="6">
        <f>日流量!DT45*24*3600/100000000</f>
        <v>1.83168</v>
      </c>
      <c r="DU45" s="6">
        <f>日流量!DU45*24*3600/100000000</f>
        <v>1.82304</v>
      </c>
      <c r="DV45" s="6">
        <f>日流量!DV45*24*3600/100000000</f>
        <v>1.8144</v>
      </c>
      <c r="DW45" s="6">
        <f>日流量!DW45*24*3600/100000000</f>
        <v>1.83168</v>
      </c>
      <c r="DX45" s="6">
        <f>日流量!DX45*24*3600/100000000</f>
        <v>1.944</v>
      </c>
      <c r="DY45" s="6">
        <f>日流量!DY45*24*3600/100000000</f>
        <v>2.0649600000000001</v>
      </c>
      <c r="DZ45" s="6">
        <f>日流量!DZ45*24*3600/100000000</f>
        <v>2.0649600000000001</v>
      </c>
      <c r="EA45" s="6">
        <f>日流量!EA45*24*3600/100000000</f>
        <v>1.9958400000000001</v>
      </c>
      <c r="EB45" s="6">
        <f>日流量!EB45*24*3600/100000000</f>
        <v>1.93536</v>
      </c>
      <c r="EC45" s="6">
        <f>日流量!EC45*24*3600/100000000</f>
        <v>1.8489599999999999</v>
      </c>
      <c r="ED45" s="6">
        <f>日流量!ED45*24*3600/100000000</f>
        <v>1.7884800000000001</v>
      </c>
      <c r="EE45" s="6">
        <f>日流量!EE45*24*3600/100000000</f>
        <v>1.7539199999999999</v>
      </c>
      <c r="EF45" s="6">
        <f>日流量!EF45*24*3600/100000000</f>
        <v>1.71072</v>
      </c>
      <c r="EG45" s="6">
        <f>日流量!EG45*24*3600/100000000</f>
        <v>1.6588799999999999</v>
      </c>
      <c r="EH45" s="6">
        <f>日流量!EH45*24*3600/100000000</f>
        <v>1.60704</v>
      </c>
      <c r="EI45" s="6">
        <f>日流量!EI45*24*3600/100000000</f>
        <v>1.5984</v>
      </c>
      <c r="EJ45" s="6">
        <f>日流量!EJ45*24*3600/100000000</f>
        <v>1.62432</v>
      </c>
      <c r="EK45" s="6">
        <f>日流量!EK45*24*3600/100000000</f>
        <v>1.63296</v>
      </c>
      <c r="EL45" s="6">
        <f>日流量!EL45*24*3600/100000000</f>
        <v>1.6675199999999999</v>
      </c>
      <c r="EM45" s="6">
        <f>日流量!EM45*24*3600/100000000</f>
        <v>1.7971200000000001</v>
      </c>
      <c r="EN45" s="6">
        <f>日流量!EN45*24*3600/100000000</f>
        <v>1.9008</v>
      </c>
      <c r="EO45" s="6">
        <f>日流量!EO45*24*3600/100000000</f>
        <v>1.8575999999999999</v>
      </c>
      <c r="EP45" s="6">
        <f>日流量!EP45*24*3600/100000000</f>
        <v>1.8144</v>
      </c>
      <c r="EQ45" s="6">
        <f>日流量!EQ45*24*3600/100000000</f>
        <v>1.90944</v>
      </c>
      <c r="ER45" s="6">
        <f>日流量!ER45*24*3600/100000000</f>
        <v>1.9958400000000001</v>
      </c>
      <c r="ES45" s="6">
        <f>日流量!ES45*24*3600/100000000</f>
        <v>2.0822400000000001</v>
      </c>
      <c r="ET45" s="6">
        <f>日流量!ET45*24*3600/100000000</f>
        <v>2.1427200000000002</v>
      </c>
      <c r="EU45" s="6">
        <f>日流量!EU45*24*3600/100000000</f>
        <v>2.16</v>
      </c>
      <c r="EV45" s="6">
        <f>日流量!EV45*24*3600/100000000</f>
        <v>2.1254400000000002</v>
      </c>
      <c r="EW45" s="6">
        <f>日流量!EW45*24*3600/100000000</f>
        <v>2.1686399999999999</v>
      </c>
      <c r="EX45" s="6">
        <f>日流量!EX45*24*3600/100000000</f>
        <v>2.16</v>
      </c>
      <c r="EY45" s="6">
        <f>日流量!EY45*24*3600/100000000</f>
        <v>2.16</v>
      </c>
      <c r="EZ45" s="6">
        <f>日流量!EZ45*24*3600/100000000</f>
        <v>2.1686399999999999</v>
      </c>
      <c r="FA45" s="6">
        <f>日流量!FA45*24*3600/100000000</f>
        <v>2.2809599999999999</v>
      </c>
      <c r="FB45" s="6">
        <f>日流量!FB45*24*3600/100000000</f>
        <v>2.3587199999999999</v>
      </c>
      <c r="FC45" s="6">
        <f>日流量!FC45*24*3600/100000000</f>
        <v>2.3759999999999999</v>
      </c>
      <c r="FD45" s="6">
        <f>日流量!FD45*24*3600/100000000</f>
        <v>2.3673600000000001</v>
      </c>
      <c r="FE45" s="6">
        <f>日流量!FE45*24*3600/100000000</f>
        <v>2.4451200000000002</v>
      </c>
      <c r="FF45" s="6">
        <f>日流量!FF45*24*3600/100000000</f>
        <v>2.4969600000000001</v>
      </c>
      <c r="FG45" s="6">
        <f>日流量!FG45*24*3600/100000000</f>
        <v>2.3932799999999999</v>
      </c>
      <c r="FH45" s="6">
        <f>日流量!FH45*24*3600/100000000</f>
        <v>2.2464</v>
      </c>
      <c r="FI45" s="6">
        <f>日流量!FI45*24*3600/100000000</f>
        <v>2.0735999999999999</v>
      </c>
      <c r="FJ45" s="6">
        <f>日流量!FJ45*24*3600/100000000</f>
        <v>1.90944</v>
      </c>
      <c r="FK45" s="6">
        <f>日流量!FK45*24*3600/100000000</f>
        <v>1.8144</v>
      </c>
      <c r="FL45" s="6">
        <f>日流量!FL45*24*3600/100000000</f>
        <v>1.7712000000000001</v>
      </c>
      <c r="FM45" s="6">
        <f>日流量!FM45*24*3600/100000000</f>
        <v>1.83168</v>
      </c>
      <c r="FN45" s="6">
        <f>日流量!FN45*24*3600/100000000</f>
        <v>1.9008</v>
      </c>
      <c r="FO45" s="6">
        <f>日流量!FO45*24*3600/100000000</f>
        <v>2.2809599999999999</v>
      </c>
      <c r="FP45" s="6">
        <f>日流量!FP45*24*3600/100000000</f>
        <v>2.2204799999999998</v>
      </c>
      <c r="FQ45" s="6">
        <f>日流量!FQ45*24*3600/100000000</f>
        <v>2.21184</v>
      </c>
      <c r="FR45" s="6">
        <f>日流量!FR45*24*3600/100000000</f>
        <v>2.3587199999999999</v>
      </c>
      <c r="FS45" s="6">
        <f>日流量!FS45*24*3600/100000000</f>
        <v>2.8079999999999998</v>
      </c>
      <c r="FT45" s="6">
        <f>日流量!FT45*24*3600/100000000</f>
        <v>2.7734399999999999</v>
      </c>
      <c r="FU45" s="6">
        <f>日流量!FU45*24*3600/100000000</f>
        <v>2.5747200000000001</v>
      </c>
      <c r="FV45" s="6">
        <f>日流量!FV45*24*3600/100000000</f>
        <v>2.6179199999999998</v>
      </c>
      <c r="FW45" s="6">
        <f>日流量!FW45*24*3600/100000000</f>
        <v>2.6611199999999999</v>
      </c>
      <c r="FX45" s="6">
        <f>日流量!FX45*24*3600/100000000</f>
        <v>2.8425600000000002</v>
      </c>
      <c r="FY45" s="6">
        <f>日流量!FY45*24*3600/100000000</f>
        <v>3.2054399999999998</v>
      </c>
      <c r="FZ45" s="6">
        <f>日流量!FZ45*24*3600/100000000</f>
        <v>3.8966400000000001</v>
      </c>
      <c r="GA45" s="6">
        <f>日流量!GA45*24*3600/100000000</f>
        <v>4.4755200000000004</v>
      </c>
      <c r="GB45" s="6">
        <f>日流量!GB45*24*3600/100000000</f>
        <v>4.74336</v>
      </c>
      <c r="GC45" s="6">
        <f>日流量!GC45*24*3600/100000000</f>
        <v>5.0975999999999999</v>
      </c>
      <c r="GD45" s="6">
        <f>日流量!GD45*24*3600/100000000</f>
        <v>5.5296000000000003</v>
      </c>
      <c r="GE45" s="6">
        <f>日流量!GE45*24*3600/100000000</f>
        <v>5.5296000000000003</v>
      </c>
      <c r="GF45" s="6">
        <f>日流量!GF45*24*3600/100000000</f>
        <v>5.7801600000000004</v>
      </c>
      <c r="GG45" s="6">
        <f>日流量!GG45*24*3600/100000000</f>
        <v>6.0998400000000004</v>
      </c>
      <c r="GH45" s="6">
        <f>日流量!GH45*24*3600/100000000</f>
        <v>6.6268799999999999</v>
      </c>
      <c r="GI45" s="6">
        <f>日流量!GI45*24*3600/100000000</f>
        <v>6.3849600000000004</v>
      </c>
      <c r="GJ45" s="6">
        <f>日流量!GJ45*24*3600/100000000</f>
        <v>6.2985600000000002</v>
      </c>
      <c r="GK45" s="6">
        <f>日流量!GK45*24*3600/100000000</f>
        <v>7.2403199999999996</v>
      </c>
      <c r="GL45" s="6">
        <f>日流量!GL45*24*3600/100000000</f>
        <v>8.3721599999999992</v>
      </c>
      <c r="GM45" s="6">
        <f>日流量!GM45*24*3600/100000000</f>
        <v>7.8710399999999998</v>
      </c>
      <c r="GN45" s="6">
        <f>日流量!GN45*24*3600/100000000</f>
        <v>6.9292800000000003</v>
      </c>
      <c r="GO45" s="6">
        <f>日流量!GO45*24*3600/100000000</f>
        <v>6.3590400000000002</v>
      </c>
      <c r="GP45" s="6">
        <f>日流量!GP45*24*3600/100000000</f>
        <v>6.6182400000000001</v>
      </c>
      <c r="GQ45" s="6">
        <f>日流量!GQ45*24*3600/100000000</f>
        <v>6.97248</v>
      </c>
      <c r="GR45" s="6">
        <f>日流量!GR45*24*3600/100000000</f>
        <v>7.6463999999999999</v>
      </c>
      <c r="GS45" s="6">
        <f>日流量!GS45*24*3600/100000000</f>
        <v>8.5708800000000007</v>
      </c>
      <c r="GT45" s="6">
        <f>日流量!GT45*24*3600/100000000</f>
        <v>8.1302400000000006</v>
      </c>
      <c r="GU45" s="6">
        <f>日流量!GU45*24*3600/100000000</f>
        <v>7.29216</v>
      </c>
      <c r="GV45" s="6">
        <f>日流量!GV45*24*3600/100000000</f>
        <v>6.8342400000000003</v>
      </c>
      <c r="GW45" s="6">
        <f>日流量!GW45*24*3600/100000000</f>
        <v>6.2207999999999997</v>
      </c>
      <c r="GX45" s="6">
        <f>日流量!GX45*24*3600/100000000</f>
        <v>5.7455999999999996</v>
      </c>
      <c r="GY45" s="6">
        <f>日流量!GY45*24*3600/100000000</f>
        <v>5.3308799999999996</v>
      </c>
      <c r="GZ45" s="6">
        <f>日流量!GZ45*24*3600/100000000</f>
        <v>4.8988800000000001</v>
      </c>
      <c r="HA45" s="6">
        <f>日流量!HA45*24*3600/100000000</f>
        <v>4.5792000000000002</v>
      </c>
      <c r="HB45" s="6">
        <f>日流量!HB45*24*3600/100000000</f>
        <v>4.3545600000000002</v>
      </c>
      <c r="HC45" s="6">
        <f>日流量!HC45*24*3600/100000000</f>
        <v>4.32</v>
      </c>
      <c r="HD45" s="6">
        <f>日流量!HD45*24*3600/100000000</f>
        <v>4.4668799999999997</v>
      </c>
      <c r="HE45" s="6">
        <f>日流量!HE45*24*3600/100000000</f>
        <v>4.5878399999999999</v>
      </c>
      <c r="HF45" s="6">
        <f>日流量!HF45*24*3600/100000000</f>
        <v>4.7347200000000003</v>
      </c>
      <c r="HG45" s="6">
        <f>日流量!HG45*24*3600/100000000</f>
        <v>5.0975999999999999</v>
      </c>
      <c r="HH45" s="6">
        <f>日流量!HH45*24*3600/100000000</f>
        <v>5.7542400000000002</v>
      </c>
      <c r="HI45" s="6">
        <f>日流量!HI45*24*3600/100000000</f>
        <v>6.0307199999999996</v>
      </c>
      <c r="HJ45" s="6">
        <f>日流量!HJ45*24*3600/100000000</f>
        <v>6.1257599999999996</v>
      </c>
      <c r="HK45" s="6">
        <f>日流量!HK45*24*3600/100000000</f>
        <v>6.9638400000000003</v>
      </c>
      <c r="HL45" s="6">
        <f>日流量!HL45*24*3600/100000000</f>
        <v>7.4044800000000004</v>
      </c>
      <c r="HM45" s="6">
        <f>日流量!HM45*24*3600/100000000</f>
        <v>6.6959999999999997</v>
      </c>
      <c r="HN45" s="6">
        <f>日流量!HN45*24*3600/100000000</f>
        <v>5.8406399999999996</v>
      </c>
      <c r="HO45" s="6">
        <f>日流量!HO45*24*3600/100000000</f>
        <v>5.2012799999999997</v>
      </c>
      <c r="HP45" s="6">
        <f>日流量!HP45*24*3600/100000000</f>
        <v>4.74336</v>
      </c>
      <c r="HQ45" s="6">
        <f>日流量!HQ45*24*3600/100000000</f>
        <v>4.3632</v>
      </c>
      <c r="HR45" s="6">
        <f>日流量!HR45*24*3600/100000000</f>
        <v>4.04352</v>
      </c>
      <c r="HS45" s="6">
        <f>日流量!HS45*24*3600/100000000</f>
        <v>3.8016000000000001</v>
      </c>
      <c r="HT45" s="6">
        <f>日流量!HT45*24*3600/100000000</f>
        <v>3.5596800000000002</v>
      </c>
      <c r="HU45" s="6">
        <f>日流量!HU45*24*3600/100000000</f>
        <v>3.53376</v>
      </c>
      <c r="HV45" s="6">
        <f>日流量!HV45*24*3600/100000000</f>
        <v>3.5942400000000001</v>
      </c>
      <c r="HW45" s="6">
        <f>日流量!HW45*24*3600/100000000</f>
        <v>3.5942400000000001</v>
      </c>
      <c r="HX45" s="6">
        <f>日流量!HX45*24*3600/100000000</f>
        <v>3.7324799999999998</v>
      </c>
      <c r="HY45" s="6">
        <f>日流量!HY45*24*3600/100000000</f>
        <v>3.74112</v>
      </c>
      <c r="HZ45" s="6">
        <f>日流量!HZ45*24*3600/100000000</f>
        <v>3.6288</v>
      </c>
      <c r="IA45" s="6">
        <f>日流量!IA45*24*3600/100000000</f>
        <v>3.6115200000000001</v>
      </c>
      <c r="IB45" s="6">
        <f>日流量!IB45*24*3600/100000000</f>
        <v>3.7843200000000001</v>
      </c>
      <c r="IC45" s="6">
        <f>日流量!IC45*24*3600/100000000</f>
        <v>3.6892800000000001</v>
      </c>
      <c r="ID45" s="6">
        <f>日流量!ID45*24*3600/100000000</f>
        <v>3.9312</v>
      </c>
      <c r="IE45" s="6">
        <f>日流量!IE45*24*3600/100000000</f>
        <v>4.1126399999999999</v>
      </c>
      <c r="IF45" s="6">
        <f>日流量!IF45*24*3600/100000000</f>
        <v>4.13856</v>
      </c>
      <c r="IG45" s="6">
        <f>日流量!IG45*24*3600/100000000</f>
        <v>4.4668799999999997</v>
      </c>
      <c r="IH45" s="6">
        <f>日流量!IH45*24*3600/100000000</f>
        <v>4.9161599999999996</v>
      </c>
      <c r="II45" s="6">
        <f>日流量!II45*24*3600/100000000</f>
        <v>5.0889600000000002</v>
      </c>
      <c r="IJ45" s="6">
        <f>日流量!IJ45*24*3600/100000000</f>
        <v>5.3740800000000002</v>
      </c>
      <c r="IK45" s="6">
        <f>日流量!IK45*24*3600/100000000</f>
        <v>5.8752000000000004</v>
      </c>
      <c r="IL45" s="6">
        <f>日流量!IL45*24*3600/100000000</f>
        <v>6.7305599999999997</v>
      </c>
      <c r="IM45" s="6">
        <f>日流量!IM45*24*3600/100000000</f>
        <v>6.8428800000000001</v>
      </c>
      <c r="IN45" s="6">
        <f>日流量!IN45*24*3600/100000000</f>
        <v>6.2035200000000001</v>
      </c>
      <c r="IO45" s="6">
        <f>日流量!IO45*24*3600/100000000</f>
        <v>5.5555199999999996</v>
      </c>
      <c r="IP45" s="6">
        <f>日流量!IP45*24*3600/100000000</f>
        <v>4.968</v>
      </c>
      <c r="IQ45" s="6">
        <f>日流量!IQ45*24*3600/100000000</f>
        <v>4.5619199999999998</v>
      </c>
      <c r="IR45" s="6">
        <f>日流量!IR45*24*3600/100000000</f>
        <v>4.2422399999999998</v>
      </c>
      <c r="IS45" s="6">
        <f>日流量!IS45*24*3600/100000000</f>
        <v>4.0521599999999998</v>
      </c>
      <c r="IT45" s="6">
        <f>日流量!IT45*24*3600/100000000</f>
        <v>3.8188800000000001</v>
      </c>
      <c r="IU45" s="6">
        <f>日流量!IU45*24*3600/100000000</f>
        <v>3.9744000000000002</v>
      </c>
      <c r="IV45" s="6">
        <f>日流量!IV45*24*3600/100000000</f>
        <v>3.9139200000000001</v>
      </c>
      <c r="IW45" s="6">
        <f>日流量!IW45*24*3600/100000000</f>
        <v>3.7670400000000002</v>
      </c>
      <c r="IX45" s="6">
        <f>日流量!IX45*24*3600/100000000</f>
        <v>3.6028799999999999</v>
      </c>
      <c r="IY45" s="6">
        <f>日流量!IY45*24*3600/100000000</f>
        <v>3.6288</v>
      </c>
      <c r="IZ45" s="6">
        <f>日流量!IZ45*24*3600/100000000</f>
        <v>3.5769600000000001</v>
      </c>
      <c r="JA45" s="6">
        <f>日流量!JA45*24*3600/100000000</f>
        <v>3.5683199999999999</v>
      </c>
      <c r="JB45" s="6">
        <f>日流量!JB45*24*3600/100000000</f>
        <v>3.7324799999999998</v>
      </c>
      <c r="JC45" s="6">
        <f>日流量!JC45*24*3600/100000000</f>
        <v>4.0521599999999998</v>
      </c>
      <c r="JD45" s="6">
        <f>日流量!JD45*24*3600/100000000</f>
        <v>4.45824</v>
      </c>
      <c r="JE45" s="6">
        <f>日流量!JE45*24*3600/100000000</f>
        <v>4.7519999999999998</v>
      </c>
      <c r="JF45" s="6">
        <f>日流量!JF45*24*3600/100000000</f>
        <v>4.9161599999999996</v>
      </c>
      <c r="JG45" s="6">
        <f>日流量!JG45*24*3600/100000000</f>
        <v>5.1148800000000003</v>
      </c>
      <c r="JH45" s="6">
        <f>日流量!JH45*24*3600/100000000</f>
        <v>4.9075199999999999</v>
      </c>
      <c r="JI45" s="6">
        <f>日流量!JI45*24*3600/100000000</f>
        <v>4.74336</v>
      </c>
      <c r="JJ45" s="6">
        <f>日流量!JJ45*24*3600/100000000</f>
        <v>4.5792000000000002</v>
      </c>
      <c r="JK45" s="6">
        <f>日流量!JK45*24*3600/100000000</f>
        <v>4.7606400000000004</v>
      </c>
      <c r="JL45" s="6">
        <f>日流量!JL45*24*3600/100000000</f>
        <v>4.7260799999999996</v>
      </c>
      <c r="JM45" s="6">
        <f>日流量!JM45*24*3600/100000000</f>
        <v>4.8038400000000001</v>
      </c>
      <c r="JN45" s="6">
        <f>日流量!JN45*24*3600/100000000</f>
        <v>4.74336</v>
      </c>
      <c r="JO45" s="6">
        <f>日流量!JO45*24*3600/100000000</f>
        <v>4.6828799999999999</v>
      </c>
      <c r="JP45" s="6">
        <f>日流量!JP45*24*3600/100000000</f>
        <v>4.4668799999999997</v>
      </c>
      <c r="JQ45" s="6">
        <f>日流量!JQ45*24*3600/100000000</f>
        <v>4.2508800000000004</v>
      </c>
      <c r="JR45" s="6">
        <f>日流量!JR45*24*3600/100000000</f>
        <v>4.0089600000000001</v>
      </c>
      <c r="JS45" s="6">
        <f>日流量!JS45*24*3600/100000000</f>
        <v>3.7584</v>
      </c>
      <c r="JT45" s="6">
        <f>日流量!JT45*24*3600/100000000</f>
        <v>3.5855999999999999</v>
      </c>
      <c r="JU45" s="6">
        <f>日流量!JU45*24*3600/100000000</f>
        <v>3.5942400000000001</v>
      </c>
      <c r="JV45" s="6">
        <f>日流量!JV45*24*3600/100000000</f>
        <v>3.5251199999999998</v>
      </c>
      <c r="JW45" s="6">
        <f>日流量!JW45*24*3600/100000000</f>
        <v>3.4646400000000002</v>
      </c>
      <c r="JX45" s="6">
        <f>日流量!JX45*24*3600/100000000</f>
        <v>3.2918400000000001</v>
      </c>
      <c r="JY45" s="6">
        <f>日流量!JY45*24*3600/100000000</f>
        <v>3.1622400000000002</v>
      </c>
      <c r="JZ45" s="6">
        <f>日流量!JZ45*24*3600/100000000</f>
        <v>3.0499200000000002</v>
      </c>
      <c r="KA45" s="6">
        <f>日流量!KA45*24*3600/100000000</f>
        <v>2.9807999999999999</v>
      </c>
      <c r="KB45" s="6">
        <f>日流量!KB45*24*3600/100000000</f>
        <v>3.04128</v>
      </c>
      <c r="KC45" s="6">
        <f>日流量!KC45*24*3600/100000000</f>
        <v>3.2227199999999998</v>
      </c>
      <c r="KD45" s="6">
        <f>日流量!KD45*24*3600/100000000</f>
        <v>3.4992000000000001</v>
      </c>
      <c r="KE45" s="6">
        <f>日流量!KE45*24*3600/100000000</f>
        <v>3.72384</v>
      </c>
      <c r="KF45" s="6">
        <f>日流量!KF45*24*3600/100000000</f>
        <v>3.6374399999999998</v>
      </c>
      <c r="KG45" s="6">
        <f>日流量!KG45*24*3600/100000000</f>
        <v>3.456</v>
      </c>
      <c r="KH45" s="6">
        <f>日流量!KH45*24*3600/100000000</f>
        <v>3.3264</v>
      </c>
      <c r="KI45" s="6">
        <f>日流量!KI45*24*3600/100000000</f>
        <v>3.24</v>
      </c>
      <c r="KJ45" s="6">
        <f>日流量!KJ45*24*3600/100000000</f>
        <v>3.1536</v>
      </c>
      <c r="KK45" s="6">
        <f>日流量!KK45*24*3600/100000000</f>
        <v>3.1103999999999998</v>
      </c>
      <c r="KL45" s="6">
        <f>日流量!KL45*24*3600/100000000</f>
        <v>3.3264</v>
      </c>
      <c r="KM45" s="6">
        <f>日流量!KM45*24*3600/100000000</f>
        <v>3.85344</v>
      </c>
      <c r="KN45" s="6">
        <f>日流量!KN45*24*3600/100000000</f>
        <v>4.2076799999999999</v>
      </c>
      <c r="KO45" s="6">
        <f>日流量!KO45*24*3600/100000000</f>
        <v>4.5100800000000003</v>
      </c>
      <c r="KP45" s="6">
        <f>日流量!KP45*24*3600/100000000</f>
        <v>4.2854400000000004</v>
      </c>
      <c r="KQ45" s="6">
        <f>日流量!KQ45*24*3600/100000000</f>
        <v>3.8879999999999999</v>
      </c>
      <c r="KR45" s="6">
        <f>日流量!KR45*24*3600/100000000</f>
        <v>3.5596800000000002</v>
      </c>
      <c r="KS45" s="6">
        <f>日流量!KS45*24*3600/100000000</f>
        <v>3.3091200000000001</v>
      </c>
      <c r="KT45" s="6">
        <f>日流量!KT45*24*3600/100000000</f>
        <v>3.1103999999999998</v>
      </c>
      <c r="KU45" s="6">
        <f>日流量!KU45*24*3600/100000000</f>
        <v>2.9548800000000002</v>
      </c>
      <c r="KV45" s="6">
        <f>日流量!KV45*24*3600/100000000</f>
        <v>2.83392</v>
      </c>
      <c r="KW45" s="6">
        <f>日流量!KW45*24*3600/100000000</f>
        <v>2.7043200000000001</v>
      </c>
      <c r="KX45" s="6">
        <f>日流量!KX45*24*3600/100000000</f>
        <v>2.5920000000000001</v>
      </c>
      <c r="KY45" s="6">
        <f>日流量!KY45*24*3600/100000000</f>
        <v>2.4969600000000001</v>
      </c>
      <c r="KZ45" s="6">
        <f>日流量!KZ45*24*3600/100000000</f>
        <v>2.4278400000000002</v>
      </c>
      <c r="LA45" s="6">
        <f>日流量!LA45*24*3600/100000000</f>
        <v>2.3587199999999999</v>
      </c>
      <c r="LB45" s="6">
        <f>日流量!LB45*24*3600/100000000</f>
        <v>2.2896000000000001</v>
      </c>
      <c r="LC45" s="6">
        <f>日流量!LC45*24*3600/100000000</f>
        <v>2.21184</v>
      </c>
      <c r="LD45" s="6">
        <f>日流量!LD45*24*3600/100000000</f>
        <v>2.21184</v>
      </c>
      <c r="LE45" s="6">
        <f>日流量!LE45*24*3600/100000000</f>
        <v>2.1772800000000001</v>
      </c>
      <c r="LF45" s="6">
        <f>日流量!LF45*24*3600/100000000</f>
        <v>2.1081599999999998</v>
      </c>
      <c r="LG45" s="6">
        <f>日流量!LG45*24*3600/100000000</f>
        <v>2.0304000000000002</v>
      </c>
      <c r="LH45" s="6">
        <f>日流量!LH45*24*3600/100000000</f>
        <v>1.944</v>
      </c>
      <c r="LI45" s="6">
        <f>日流量!LI45*24*3600/100000000</f>
        <v>1.9008</v>
      </c>
      <c r="LJ45" s="6">
        <f>日流量!LJ45*24*3600/100000000</f>
        <v>1.84032</v>
      </c>
      <c r="LK45" s="6">
        <f>日流量!LK45*24*3600/100000000</f>
        <v>1.7884800000000001</v>
      </c>
      <c r="LL45" s="6">
        <f>日流量!LL45*24*3600/100000000</f>
        <v>1.73664</v>
      </c>
      <c r="LM45" s="6">
        <f>日流量!LM45*24*3600/100000000</f>
        <v>1.6934400000000001</v>
      </c>
      <c r="LN45" s="6">
        <f>日流量!LN45*24*3600/100000000</f>
        <v>1.6502399999999999</v>
      </c>
      <c r="LO45" s="6">
        <f>日流量!LO45*24*3600/100000000</f>
        <v>1.61568</v>
      </c>
      <c r="LP45" s="6">
        <f>日流量!LP45*24*3600/100000000</f>
        <v>1.5724800000000001</v>
      </c>
      <c r="LQ45" s="6">
        <f>日流量!LQ45*24*3600/100000000</f>
        <v>1.5638399999999999</v>
      </c>
      <c r="LR45" s="6">
        <f>日流量!LR45*24*3600/100000000</f>
        <v>1.53792</v>
      </c>
      <c r="LS45" s="6">
        <f>日流量!LS45*24*3600/100000000</f>
        <v>1.52064</v>
      </c>
      <c r="LT45" s="6">
        <f>日流量!LT45*24*3600/100000000</f>
        <v>1.50336</v>
      </c>
      <c r="LU45" s="6">
        <f>日流量!LU45*24*3600/100000000</f>
        <v>1.49472</v>
      </c>
      <c r="LV45" s="6">
        <f>日流量!LV45*24*3600/100000000</f>
        <v>1.52928</v>
      </c>
      <c r="LW45" s="6">
        <f>日流量!LW45*24*3600/100000000</f>
        <v>1.52928</v>
      </c>
      <c r="LX45" s="6">
        <f>日流量!LX45*24*3600/100000000</f>
        <v>1.50336</v>
      </c>
      <c r="LY45" s="6">
        <f>日流量!LY45*24*3600/100000000</f>
        <v>1.4428799999999999</v>
      </c>
      <c r="LZ45" s="6">
        <f>日流量!LZ45*24*3600/100000000</f>
        <v>1.3910400000000001</v>
      </c>
      <c r="MA45" s="6">
        <f>日流量!MA45*24*3600/100000000</f>
        <v>1.3651199999999999</v>
      </c>
      <c r="MB45" s="6">
        <f>日流量!MB45*24*3600/100000000</f>
        <v>1.33056</v>
      </c>
      <c r="MC45" s="6">
        <f>日流量!MC45*24*3600/100000000</f>
        <v>1.31328</v>
      </c>
      <c r="MD45" s="6">
        <f>日流量!MD45*24*3600/100000000</f>
        <v>1.2873600000000001</v>
      </c>
      <c r="ME45" s="6">
        <f>日流量!ME45*24*3600/100000000</f>
        <v>1.2700800000000001</v>
      </c>
      <c r="MF45" s="6">
        <f>日流量!MF45*24*3600/100000000</f>
        <v>1.2441599999999999</v>
      </c>
      <c r="MG45" s="6">
        <f>日流量!MG45*24*3600/100000000</f>
        <v>1.21824</v>
      </c>
      <c r="MH45" s="6">
        <f>日流量!MH45*24*3600/100000000</f>
        <v>1.2096</v>
      </c>
      <c r="MI45" s="6">
        <f>日流量!MI45*24*3600/100000000</f>
        <v>1.20096</v>
      </c>
      <c r="MJ45" s="6">
        <f>日流量!MJ45*24*3600/100000000</f>
        <v>1.1664000000000001</v>
      </c>
      <c r="MK45" s="6">
        <f>日流量!MK45*24*3600/100000000</f>
        <v>1.1491199999999999</v>
      </c>
      <c r="ML45" s="6">
        <f>日流量!ML45*24*3600/100000000</f>
        <v>1.13184</v>
      </c>
      <c r="MM45" s="6">
        <f>日流量!MM45*24*3600/100000000</f>
        <v>1.0886400000000001</v>
      </c>
      <c r="MN45" s="6">
        <f>日流量!MN45*24*3600/100000000</f>
        <v>1.0627200000000001</v>
      </c>
      <c r="MO45" s="6">
        <f>日流量!MO45*24*3600/100000000</f>
        <v>1.02816</v>
      </c>
      <c r="MP45" s="6">
        <f>日流量!MP45*24*3600/100000000</f>
        <v>1.01088</v>
      </c>
      <c r="MQ45" s="6">
        <f>日流量!MQ45*24*3600/100000000</f>
        <v>1.00224</v>
      </c>
      <c r="MR45" s="6">
        <f>日流量!MR45*24*3600/100000000</f>
        <v>0.99360000000000004</v>
      </c>
      <c r="MS45" s="6">
        <f>日流量!MS45*24*3600/100000000</f>
        <v>0.97631999999999997</v>
      </c>
      <c r="MT45" s="6">
        <f>日流量!MT45*24*3600/100000000</f>
        <v>0.95904</v>
      </c>
      <c r="MU45" s="6">
        <f>日流量!MU45*24*3600/100000000</f>
        <v>0.95040000000000002</v>
      </c>
      <c r="MV45" s="6">
        <f>日流量!MV45*24*3600/100000000</f>
        <v>0.95040000000000002</v>
      </c>
      <c r="MW45" s="6">
        <f>日流量!MW45*24*3600/100000000</f>
        <v>0.94176000000000004</v>
      </c>
      <c r="MX45" s="6">
        <f>日流量!MX45*24*3600/100000000</f>
        <v>0.94176000000000004</v>
      </c>
      <c r="MY45" s="6">
        <f>日流量!MY45*24*3600/100000000</f>
        <v>0.93311999999999995</v>
      </c>
      <c r="MZ45" s="6">
        <f>日流量!MZ45*24*3600/100000000</f>
        <v>0.92447999999999997</v>
      </c>
      <c r="NA45" s="6">
        <f>日流量!NA45*24*3600/100000000</f>
        <v>0.91583999999999999</v>
      </c>
      <c r="NB45" s="6">
        <f>日流量!NB45*24*3600/100000000</f>
        <v>0.90720000000000001</v>
      </c>
      <c r="NC45" s="6">
        <f>日流量!NC45*24*3600/100000000</f>
        <v>0.89856000000000003</v>
      </c>
      <c r="ND45" s="6">
        <f>日流量!ND45*24*3600*31/100000000</f>
        <v>41.24736</v>
      </c>
      <c r="NE45" s="6">
        <f>日流量!NE45*24*3600*29/100000000</f>
        <v>31.57056</v>
      </c>
      <c r="NF45" s="6">
        <f>日流量!NF45*24*3600*31/100000000</f>
        <v>31.872959999999999</v>
      </c>
      <c r="NG45" s="6">
        <f>日流量!NG45*24*3600*30/100000000</f>
        <v>48.470399999999998</v>
      </c>
      <c r="NH45" s="6">
        <f>日流量!NH45*24*3600*31/100000000</f>
        <v>58.121279999999999</v>
      </c>
      <c r="NI45" s="6">
        <f>日流量!NI45*24*3600*30/100000000</f>
        <v>73.612799999999993</v>
      </c>
      <c r="NJ45" s="6">
        <f>日流量!NJ45*24*3600*31/100000000</f>
        <v>190.16640000000001</v>
      </c>
      <c r="NK45" s="6">
        <f>日流量!NK45*24*3600*31/100000000</f>
        <v>146.50847999999999</v>
      </c>
      <c r="NL45" s="6">
        <f>日流量!NL45*24*3600*30/100000000</f>
        <v>137.89439999999999</v>
      </c>
      <c r="NM45" s="6">
        <f>日流量!NM45*24*3600*31/100000000</f>
        <v>110.61792</v>
      </c>
      <c r="NN45" s="6">
        <f>日流量!NN45*24*3600*30/100000000</f>
        <v>59.3568</v>
      </c>
      <c r="NO45" s="6">
        <f>日流量!NO45*24*3600*31/100000000</f>
        <v>34.283520000000003</v>
      </c>
      <c r="NP45" s="14">
        <f t="shared" si="10"/>
        <v>963.72288000000003</v>
      </c>
      <c r="NQ45" s="6">
        <f>日流量!NQ45*24*3600/100000000</f>
        <v>8.5708800000000007</v>
      </c>
      <c r="NR45" s="4">
        <f>日流量!NR45</f>
        <v>42569</v>
      </c>
      <c r="NS45" s="6">
        <f>日流量!NS45*24*3600/100000000</f>
        <v>0.89856000000000003</v>
      </c>
      <c r="NT45" s="4">
        <f>日流量!NT45</f>
        <v>42735</v>
      </c>
      <c r="NU45" s="7">
        <f>日流量!NP45</f>
        <v>3046.967213114754</v>
      </c>
      <c r="NW45" s="13">
        <f t="shared" si="0"/>
        <v>716.92128000000002</v>
      </c>
      <c r="NX45" s="12">
        <f t="shared" si="1"/>
        <v>74.390812429398792</v>
      </c>
      <c r="NY45" s="13">
        <f t="shared" si="2"/>
        <v>548.18208000000004</v>
      </c>
      <c r="NZ45" s="12">
        <f t="shared" si="3"/>
        <v>56.881712718079292</v>
      </c>
      <c r="OA45" s="13">
        <f t="shared" si="4"/>
        <v>246.80160000000001</v>
      </c>
      <c r="OB45" s="12">
        <f t="shared" si="5"/>
        <v>25.609187570601211</v>
      </c>
      <c r="OC45" s="13">
        <f t="shared" si="6"/>
        <v>190.16640000000001</v>
      </c>
      <c r="OD45" s="12">
        <f t="shared" si="7"/>
        <v>19.73247745243944</v>
      </c>
      <c r="OE45" s="12">
        <f t="shared" si="8"/>
        <v>225.16889719626167</v>
      </c>
      <c r="OF45" s="12">
        <f t="shared" si="9"/>
        <v>7.140058891307131</v>
      </c>
    </row>
    <row r="46" spans="1:396" x14ac:dyDescent="0.15">
      <c r="A46" s="2">
        <v>1993</v>
      </c>
      <c r="B46" s="6">
        <f>日流量!B46*24*3600/100000000</f>
        <v>0.92447999999999997</v>
      </c>
      <c r="C46" s="6">
        <f>日流量!C46*24*3600/100000000</f>
        <v>0.92447999999999997</v>
      </c>
      <c r="D46" s="6">
        <f>日流量!D46*24*3600/100000000</f>
        <v>0.92447999999999997</v>
      </c>
      <c r="E46" s="6">
        <f>日流量!E46*24*3600/100000000</f>
        <v>0.91583999999999999</v>
      </c>
      <c r="F46" s="6">
        <f>日流量!F46*24*3600/100000000</f>
        <v>0.90720000000000001</v>
      </c>
      <c r="G46" s="6">
        <f>日流量!G46*24*3600/100000000</f>
        <v>0.89856000000000003</v>
      </c>
      <c r="H46" s="6">
        <f>日流量!H46*24*3600/100000000</f>
        <v>0.89856000000000003</v>
      </c>
      <c r="I46" s="6">
        <f>日流量!I46*24*3600/100000000</f>
        <v>0.88992000000000004</v>
      </c>
      <c r="J46" s="6">
        <f>日流量!J46*24*3600/100000000</f>
        <v>0.88992000000000004</v>
      </c>
      <c r="K46" s="6">
        <f>日流量!K46*24*3600/100000000</f>
        <v>0.88992000000000004</v>
      </c>
      <c r="L46" s="6">
        <f>日流量!L46*24*3600/100000000</f>
        <v>0.88992000000000004</v>
      </c>
      <c r="M46" s="6">
        <f>日流量!M46*24*3600/100000000</f>
        <v>0.88992000000000004</v>
      </c>
      <c r="N46" s="6">
        <f>日流量!N46*24*3600/100000000</f>
        <v>0.88992000000000004</v>
      </c>
      <c r="O46" s="6">
        <f>日流量!O46*24*3600/100000000</f>
        <v>0.90720000000000001</v>
      </c>
      <c r="P46" s="6">
        <f>日流量!P46*24*3600/100000000</f>
        <v>0.91583999999999999</v>
      </c>
      <c r="Q46" s="6">
        <f>日流量!Q46*24*3600/100000000</f>
        <v>0.93311999999999995</v>
      </c>
      <c r="R46" s="6">
        <f>日流量!R46*24*3600/100000000</f>
        <v>0.93311999999999995</v>
      </c>
      <c r="S46" s="6">
        <f>日流量!S46*24*3600/100000000</f>
        <v>0.92447999999999997</v>
      </c>
      <c r="T46" s="6">
        <f>日流量!T46*24*3600/100000000</f>
        <v>0.91583999999999999</v>
      </c>
      <c r="U46" s="6">
        <f>日流量!U46*24*3600/100000000</f>
        <v>0.89856000000000003</v>
      </c>
      <c r="V46" s="6">
        <f>日流量!V46*24*3600/100000000</f>
        <v>0.88992000000000004</v>
      </c>
      <c r="W46" s="6">
        <f>日流量!W46*24*3600/100000000</f>
        <v>0.88992000000000004</v>
      </c>
      <c r="X46" s="6">
        <f>日流量!X46*24*3600/100000000</f>
        <v>0.88127999999999995</v>
      </c>
      <c r="Y46" s="6">
        <f>日流量!Y46*24*3600/100000000</f>
        <v>0.87263999999999997</v>
      </c>
      <c r="Z46" s="6">
        <f>日流量!Z46*24*3600/100000000</f>
        <v>0.87263999999999997</v>
      </c>
      <c r="AA46" s="6">
        <f>日流量!AA46*24*3600/100000000</f>
        <v>0.87263999999999997</v>
      </c>
      <c r="AB46" s="6">
        <f>日流量!AB46*24*3600/100000000</f>
        <v>0.86399999999999999</v>
      </c>
      <c r="AC46" s="6">
        <f>日流量!AC46*24*3600/100000000</f>
        <v>0.86227200000000004</v>
      </c>
      <c r="AD46" s="6">
        <f>日流量!AD46*24*3600/100000000</f>
        <v>0.85881600000000002</v>
      </c>
      <c r="AE46" s="6">
        <f>日流量!AE46*24*3600/100000000</f>
        <v>0.85881600000000002</v>
      </c>
      <c r="AF46" s="6">
        <f>日流量!AF46*24*3600/100000000</f>
        <v>0.85449600000000003</v>
      </c>
      <c r="AG46" s="6">
        <f>日流量!AG46*24*3600/100000000</f>
        <v>0.84844799999999998</v>
      </c>
      <c r="AH46" s="6">
        <f>日流量!AH46*24*3600/100000000</f>
        <v>0.84240000000000004</v>
      </c>
      <c r="AI46" s="6">
        <f>日流量!AI46*24*3600/100000000</f>
        <v>0.83289599999999997</v>
      </c>
      <c r="AJ46" s="6">
        <f>日流量!AJ46*24*3600/100000000</f>
        <v>0.82684800000000003</v>
      </c>
      <c r="AK46" s="6">
        <f>日流量!AK46*24*3600/100000000</f>
        <v>0.82166399999999995</v>
      </c>
      <c r="AL46" s="6">
        <f>日流量!AL46*24*3600/100000000</f>
        <v>0.82252800000000004</v>
      </c>
      <c r="AM46" s="6">
        <f>日流量!AM46*24*3600/100000000</f>
        <v>0.81907200000000002</v>
      </c>
      <c r="AN46" s="6">
        <f>日流量!AN46*24*3600/100000000</f>
        <v>0.81734399999999996</v>
      </c>
      <c r="AO46" s="6">
        <f>日流量!AO46*24*3600/100000000</f>
        <v>0.81475200000000003</v>
      </c>
      <c r="AP46" s="6">
        <f>日流量!AP46*24*3600/100000000</f>
        <v>0.81302399999999997</v>
      </c>
      <c r="AQ46" s="6">
        <f>日流量!AQ46*24*3600/100000000</f>
        <v>0.81129600000000002</v>
      </c>
      <c r="AR46" s="6">
        <f>日流量!AR46*24*3600/100000000</f>
        <v>0.81043200000000004</v>
      </c>
      <c r="AS46" s="6">
        <f>日流量!AS46*24*3600/100000000</f>
        <v>0.81302399999999997</v>
      </c>
      <c r="AT46" s="6">
        <f>日流量!AT46*24*3600/100000000</f>
        <v>0.81734399999999996</v>
      </c>
      <c r="AU46" s="6">
        <f>日流量!AU46*24*3600/100000000</f>
        <v>0.82425599999999999</v>
      </c>
      <c r="AV46" s="6">
        <f>日流量!AV46*24*3600/100000000</f>
        <v>0.82857599999999998</v>
      </c>
      <c r="AW46" s="6">
        <f>日流量!AW46*24*3600/100000000</f>
        <v>0.83203199999999999</v>
      </c>
      <c r="AX46" s="6">
        <f>日流量!AX46*24*3600/100000000</f>
        <v>0.83808000000000005</v>
      </c>
      <c r="AY46" s="6">
        <f>日流量!AY46*24*3600/100000000</f>
        <v>0.84412799999999999</v>
      </c>
      <c r="AZ46" s="6">
        <f>日流量!AZ46*24*3600/100000000</f>
        <v>0.84672000000000003</v>
      </c>
      <c r="BA46" s="6">
        <f>日流量!BA46*24*3600/100000000</f>
        <v>0.84326400000000001</v>
      </c>
      <c r="BB46" s="6">
        <f>日流量!BB46*24*3600/100000000</f>
        <v>0.84067199999999997</v>
      </c>
      <c r="BC46" s="6">
        <f>日流量!BC46*24*3600/100000000</f>
        <v>0.84412799999999999</v>
      </c>
      <c r="BD46" s="6">
        <f>日流量!BD46*24*3600/100000000</f>
        <v>0.847584</v>
      </c>
      <c r="BE46" s="6">
        <f>日流量!BE46*24*3600/100000000</f>
        <v>0.84931199999999996</v>
      </c>
      <c r="BF46" s="6">
        <f>日流量!BF46*24*3600/100000000</f>
        <v>0.85104000000000002</v>
      </c>
      <c r="BG46" s="6">
        <f>日流量!BG46*24*3600/100000000</f>
        <v>0.84672000000000003</v>
      </c>
      <c r="BH46" s="6">
        <f>日流量!BH46*24*3600/100000000</f>
        <v>0.83808000000000005</v>
      </c>
      <c r="BI46" s="6"/>
      <c r="BJ46" s="6">
        <f>日流量!BJ46*24*3600/100000000</f>
        <v>0.82943999999999996</v>
      </c>
      <c r="BK46" s="6">
        <f>日流量!BK46*24*3600/100000000</f>
        <v>0.82079999999999997</v>
      </c>
      <c r="BL46" s="6">
        <f>日流量!BL46*24*3600/100000000</f>
        <v>0.81302399999999997</v>
      </c>
      <c r="BM46" s="6">
        <f>日流量!BM46*24*3600/100000000</f>
        <v>0.80784</v>
      </c>
      <c r="BN46" s="6">
        <f>日流量!BN46*24*3600/100000000</f>
        <v>0.80524799999999996</v>
      </c>
      <c r="BO46" s="6">
        <f>日流量!BO46*24*3600/100000000</f>
        <v>0.80092799999999997</v>
      </c>
      <c r="BP46" s="6">
        <f>日流量!BP46*24*3600/100000000</f>
        <v>0.79920000000000002</v>
      </c>
      <c r="BQ46" s="6">
        <f>日流量!BQ46*24*3600/100000000</f>
        <v>0.79488000000000003</v>
      </c>
      <c r="BR46" s="6">
        <f>日流量!BR46*24*3600/100000000</f>
        <v>0.79401600000000006</v>
      </c>
      <c r="BS46" s="6">
        <f>日流量!BS46*24*3600/100000000</f>
        <v>0.79315199999999997</v>
      </c>
      <c r="BT46" s="6">
        <f>日流量!BT46*24*3600/100000000</f>
        <v>0.78883199999999998</v>
      </c>
      <c r="BU46" s="6">
        <f>日流量!BU46*24*3600/100000000</f>
        <v>0.78624000000000005</v>
      </c>
      <c r="BV46" s="6">
        <f>日流量!BV46*24*3600/100000000</f>
        <v>0.78537599999999996</v>
      </c>
      <c r="BW46" s="6">
        <f>日流量!BW46*24*3600/100000000</f>
        <v>0.78624000000000005</v>
      </c>
      <c r="BX46" s="6">
        <f>日流量!BX46*24*3600/100000000</f>
        <v>0.78883199999999998</v>
      </c>
      <c r="BY46" s="6">
        <f>日流量!BY46*24*3600/100000000</f>
        <v>0.79228799999999999</v>
      </c>
      <c r="BZ46" s="6">
        <f>日流量!BZ46*24*3600/100000000</f>
        <v>0.79401600000000006</v>
      </c>
      <c r="CA46" s="6">
        <f>日流量!CA46*24*3600/100000000</f>
        <v>0.79833600000000005</v>
      </c>
      <c r="CB46" s="6">
        <f>日流量!CB46*24*3600/100000000</f>
        <v>0.80438399999999999</v>
      </c>
      <c r="CC46" s="6">
        <f>日流量!CC46*24*3600/100000000</f>
        <v>0.80611200000000005</v>
      </c>
      <c r="CD46" s="6">
        <f>日流量!CD46*24*3600/100000000</f>
        <v>0.80611200000000005</v>
      </c>
      <c r="CE46" s="6">
        <f>日流量!CE46*24*3600/100000000</f>
        <v>0.80611200000000005</v>
      </c>
      <c r="CF46" s="6">
        <f>日流量!CF46*24*3600/100000000</f>
        <v>0.80438399999999999</v>
      </c>
      <c r="CG46" s="6">
        <f>日流量!CG46*24*3600/100000000</f>
        <v>0.80438399999999999</v>
      </c>
      <c r="CH46" s="6">
        <f>日流量!CH46*24*3600/100000000</f>
        <v>0.80611200000000005</v>
      </c>
      <c r="CI46" s="6">
        <f>日流量!CI46*24*3600/100000000</f>
        <v>0.800064</v>
      </c>
      <c r="CJ46" s="6">
        <f>日流量!CJ46*24*3600/100000000</f>
        <v>0.79228799999999999</v>
      </c>
      <c r="CK46" s="6">
        <f>日流量!CK46*24*3600/100000000</f>
        <v>0.78969599999999995</v>
      </c>
      <c r="CL46" s="6">
        <f>日流量!CL46*24*3600/100000000</f>
        <v>0.79228799999999999</v>
      </c>
      <c r="CM46" s="6">
        <f>日流量!CM46*24*3600/100000000</f>
        <v>0.78969599999999995</v>
      </c>
      <c r="CN46" s="6">
        <f>日流量!CN46*24*3600/100000000</f>
        <v>0.79142400000000002</v>
      </c>
      <c r="CO46" s="6">
        <f>日流量!CO46*24*3600/100000000</f>
        <v>0.79747199999999996</v>
      </c>
      <c r="CP46" s="6">
        <f>日流量!CP46*24*3600/100000000</f>
        <v>0.79488000000000003</v>
      </c>
      <c r="CQ46" s="6">
        <f>日流量!CQ46*24*3600/100000000</f>
        <v>0.79142400000000002</v>
      </c>
      <c r="CR46" s="6">
        <f>日流量!CR46*24*3600/100000000</f>
        <v>0.78883199999999998</v>
      </c>
      <c r="CS46" s="6">
        <f>日流量!CS46*24*3600/100000000</f>
        <v>0.79401600000000006</v>
      </c>
      <c r="CT46" s="6">
        <f>日流量!CT46*24*3600/100000000</f>
        <v>0.800064</v>
      </c>
      <c r="CU46" s="6">
        <f>日流量!CU46*24*3600/100000000</f>
        <v>0.80179199999999995</v>
      </c>
      <c r="CV46" s="6">
        <f>日流量!CV46*24*3600/100000000</f>
        <v>0.80611200000000005</v>
      </c>
      <c r="CW46" s="6">
        <f>日流量!CW46*24*3600/100000000</f>
        <v>0.81215999999999999</v>
      </c>
      <c r="CX46" s="6">
        <f>日流量!CX46*24*3600/100000000</f>
        <v>0.81475200000000003</v>
      </c>
      <c r="CY46" s="6">
        <f>日流量!CY46*24*3600/100000000</f>
        <v>0.81215999999999999</v>
      </c>
      <c r="CZ46" s="6">
        <f>日流量!CZ46*24*3600/100000000</f>
        <v>0.80870399999999998</v>
      </c>
      <c r="DA46" s="6">
        <f>日流量!DA46*24*3600/100000000</f>
        <v>0.80870399999999998</v>
      </c>
      <c r="DB46" s="6">
        <f>日流量!DB46*24*3600/100000000</f>
        <v>0.80870399999999998</v>
      </c>
      <c r="DC46" s="6">
        <f>日流量!DC46*24*3600/100000000</f>
        <v>0.80611200000000005</v>
      </c>
      <c r="DD46" s="6">
        <f>日流量!DD46*24*3600/100000000</f>
        <v>0.80611200000000005</v>
      </c>
      <c r="DE46" s="6">
        <f>日流量!DE46*24*3600/100000000</f>
        <v>0.80697600000000003</v>
      </c>
      <c r="DF46" s="6">
        <f>日流量!DF46*24*3600/100000000</f>
        <v>0.80956799999999995</v>
      </c>
      <c r="DG46" s="6">
        <f>日流量!DG46*24*3600/100000000</f>
        <v>0.81561600000000001</v>
      </c>
      <c r="DH46" s="6">
        <f>日流量!DH46*24*3600/100000000</f>
        <v>0.82943999999999996</v>
      </c>
      <c r="DI46" s="6">
        <f>日流量!DI46*24*3600/100000000</f>
        <v>0.84499199999999997</v>
      </c>
      <c r="DJ46" s="6">
        <f>日流量!DJ46*24*3600/100000000</f>
        <v>0.86054399999999998</v>
      </c>
      <c r="DK46" s="6">
        <f>日流量!DK46*24*3600/100000000</f>
        <v>0.87263999999999997</v>
      </c>
      <c r="DL46" s="6">
        <f>日流量!DL46*24*3600/100000000</f>
        <v>0.88992000000000004</v>
      </c>
      <c r="DM46" s="6">
        <f>日流量!DM46*24*3600/100000000</f>
        <v>0.90720000000000001</v>
      </c>
      <c r="DN46" s="6">
        <f>日流量!DN46*24*3600/100000000</f>
        <v>0.93311999999999995</v>
      </c>
      <c r="DO46" s="6">
        <f>日流量!DO46*24*3600/100000000</f>
        <v>0.92447999999999997</v>
      </c>
      <c r="DP46" s="6">
        <f>日流量!DP46*24*3600/100000000</f>
        <v>0.92447999999999997</v>
      </c>
      <c r="DQ46" s="6">
        <f>日流量!DQ46*24*3600/100000000</f>
        <v>0.93311999999999995</v>
      </c>
      <c r="DR46" s="6">
        <f>日流量!DR46*24*3600/100000000</f>
        <v>0.98495999999999995</v>
      </c>
      <c r="DS46" s="6">
        <f>日流量!DS46*24*3600/100000000</f>
        <v>1.0627200000000001</v>
      </c>
      <c r="DT46" s="6">
        <f>日流量!DT46*24*3600/100000000</f>
        <v>1.1577599999999999</v>
      </c>
      <c r="DU46" s="6">
        <f>日流量!DU46*24*3600/100000000</f>
        <v>1.23552</v>
      </c>
      <c r="DV46" s="6">
        <f>日流量!DV46*24*3600/100000000</f>
        <v>1.3564799999999999</v>
      </c>
      <c r="DW46" s="6">
        <f>日流量!DW46*24*3600/100000000</f>
        <v>1.5897600000000001</v>
      </c>
      <c r="DX46" s="6">
        <f>日流量!DX46*24*3600/100000000</f>
        <v>1.84032</v>
      </c>
      <c r="DY46" s="6">
        <f>日流量!DY46*24*3600/100000000</f>
        <v>1.93536</v>
      </c>
      <c r="DZ46" s="6">
        <f>日流量!DZ46*24*3600/100000000</f>
        <v>1.9958400000000001</v>
      </c>
      <c r="EA46" s="6">
        <f>日流量!EA46*24*3600/100000000</f>
        <v>1.9612799999999999</v>
      </c>
      <c r="EB46" s="6">
        <f>日流量!EB46*24*3600/100000000</f>
        <v>1.8489599999999999</v>
      </c>
      <c r="EC46" s="6">
        <f>日流量!EC46*24*3600/100000000</f>
        <v>1.71072</v>
      </c>
      <c r="ED46" s="6">
        <f>日流量!ED46*24*3600/100000000</f>
        <v>1.5724800000000001</v>
      </c>
      <c r="EE46" s="6">
        <f>日流量!EE46*24*3600/100000000</f>
        <v>1.50336</v>
      </c>
      <c r="EF46" s="6">
        <f>日流量!EF46*24*3600/100000000</f>
        <v>1.4860800000000001</v>
      </c>
      <c r="EG46" s="6">
        <f>日流量!EG46*24*3600/100000000</f>
        <v>1.52064</v>
      </c>
      <c r="EH46" s="6">
        <f>日流量!EH46*24*3600/100000000</f>
        <v>1.60704</v>
      </c>
      <c r="EI46" s="6">
        <f>日流量!EI46*24*3600/100000000</f>
        <v>1.6502399999999999</v>
      </c>
      <c r="EJ46" s="6">
        <f>日流量!EJ46*24*3600/100000000</f>
        <v>1.5811200000000001</v>
      </c>
      <c r="EK46" s="6">
        <f>日流量!EK46*24*3600/100000000</f>
        <v>1.4428799999999999</v>
      </c>
      <c r="EL46" s="6">
        <f>日流量!EL46*24*3600/100000000</f>
        <v>1.296</v>
      </c>
      <c r="EM46" s="6">
        <f>日流量!EM46*24*3600/100000000</f>
        <v>1.20096</v>
      </c>
      <c r="EN46" s="6">
        <f>日流量!EN46*24*3600/100000000</f>
        <v>1.1491199999999999</v>
      </c>
      <c r="EO46" s="6">
        <f>日流量!EO46*24*3600/100000000</f>
        <v>1.11456</v>
      </c>
      <c r="EP46" s="6">
        <f>日流量!EP46*24*3600/100000000</f>
        <v>1.09728</v>
      </c>
      <c r="EQ46" s="6">
        <f>日流量!EQ46*24*3600/100000000</f>
        <v>1.09728</v>
      </c>
      <c r="ER46" s="6">
        <f>日流量!ER46*24*3600/100000000</f>
        <v>1.1750400000000001</v>
      </c>
      <c r="ES46" s="6">
        <f>日流量!ES46*24*3600/100000000</f>
        <v>1.2700800000000001</v>
      </c>
      <c r="ET46" s="6">
        <f>日流量!ET46*24*3600/100000000</f>
        <v>1.49472</v>
      </c>
      <c r="EU46" s="6">
        <f>日流量!EU46*24*3600/100000000</f>
        <v>1.512</v>
      </c>
      <c r="EV46" s="6">
        <f>日流量!EV46*24*3600/100000000</f>
        <v>1.30464</v>
      </c>
      <c r="EW46" s="6">
        <f>日流量!EW46*24*3600/100000000</f>
        <v>1.3910400000000001</v>
      </c>
      <c r="EX46" s="6">
        <f>日流量!EX46*24*3600/100000000</f>
        <v>1.4428799999999999</v>
      </c>
      <c r="EY46" s="6">
        <f>日流量!EY46*24*3600/100000000</f>
        <v>1.3824000000000001</v>
      </c>
      <c r="EZ46" s="6">
        <f>日流量!EZ46*24*3600/100000000</f>
        <v>1.3564799999999999</v>
      </c>
      <c r="FA46" s="6">
        <f>日流量!FA46*24*3600/100000000</f>
        <v>1.43424</v>
      </c>
      <c r="FB46" s="6">
        <f>日流量!FB46*24*3600/100000000</f>
        <v>1.52064</v>
      </c>
      <c r="FC46" s="6">
        <f>日流量!FC46*24*3600/100000000</f>
        <v>1.62432</v>
      </c>
      <c r="FD46" s="6">
        <f>日流量!FD46*24*3600/100000000</f>
        <v>1.6761600000000001</v>
      </c>
      <c r="FE46" s="6">
        <f>日流量!FE46*24*3600/100000000</f>
        <v>1.7884800000000001</v>
      </c>
      <c r="FF46" s="6">
        <f>日流量!FF46*24*3600/100000000</f>
        <v>2.0131199999999998</v>
      </c>
      <c r="FG46" s="6">
        <f>日流量!FG46*24*3600/100000000</f>
        <v>2.1168</v>
      </c>
      <c r="FH46" s="6">
        <f>日流量!FH46*24*3600/100000000</f>
        <v>2.1168</v>
      </c>
      <c r="FI46" s="6">
        <f>日流量!FI46*24*3600/100000000</f>
        <v>2.0649600000000001</v>
      </c>
      <c r="FJ46" s="6">
        <f>日流量!FJ46*24*3600/100000000</f>
        <v>2.0563199999999999</v>
      </c>
      <c r="FK46" s="6">
        <f>日流量!FK46*24*3600/100000000</f>
        <v>2.3587199999999999</v>
      </c>
      <c r="FL46" s="6">
        <f>日流量!FL46*24*3600/100000000</f>
        <v>2.62656</v>
      </c>
      <c r="FM46" s="6">
        <f>日流量!FM46*24*3600/100000000</f>
        <v>2.7302399999999998</v>
      </c>
      <c r="FN46" s="6">
        <f>日流量!FN46*24*3600/100000000</f>
        <v>2.5920000000000001</v>
      </c>
      <c r="FO46" s="6">
        <f>日流量!FO46*24*3600/100000000</f>
        <v>2.3846400000000001</v>
      </c>
      <c r="FP46" s="6">
        <f>日流量!FP46*24*3600/100000000</f>
        <v>2.2636799999999999</v>
      </c>
      <c r="FQ46" s="6">
        <f>日流量!FQ46*24*3600/100000000</f>
        <v>2.1254400000000002</v>
      </c>
      <c r="FR46" s="6">
        <f>日流量!FR46*24*3600/100000000</f>
        <v>2.03904</v>
      </c>
      <c r="FS46" s="6">
        <f>日流量!FS46*24*3600/100000000</f>
        <v>2.0649600000000001</v>
      </c>
      <c r="FT46" s="6">
        <f>日流量!FT46*24*3600/100000000</f>
        <v>2.3500800000000002</v>
      </c>
      <c r="FU46" s="6">
        <f>日流量!FU46*24*3600/100000000</f>
        <v>2.7302399999999998</v>
      </c>
      <c r="FV46" s="6">
        <f>日流量!FV46*24*3600/100000000</f>
        <v>3.0499200000000002</v>
      </c>
      <c r="FW46" s="6">
        <f>日流量!FW46*24*3600/100000000</f>
        <v>3.42144</v>
      </c>
      <c r="FX46" s="6">
        <f>日流量!FX46*24*3600/100000000</f>
        <v>3.5164800000000001</v>
      </c>
      <c r="FY46" s="6">
        <f>日流量!FY46*24*3600/100000000</f>
        <v>3.2831999999999999</v>
      </c>
      <c r="FZ46" s="6">
        <f>日流量!FZ46*24*3600/100000000</f>
        <v>3.0672000000000001</v>
      </c>
      <c r="GA46" s="6">
        <f>日流量!GA46*24*3600/100000000</f>
        <v>3.1017600000000001</v>
      </c>
      <c r="GB46" s="6">
        <f>日流量!GB46*24*3600/100000000</f>
        <v>2.91168</v>
      </c>
      <c r="GC46" s="6">
        <f>日流量!GC46*24*3600/100000000</f>
        <v>3.1968000000000001</v>
      </c>
      <c r="GD46" s="6">
        <f>日流量!GD46*24*3600/100000000</f>
        <v>3.9830399999999999</v>
      </c>
      <c r="GE46" s="6">
        <f>日流量!GE46*24*3600/100000000</f>
        <v>5.1667199999999998</v>
      </c>
      <c r="GF46" s="6">
        <f>日流量!GF46*24*3600/100000000</f>
        <v>5.9270399999999999</v>
      </c>
      <c r="GG46" s="6">
        <f>日流量!GG46*24*3600/100000000</f>
        <v>6.6096000000000004</v>
      </c>
      <c r="GH46" s="6">
        <f>日流量!GH46*24*3600/100000000</f>
        <v>6.9206399999999997</v>
      </c>
      <c r="GI46" s="6">
        <f>日流量!GI46*24*3600/100000000</f>
        <v>7.6118399999999999</v>
      </c>
      <c r="GJ46" s="6">
        <f>日流量!GJ46*24*3600/100000000</f>
        <v>7.0502399999999996</v>
      </c>
      <c r="GK46" s="6">
        <f>日流量!GK46*24*3600/100000000</f>
        <v>6.3590400000000002</v>
      </c>
      <c r="GL46" s="6">
        <f>日流量!GL46*24*3600/100000000</f>
        <v>5.8147200000000003</v>
      </c>
      <c r="GM46" s="6">
        <f>日流量!GM46*24*3600/100000000</f>
        <v>5.2963199999999997</v>
      </c>
      <c r="GN46" s="6">
        <f>日流量!GN46*24*3600/100000000</f>
        <v>4.8902400000000004</v>
      </c>
      <c r="GO46" s="6">
        <f>日流量!GO46*24*3600/100000000</f>
        <v>4.3804800000000004</v>
      </c>
      <c r="GP46" s="6">
        <f>日流量!GP46*24*3600/100000000</f>
        <v>4.1126399999999999</v>
      </c>
      <c r="GQ46" s="6">
        <f>日流量!GQ46*24*3600/100000000</f>
        <v>3.8793600000000001</v>
      </c>
      <c r="GR46" s="6">
        <f>日流量!GR46*24*3600/100000000</f>
        <v>3.85344</v>
      </c>
      <c r="GS46" s="6">
        <f>日流量!GS46*24*3600/100000000</f>
        <v>4.0175999999999998</v>
      </c>
      <c r="GT46" s="6">
        <f>日流量!GT46*24*3600/100000000</f>
        <v>4.6742400000000002</v>
      </c>
      <c r="GU46" s="6">
        <f>日流量!GU46*24*3600/100000000</f>
        <v>5.8233600000000001</v>
      </c>
      <c r="GV46" s="6">
        <f>日流量!GV46*24*3600/100000000</f>
        <v>5.9702400000000004</v>
      </c>
      <c r="GW46" s="6">
        <f>日流量!GW46*24*3600/100000000</f>
        <v>6.4195200000000003</v>
      </c>
      <c r="GX46" s="6">
        <f>日流量!GX46*24*3600/100000000</f>
        <v>7.5081600000000002</v>
      </c>
      <c r="GY46" s="6">
        <f>日流量!GY46*24*3600/100000000</f>
        <v>9.2447999999999997</v>
      </c>
      <c r="GZ46" s="6">
        <f>日流量!GZ46*24*3600/100000000</f>
        <v>8.64</v>
      </c>
      <c r="HA46" s="6">
        <f>日流量!HA46*24*3600/100000000</f>
        <v>7.9228800000000001</v>
      </c>
      <c r="HB46" s="6">
        <f>日流量!HB46*24*3600/100000000</f>
        <v>7.5513599999999999</v>
      </c>
      <c r="HC46" s="6">
        <f>日流量!HC46*24*3600/100000000</f>
        <v>7.16256</v>
      </c>
      <c r="HD46" s="6">
        <f>日流量!HD46*24*3600/100000000</f>
        <v>6.6787200000000002</v>
      </c>
      <c r="HE46" s="6">
        <f>日流量!HE46*24*3600/100000000</f>
        <v>6.2985600000000002</v>
      </c>
      <c r="HF46" s="6">
        <f>日流量!HF46*24*3600/100000000</f>
        <v>6.8169599999999999</v>
      </c>
      <c r="HG46" s="6">
        <f>日流量!HG46*24*3600/100000000</f>
        <v>7.8451199999999996</v>
      </c>
      <c r="HH46" s="6">
        <f>日流量!HH46*24*3600/100000000</f>
        <v>9.0719999999999992</v>
      </c>
      <c r="HI46" s="6">
        <f>日流量!HI46*24*3600/100000000</f>
        <v>9.5904000000000007</v>
      </c>
      <c r="HJ46" s="6">
        <f>日流量!HJ46*24*3600/100000000</f>
        <v>9.8496000000000006</v>
      </c>
      <c r="HK46" s="6">
        <f>日流量!HK46*24*3600/100000000</f>
        <v>10.281599999999999</v>
      </c>
      <c r="HL46" s="6">
        <f>日流量!HL46*24*3600/100000000</f>
        <v>10.4544</v>
      </c>
      <c r="HM46" s="6">
        <f>日流量!HM46*24*3600/100000000</f>
        <v>10.8864</v>
      </c>
      <c r="HN46" s="6">
        <f>日流量!HN46*24*3600/100000000</f>
        <v>10.7136</v>
      </c>
      <c r="HO46" s="6">
        <f>日流量!HO46*24*3600/100000000</f>
        <v>11.059200000000001</v>
      </c>
      <c r="HP46" s="6">
        <f>日流量!HP46*24*3600/100000000</f>
        <v>11.1456</v>
      </c>
      <c r="HQ46" s="6">
        <f>日流量!HQ46*24*3600/100000000</f>
        <v>10.8864</v>
      </c>
      <c r="HR46" s="6">
        <f>日流量!HR46*24*3600/100000000</f>
        <v>11.491199999999999</v>
      </c>
      <c r="HS46" s="6">
        <f>日流量!HS46*24*3600/100000000</f>
        <v>11.750400000000001</v>
      </c>
      <c r="HT46" s="6">
        <f>日流量!HT46*24*3600/100000000</f>
        <v>12.009600000000001</v>
      </c>
      <c r="HU46" s="6">
        <f>日流量!HU46*24*3600/100000000</f>
        <v>11.8368</v>
      </c>
      <c r="HV46" s="6">
        <f>日流量!HV46*24*3600/100000000</f>
        <v>11.5776</v>
      </c>
      <c r="HW46" s="6">
        <f>日流量!HW46*24*3600/100000000</f>
        <v>11.5776</v>
      </c>
      <c r="HX46" s="6">
        <f>日流量!HX46*24*3600/100000000</f>
        <v>11.9232</v>
      </c>
      <c r="HY46" s="6">
        <f>日流量!HY46*24*3600/100000000</f>
        <v>11.750400000000001</v>
      </c>
      <c r="HZ46" s="6">
        <f>日流量!HZ46*24*3600/100000000</f>
        <v>12.009600000000001</v>
      </c>
      <c r="IA46" s="6">
        <f>日流量!IA46*24*3600/100000000</f>
        <v>13.1328</v>
      </c>
      <c r="IB46" s="6">
        <f>日流量!IB46*24*3600/100000000</f>
        <v>13.651199999999999</v>
      </c>
      <c r="IC46" s="6">
        <f>日流量!IC46*24*3600/100000000</f>
        <v>13.3056</v>
      </c>
      <c r="ID46" s="6">
        <f>日流量!ID46*24*3600/100000000</f>
        <v>13.1328</v>
      </c>
      <c r="IE46" s="6">
        <f>日流量!IE46*24*3600/100000000</f>
        <v>13.1328</v>
      </c>
      <c r="IF46" s="6">
        <f>日流量!IF46*24*3600/100000000</f>
        <v>13.910399999999999</v>
      </c>
      <c r="IG46" s="6">
        <f>日流量!IG46*24*3600/100000000</f>
        <v>16.1568</v>
      </c>
      <c r="IH46" s="6">
        <f>日流量!IH46*24*3600/100000000</f>
        <v>16.070399999999999</v>
      </c>
      <c r="II46" s="6">
        <f>日流量!II46*24*3600/100000000</f>
        <v>15.7248</v>
      </c>
      <c r="IJ46" s="6">
        <f>日流量!IJ46*24*3600/100000000</f>
        <v>18.143999999999998</v>
      </c>
      <c r="IK46" s="6">
        <f>日流量!IK46*24*3600/100000000</f>
        <v>20.044799999999999</v>
      </c>
      <c r="IL46" s="6">
        <f>日流量!IL46*24*3600/100000000</f>
        <v>18.489599999999999</v>
      </c>
      <c r="IM46" s="6">
        <f>日流量!IM46*24*3600/100000000</f>
        <v>16.588799999999999</v>
      </c>
      <c r="IN46" s="6">
        <f>日流量!IN46*24*3600/100000000</f>
        <v>15.4656</v>
      </c>
      <c r="IO46" s="6">
        <f>日流量!IO46*24*3600/100000000</f>
        <v>15.0336</v>
      </c>
      <c r="IP46" s="6">
        <f>日流量!IP46*24*3600/100000000</f>
        <v>13.910399999999999</v>
      </c>
      <c r="IQ46" s="6">
        <f>日流量!IQ46*24*3600/100000000</f>
        <v>12.3552</v>
      </c>
      <c r="IR46" s="6">
        <f>日流量!IR46*24*3600/100000000</f>
        <v>10.972799999999999</v>
      </c>
      <c r="IS46" s="6">
        <f>日流量!IS46*24*3600/100000000</f>
        <v>9.9359999999999999</v>
      </c>
      <c r="IT46" s="6">
        <f>日流量!IT46*24*3600/100000000</f>
        <v>9.3312000000000008</v>
      </c>
      <c r="IU46" s="6">
        <f>日流量!IU46*24*3600/100000000</f>
        <v>9.1584000000000003</v>
      </c>
      <c r="IV46" s="6">
        <f>日流量!IV46*24*3600/100000000</f>
        <v>9.6768000000000001</v>
      </c>
      <c r="IW46" s="6">
        <f>日流量!IW46*24*3600/100000000</f>
        <v>10.7136</v>
      </c>
      <c r="IX46" s="6">
        <f>日流量!IX46*24*3600/100000000</f>
        <v>10.6272</v>
      </c>
      <c r="IY46" s="6">
        <f>日流量!IY46*24*3600/100000000</f>
        <v>9.7631999999999994</v>
      </c>
      <c r="IZ46" s="6">
        <f>日流量!IZ46*24*3600/100000000</f>
        <v>9.0719999999999992</v>
      </c>
      <c r="JA46" s="6">
        <f>日流量!JA46*24*3600/100000000</f>
        <v>8.6227199999999993</v>
      </c>
      <c r="JB46" s="6">
        <f>日流量!JB46*24*3600/100000000</f>
        <v>8.4153599999999997</v>
      </c>
      <c r="JC46" s="6">
        <f>日流量!JC46*24*3600/100000000</f>
        <v>8.8127999999999993</v>
      </c>
      <c r="JD46" s="6">
        <f>日流量!JD46*24*3600/100000000</f>
        <v>8.4326399999999992</v>
      </c>
      <c r="JE46" s="6">
        <f>日流量!JE46*24*3600/100000000</f>
        <v>8.2080000000000002</v>
      </c>
      <c r="JF46" s="6">
        <f>日流量!JF46*24*3600/100000000</f>
        <v>7.8105599999999997</v>
      </c>
      <c r="JG46" s="6">
        <f>日流量!JG46*24*3600/100000000</f>
        <v>7.6550399999999996</v>
      </c>
      <c r="JH46" s="6">
        <f>日流量!JH46*24*3600/100000000</f>
        <v>8.0265599999999999</v>
      </c>
      <c r="JI46" s="6">
        <f>日流量!JI46*24*3600/100000000</f>
        <v>8.3894400000000005</v>
      </c>
      <c r="JJ46" s="6">
        <f>日流量!JJ46*24*3600/100000000</f>
        <v>8.8992000000000004</v>
      </c>
      <c r="JK46" s="6">
        <f>日流量!JK46*24*3600/100000000</f>
        <v>8.8127999999999993</v>
      </c>
      <c r="JL46" s="6">
        <f>日流量!JL46*24*3600/100000000</f>
        <v>8.4931199999999993</v>
      </c>
      <c r="JM46" s="6">
        <f>日流量!JM46*24*3600/100000000</f>
        <v>8.1475200000000001</v>
      </c>
      <c r="JN46" s="6">
        <f>日流量!JN46*24*3600/100000000</f>
        <v>7.9228800000000001</v>
      </c>
      <c r="JO46" s="6">
        <f>日流量!JO46*24*3600/100000000</f>
        <v>7.8451199999999996</v>
      </c>
      <c r="JP46" s="6">
        <f>日流量!JP46*24*3600/100000000</f>
        <v>8.1129599999999993</v>
      </c>
      <c r="JQ46" s="6">
        <f>日流量!JQ46*24*3600/100000000</f>
        <v>8.1907200000000007</v>
      </c>
      <c r="JR46" s="6">
        <f>日流量!JR46*24*3600/100000000</f>
        <v>8.8127999999999993</v>
      </c>
      <c r="JS46" s="6">
        <f>日流量!JS46*24*3600/100000000</f>
        <v>8.9855999999999998</v>
      </c>
      <c r="JT46" s="6">
        <f>日流量!JT46*24*3600/100000000</f>
        <v>8.8992000000000004</v>
      </c>
      <c r="JU46" s="6">
        <f>日流量!JU46*24*3600/100000000</f>
        <v>9.3312000000000008</v>
      </c>
      <c r="JV46" s="6">
        <f>日流量!JV46*24*3600/100000000</f>
        <v>8.8992000000000004</v>
      </c>
      <c r="JW46" s="6">
        <f>日流量!JW46*24*3600/100000000</f>
        <v>8.3980800000000002</v>
      </c>
      <c r="JX46" s="6">
        <f>日流量!JX46*24*3600/100000000</f>
        <v>8.0179200000000002</v>
      </c>
      <c r="JY46" s="6">
        <f>日流量!JY46*24*3600/100000000</f>
        <v>7.6809599999999998</v>
      </c>
      <c r="JZ46" s="6">
        <f>日流量!JZ46*24*3600/100000000</f>
        <v>7.2489600000000003</v>
      </c>
      <c r="KA46" s="6">
        <f>日流量!KA46*24*3600/100000000</f>
        <v>6.8169599999999999</v>
      </c>
      <c r="KB46" s="6">
        <f>日流量!KB46*24*3600/100000000</f>
        <v>6.4972799999999999</v>
      </c>
      <c r="KC46" s="6">
        <f>日流量!KC46*24*3600/100000000</f>
        <v>6.2121599999999999</v>
      </c>
      <c r="KD46" s="6">
        <f>日流量!KD46*24*3600/100000000</f>
        <v>6.3071999999999999</v>
      </c>
      <c r="KE46" s="6">
        <f>日流量!KE46*24*3600/100000000</f>
        <v>6.4713599999999998</v>
      </c>
      <c r="KF46" s="6">
        <f>日流量!KF46*24*3600/100000000</f>
        <v>6.3158399999999997</v>
      </c>
      <c r="KG46" s="6">
        <f>日流量!KG46*24*3600/100000000</f>
        <v>6.1776</v>
      </c>
      <c r="KH46" s="6">
        <f>日流量!KH46*24*3600/100000000</f>
        <v>6.0652799999999996</v>
      </c>
      <c r="KI46" s="6">
        <f>日流量!KI46*24*3600/100000000</f>
        <v>5.7715199999999998</v>
      </c>
      <c r="KJ46" s="6">
        <f>日流量!KJ46*24*3600/100000000</f>
        <v>5.5900800000000004</v>
      </c>
      <c r="KK46" s="6">
        <f>日流量!KK46*24*3600/100000000</f>
        <v>5.4518399999999998</v>
      </c>
      <c r="KL46" s="6">
        <f>日流量!KL46*24*3600/100000000</f>
        <v>5.3049600000000003</v>
      </c>
      <c r="KM46" s="6">
        <f>日流量!KM46*24*3600/100000000</f>
        <v>5.1321599999999998</v>
      </c>
      <c r="KN46" s="6">
        <f>日流量!KN46*24*3600/100000000</f>
        <v>5.0111999999999997</v>
      </c>
      <c r="KO46" s="6">
        <f>日流量!KO46*24*3600/100000000</f>
        <v>4.8384</v>
      </c>
      <c r="KP46" s="6">
        <f>日流量!KP46*24*3600/100000000</f>
        <v>4.64832</v>
      </c>
      <c r="KQ46" s="6">
        <f>日流量!KQ46*24*3600/100000000</f>
        <v>4.4755200000000004</v>
      </c>
      <c r="KR46" s="6">
        <f>日流量!KR46*24*3600/100000000</f>
        <v>4.32</v>
      </c>
      <c r="KS46" s="6">
        <f>日流量!KS46*24*3600/100000000</f>
        <v>4.1990400000000001</v>
      </c>
      <c r="KT46" s="6">
        <f>日流量!KT46*24*3600/100000000</f>
        <v>4.1299200000000003</v>
      </c>
      <c r="KU46" s="6">
        <f>日流量!KU46*24*3600/100000000</f>
        <v>4.04352</v>
      </c>
      <c r="KV46" s="6">
        <f>日流量!KV46*24*3600/100000000</f>
        <v>3.96576</v>
      </c>
      <c r="KW46" s="6">
        <f>日流量!KW46*24*3600/100000000</f>
        <v>3.8275199999999998</v>
      </c>
      <c r="KX46" s="6">
        <f>日流量!KX46*24*3600/100000000</f>
        <v>3.7151999999999998</v>
      </c>
      <c r="KY46" s="6">
        <f>日流量!KY46*24*3600/100000000</f>
        <v>3.5769600000000001</v>
      </c>
      <c r="KZ46" s="6">
        <f>日流量!KZ46*24*3600/100000000</f>
        <v>3.4646400000000002</v>
      </c>
      <c r="LA46" s="6">
        <f>日流量!LA46*24*3600/100000000</f>
        <v>3.3955199999999999</v>
      </c>
      <c r="LB46" s="6">
        <f>日流量!LB46*24*3600/100000000</f>
        <v>3.3350399999999998</v>
      </c>
      <c r="LC46" s="6">
        <f>日流量!LC46*24*3600/100000000</f>
        <v>3.2745600000000001</v>
      </c>
      <c r="LD46" s="6">
        <f>日流量!LD46*24*3600/100000000</f>
        <v>3.1795200000000001</v>
      </c>
      <c r="LE46" s="6">
        <f>日流量!LE46*24*3600/100000000</f>
        <v>3.1103999999999998</v>
      </c>
      <c r="LF46" s="6">
        <f>日流量!LF46*24*3600/100000000</f>
        <v>3.0499200000000002</v>
      </c>
      <c r="LG46" s="6">
        <f>日流量!LG46*24*3600/100000000</f>
        <v>2.9721600000000001</v>
      </c>
      <c r="LH46" s="6">
        <f>日流量!LH46*24*3600/100000000</f>
        <v>2.9203199999999998</v>
      </c>
      <c r="LI46" s="6">
        <f>日流量!LI46*24*3600/100000000</f>
        <v>2.8425600000000002</v>
      </c>
      <c r="LJ46" s="6">
        <f>日流量!LJ46*24*3600/100000000</f>
        <v>2.7648000000000001</v>
      </c>
      <c r="LK46" s="6">
        <f>日流量!LK46*24*3600/100000000</f>
        <v>2.7216</v>
      </c>
      <c r="LL46" s="6">
        <f>日流量!LL46*24*3600/100000000</f>
        <v>2.6697600000000001</v>
      </c>
      <c r="LM46" s="6">
        <f>日流量!LM46*24*3600/100000000</f>
        <v>2.6352000000000002</v>
      </c>
      <c r="LN46" s="6">
        <f>日流量!LN46*24*3600/100000000</f>
        <v>2.5920000000000001</v>
      </c>
      <c r="LO46" s="6">
        <f>日流量!LO46*24*3600/100000000</f>
        <v>2.5488</v>
      </c>
      <c r="LP46" s="6">
        <f>日流量!LP46*24*3600/100000000</f>
        <v>2.5055999999999998</v>
      </c>
      <c r="LQ46" s="6">
        <f>日流量!LQ46*24*3600/100000000</f>
        <v>2.4624000000000001</v>
      </c>
      <c r="LR46" s="6">
        <f>日流量!LR46*24*3600/100000000</f>
        <v>2.4105599999999998</v>
      </c>
      <c r="LS46" s="6">
        <f>日流量!LS46*24*3600/100000000</f>
        <v>2.3759999999999999</v>
      </c>
      <c r="LT46" s="6">
        <f>日流量!LT46*24*3600/100000000</f>
        <v>2.3328000000000002</v>
      </c>
      <c r="LU46" s="6">
        <f>日流量!LU46*24*3600/100000000</f>
        <v>2.2809599999999999</v>
      </c>
      <c r="LV46" s="6">
        <f>日流量!LV46*24*3600/100000000</f>
        <v>2.2550400000000002</v>
      </c>
      <c r="LW46" s="6">
        <f>日流量!LW46*24*3600/100000000</f>
        <v>2.21184</v>
      </c>
      <c r="LX46" s="6">
        <f>日流量!LX46*24*3600/100000000</f>
        <v>2.1772800000000001</v>
      </c>
      <c r="LY46" s="6">
        <f>日流量!LY46*24*3600/100000000</f>
        <v>2.1254400000000002</v>
      </c>
      <c r="LZ46" s="6">
        <f>日流量!LZ46*24*3600/100000000</f>
        <v>2.0908799999999998</v>
      </c>
      <c r="MA46" s="6">
        <f>日流量!MA46*24*3600/100000000</f>
        <v>2.0649600000000001</v>
      </c>
      <c r="MB46" s="6">
        <f>日流量!MB46*24*3600/100000000</f>
        <v>2.0476800000000002</v>
      </c>
      <c r="MC46" s="6">
        <f>日流量!MC46*24*3600/100000000</f>
        <v>2.0131199999999998</v>
      </c>
      <c r="MD46" s="6">
        <f>日流量!MD46*24*3600/100000000</f>
        <v>1.9872000000000001</v>
      </c>
      <c r="ME46" s="6">
        <f>日流量!ME46*24*3600/100000000</f>
        <v>1.9699199999999999</v>
      </c>
      <c r="MF46" s="6">
        <f>日流量!MF46*24*3600/100000000</f>
        <v>1.944</v>
      </c>
      <c r="MG46" s="6">
        <f>日流量!MG46*24*3600/100000000</f>
        <v>1.91808</v>
      </c>
      <c r="MH46" s="6">
        <f>日流量!MH46*24*3600/100000000</f>
        <v>1.9008</v>
      </c>
      <c r="MI46" s="6">
        <f>日流量!MI46*24*3600/100000000</f>
        <v>1.8921600000000001</v>
      </c>
      <c r="MJ46" s="6">
        <f>日流量!MJ46*24*3600/100000000</f>
        <v>1.8748800000000001</v>
      </c>
      <c r="MK46" s="6">
        <f>日流量!MK46*24*3600/100000000</f>
        <v>1.8662399999999999</v>
      </c>
      <c r="ML46" s="6">
        <f>日流量!ML46*24*3600/100000000</f>
        <v>1.84032</v>
      </c>
      <c r="MM46" s="6">
        <f>日流量!MM46*24*3600/100000000</f>
        <v>1.8144</v>
      </c>
      <c r="MN46" s="6">
        <f>日流量!MN46*24*3600/100000000</f>
        <v>1.7798400000000001</v>
      </c>
      <c r="MO46" s="6">
        <f>日流量!MO46*24*3600/100000000</f>
        <v>1.7452799999999999</v>
      </c>
      <c r="MP46" s="6">
        <f>日流量!MP46*24*3600/100000000</f>
        <v>1.73664</v>
      </c>
      <c r="MQ46" s="6">
        <f>日流量!MQ46*24*3600/100000000</f>
        <v>1.73664</v>
      </c>
      <c r="MR46" s="6">
        <f>日流量!MR46*24*3600/100000000</f>
        <v>1.71936</v>
      </c>
      <c r="MS46" s="6">
        <f>日流量!MS46*24*3600/100000000</f>
        <v>1.71072</v>
      </c>
      <c r="MT46" s="6">
        <f>日流量!MT46*24*3600/100000000</f>
        <v>1.6761600000000001</v>
      </c>
      <c r="MU46" s="6">
        <f>日流量!MU46*24*3600/100000000</f>
        <v>1.6415999999999999</v>
      </c>
      <c r="MV46" s="6">
        <f>日流量!MV46*24*3600/100000000</f>
        <v>1.61568</v>
      </c>
      <c r="MW46" s="6">
        <f>日流量!MW46*24*3600/100000000</f>
        <v>1.5897600000000001</v>
      </c>
      <c r="MX46" s="6">
        <f>日流量!MX46*24*3600/100000000</f>
        <v>1.5638399999999999</v>
      </c>
      <c r="MY46" s="6">
        <f>日流量!MY46*24*3600/100000000</f>
        <v>1.5551999999999999</v>
      </c>
      <c r="MZ46" s="6">
        <f>日流量!MZ46*24*3600/100000000</f>
        <v>1.512</v>
      </c>
      <c r="NA46" s="6">
        <f>日流量!NA46*24*3600/100000000</f>
        <v>1.4774400000000001</v>
      </c>
      <c r="NB46" s="6">
        <f>日流量!NB46*24*3600/100000000</f>
        <v>1.4428799999999999</v>
      </c>
      <c r="NC46" s="6"/>
      <c r="ND46" s="6">
        <f>日流量!ND46*24*3600*31/100000000</f>
        <v>27.855360000000001</v>
      </c>
      <c r="NE46" s="6">
        <f>日流量!NE46*24*3600*28/100000000</f>
        <v>23.296896</v>
      </c>
      <c r="NF46" s="6">
        <f>日流量!NF46*24*3600*31/100000000</f>
        <v>24.775200000000002</v>
      </c>
      <c r="NG46" s="6">
        <f>日流量!NG46*24*3600*30/100000000</f>
        <v>25.194240000000001</v>
      </c>
      <c r="NH46" s="6">
        <f>日流量!NH46*24*3600*31/100000000</f>
        <v>45.264960000000002</v>
      </c>
      <c r="NI46" s="6">
        <f>日流量!NI46*24*3600*30/100000000</f>
        <v>68.428799999999995</v>
      </c>
      <c r="NJ46" s="6">
        <f>日流量!NJ46*24*3600*31/100000000</f>
        <v>182.66687999999999</v>
      </c>
      <c r="NK46" s="6">
        <f>日流量!NK46*24*3600*31/100000000</f>
        <v>383.01119999999997</v>
      </c>
      <c r="NL46" s="6">
        <f>日流量!NL46*24*3600*30/100000000</f>
        <v>305.85599999999999</v>
      </c>
      <c r="NM46" s="6">
        <f>日流量!NM46*24*3600*31/100000000</f>
        <v>202.2192</v>
      </c>
      <c r="NN46" s="6">
        <f>日流量!NN46*24*3600*30/100000000</f>
        <v>87.6096</v>
      </c>
      <c r="NO46" s="6">
        <f>日流量!NO46*24*3600*31/100000000</f>
        <v>55.175040000000003</v>
      </c>
      <c r="NP46" s="14">
        <f t="shared" si="10"/>
        <v>1431.353376</v>
      </c>
      <c r="NQ46" s="6">
        <f>日流量!NQ46*24*3600/100000000</f>
        <v>20.044799999999999</v>
      </c>
      <c r="NR46" s="4">
        <f>日流量!NR46</f>
        <v>42613</v>
      </c>
      <c r="NS46" s="6">
        <f>日流量!NS46*24*3600/100000000</f>
        <v>0.78537599999999996</v>
      </c>
      <c r="NT46" s="4">
        <f>日流量!NT46</f>
        <v>42442</v>
      </c>
      <c r="NU46" s="7">
        <f>日流量!NP46</f>
        <v>4541.0164383561641</v>
      </c>
      <c r="NW46" s="13">
        <f t="shared" si="0"/>
        <v>1187.44704</v>
      </c>
      <c r="NX46" s="12">
        <f t="shared" si="1"/>
        <v>82.959740055135072</v>
      </c>
      <c r="NY46" s="13">
        <f t="shared" si="2"/>
        <v>939.96287999999993</v>
      </c>
      <c r="NZ46" s="12">
        <f t="shared" si="3"/>
        <v>65.669519194958042</v>
      </c>
      <c r="OA46" s="13">
        <f t="shared" si="4"/>
        <v>243.90633600000001</v>
      </c>
      <c r="OB46" s="12">
        <f t="shared" si="5"/>
        <v>17.040259944864935</v>
      </c>
      <c r="OC46" s="13">
        <f t="shared" si="6"/>
        <v>383.01119999999997</v>
      </c>
      <c r="OD46" s="12">
        <f t="shared" si="7"/>
        <v>26.758675140750142</v>
      </c>
      <c r="OE46" s="12">
        <f t="shared" si="8"/>
        <v>334.42835887850464</v>
      </c>
      <c r="OF46" s="12">
        <f t="shared" si="9"/>
        <v>10.604653693509153</v>
      </c>
    </row>
    <row r="47" spans="1:396" x14ac:dyDescent="0.15">
      <c r="A47" s="2">
        <v>1994</v>
      </c>
      <c r="B47" s="6">
        <f>日流量!B47*24*3600/100000000</f>
        <v>1.49472</v>
      </c>
      <c r="C47" s="6">
        <f>日流量!C47*24*3600/100000000</f>
        <v>1.4688000000000001</v>
      </c>
      <c r="D47" s="6">
        <f>日流量!D47*24*3600/100000000</f>
        <v>1.4688000000000001</v>
      </c>
      <c r="E47" s="6">
        <f>日流量!E47*24*3600/100000000</f>
        <v>1.4601599999999999</v>
      </c>
      <c r="F47" s="6">
        <f>日流量!F47*24*3600/100000000</f>
        <v>1.4688000000000001</v>
      </c>
      <c r="G47" s="6">
        <f>日流量!G47*24*3600/100000000</f>
        <v>1.4601599999999999</v>
      </c>
      <c r="H47" s="6">
        <f>日流量!H47*24*3600/100000000</f>
        <v>1.4601599999999999</v>
      </c>
      <c r="I47" s="6">
        <f>日流量!I47*24*3600/100000000</f>
        <v>1.4428799999999999</v>
      </c>
      <c r="J47" s="6">
        <f>日流量!J47*24*3600/100000000</f>
        <v>1.4256</v>
      </c>
      <c r="K47" s="6">
        <f>日流量!K47*24*3600/100000000</f>
        <v>1.40832</v>
      </c>
      <c r="L47" s="6">
        <f>日流量!L47*24*3600/100000000</f>
        <v>1.39968</v>
      </c>
      <c r="M47" s="6">
        <f>日流量!M47*24*3600/100000000</f>
        <v>1.3910400000000001</v>
      </c>
      <c r="N47" s="6">
        <f>日流量!N47*24*3600/100000000</f>
        <v>1.3737600000000001</v>
      </c>
      <c r="O47" s="6">
        <f>日流量!O47*24*3600/100000000</f>
        <v>1.3478399999999999</v>
      </c>
      <c r="P47" s="6">
        <f>日流量!P47*24*3600/100000000</f>
        <v>1.33056</v>
      </c>
      <c r="Q47" s="6">
        <f>日流量!Q47*24*3600/100000000</f>
        <v>1.33056</v>
      </c>
      <c r="R47" s="6">
        <f>日流量!R47*24*3600/100000000</f>
        <v>1.32192</v>
      </c>
      <c r="S47" s="6">
        <f>日流量!S47*24*3600/100000000</f>
        <v>1.33056</v>
      </c>
      <c r="T47" s="6">
        <f>日流量!T47*24*3600/100000000</f>
        <v>1.3391999999999999</v>
      </c>
      <c r="U47" s="6">
        <f>日流量!U47*24*3600/100000000</f>
        <v>1.3391999999999999</v>
      </c>
      <c r="V47" s="6">
        <f>日流量!V47*24*3600/100000000</f>
        <v>1.3391999999999999</v>
      </c>
      <c r="W47" s="6">
        <f>日流量!W47*24*3600/100000000</f>
        <v>1.32192</v>
      </c>
      <c r="X47" s="6">
        <f>日流量!X47*24*3600/100000000</f>
        <v>1.30464</v>
      </c>
      <c r="Y47" s="6">
        <f>日流量!Y47*24*3600/100000000</f>
        <v>1.2873600000000001</v>
      </c>
      <c r="Z47" s="6">
        <f>日流量!Z47*24*3600/100000000</f>
        <v>1.2787200000000001</v>
      </c>
      <c r="AA47" s="6">
        <f>日流量!AA47*24*3600/100000000</f>
        <v>1.2787200000000001</v>
      </c>
      <c r="AB47" s="6">
        <f>日流量!AB47*24*3600/100000000</f>
        <v>1.2700800000000001</v>
      </c>
      <c r="AC47" s="6">
        <f>日流量!AC47*24*3600/100000000</f>
        <v>1.2527999999999999</v>
      </c>
      <c r="AD47" s="6">
        <f>日流量!AD47*24*3600/100000000</f>
        <v>1.2441599999999999</v>
      </c>
      <c r="AE47" s="6">
        <f>日流量!AE47*24*3600/100000000</f>
        <v>1.22688</v>
      </c>
      <c r="AF47" s="6">
        <f>日流量!AF47*24*3600/100000000</f>
        <v>1.21824</v>
      </c>
      <c r="AG47" s="6">
        <f>日流量!AG47*24*3600/100000000</f>
        <v>1.2096</v>
      </c>
      <c r="AH47" s="6">
        <f>日流量!AH47*24*3600/100000000</f>
        <v>1.20096</v>
      </c>
      <c r="AI47" s="6">
        <f>日流量!AI47*24*3600/100000000</f>
        <v>1.2096</v>
      </c>
      <c r="AJ47" s="6">
        <f>日流量!AJ47*24*3600/100000000</f>
        <v>1.2527999999999999</v>
      </c>
      <c r="AK47" s="6">
        <f>日流量!AK47*24*3600/100000000</f>
        <v>1.2700800000000001</v>
      </c>
      <c r="AL47" s="6">
        <f>日流量!AL47*24*3600/100000000</f>
        <v>1.2787200000000001</v>
      </c>
      <c r="AM47" s="6">
        <f>日流量!AM47*24*3600/100000000</f>
        <v>1.2527999999999999</v>
      </c>
      <c r="AN47" s="6">
        <f>日流量!AN47*24*3600/100000000</f>
        <v>1.22688</v>
      </c>
      <c r="AO47" s="6">
        <f>日流量!AO47*24*3600/100000000</f>
        <v>1.2096</v>
      </c>
      <c r="AP47" s="6">
        <f>日流量!AP47*24*3600/100000000</f>
        <v>1.19232</v>
      </c>
      <c r="AQ47" s="6">
        <f>日流量!AQ47*24*3600/100000000</f>
        <v>1.1836800000000001</v>
      </c>
      <c r="AR47" s="6">
        <f>日流量!AR47*24*3600/100000000</f>
        <v>1.1750400000000001</v>
      </c>
      <c r="AS47" s="6">
        <f>日流量!AS47*24*3600/100000000</f>
        <v>1.1577599999999999</v>
      </c>
      <c r="AT47" s="6">
        <f>日流量!AT47*24*3600/100000000</f>
        <v>1.1404799999999999</v>
      </c>
      <c r="AU47" s="6">
        <f>日流量!AU47*24*3600/100000000</f>
        <v>1.1232</v>
      </c>
      <c r="AV47" s="6">
        <f>日流量!AV47*24*3600/100000000</f>
        <v>1.10592</v>
      </c>
      <c r="AW47" s="6">
        <f>日流量!AW47*24*3600/100000000</f>
        <v>1.09728</v>
      </c>
      <c r="AX47" s="6">
        <f>日流量!AX47*24*3600/100000000</f>
        <v>1.08</v>
      </c>
      <c r="AY47" s="6">
        <f>日流量!AY47*24*3600/100000000</f>
        <v>1.0627200000000001</v>
      </c>
      <c r="AZ47" s="6">
        <f>日流量!AZ47*24*3600/100000000</f>
        <v>1.0540799999999999</v>
      </c>
      <c r="BA47" s="6">
        <f>日流量!BA47*24*3600/100000000</f>
        <v>1.0540799999999999</v>
      </c>
      <c r="BB47" s="6">
        <f>日流量!BB47*24*3600/100000000</f>
        <v>1.02816</v>
      </c>
      <c r="BC47" s="6">
        <f>日流量!BC47*24*3600/100000000</f>
        <v>1.02816</v>
      </c>
      <c r="BD47" s="6">
        <f>日流量!BD47*24*3600/100000000</f>
        <v>1.01952</v>
      </c>
      <c r="BE47" s="6">
        <f>日流量!BE47*24*3600/100000000</f>
        <v>1.02816</v>
      </c>
      <c r="BF47" s="6">
        <f>日流量!BF47*24*3600/100000000</f>
        <v>1.01952</v>
      </c>
      <c r="BG47" s="6">
        <f>日流量!BG47*24*3600/100000000</f>
        <v>1.01088</v>
      </c>
      <c r="BH47" s="6">
        <f>日流量!BH47*24*3600/100000000</f>
        <v>1.01952</v>
      </c>
      <c r="BI47" s="6"/>
      <c r="BJ47" s="6">
        <f>日流量!BJ47*24*3600/100000000</f>
        <v>1.01952</v>
      </c>
      <c r="BK47" s="6">
        <f>日流量!BK47*24*3600/100000000</f>
        <v>1.01088</v>
      </c>
      <c r="BL47" s="6">
        <f>日流量!BL47*24*3600/100000000</f>
        <v>1.01088</v>
      </c>
      <c r="BM47" s="6">
        <f>日流量!BM47*24*3600/100000000</f>
        <v>1.00224</v>
      </c>
      <c r="BN47" s="6">
        <f>日流量!BN47*24*3600/100000000</f>
        <v>0.98495999999999995</v>
      </c>
      <c r="BO47" s="6">
        <f>日流量!BO47*24*3600/100000000</f>
        <v>0.98495999999999995</v>
      </c>
      <c r="BP47" s="6">
        <f>日流量!BP47*24*3600/100000000</f>
        <v>0.98495999999999995</v>
      </c>
      <c r="BQ47" s="6">
        <f>日流量!BQ47*24*3600/100000000</f>
        <v>0.97631999999999997</v>
      </c>
      <c r="BR47" s="6">
        <f>日流量!BR47*24*3600/100000000</f>
        <v>0.95904</v>
      </c>
      <c r="BS47" s="6">
        <f>日流量!BS47*24*3600/100000000</f>
        <v>0.95904</v>
      </c>
      <c r="BT47" s="6">
        <f>日流量!BT47*24*3600/100000000</f>
        <v>0.95904</v>
      </c>
      <c r="BU47" s="6">
        <f>日流量!BU47*24*3600/100000000</f>
        <v>0.95904</v>
      </c>
      <c r="BV47" s="6">
        <f>日流量!BV47*24*3600/100000000</f>
        <v>0.95904</v>
      </c>
      <c r="BW47" s="6">
        <f>日流量!BW47*24*3600/100000000</f>
        <v>0.95040000000000002</v>
      </c>
      <c r="BX47" s="6">
        <f>日流量!BX47*24*3600/100000000</f>
        <v>0.95040000000000002</v>
      </c>
      <c r="BY47" s="6">
        <f>日流量!BY47*24*3600/100000000</f>
        <v>0.94176000000000004</v>
      </c>
      <c r="BZ47" s="6">
        <f>日流量!BZ47*24*3600/100000000</f>
        <v>0.95040000000000002</v>
      </c>
      <c r="CA47" s="6">
        <f>日流量!CA47*24*3600/100000000</f>
        <v>0.95904</v>
      </c>
      <c r="CB47" s="6">
        <f>日流量!CB47*24*3600/100000000</f>
        <v>0.97631999999999997</v>
      </c>
      <c r="CC47" s="6">
        <f>日流量!CC47*24*3600/100000000</f>
        <v>1.01952</v>
      </c>
      <c r="CD47" s="6">
        <f>日流量!CD47*24*3600/100000000</f>
        <v>1.0627200000000001</v>
      </c>
      <c r="CE47" s="6">
        <f>日流量!CE47*24*3600/100000000</f>
        <v>1.0886400000000001</v>
      </c>
      <c r="CF47" s="6">
        <f>日流量!CF47*24*3600/100000000</f>
        <v>1.10592</v>
      </c>
      <c r="CG47" s="6">
        <f>日流量!CG47*24*3600/100000000</f>
        <v>1.1750400000000001</v>
      </c>
      <c r="CH47" s="6">
        <f>日流量!CH47*24*3600/100000000</f>
        <v>1.2441599999999999</v>
      </c>
      <c r="CI47" s="6">
        <f>日流量!CI47*24*3600/100000000</f>
        <v>1.33056</v>
      </c>
      <c r="CJ47" s="6">
        <f>日流量!CJ47*24*3600/100000000</f>
        <v>1.3391999999999999</v>
      </c>
      <c r="CK47" s="6">
        <f>日流量!CK47*24*3600/100000000</f>
        <v>1.3478399999999999</v>
      </c>
      <c r="CL47" s="6">
        <f>日流量!CL47*24*3600/100000000</f>
        <v>1.3737600000000001</v>
      </c>
      <c r="CM47" s="6">
        <f>日流量!CM47*24*3600/100000000</f>
        <v>1.3564799999999999</v>
      </c>
      <c r="CN47" s="6">
        <f>日流量!CN47*24*3600/100000000</f>
        <v>1.32192</v>
      </c>
      <c r="CO47" s="6">
        <f>日流量!CO47*24*3600/100000000</f>
        <v>1.2873600000000001</v>
      </c>
      <c r="CP47" s="6">
        <f>日流量!CP47*24*3600/100000000</f>
        <v>1.2441599999999999</v>
      </c>
      <c r="CQ47" s="6">
        <f>日流量!CQ47*24*3600/100000000</f>
        <v>1.2614399999999999</v>
      </c>
      <c r="CR47" s="6">
        <f>日流量!CR47*24*3600/100000000</f>
        <v>1.2614399999999999</v>
      </c>
      <c r="CS47" s="6">
        <f>日流量!CS47*24*3600/100000000</f>
        <v>1.2527999999999999</v>
      </c>
      <c r="CT47" s="6">
        <f>日流量!CT47*24*3600/100000000</f>
        <v>1.2527999999999999</v>
      </c>
      <c r="CU47" s="6">
        <f>日流量!CU47*24*3600/100000000</f>
        <v>1.21824</v>
      </c>
      <c r="CV47" s="6">
        <f>日流量!CV47*24*3600/100000000</f>
        <v>1.21824</v>
      </c>
      <c r="CW47" s="6">
        <f>日流量!CW47*24*3600/100000000</f>
        <v>1.22688</v>
      </c>
      <c r="CX47" s="6">
        <f>日流量!CX47*24*3600/100000000</f>
        <v>1.2527999999999999</v>
      </c>
      <c r="CY47" s="6">
        <f>日流量!CY47*24*3600/100000000</f>
        <v>1.32192</v>
      </c>
      <c r="CZ47" s="6">
        <f>日流量!CZ47*24*3600/100000000</f>
        <v>1.4688000000000001</v>
      </c>
      <c r="DA47" s="6">
        <f>日流量!DA47*24*3600/100000000</f>
        <v>1.6761600000000001</v>
      </c>
      <c r="DB47" s="6">
        <f>日流量!DB47*24*3600/100000000</f>
        <v>1.8575999999999999</v>
      </c>
      <c r="DC47" s="6">
        <f>日流量!DC47*24*3600/100000000</f>
        <v>1.8835200000000001</v>
      </c>
      <c r="DD47" s="6">
        <f>日流量!DD47*24*3600/100000000</f>
        <v>1.7884800000000001</v>
      </c>
      <c r="DE47" s="6">
        <f>日流量!DE47*24*3600/100000000</f>
        <v>1.6502399999999999</v>
      </c>
      <c r="DF47" s="6">
        <f>日流量!DF47*24*3600/100000000</f>
        <v>1.512</v>
      </c>
      <c r="DG47" s="6">
        <f>日流量!DG47*24*3600/100000000</f>
        <v>1.40832</v>
      </c>
      <c r="DH47" s="6">
        <f>日流量!DH47*24*3600/100000000</f>
        <v>1.3391999999999999</v>
      </c>
      <c r="DI47" s="6">
        <f>日流量!DI47*24*3600/100000000</f>
        <v>1.30464</v>
      </c>
      <c r="DJ47" s="6">
        <f>日流量!DJ47*24*3600/100000000</f>
        <v>1.2873600000000001</v>
      </c>
      <c r="DK47" s="6">
        <f>日流量!DK47*24*3600/100000000</f>
        <v>1.30464</v>
      </c>
      <c r="DL47" s="6">
        <f>日流量!DL47*24*3600/100000000</f>
        <v>1.22688</v>
      </c>
      <c r="DM47" s="6">
        <f>日流量!DM47*24*3600/100000000</f>
        <v>1.20096</v>
      </c>
      <c r="DN47" s="6">
        <f>日流量!DN47*24*3600/100000000</f>
        <v>1.1836800000000001</v>
      </c>
      <c r="DO47" s="6">
        <f>日流量!DO47*24*3600/100000000</f>
        <v>1.1836800000000001</v>
      </c>
      <c r="DP47" s="6">
        <f>日流量!DP47*24*3600/100000000</f>
        <v>1.19232</v>
      </c>
      <c r="DQ47" s="6">
        <f>日流量!DQ47*24*3600/100000000</f>
        <v>1.2096</v>
      </c>
      <c r="DR47" s="6">
        <f>日流量!DR47*24*3600/100000000</f>
        <v>1.22688</v>
      </c>
      <c r="DS47" s="6">
        <f>日流量!DS47*24*3600/100000000</f>
        <v>1.22688</v>
      </c>
      <c r="DT47" s="6">
        <f>日流量!DT47*24*3600/100000000</f>
        <v>1.21824</v>
      </c>
      <c r="DU47" s="6">
        <f>日流量!DU47*24*3600/100000000</f>
        <v>1.21824</v>
      </c>
      <c r="DV47" s="6">
        <f>日流量!DV47*24*3600/100000000</f>
        <v>1.23552</v>
      </c>
      <c r="DW47" s="6">
        <f>日流量!DW47*24*3600/100000000</f>
        <v>1.2614399999999999</v>
      </c>
      <c r="DX47" s="6">
        <f>日流量!DX47*24*3600/100000000</f>
        <v>1.33056</v>
      </c>
      <c r="DY47" s="6">
        <f>日流量!DY47*24*3600/100000000</f>
        <v>1.41696</v>
      </c>
      <c r="DZ47" s="6">
        <f>日流量!DZ47*24*3600/100000000</f>
        <v>1.512</v>
      </c>
      <c r="EA47" s="6">
        <f>日流量!EA47*24*3600/100000000</f>
        <v>1.6415999999999999</v>
      </c>
      <c r="EB47" s="6">
        <f>日流量!EB47*24*3600/100000000</f>
        <v>1.80576</v>
      </c>
      <c r="EC47" s="6">
        <f>日流量!EC47*24*3600/100000000</f>
        <v>1.944</v>
      </c>
      <c r="ED47" s="6">
        <f>日流量!ED47*24*3600/100000000</f>
        <v>1.8489599999999999</v>
      </c>
      <c r="EE47" s="6">
        <f>日流量!EE47*24*3600/100000000</f>
        <v>1.73664</v>
      </c>
      <c r="EF47" s="6">
        <f>日流量!EF47*24*3600/100000000</f>
        <v>1.6934400000000001</v>
      </c>
      <c r="EG47" s="6">
        <f>日流量!EG47*24*3600/100000000</f>
        <v>1.6934400000000001</v>
      </c>
      <c r="EH47" s="6">
        <f>日流量!EH47*24*3600/100000000</f>
        <v>1.7712000000000001</v>
      </c>
      <c r="EI47" s="6">
        <f>日流量!EI47*24*3600/100000000</f>
        <v>1.91808</v>
      </c>
      <c r="EJ47" s="6">
        <f>日流量!EJ47*24*3600/100000000</f>
        <v>2.00448</v>
      </c>
      <c r="EK47" s="6">
        <f>日流量!EK47*24*3600/100000000</f>
        <v>1.9785600000000001</v>
      </c>
      <c r="EL47" s="6">
        <f>日流量!EL47*24*3600/100000000</f>
        <v>1.9699199999999999</v>
      </c>
      <c r="EM47" s="6">
        <f>日流量!EM47*24*3600/100000000</f>
        <v>1.9785600000000001</v>
      </c>
      <c r="EN47" s="6">
        <f>日流量!EN47*24*3600/100000000</f>
        <v>1.9008</v>
      </c>
      <c r="EO47" s="6">
        <f>日流量!EO47*24*3600/100000000</f>
        <v>1.7712000000000001</v>
      </c>
      <c r="EP47" s="6">
        <f>日流量!EP47*24*3600/100000000</f>
        <v>1.728</v>
      </c>
      <c r="EQ47" s="6">
        <f>日流量!EQ47*24*3600/100000000</f>
        <v>1.7971200000000001</v>
      </c>
      <c r="ER47" s="6">
        <f>日流量!ER47*24*3600/100000000</f>
        <v>1.93536</v>
      </c>
      <c r="ES47" s="6">
        <f>日流量!ES47*24*3600/100000000</f>
        <v>2.0563199999999999</v>
      </c>
      <c r="ET47" s="6">
        <f>日流量!ET47*24*3600/100000000</f>
        <v>2.0649600000000001</v>
      </c>
      <c r="EU47" s="6">
        <f>日流量!EU47*24*3600/100000000</f>
        <v>2.1168</v>
      </c>
      <c r="EV47" s="6">
        <f>日流量!EV47*24*3600/100000000</f>
        <v>2.2031999999999998</v>
      </c>
      <c r="EW47" s="6">
        <f>日流量!EW47*24*3600/100000000</f>
        <v>2.3846400000000001</v>
      </c>
      <c r="EX47" s="6">
        <f>日流量!EX47*24*3600/100000000</f>
        <v>2.4019200000000001</v>
      </c>
      <c r="EY47" s="6">
        <f>日流量!EY47*24*3600/100000000</f>
        <v>2.4019200000000001</v>
      </c>
      <c r="EZ47" s="6">
        <f>日流量!EZ47*24*3600/100000000</f>
        <v>2.4278400000000002</v>
      </c>
      <c r="FA47" s="6">
        <f>日流量!FA47*24*3600/100000000</f>
        <v>2.5574400000000002</v>
      </c>
      <c r="FB47" s="6">
        <f>日流量!FB47*24*3600/100000000</f>
        <v>2.8598400000000002</v>
      </c>
      <c r="FC47" s="6">
        <f>日流量!FC47*24*3600/100000000</f>
        <v>3.34368</v>
      </c>
      <c r="FD47" s="6">
        <f>日流量!FD47*24*3600/100000000</f>
        <v>3.74112</v>
      </c>
      <c r="FE47" s="6">
        <f>日流量!FE47*24*3600/100000000</f>
        <v>3.94848</v>
      </c>
      <c r="FF47" s="6">
        <f>日流量!FF47*24*3600/100000000</f>
        <v>4.1299200000000003</v>
      </c>
      <c r="FG47" s="6">
        <f>日流量!FG47*24*3600/100000000</f>
        <v>3.9398399999999998</v>
      </c>
      <c r="FH47" s="6">
        <f>日流量!FH47*24*3600/100000000</f>
        <v>3.7756799999999999</v>
      </c>
      <c r="FI47" s="6">
        <f>日流量!FI47*24*3600/100000000</f>
        <v>3.6720000000000002</v>
      </c>
      <c r="FJ47" s="6">
        <f>日流量!FJ47*24*3600/100000000</f>
        <v>3.53376</v>
      </c>
      <c r="FK47" s="6">
        <f>日流量!FK47*24*3600/100000000</f>
        <v>3.4819200000000001</v>
      </c>
      <c r="FL47" s="6">
        <f>日流量!FL47*24*3600/100000000</f>
        <v>3.55104</v>
      </c>
      <c r="FM47" s="6">
        <f>日流量!FM47*24*3600/100000000</f>
        <v>4.04352</v>
      </c>
      <c r="FN47" s="6">
        <f>日流量!FN47*24*3600/100000000</f>
        <v>4.3372799999999998</v>
      </c>
      <c r="FO47" s="6">
        <f>日流量!FO47*24*3600/100000000</f>
        <v>4.7088000000000001</v>
      </c>
      <c r="FP47" s="6">
        <f>日流量!FP47*24*3600/100000000</f>
        <v>4.87296</v>
      </c>
      <c r="FQ47" s="6">
        <f>日流量!FQ47*24*3600/100000000</f>
        <v>5.4950400000000004</v>
      </c>
      <c r="FR47" s="6">
        <f>日流量!FR47*24*3600/100000000</f>
        <v>7.7328000000000001</v>
      </c>
      <c r="FS47" s="6">
        <f>日流量!FS47*24*3600/100000000</f>
        <v>9.8496000000000006</v>
      </c>
      <c r="FT47" s="6">
        <f>日流量!FT47*24*3600/100000000</f>
        <v>9.3312000000000008</v>
      </c>
      <c r="FU47" s="6">
        <f>日流量!FU47*24*3600/100000000</f>
        <v>8.1907200000000007</v>
      </c>
      <c r="FV47" s="6">
        <f>日流量!FV47*24*3600/100000000</f>
        <v>7.1193600000000004</v>
      </c>
      <c r="FW47" s="6">
        <f>日流量!FW47*24*3600/100000000</f>
        <v>6.5318399999999999</v>
      </c>
      <c r="FX47" s="6">
        <f>日流量!FX47*24*3600/100000000</f>
        <v>5.8060799999999997</v>
      </c>
      <c r="FY47" s="6">
        <f>日流量!FY47*24*3600/100000000</f>
        <v>5.2358399999999996</v>
      </c>
      <c r="FZ47" s="6">
        <f>日流量!FZ47*24*3600/100000000</f>
        <v>4.6828799999999999</v>
      </c>
      <c r="GA47" s="6">
        <f>日流量!GA47*24*3600/100000000</f>
        <v>4.3545600000000002</v>
      </c>
      <c r="GB47" s="6">
        <f>日流量!GB47*24*3600/100000000</f>
        <v>3.9916800000000001</v>
      </c>
      <c r="GC47" s="6">
        <f>日流量!GC47*24*3600/100000000</f>
        <v>4.5100800000000003</v>
      </c>
      <c r="GD47" s="6">
        <f>日流量!GD47*24*3600/100000000</f>
        <v>5.7888000000000002</v>
      </c>
      <c r="GE47" s="6">
        <f>日流量!GE47*24*3600/100000000</f>
        <v>6.4540800000000003</v>
      </c>
      <c r="GF47" s="6">
        <f>日流量!GF47*24*3600/100000000</f>
        <v>6.2294400000000003</v>
      </c>
      <c r="GG47" s="6">
        <f>日流量!GG47*24*3600/100000000</f>
        <v>5.5641600000000002</v>
      </c>
      <c r="GH47" s="6">
        <f>日流量!GH47*24*3600/100000000</f>
        <v>4.9939200000000001</v>
      </c>
      <c r="GI47" s="6">
        <f>日流量!GI47*24*3600/100000000</f>
        <v>5.0457599999999996</v>
      </c>
      <c r="GJ47" s="6">
        <f>日流量!GJ47*24*3600/100000000</f>
        <v>5.6505599999999996</v>
      </c>
      <c r="GK47" s="6">
        <f>日流量!GK47*24*3600/100000000</f>
        <v>5.4691200000000002</v>
      </c>
      <c r="GL47" s="6">
        <f>日流量!GL47*24*3600/100000000</f>
        <v>5.34816</v>
      </c>
      <c r="GM47" s="6">
        <f>日流量!GM47*24*3600/100000000</f>
        <v>6.5491200000000003</v>
      </c>
      <c r="GN47" s="6">
        <f>日流量!GN47*24*3600/100000000</f>
        <v>6.6787200000000002</v>
      </c>
      <c r="GO47" s="6">
        <f>日流量!GO47*24*3600/100000000</f>
        <v>5.8492800000000003</v>
      </c>
      <c r="GP47" s="6">
        <f>日流量!GP47*24*3600/100000000</f>
        <v>5.1062399999999997</v>
      </c>
      <c r="GQ47" s="6">
        <f>日流量!GQ47*24*3600/100000000</f>
        <v>4.64832</v>
      </c>
      <c r="GR47" s="6">
        <f>日流量!GR47*24*3600/100000000</f>
        <v>4.4496000000000002</v>
      </c>
      <c r="GS47" s="6">
        <f>日流量!GS47*24*3600/100000000</f>
        <v>4.1990400000000001</v>
      </c>
      <c r="GT47" s="6">
        <f>日流量!GT47*24*3600/100000000</f>
        <v>3.8966400000000001</v>
      </c>
      <c r="GU47" s="6">
        <f>日流量!GU47*24*3600/100000000</f>
        <v>3.8620800000000002</v>
      </c>
      <c r="GV47" s="6">
        <f>日流量!GV47*24*3600/100000000</f>
        <v>4.04352</v>
      </c>
      <c r="GW47" s="6">
        <f>日流量!GW47*24*3600/100000000</f>
        <v>4.0521599999999998</v>
      </c>
      <c r="GX47" s="6">
        <f>日流量!GX47*24*3600/100000000</f>
        <v>3.9225599999999998</v>
      </c>
      <c r="GY47" s="6">
        <f>日流量!GY47*24*3600/100000000</f>
        <v>4.04352</v>
      </c>
      <c r="GZ47" s="6">
        <f>日流量!GZ47*24*3600/100000000</f>
        <v>4.0867199999999997</v>
      </c>
      <c r="HA47" s="6">
        <f>日流量!HA47*24*3600/100000000</f>
        <v>4.2854400000000004</v>
      </c>
      <c r="HB47" s="6">
        <f>日流量!HB47*24*3600/100000000</f>
        <v>4.3113599999999996</v>
      </c>
      <c r="HC47" s="6">
        <f>日流量!HC47*24*3600/100000000</f>
        <v>4.1471999999999998</v>
      </c>
      <c r="HD47" s="6">
        <f>日流量!HD47*24*3600/100000000</f>
        <v>4.0953600000000003</v>
      </c>
      <c r="HE47" s="6">
        <f>日流量!HE47*24*3600/100000000</f>
        <v>4.1471999999999998</v>
      </c>
      <c r="HF47" s="6">
        <f>日流量!HF47*24*3600/100000000</f>
        <v>4.1299200000000003</v>
      </c>
      <c r="HG47" s="6">
        <f>日流量!HG47*24*3600/100000000</f>
        <v>4.4927999999999999</v>
      </c>
      <c r="HH47" s="6">
        <f>日流量!HH47*24*3600/100000000</f>
        <v>4.7001600000000003</v>
      </c>
      <c r="HI47" s="6">
        <f>日流量!HI47*24*3600/100000000</f>
        <v>4.6310399999999996</v>
      </c>
      <c r="HJ47" s="6">
        <f>日流量!HJ47*24*3600/100000000</f>
        <v>4.5619199999999998</v>
      </c>
      <c r="HK47" s="6">
        <f>日流量!HK47*24*3600/100000000</f>
        <v>4.7952000000000004</v>
      </c>
      <c r="HL47" s="6">
        <f>日流量!HL47*24*3600/100000000</f>
        <v>4.7260799999999996</v>
      </c>
      <c r="HM47" s="6">
        <f>日流量!HM47*24*3600/100000000</f>
        <v>4.45824</v>
      </c>
      <c r="HN47" s="6">
        <f>日流量!HN47*24*3600/100000000</f>
        <v>4.26816</v>
      </c>
      <c r="HO47" s="6">
        <f>日流量!HO47*24*3600/100000000</f>
        <v>4.0867199999999997</v>
      </c>
      <c r="HP47" s="6">
        <f>日流量!HP47*24*3600/100000000</f>
        <v>3.8793600000000001</v>
      </c>
      <c r="HQ47" s="6">
        <f>日流量!HQ47*24*3600/100000000</f>
        <v>3.6806399999999999</v>
      </c>
      <c r="HR47" s="6">
        <f>日流量!HR47*24*3600/100000000</f>
        <v>3.6288</v>
      </c>
      <c r="HS47" s="6">
        <f>日流量!HS47*24*3600/100000000</f>
        <v>3.5855999999999999</v>
      </c>
      <c r="HT47" s="6">
        <f>日流量!HT47*24*3600/100000000</f>
        <v>3.6115200000000001</v>
      </c>
      <c r="HU47" s="6">
        <f>日流量!HU47*24*3600/100000000</f>
        <v>3.6806399999999999</v>
      </c>
      <c r="HV47" s="6">
        <f>日流量!HV47*24*3600/100000000</f>
        <v>3.5078399999999998</v>
      </c>
      <c r="HW47" s="6">
        <f>日流量!HW47*24*3600/100000000</f>
        <v>3.34368</v>
      </c>
      <c r="HX47" s="6">
        <f>日流量!HX47*24*3600/100000000</f>
        <v>3.3004799999999999</v>
      </c>
      <c r="HY47" s="6">
        <f>日流量!HY47*24*3600/100000000</f>
        <v>3.3350399999999998</v>
      </c>
      <c r="HZ47" s="6">
        <f>日流量!HZ47*24*3600/100000000</f>
        <v>3.24864</v>
      </c>
      <c r="IA47" s="6">
        <f>日流量!IA47*24*3600/100000000</f>
        <v>3.2227199999999998</v>
      </c>
      <c r="IB47" s="6">
        <f>日流量!IB47*24*3600/100000000</f>
        <v>3.3609599999999999</v>
      </c>
      <c r="IC47" s="6">
        <f>日流量!IC47*24*3600/100000000</f>
        <v>3.8448000000000002</v>
      </c>
      <c r="ID47" s="6">
        <f>日流量!ID47*24*3600/100000000</f>
        <v>4.6051200000000003</v>
      </c>
      <c r="IE47" s="6">
        <f>日流量!IE47*24*3600/100000000</f>
        <v>5.2876799999999999</v>
      </c>
      <c r="IF47" s="6">
        <f>日流量!IF47*24*3600/100000000</f>
        <v>5.7196800000000003</v>
      </c>
      <c r="IG47" s="6">
        <f>日流量!IG47*24*3600/100000000</f>
        <v>5.9961599999999997</v>
      </c>
      <c r="IH47" s="6">
        <f>日流量!IH47*24*3600/100000000</f>
        <v>6.1862399999999997</v>
      </c>
      <c r="II47" s="6">
        <f>日流量!II47*24*3600/100000000</f>
        <v>7.0761599999999998</v>
      </c>
      <c r="IJ47" s="6">
        <f>日流量!IJ47*24*3600/100000000</f>
        <v>6.55776</v>
      </c>
      <c r="IK47" s="6">
        <f>日流量!IK47*24*3600/100000000</f>
        <v>6.3936000000000002</v>
      </c>
      <c r="IL47" s="6">
        <f>日流量!IL47*24*3600/100000000</f>
        <v>5.9270399999999999</v>
      </c>
      <c r="IM47" s="6">
        <f>日流量!IM47*24*3600/100000000</f>
        <v>5.5382400000000001</v>
      </c>
      <c r="IN47" s="6">
        <f>日流量!IN47*24*3600/100000000</f>
        <v>5.9184000000000001</v>
      </c>
      <c r="IO47" s="6">
        <f>日流量!IO47*24*3600/100000000</f>
        <v>6.1603199999999996</v>
      </c>
      <c r="IP47" s="6">
        <f>日流量!IP47*24*3600/100000000</f>
        <v>6.4022399999999999</v>
      </c>
      <c r="IQ47" s="6">
        <f>日流量!IQ47*24*3600/100000000</f>
        <v>7.3007999999999997</v>
      </c>
      <c r="IR47" s="6">
        <f>日流量!IR47*24*3600/100000000</f>
        <v>6.6528</v>
      </c>
      <c r="IS47" s="6">
        <f>日流量!IS47*24*3600/100000000</f>
        <v>5.9184000000000001</v>
      </c>
      <c r="IT47" s="6">
        <f>日流量!IT47*24*3600/100000000</f>
        <v>5.3222399999999999</v>
      </c>
      <c r="IU47" s="6">
        <f>日流量!IU47*24*3600/100000000</f>
        <v>5.0975999999999999</v>
      </c>
      <c r="IV47" s="6">
        <f>日流量!IV47*24*3600/100000000</f>
        <v>5.15808</v>
      </c>
      <c r="IW47" s="6">
        <f>日流量!IW47*24*3600/100000000</f>
        <v>5.3395200000000003</v>
      </c>
      <c r="IX47" s="6">
        <f>日流量!IX47*24*3600/100000000</f>
        <v>5.5296000000000003</v>
      </c>
      <c r="IY47" s="6">
        <f>日流量!IY47*24*3600/100000000</f>
        <v>5.4</v>
      </c>
      <c r="IZ47" s="6">
        <f>日流量!IZ47*24*3600/100000000</f>
        <v>5.3395200000000003</v>
      </c>
      <c r="JA47" s="6">
        <f>日流量!JA47*24*3600/100000000</f>
        <v>5.1407999999999996</v>
      </c>
      <c r="JB47" s="6">
        <f>日流量!JB47*24*3600/100000000</f>
        <v>5.0025599999999999</v>
      </c>
      <c r="JC47" s="6">
        <f>日流量!JC47*24*3600/100000000</f>
        <v>5.6332800000000001</v>
      </c>
      <c r="JD47" s="6">
        <f>日流量!JD47*24*3600/100000000</f>
        <v>5.5382400000000001</v>
      </c>
      <c r="JE47" s="6">
        <f>日流量!JE47*24*3600/100000000</f>
        <v>5.2358399999999996</v>
      </c>
      <c r="JF47" s="6">
        <f>日流量!JF47*24*3600/100000000</f>
        <v>5.06304</v>
      </c>
      <c r="JG47" s="6">
        <f>日流量!JG47*24*3600/100000000</f>
        <v>4.9852800000000004</v>
      </c>
      <c r="JH47" s="6">
        <f>日流量!JH47*24*3600/100000000</f>
        <v>5.0716799999999997</v>
      </c>
      <c r="JI47" s="6">
        <f>日流量!JI47*24*3600/100000000</f>
        <v>4.93344</v>
      </c>
      <c r="JJ47" s="6">
        <f>日流量!JJ47*24*3600/100000000</f>
        <v>5.2704000000000004</v>
      </c>
      <c r="JK47" s="6">
        <f>日流量!JK47*24*3600/100000000</f>
        <v>5.9788800000000002</v>
      </c>
      <c r="JL47" s="6">
        <f>日流量!JL47*24*3600/100000000</f>
        <v>6.1257599999999996</v>
      </c>
      <c r="JM47" s="6">
        <f>日流量!JM47*24*3600/100000000</f>
        <v>5.5296000000000003</v>
      </c>
      <c r="JN47" s="6">
        <f>日流量!JN47*24*3600/100000000</f>
        <v>5.25312</v>
      </c>
      <c r="JO47" s="6">
        <f>日流量!JO47*24*3600/100000000</f>
        <v>4.8902400000000004</v>
      </c>
      <c r="JP47" s="6">
        <f>日流量!JP47*24*3600/100000000</f>
        <v>4.5619199999999998</v>
      </c>
      <c r="JQ47" s="6">
        <f>日流量!JQ47*24*3600/100000000</f>
        <v>4.3718399999999997</v>
      </c>
      <c r="JR47" s="6">
        <f>日流量!JR47*24*3600/100000000</f>
        <v>4.2767999999999997</v>
      </c>
      <c r="JS47" s="6">
        <f>日流量!JS47*24*3600/100000000</f>
        <v>4.1731199999999999</v>
      </c>
      <c r="JT47" s="6">
        <f>日流量!JT47*24*3600/100000000</f>
        <v>4.1904000000000003</v>
      </c>
      <c r="JU47" s="6">
        <f>日流量!JU47*24*3600/100000000</f>
        <v>4.3113599999999996</v>
      </c>
      <c r="JV47" s="6">
        <f>日流量!JV47*24*3600/100000000</f>
        <v>4.0608000000000004</v>
      </c>
      <c r="JW47" s="6">
        <f>日流量!JW47*24*3600/100000000</f>
        <v>3.94848</v>
      </c>
      <c r="JX47" s="6">
        <f>日流量!JX47*24*3600/100000000</f>
        <v>3.9139200000000001</v>
      </c>
      <c r="JY47" s="6">
        <f>日流量!JY47*24*3600/100000000</f>
        <v>3.8275199999999998</v>
      </c>
      <c r="JZ47" s="6">
        <f>日流量!JZ47*24*3600/100000000</f>
        <v>3.8966400000000001</v>
      </c>
      <c r="KA47" s="6">
        <f>日流量!KA47*24*3600/100000000</f>
        <v>3.85344</v>
      </c>
      <c r="KB47" s="6">
        <f>日流量!KB47*24*3600/100000000</f>
        <v>3.8275199999999998</v>
      </c>
      <c r="KC47" s="6">
        <f>日流量!KC47*24*3600/100000000</f>
        <v>3.7065600000000001</v>
      </c>
      <c r="KD47" s="6">
        <f>日流量!KD47*24*3600/100000000</f>
        <v>3.55104</v>
      </c>
      <c r="KE47" s="6">
        <f>日流量!KE47*24*3600/100000000</f>
        <v>3.3523200000000002</v>
      </c>
      <c r="KF47" s="6">
        <f>日流量!KF47*24*3600/100000000</f>
        <v>3.1968000000000001</v>
      </c>
      <c r="KG47" s="6">
        <f>日流量!KG47*24*3600/100000000</f>
        <v>3.0585599999999999</v>
      </c>
      <c r="KH47" s="6">
        <f>日流量!KH47*24*3600/100000000</f>
        <v>2.9030399999999998</v>
      </c>
      <c r="KI47" s="6">
        <f>日流量!KI47*24*3600/100000000</f>
        <v>2.7820800000000001</v>
      </c>
      <c r="KJ47" s="6">
        <f>日流量!KJ47*24*3600/100000000</f>
        <v>2.6697600000000001</v>
      </c>
      <c r="KK47" s="6">
        <f>日流量!KK47*24*3600/100000000</f>
        <v>2.6179199999999998</v>
      </c>
      <c r="KL47" s="6">
        <f>日流量!KL47*24*3600/100000000</f>
        <v>2.5574400000000002</v>
      </c>
      <c r="KM47" s="6">
        <f>日流量!KM47*24*3600/100000000</f>
        <v>2.4883199999999999</v>
      </c>
      <c r="KN47" s="6">
        <f>日流量!KN47*24*3600/100000000</f>
        <v>2.43648</v>
      </c>
      <c r="KO47" s="6">
        <f>日流量!KO47*24*3600/100000000</f>
        <v>2.3932799999999999</v>
      </c>
      <c r="KP47" s="6">
        <f>日流量!KP47*24*3600/100000000</f>
        <v>2.3759999999999999</v>
      </c>
      <c r="KQ47" s="6">
        <f>日流量!KQ47*24*3600/100000000</f>
        <v>2.3155199999999998</v>
      </c>
      <c r="KR47" s="6">
        <f>日流量!KR47*24*3600/100000000</f>
        <v>2.2377600000000002</v>
      </c>
      <c r="KS47" s="6">
        <f>日流量!KS47*24*3600/100000000</f>
        <v>2.1772800000000001</v>
      </c>
      <c r="KT47" s="6">
        <f>日流量!KT47*24*3600/100000000</f>
        <v>2.1254400000000002</v>
      </c>
      <c r="KU47" s="6">
        <f>日流量!KU47*24*3600/100000000</f>
        <v>2.0735999999999999</v>
      </c>
      <c r="KV47" s="6">
        <f>日流量!KV47*24*3600/100000000</f>
        <v>2.02176</v>
      </c>
      <c r="KW47" s="6">
        <f>日流量!KW47*24*3600/100000000</f>
        <v>1.9785600000000001</v>
      </c>
      <c r="KX47" s="6">
        <f>日流量!KX47*24*3600/100000000</f>
        <v>1.93536</v>
      </c>
      <c r="KY47" s="6">
        <f>日流量!KY47*24*3600/100000000</f>
        <v>1.8921600000000001</v>
      </c>
      <c r="KZ47" s="6">
        <f>日流量!KZ47*24*3600/100000000</f>
        <v>1.8489599999999999</v>
      </c>
      <c r="LA47" s="6">
        <f>日流量!LA47*24*3600/100000000</f>
        <v>1.83168</v>
      </c>
      <c r="LB47" s="6">
        <f>日流量!LB47*24*3600/100000000</f>
        <v>1.82304</v>
      </c>
      <c r="LC47" s="6">
        <f>日流量!LC47*24*3600/100000000</f>
        <v>1.80576</v>
      </c>
      <c r="LD47" s="6">
        <f>日流量!LD47*24*3600/100000000</f>
        <v>1.7712000000000001</v>
      </c>
      <c r="LE47" s="6">
        <f>日流量!LE47*24*3600/100000000</f>
        <v>1.728</v>
      </c>
      <c r="LF47" s="6">
        <f>日流量!LF47*24*3600/100000000</f>
        <v>1.6934400000000001</v>
      </c>
      <c r="LG47" s="6">
        <f>日流量!LG47*24*3600/100000000</f>
        <v>1.6761600000000001</v>
      </c>
      <c r="LH47" s="6">
        <f>日流量!LH47*24*3600/100000000</f>
        <v>1.6502399999999999</v>
      </c>
      <c r="LI47" s="6">
        <f>日流量!LI47*24*3600/100000000</f>
        <v>1.62432</v>
      </c>
      <c r="LJ47" s="6">
        <f>日流量!LJ47*24*3600/100000000</f>
        <v>1.5984</v>
      </c>
      <c r="LK47" s="6">
        <f>日流量!LK47*24*3600/100000000</f>
        <v>1.5638399999999999</v>
      </c>
      <c r="LL47" s="6">
        <f>日流量!LL47*24*3600/100000000</f>
        <v>1.5551999999999999</v>
      </c>
      <c r="LM47" s="6">
        <f>日流量!LM47*24*3600/100000000</f>
        <v>1.53792</v>
      </c>
      <c r="LN47" s="6">
        <f>日流量!LN47*24*3600/100000000</f>
        <v>1.52928</v>
      </c>
      <c r="LO47" s="6">
        <f>日流量!LO47*24*3600/100000000</f>
        <v>1.50336</v>
      </c>
      <c r="LP47" s="6">
        <f>日流量!LP47*24*3600/100000000</f>
        <v>1.4601599999999999</v>
      </c>
      <c r="LQ47" s="6">
        <f>日流量!LQ47*24*3600/100000000</f>
        <v>1.41696</v>
      </c>
      <c r="LR47" s="6">
        <f>日流量!LR47*24*3600/100000000</f>
        <v>1.3910400000000001</v>
      </c>
      <c r="LS47" s="6">
        <f>日流量!LS47*24*3600/100000000</f>
        <v>1.3564799999999999</v>
      </c>
      <c r="LT47" s="6">
        <f>日流量!LT47*24*3600/100000000</f>
        <v>1.33056</v>
      </c>
      <c r="LU47" s="6">
        <f>日流量!LU47*24*3600/100000000</f>
        <v>1.3391999999999999</v>
      </c>
      <c r="LV47" s="6">
        <f>日流量!LV47*24*3600/100000000</f>
        <v>1.4256</v>
      </c>
      <c r="LW47" s="6">
        <f>日流量!LW47*24*3600/100000000</f>
        <v>1.4256</v>
      </c>
      <c r="LX47" s="6">
        <f>日流量!LX47*24*3600/100000000</f>
        <v>1.39968</v>
      </c>
      <c r="LY47" s="6">
        <f>日流量!LY47*24*3600/100000000</f>
        <v>1.3564799999999999</v>
      </c>
      <c r="LZ47" s="6">
        <f>日流量!LZ47*24*3600/100000000</f>
        <v>1.296</v>
      </c>
      <c r="MA47" s="6">
        <f>日流量!MA47*24*3600/100000000</f>
        <v>1.2700800000000001</v>
      </c>
      <c r="MB47" s="6">
        <f>日流量!MB47*24*3600/100000000</f>
        <v>1.2527999999999999</v>
      </c>
      <c r="MC47" s="6">
        <f>日流量!MC47*24*3600/100000000</f>
        <v>1.22688</v>
      </c>
      <c r="MD47" s="6">
        <f>日流量!MD47*24*3600/100000000</f>
        <v>1.2096</v>
      </c>
      <c r="ME47" s="6">
        <f>日流量!ME47*24*3600/100000000</f>
        <v>1.1836800000000001</v>
      </c>
      <c r="MF47" s="6">
        <f>日流量!MF47*24*3600/100000000</f>
        <v>1.1491199999999999</v>
      </c>
      <c r="MG47" s="6">
        <f>日流量!MG47*24*3600/100000000</f>
        <v>1.13184</v>
      </c>
      <c r="MH47" s="6">
        <f>日流量!MH47*24*3600/100000000</f>
        <v>1.10592</v>
      </c>
      <c r="MI47" s="6">
        <f>日流量!MI47*24*3600/100000000</f>
        <v>1.0886400000000001</v>
      </c>
      <c r="MJ47" s="6">
        <f>日流量!MJ47*24*3600/100000000</f>
        <v>1.0713600000000001</v>
      </c>
      <c r="MK47" s="6">
        <f>日流量!MK47*24*3600/100000000</f>
        <v>1.0540799999999999</v>
      </c>
      <c r="ML47" s="6">
        <f>日流量!ML47*24*3600/100000000</f>
        <v>1.0367999999999999</v>
      </c>
      <c r="MM47" s="6">
        <f>日流量!MM47*24*3600/100000000</f>
        <v>1.01088</v>
      </c>
      <c r="MN47" s="6">
        <f>日流量!MN47*24*3600/100000000</f>
        <v>0.99360000000000004</v>
      </c>
      <c r="MO47" s="6">
        <f>日流量!MO47*24*3600/100000000</f>
        <v>0.98495999999999995</v>
      </c>
      <c r="MP47" s="6">
        <f>日流量!MP47*24*3600/100000000</f>
        <v>0.96767999999999998</v>
      </c>
      <c r="MQ47" s="6">
        <f>日流量!MQ47*24*3600/100000000</f>
        <v>0.95904</v>
      </c>
      <c r="MR47" s="6">
        <f>日流量!MR47*24*3600/100000000</f>
        <v>0.95904</v>
      </c>
      <c r="MS47" s="6">
        <f>日流量!MS47*24*3600/100000000</f>
        <v>0.95904</v>
      </c>
      <c r="MT47" s="6">
        <f>日流量!MT47*24*3600/100000000</f>
        <v>0.95904</v>
      </c>
      <c r="MU47" s="6">
        <f>日流量!MU47*24*3600/100000000</f>
        <v>0.95904</v>
      </c>
      <c r="MV47" s="6">
        <f>日流量!MV47*24*3600/100000000</f>
        <v>0.95040000000000002</v>
      </c>
      <c r="MW47" s="6">
        <f>日流量!MW47*24*3600/100000000</f>
        <v>0.92447999999999997</v>
      </c>
      <c r="MX47" s="6">
        <f>日流量!MX47*24*3600/100000000</f>
        <v>0.89856000000000003</v>
      </c>
      <c r="MY47" s="6">
        <f>日流量!MY47*24*3600/100000000</f>
        <v>0.88127999999999995</v>
      </c>
      <c r="MZ47" s="6">
        <f>日流量!MZ47*24*3600/100000000</f>
        <v>0.85536000000000001</v>
      </c>
      <c r="NA47" s="6">
        <f>日流量!NA47*24*3600/100000000</f>
        <v>0.83894400000000002</v>
      </c>
      <c r="NB47" s="6">
        <f>日流量!NB47*24*3600/100000000</f>
        <v>0.83116800000000002</v>
      </c>
      <c r="NC47" s="6"/>
      <c r="ND47" s="6">
        <f>日流量!ND47*24*3600*31/100000000</f>
        <v>42.050879999999999</v>
      </c>
      <c r="NE47" s="6">
        <f>日流量!NE47*24*3600*28/100000000</f>
        <v>31.691520000000001</v>
      </c>
      <c r="NF47" s="6">
        <f>日流量!NF47*24*3600*31/100000000</f>
        <v>33.212159999999997</v>
      </c>
      <c r="NG47" s="6">
        <f>日流量!NG47*24*3600*30/100000000</f>
        <v>40.694400000000002</v>
      </c>
      <c r="NH47" s="6">
        <f>日流量!NH47*24*3600*31/100000000</f>
        <v>54.371519999999997</v>
      </c>
      <c r="NI47" s="6">
        <f>日流量!NI47*24*3600*30/100000000</f>
        <v>142.04159999999999</v>
      </c>
      <c r="NJ47" s="6">
        <f>日流量!NJ47*24*3600*31/100000000</f>
        <v>149.45472000000001</v>
      </c>
      <c r="NK47" s="6">
        <f>日流量!NK47*24*3600*31/100000000</f>
        <v>137.66976</v>
      </c>
      <c r="NL47" s="6">
        <f>日流量!NL47*24*3600*30/100000000</f>
        <v>166.66560000000001</v>
      </c>
      <c r="NM47" s="6">
        <f>日流量!NM47*24*3600*31/100000000</f>
        <v>102.04704</v>
      </c>
      <c r="NN47" s="6">
        <f>日流量!NN47*24*3600*30/100000000</f>
        <v>49.247999999999998</v>
      </c>
      <c r="NO47" s="6">
        <f>日流量!NO47*24*3600*31/100000000</f>
        <v>32.140799999999999</v>
      </c>
      <c r="NP47" s="14">
        <f t="shared" si="10"/>
        <v>981.28800000000012</v>
      </c>
      <c r="NQ47" s="6">
        <f>日流量!NQ47*24*3600/100000000</f>
        <v>9.8496000000000006</v>
      </c>
      <c r="NR47" s="4">
        <f>日流量!NR47</f>
        <v>42543</v>
      </c>
      <c r="NS47" s="6">
        <f>日流量!NS47*24*3600/100000000</f>
        <v>0.827712</v>
      </c>
      <c r="NT47" s="4">
        <f>日流量!NT47</f>
        <v>42735</v>
      </c>
      <c r="NU47" s="7">
        <f>日流量!NP47</f>
        <v>3112.9068493150685</v>
      </c>
      <c r="NW47" s="13">
        <f t="shared" si="0"/>
        <v>752.25024000000008</v>
      </c>
      <c r="NX47" s="12">
        <f t="shared" si="1"/>
        <v>76.659476117103225</v>
      </c>
      <c r="NY47" s="13">
        <f t="shared" si="2"/>
        <v>595.83168000000001</v>
      </c>
      <c r="NZ47" s="12">
        <f t="shared" si="3"/>
        <v>60.719348448162002</v>
      </c>
      <c r="OA47" s="13">
        <f t="shared" si="4"/>
        <v>229.03776000000005</v>
      </c>
      <c r="OB47" s="12">
        <f t="shared" si="5"/>
        <v>23.340523882896765</v>
      </c>
      <c r="OC47" s="13">
        <f t="shared" si="6"/>
        <v>166.66560000000001</v>
      </c>
      <c r="OD47" s="12">
        <f t="shared" si="7"/>
        <v>16.984371560642746</v>
      </c>
      <c r="OE47" s="12">
        <f t="shared" si="8"/>
        <v>229.27289719626171</v>
      </c>
      <c r="OF47" s="12">
        <f t="shared" si="9"/>
        <v>7.2701958776085016</v>
      </c>
    </row>
    <row r="48" spans="1:396" x14ac:dyDescent="0.15">
      <c r="A48" s="2">
        <v>1995</v>
      </c>
      <c r="B48" s="6">
        <f>日流量!B48*24*3600/100000000</f>
        <v>0.83894400000000002</v>
      </c>
      <c r="C48" s="6">
        <f>日流量!C48*24*3600/100000000</f>
        <v>0.85190399999999999</v>
      </c>
      <c r="D48" s="6">
        <f>日流量!D48*24*3600/100000000</f>
        <v>0.88127999999999995</v>
      </c>
      <c r="E48" s="6">
        <f>日流量!E48*24*3600/100000000</f>
        <v>0.88127999999999995</v>
      </c>
      <c r="F48" s="6">
        <f>日流量!F48*24*3600/100000000</f>
        <v>0.88127999999999995</v>
      </c>
      <c r="G48" s="6">
        <f>日流量!G48*24*3600/100000000</f>
        <v>0.86399999999999999</v>
      </c>
      <c r="H48" s="6">
        <f>日流量!H48*24*3600/100000000</f>
        <v>0.85363199999999995</v>
      </c>
      <c r="I48" s="6">
        <f>日流量!I48*24*3600/100000000</f>
        <v>0.839808</v>
      </c>
      <c r="J48" s="6">
        <f>日流量!J48*24*3600/100000000</f>
        <v>0.81302399999999997</v>
      </c>
      <c r="K48" s="6">
        <f>日流量!K48*24*3600/100000000</f>
        <v>0.77932800000000002</v>
      </c>
      <c r="L48" s="6">
        <f>日流量!L48*24*3600/100000000</f>
        <v>0.75168000000000001</v>
      </c>
      <c r="M48" s="6">
        <f>日流量!M48*24*3600/100000000</f>
        <v>0.74476799999999999</v>
      </c>
      <c r="N48" s="6">
        <f>日流量!N48*24*3600/100000000</f>
        <v>0.74217599999999995</v>
      </c>
      <c r="O48" s="6">
        <f>日流量!O48*24*3600/100000000</f>
        <v>0.73958400000000002</v>
      </c>
      <c r="P48" s="6">
        <f>日流量!P48*24*3600/100000000</f>
        <v>0.74390400000000001</v>
      </c>
      <c r="Q48" s="6">
        <f>日流量!Q48*24*3600/100000000</f>
        <v>0.74908799999999998</v>
      </c>
      <c r="R48" s="6">
        <f>日流量!R48*24*3600/100000000</f>
        <v>0.74995199999999995</v>
      </c>
      <c r="S48" s="6">
        <f>日流量!S48*24*3600/100000000</f>
        <v>0.74390400000000001</v>
      </c>
      <c r="T48" s="6">
        <f>日流量!T48*24*3600/100000000</f>
        <v>0.73958400000000002</v>
      </c>
      <c r="U48" s="6">
        <f>日流量!U48*24*3600/100000000</f>
        <v>0.73007999999999995</v>
      </c>
      <c r="V48" s="6">
        <f>日流量!V48*24*3600/100000000</f>
        <v>0.71711999999999998</v>
      </c>
      <c r="W48" s="6">
        <f>日流量!W48*24*3600/100000000</f>
        <v>0.70761600000000002</v>
      </c>
      <c r="X48" s="6">
        <f>日流量!X48*24*3600/100000000</f>
        <v>0.70243199999999995</v>
      </c>
      <c r="Y48" s="6">
        <f>日流量!Y48*24*3600/100000000</f>
        <v>0.69984000000000002</v>
      </c>
      <c r="Z48" s="6">
        <f>日流量!Z48*24*3600/100000000</f>
        <v>0.68774400000000002</v>
      </c>
      <c r="AA48" s="6">
        <f>日流量!AA48*24*3600/100000000</f>
        <v>0.67910400000000004</v>
      </c>
      <c r="AB48" s="6">
        <f>日流量!AB48*24*3600/100000000</f>
        <v>0.67305599999999999</v>
      </c>
      <c r="AC48" s="6">
        <f>日流量!AC48*24*3600/100000000</f>
        <v>0.66700800000000005</v>
      </c>
      <c r="AD48" s="6">
        <f>日流量!AD48*24*3600/100000000</f>
        <v>0.65404799999999996</v>
      </c>
      <c r="AE48" s="6">
        <f>日流量!AE48*24*3600/100000000</f>
        <v>0.636768</v>
      </c>
      <c r="AF48" s="6">
        <f>日流量!AF48*24*3600/100000000</f>
        <v>0.63417599999999996</v>
      </c>
      <c r="AG48" s="6">
        <f>日流量!AG48*24*3600/100000000</f>
        <v>0.63417599999999996</v>
      </c>
      <c r="AH48" s="6">
        <f>日流量!AH48*24*3600/100000000</f>
        <v>0.63417599999999996</v>
      </c>
      <c r="AI48" s="6">
        <f>日流量!AI48*24*3600/100000000</f>
        <v>0.62985599999999997</v>
      </c>
      <c r="AJ48" s="6">
        <f>日流量!AJ48*24*3600/100000000</f>
        <v>0.628992</v>
      </c>
      <c r="AK48" s="6">
        <f>日流量!AK48*24*3600/100000000</f>
        <v>0.628992</v>
      </c>
      <c r="AL48" s="6">
        <f>日流量!AL48*24*3600/100000000</f>
        <v>0.62207999999999997</v>
      </c>
      <c r="AM48" s="6">
        <f>日流量!AM48*24*3600/100000000</f>
        <v>0.61862399999999995</v>
      </c>
      <c r="AN48" s="6">
        <f>日流量!AN48*24*3600/100000000</f>
        <v>0.61257600000000001</v>
      </c>
      <c r="AO48" s="6">
        <f>日流量!AO48*24*3600/100000000</f>
        <v>0.60048000000000001</v>
      </c>
      <c r="AP48" s="6">
        <f>日流量!AP48*24*3600/100000000</f>
        <v>0.60393600000000003</v>
      </c>
      <c r="AQ48" s="6">
        <f>日流量!AQ48*24*3600/100000000</f>
        <v>0.60220799999999997</v>
      </c>
      <c r="AR48" s="6">
        <f>日流量!AR48*24*3600/100000000</f>
        <v>0.59788799999999998</v>
      </c>
      <c r="AS48" s="6">
        <f>日流量!AS48*24*3600/100000000</f>
        <v>0.59616000000000002</v>
      </c>
      <c r="AT48" s="6">
        <f>日流量!AT48*24*3600/100000000</f>
        <v>0.59616000000000002</v>
      </c>
      <c r="AU48" s="6">
        <f>日流量!AU48*24*3600/100000000</f>
        <v>0.59788799999999998</v>
      </c>
      <c r="AV48" s="6">
        <f>日流量!AV48*24*3600/100000000</f>
        <v>0.60911999999999999</v>
      </c>
      <c r="AW48" s="6">
        <f>日流量!AW48*24*3600/100000000</f>
        <v>0.61775999999999998</v>
      </c>
      <c r="AX48" s="6">
        <f>日流量!AX48*24*3600/100000000</f>
        <v>0.63071999999999995</v>
      </c>
      <c r="AY48" s="6">
        <f>日流量!AY48*24*3600/100000000</f>
        <v>0.63849599999999995</v>
      </c>
      <c r="AZ48" s="6">
        <f>日流量!AZ48*24*3600/100000000</f>
        <v>0.65750399999999998</v>
      </c>
      <c r="BA48" s="6">
        <f>日流量!BA48*24*3600/100000000</f>
        <v>0.668736</v>
      </c>
      <c r="BB48" s="6">
        <f>日流量!BB48*24*3600/100000000</f>
        <v>0.66268800000000005</v>
      </c>
      <c r="BC48" s="6">
        <f>日流量!BC48*24*3600/100000000</f>
        <v>0.648864</v>
      </c>
      <c r="BD48" s="6">
        <f>日流量!BD48*24*3600/100000000</f>
        <v>0.64022400000000002</v>
      </c>
      <c r="BE48" s="6">
        <f>日流量!BE48*24*3600/100000000</f>
        <v>0.62985599999999997</v>
      </c>
      <c r="BF48" s="6">
        <f>日流量!BF48*24*3600/100000000</f>
        <v>0.61862399999999995</v>
      </c>
      <c r="BG48" s="6">
        <f>日流量!BG48*24*3600/100000000</f>
        <v>0.61343999999999999</v>
      </c>
      <c r="BH48" s="6">
        <f>日流量!BH48*24*3600/100000000</f>
        <v>0.60998399999999997</v>
      </c>
      <c r="BI48" s="6"/>
      <c r="BJ48" s="6">
        <f>日流量!BJ48*24*3600/100000000</f>
        <v>0.60825600000000002</v>
      </c>
      <c r="BK48" s="6">
        <f>日流量!BK48*24*3600/100000000</f>
        <v>0.60048000000000001</v>
      </c>
      <c r="BL48" s="6">
        <f>日流量!BL48*24*3600/100000000</f>
        <v>0.59184000000000003</v>
      </c>
      <c r="BM48" s="6">
        <f>日流量!BM48*24*3600/100000000</f>
        <v>0.58665599999999996</v>
      </c>
      <c r="BN48" s="6">
        <f>日流量!BN48*24*3600/100000000</f>
        <v>0.57887999999999995</v>
      </c>
      <c r="BO48" s="6">
        <f>日流量!BO48*24*3600/100000000</f>
        <v>0.56764800000000004</v>
      </c>
      <c r="BP48" s="6">
        <f>日流量!BP48*24*3600/100000000</f>
        <v>0.56851200000000002</v>
      </c>
      <c r="BQ48" s="6">
        <f>日流量!BQ48*24*3600/100000000</f>
        <v>0.57283200000000001</v>
      </c>
      <c r="BR48" s="6">
        <f>日流量!BR48*24*3600/100000000</f>
        <v>0.55987200000000004</v>
      </c>
      <c r="BS48" s="6">
        <f>日流量!BS48*24*3600/100000000</f>
        <v>0.55900799999999995</v>
      </c>
      <c r="BT48" s="6">
        <f>日流量!BT48*24*3600/100000000</f>
        <v>0.55641600000000002</v>
      </c>
      <c r="BU48" s="6">
        <f>日流量!BU48*24*3600/100000000</f>
        <v>0.54864000000000002</v>
      </c>
      <c r="BV48" s="6">
        <f>日流量!BV48*24*3600/100000000</f>
        <v>0.55468799999999996</v>
      </c>
      <c r="BW48" s="6">
        <f>日流量!BW48*24*3600/100000000</f>
        <v>0.56332800000000005</v>
      </c>
      <c r="BX48" s="6">
        <f>日流量!BX48*24*3600/100000000</f>
        <v>0.55728</v>
      </c>
      <c r="BY48" s="6">
        <f>日流量!BY48*24*3600/100000000</f>
        <v>0.54864000000000002</v>
      </c>
      <c r="BZ48" s="6">
        <f>日流量!BZ48*24*3600/100000000</f>
        <v>0.54086400000000001</v>
      </c>
      <c r="CA48" s="6">
        <f>日流量!CA48*24*3600/100000000</f>
        <v>0.537408</v>
      </c>
      <c r="CB48" s="6">
        <f>日流量!CB48*24*3600/100000000</f>
        <v>0.54345600000000005</v>
      </c>
      <c r="CC48" s="6">
        <f>日流量!CC48*24*3600/100000000</f>
        <v>0.54345600000000005</v>
      </c>
      <c r="CD48" s="6">
        <f>日流量!CD48*24*3600/100000000</f>
        <v>0.54432000000000003</v>
      </c>
      <c r="CE48" s="6">
        <f>日流量!CE48*24*3600/100000000</f>
        <v>0.545184</v>
      </c>
      <c r="CF48" s="6">
        <f>日流量!CF48*24*3600/100000000</f>
        <v>0.545184</v>
      </c>
      <c r="CG48" s="6">
        <f>日流量!CG48*24*3600/100000000</f>
        <v>0.545184</v>
      </c>
      <c r="CH48" s="6">
        <f>日流量!CH48*24*3600/100000000</f>
        <v>0.54345600000000005</v>
      </c>
      <c r="CI48" s="6">
        <f>日流量!CI48*24*3600/100000000</f>
        <v>0.55468799999999996</v>
      </c>
      <c r="CJ48" s="6">
        <f>日流量!CJ48*24*3600/100000000</f>
        <v>0.56851200000000002</v>
      </c>
      <c r="CK48" s="6">
        <f>日流量!CK48*24*3600/100000000</f>
        <v>0.58665599999999996</v>
      </c>
      <c r="CL48" s="6">
        <f>日流量!CL48*24*3600/100000000</f>
        <v>0.60825600000000002</v>
      </c>
      <c r="CM48" s="6">
        <f>日流量!CM48*24*3600/100000000</f>
        <v>0.65145600000000004</v>
      </c>
      <c r="CN48" s="6">
        <f>日流量!CN48*24*3600/100000000</f>
        <v>0.67996800000000002</v>
      </c>
      <c r="CO48" s="6">
        <f>日流量!CO48*24*3600/100000000</f>
        <v>0.74304000000000003</v>
      </c>
      <c r="CP48" s="6">
        <f>日流量!CP48*24*3600/100000000</f>
        <v>0.82857599999999998</v>
      </c>
      <c r="CQ48" s="6">
        <f>日流量!CQ48*24*3600/100000000</f>
        <v>0.88127999999999995</v>
      </c>
      <c r="CR48" s="6">
        <f>日流量!CR48*24*3600/100000000</f>
        <v>0.85363199999999995</v>
      </c>
      <c r="CS48" s="6">
        <f>日流量!CS48*24*3600/100000000</f>
        <v>0.82079999999999997</v>
      </c>
      <c r="CT48" s="6">
        <f>日流量!CT48*24*3600/100000000</f>
        <v>0.77673599999999998</v>
      </c>
      <c r="CU48" s="6">
        <f>日流量!CU48*24*3600/100000000</f>
        <v>0.74217599999999995</v>
      </c>
      <c r="CV48" s="6">
        <f>日流量!CV48*24*3600/100000000</f>
        <v>0.70502399999999998</v>
      </c>
      <c r="CW48" s="6">
        <f>日流量!CW48*24*3600/100000000</f>
        <v>0.69120000000000004</v>
      </c>
      <c r="CX48" s="6">
        <f>日流量!CX48*24*3600/100000000</f>
        <v>0.68083199999999999</v>
      </c>
      <c r="CY48" s="6">
        <f>日流量!CY48*24*3600/100000000</f>
        <v>0.67046399999999995</v>
      </c>
      <c r="CZ48" s="6">
        <f>日流量!CZ48*24*3600/100000000</f>
        <v>0.65664</v>
      </c>
      <c r="DA48" s="6">
        <f>日流量!DA48*24*3600/100000000</f>
        <v>0.63936000000000004</v>
      </c>
      <c r="DB48" s="6">
        <f>日流量!DB48*24*3600/100000000</f>
        <v>0.61603200000000002</v>
      </c>
      <c r="DC48" s="6">
        <f>日流量!DC48*24*3600/100000000</f>
        <v>0.597024</v>
      </c>
      <c r="DD48" s="6">
        <f>日流量!DD48*24*3600/100000000</f>
        <v>0.584928</v>
      </c>
      <c r="DE48" s="6">
        <f>日流量!DE48*24*3600/100000000</f>
        <v>0.59961600000000004</v>
      </c>
      <c r="DF48" s="6">
        <f>日流量!DF48*24*3600/100000000</f>
        <v>0.63417599999999996</v>
      </c>
      <c r="DG48" s="6">
        <f>日流量!DG48*24*3600/100000000</f>
        <v>0.65491200000000005</v>
      </c>
      <c r="DH48" s="6">
        <f>日流量!DH48*24*3600/100000000</f>
        <v>0.65404799999999996</v>
      </c>
      <c r="DI48" s="6">
        <f>日流量!DI48*24*3600/100000000</f>
        <v>0.65059199999999995</v>
      </c>
      <c r="DJ48" s="6">
        <f>日流量!DJ48*24*3600/100000000</f>
        <v>0.65318399999999999</v>
      </c>
      <c r="DK48" s="6">
        <f>日流量!DK48*24*3600/100000000</f>
        <v>0.68342400000000003</v>
      </c>
      <c r="DL48" s="6">
        <f>日流量!DL48*24*3600/100000000</f>
        <v>0.70502399999999998</v>
      </c>
      <c r="DM48" s="6">
        <f>日流量!DM48*24*3600/100000000</f>
        <v>0.72921599999999998</v>
      </c>
      <c r="DN48" s="6">
        <f>日流量!DN48*24*3600/100000000</f>
        <v>0.77414400000000005</v>
      </c>
      <c r="DO48" s="6">
        <f>日流量!DO48*24*3600/100000000</f>
        <v>0.80179199999999995</v>
      </c>
      <c r="DP48" s="6">
        <f>日流量!DP48*24*3600/100000000</f>
        <v>0.80524799999999996</v>
      </c>
      <c r="DQ48" s="6">
        <f>日流量!DQ48*24*3600/100000000</f>
        <v>0.81215999999999999</v>
      </c>
      <c r="DR48" s="6">
        <f>日流量!DR48*24*3600/100000000</f>
        <v>0.84240000000000004</v>
      </c>
      <c r="DS48" s="6">
        <f>日流量!DS48*24*3600/100000000</f>
        <v>0.84672000000000003</v>
      </c>
      <c r="DT48" s="6">
        <f>日流量!DT48*24*3600/100000000</f>
        <v>0.89856000000000003</v>
      </c>
      <c r="DU48" s="6">
        <f>日流量!DU48*24*3600/100000000</f>
        <v>0.99360000000000004</v>
      </c>
      <c r="DV48" s="6">
        <f>日流量!DV48*24*3600/100000000</f>
        <v>1.0713600000000001</v>
      </c>
      <c r="DW48" s="6">
        <f>日流量!DW48*24*3600/100000000</f>
        <v>1.10592</v>
      </c>
      <c r="DX48" s="6">
        <f>日流量!DX48*24*3600/100000000</f>
        <v>1.1836800000000001</v>
      </c>
      <c r="DY48" s="6">
        <f>日流量!DY48*24*3600/100000000</f>
        <v>1.22688</v>
      </c>
      <c r="DZ48" s="6">
        <f>日流量!DZ48*24*3600/100000000</f>
        <v>1.31328</v>
      </c>
      <c r="EA48" s="6">
        <f>日流量!EA48*24*3600/100000000</f>
        <v>1.3910400000000001</v>
      </c>
      <c r="EB48" s="6">
        <f>日流量!EB48*24*3600/100000000</f>
        <v>1.39968</v>
      </c>
      <c r="EC48" s="6">
        <f>日流量!EC48*24*3600/100000000</f>
        <v>1.3910400000000001</v>
      </c>
      <c r="ED48" s="6">
        <f>日流量!ED48*24*3600/100000000</f>
        <v>1.3564799999999999</v>
      </c>
      <c r="EE48" s="6">
        <f>日流量!EE48*24*3600/100000000</f>
        <v>1.3391999999999999</v>
      </c>
      <c r="EF48" s="6">
        <f>日流量!EF48*24*3600/100000000</f>
        <v>1.40832</v>
      </c>
      <c r="EG48" s="6">
        <f>日流量!EG48*24*3600/100000000</f>
        <v>1.53792</v>
      </c>
      <c r="EH48" s="6">
        <f>日流量!EH48*24*3600/100000000</f>
        <v>1.70208</v>
      </c>
      <c r="EI48" s="6">
        <f>日流量!EI48*24*3600/100000000</f>
        <v>2.0304000000000002</v>
      </c>
      <c r="EJ48" s="6">
        <f>日流量!EJ48*24*3600/100000000</f>
        <v>2.3500800000000002</v>
      </c>
      <c r="EK48" s="6">
        <f>日流量!EK48*24*3600/100000000</f>
        <v>2.4796800000000001</v>
      </c>
      <c r="EL48" s="6">
        <f>日流量!EL48*24*3600/100000000</f>
        <v>2.6611199999999999</v>
      </c>
      <c r="EM48" s="6">
        <f>日流量!EM48*24*3600/100000000</f>
        <v>2.7216</v>
      </c>
      <c r="EN48" s="6">
        <f>日流量!EN48*24*3600/100000000</f>
        <v>2.8944000000000001</v>
      </c>
      <c r="EO48" s="6">
        <f>日流量!EO48*24*3600/100000000</f>
        <v>3.04128</v>
      </c>
      <c r="EP48" s="6">
        <f>日流量!EP48*24*3600/100000000</f>
        <v>3.024</v>
      </c>
      <c r="EQ48" s="6">
        <f>日流量!EQ48*24*3600/100000000</f>
        <v>2.8857599999999999</v>
      </c>
      <c r="ER48" s="6">
        <f>日流量!ER48*24*3600/100000000</f>
        <v>2.6352000000000002</v>
      </c>
      <c r="ES48" s="6">
        <f>日流量!ES48*24*3600/100000000</f>
        <v>2.3673600000000001</v>
      </c>
      <c r="ET48" s="6">
        <f>日流量!ET48*24*3600/100000000</f>
        <v>2.1686399999999999</v>
      </c>
      <c r="EU48" s="6">
        <f>日流量!EU48*24*3600/100000000</f>
        <v>2.1859199999999999</v>
      </c>
      <c r="EV48" s="6">
        <f>日流量!EV48*24*3600/100000000</f>
        <v>2.1686399999999999</v>
      </c>
      <c r="EW48" s="6">
        <f>日流量!EW48*24*3600/100000000</f>
        <v>2.0649600000000001</v>
      </c>
      <c r="EX48" s="6">
        <f>日流量!EX48*24*3600/100000000</f>
        <v>1.9785600000000001</v>
      </c>
      <c r="EY48" s="6">
        <f>日流量!EY48*24*3600/100000000</f>
        <v>1.9958400000000001</v>
      </c>
      <c r="EZ48" s="6">
        <f>日流量!EZ48*24*3600/100000000</f>
        <v>2.02176</v>
      </c>
      <c r="FA48" s="6">
        <f>日流量!FA48*24*3600/100000000</f>
        <v>2.1686399999999999</v>
      </c>
      <c r="FB48" s="6">
        <f>日流量!FB48*24*3600/100000000</f>
        <v>2.0476800000000002</v>
      </c>
      <c r="FC48" s="6">
        <f>日流量!FC48*24*3600/100000000</f>
        <v>2.1427200000000002</v>
      </c>
      <c r="FD48" s="6">
        <f>日流量!FD48*24*3600/100000000</f>
        <v>2.3846400000000001</v>
      </c>
      <c r="FE48" s="6">
        <f>日流量!FE48*24*3600/100000000</f>
        <v>3.3868800000000001</v>
      </c>
      <c r="FF48" s="6">
        <f>日流量!FF48*24*3600/100000000</f>
        <v>2.94624</v>
      </c>
      <c r="FG48" s="6">
        <f>日流量!FG48*24*3600/100000000</f>
        <v>2.62656</v>
      </c>
      <c r="FH48" s="6">
        <f>日流量!FH48*24*3600/100000000</f>
        <v>2.5488</v>
      </c>
      <c r="FI48" s="6">
        <f>日流量!FI48*24*3600/100000000</f>
        <v>2.7043200000000001</v>
      </c>
      <c r="FJ48" s="6">
        <f>日流量!FJ48*24*3600/100000000</f>
        <v>2.8944000000000001</v>
      </c>
      <c r="FK48" s="6">
        <f>日流量!FK48*24*3600/100000000</f>
        <v>3.0499200000000002</v>
      </c>
      <c r="FL48" s="6">
        <f>日流量!FL48*24*3600/100000000</f>
        <v>3.456</v>
      </c>
      <c r="FM48" s="6">
        <f>日流量!FM48*24*3600/100000000</f>
        <v>3.83616</v>
      </c>
      <c r="FN48" s="6">
        <f>日流量!FN48*24*3600/100000000</f>
        <v>4.5619199999999998</v>
      </c>
      <c r="FO48" s="6">
        <f>日流量!FO48*24*3600/100000000</f>
        <v>5.2012799999999997</v>
      </c>
      <c r="FP48" s="6">
        <f>日流量!FP48*24*3600/100000000</f>
        <v>5.0803200000000004</v>
      </c>
      <c r="FQ48" s="6">
        <f>日流量!FQ48*24*3600/100000000</f>
        <v>4.74336</v>
      </c>
      <c r="FR48" s="6">
        <f>日流量!FR48*24*3600/100000000</f>
        <v>4.4063999999999997</v>
      </c>
      <c r="FS48" s="6">
        <f>日流量!FS48*24*3600/100000000</f>
        <v>4.0608000000000004</v>
      </c>
      <c r="FT48" s="6">
        <f>日流量!FT48*24*3600/100000000</f>
        <v>3.83616</v>
      </c>
      <c r="FU48" s="6">
        <f>日流量!FU48*24*3600/100000000</f>
        <v>3.7929599999999999</v>
      </c>
      <c r="FV48" s="6">
        <f>日流量!FV48*24*3600/100000000</f>
        <v>3.8448000000000002</v>
      </c>
      <c r="FW48" s="6">
        <f>日流量!FW48*24*3600/100000000</f>
        <v>3.8102399999999998</v>
      </c>
      <c r="FX48" s="6">
        <f>日流量!FX48*24*3600/100000000</f>
        <v>3.8966400000000001</v>
      </c>
      <c r="FY48" s="6">
        <f>日流量!FY48*24*3600/100000000</f>
        <v>3.9571200000000002</v>
      </c>
      <c r="FZ48" s="6">
        <f>日流量!FZ48*24*3600/100000000</f>
        <v>4.1040000000000001</v>
      </c>
      <c r="GA48" s="6">
        <f>日流量!GA48*24*3600/100000000</f>
        <v>4.2767999999999997</v>
      </c>
      <c r="GB48" s="6">
        <f>日流量!GB48*24*3600/100000000</f>
        <v>5.1667199999999998</v>
      </c>
      <c r="GC48" s="6">
        <f>日流量!GC48*24*3600/100000000</f>
        <v>5.2963199999999997</v>
      </c>
      <c r="GD48" s="6">
        <f>日流量!GD48*24*3600/100000000</f>
        <v>5.8233600000000001</v>
      </c>
      <c r="GE48" s="6">
        <f>日流量!GE48*24*3600/100000000</f>
        <v>6.4713599999999998</v>
      </c>
      <c r="GF48" s="6">
        <f>日流量!GF48*24*3600/100000000</f>
        <v>7.48224</v>
      </c>
      <c r="GG48" s="6">
        <f>日流量!GG48*24*3600/100000000</f>
        <v>9.0719999999999992</v>
      </c>
      <c r="GH48" s="6">
        <f>日流量!GH48*24*3600/100000000</f>
        <v>9.7631999999999994</v>
      </c>
      <c r="GI48" s="6">
        <f>日流量!GI48*24*3600/100000000</f>
        <v>10.281599999999999</v>
      </c>
      <c r="GJ48" s="6">
        <f>日流量!GJ48*24*3600/100000000</f>
        <v>10.540800000000001</v>
      </c>
      <c r="GK48" s="6">
        <f>日流量!GK48*24*3600/100000000</f>
        <v>9.9359999999999999</v>
      </c>
      <c r="GL48" s="6">
        <f>日流量!GL48*24*3600/100000000</f>
        <v>8.9855999999999998</v>
      </c>
      <c r="GM48" s="6">
        <f>日流量!GM48*24*3600/100000000</f>
        <v>8.5622399999999992</v>
      </c>
      <c r="GN48" s="6">
        <f>日流量!GN48*24*3600/100000000</f>
        <v>7.7846399999999996</v>
      </c>
      <c r="GO48" s="6">
        <f>日流量!GO48*24*3600/100000000</f>
        <v>7.6118399999999999</v>
      </c>
      <c r="GP48" s="6">
        <f>日流量!GP48*24*3600/100000000</f>
        <v>8.7263999999999999</v>
      </c>
      <c r="GQ48" s="6">
        <f>日流量!GQ48*24*3600/100000000</f>
        <v>8.3980800000000002</v>
      </c>
      <c r="GR48" s="6">
        <f>日流量!GR48*24*3600/100000000</f>
        <v>8.4672000000000001</v>
      </c>
      <c r="GS48" s="6">
        <f>日流量!GS48*24*3600/100000000</f>
        <v>9.1584000000000003</v>
      </c>
      <c r="GT48" s="6">
        <f>日流量!GT48*24*3600/100000000</f>
        <v>9.3312000000000008</v>
      </c>
      <c r="GU48" s="6">
        <f>日流量!GU48*24*3600/100000000</f>
        <v>10.4544</v>
      </c>
      <c r="GV48" s="6">
        <f>日流量!GV48*24*3600/100000000</f>
        <v>11.059200000000001</v>
      </c>
      <c r="GW48" s="6">
        <f>日流量!GW48*24*3600/100000000</f>
        <v>11.059200000000001</v>
      </c>
      <c r="GX48" s="6">
        <f>日流量!GX48*24*3600/100000000</f>
        <v>10.540800000000001</v>
      </c>
      <c r="GY48" s="6">
        <f>日流量!GY48*24*3600/100000000</f>
        <v>9.4176000000000002</v>
      </c>
      <c r="GZ48" s="6">
        <f>日流量!GZ48*24*3600/100000000</f>
        <v>8.7263999999999999</v>
      </c>
      <c r="HA48" s="6">
        <f>日流量!HA48*24*3600/100000000</f>
        <v>8.3721599999999992</v>
      </c>
      <c r="HB48" s="6">
        <f>日流量!HB48*24*3600/100000000</f>
        <v>7.5081600000000002</v>
      </c>
      <c r="HC48" s="6">
        <f>日流量!HC48*24*3600/100000000</f>
        <v>6.6096000000000004</v>
      </c>
      <c r="HD48" s="6">
        <f>日流量!HD48*24*3600/100000000</f>
        <v>6.0048000000000004</v>
      </c>
      <c r="HE48" s="6">
        <f>日流量!HE48*24*3600/100000000</f>
        <v>5.4345600000000003</v>
      </c>
      <c r="HF48" s="6">
        <f>日流量!HF48*24*3600/100000000</f>
        <v>5.3049600000000003</v>
      </c>
      <c r="HG48" s="6">
        <f>日流量!HG48*24*3600/100000000</f>
        <v>5.0803200000000004</v>
      </c>
      <c r="HH48" s="6">
        <f>日流量!HH48*24*3600/100000000</f>
        <v>4.7347200000000003</v>
      </c>
      <c r="HI48" s="6">
        <f>日流量!HI48*24*3600/100000000</f>
        <v>4.3718399999999997</v>
      </c>
      <c r="HJ48" s="6">
        <f>日流量!HJ48*24*3600/100000000</f>
        <v>4.1817599999999997</v>
      </c>
      <c r="HK48" s="6">
        <f>日流量!HK48*24*3600/100000000</f>
        <v>4.3718399999999997</v>
      </c>
      <c r="HL48" s="6">
        <f>日流量!HL48*24*3600/100000000</f>
        <v>5.0457599999999996</v>
      </c>
      <c r="HM48" s="6">
        <f>日流量!HM48*24*3600/100000000</f>
        <v>6.048</v>
      </c>
      <c r="HN48" s="6">
        <f>日流量!HN48*24*3600/100000000</f>
        <v>6.1948800000000004</v>
      </c>
      <c r="HO48" s="6">
        <f>日流量!HO48*24*3600/100000000</f>
        <v>5.6592000000000002</v>
      </c>
      <c r="HP48" s="6">
        <f>日流量!HP48*24*3600/100000000</f>
        <v>5.2790400000000002</v>
      </c>
      <c r="HQ48" s="6">
        <f>日流量!HQ48*24*3600/100000000</f>
        <v>5.0111999999999997</v>
      </c>
      <c r="HR48" s="6">
        <f>日流量!HR48*24*3600/100000000</f>
        <v>5.2271999999999998</v>
      </c>
      <c r="HS48" s="6">
        <f>日流量!HS48*24*3600/100000000</f>
        <v>6.5750400000000004</v>
      </c>
      <c r="HT48" s="6">
        <f>日流量!HT48*24*3600/100000000</f>
        <v>7.5167999999999999</v>
      </c>
      <c r="HU48" s="6">
        <f>日流量!HU48*24*3600/100000000</f>
        <v>7.48224</v>
      </c>
      <c r="HV48" s="6">
        <f>日流量!HV48*24*3600/100000000</f>
        <v>6.7564799999999998</v>
      </c>
      <c r="HW48" s="6">
        <f>日流量!HW48*24*3600/100000000</f>
        <v>6.4454399999999996</v>
      </c>
      <c r="HX48" s="6">
        <f>日流量!HX48*24*3600/100000000</f>
        <v>7.1280000000000001</v>
      </c>
      <c r="HY48" s="6">
        <f>日流量!HY48*24*3600/100000000</f>
        <v>7.7759999999999998</v>
      </c>
      <c r="HZ48" s="6">
        <f>日流量!HZ48*24*3600/100000000</f>
        <v>8.3116800000000008</v>
      </c>
      <c r="IA48" s="6">
        <f>日流量!IA48*24*3600/100000000</f>
        <v>7.5340800000000003</v>
      </c>
      <c r="IB48" s="6">
        <f>日流量!IB48*24*3600/100000000</f>
        <v>6.8255999999999997</v>
      </c>
      <c r="IC48" s="6">
        <f>日流量!IC48*24*3600/100000000</f>
        <v>6.5404799999999996</v>
      </c>
      <c r="ID48" s="6">
        <f>日流量!ID48*24*3600/100000000</f>
        <v>6.2553599999999996</v>
      </c>
      <c r="IE48" s="6">
        <f>日流量!IE48*24*3600/100000000</f>
        <v>6.048</v>
      </c>
      <c r="IF48" s="6">
        <f>日流量!IF48*24*3600/100000000</f>
        <v>6.0220799999999999</v>
      </c>
      <c r="IG48" s="6">
        <f>日流量!IG48*24*3600/100000000</f>
        <v>6.1776</v>
      </c>
      <c r="IH48" s="6">
        <f>日流量!IH48*24*3600/100000000</f>
        <v>7.1452799999999996</v>
      </c>
      <c r="II48" s="6">
        <f>日流量!II48*24*3600/100000000</f>
        <v>7.8796799999999996</v>
      </c>
      <c r="IJ48" s="6">
        <f>日流量!IJ48*24*3600/100000000</f>
        <v>7.76736</v>
      </c>
      <c r="IK48" s="6">
        <f>日流量!IK48*24*3600/100000000</f>
        <v>7.2748799999999996</v>
      </c>
      <c r="IL48" s="6">
        <f>日流量!IL48*24*3600/100000000</f>
        <v>7.0243200000000003</v>
      </c>
      <c r="IM48" s="6">
        <f>日流量!IM48*24*3600/100000000</f>
        <v>6.8083200000000001</v>
      </c>
      <c r="IN48" s="6">
        <f>日流量!IN48*24*3600/100000000</f>
        <v>6.4972799999999999</v>
      </c>
      <c r="IO48" s="6">
        <f>日流量!IO48*24*3600/100000000</f>
        <v>6.2467199999999998</v>
      </c>
      <c r="IP48" s="6">
        <f>日流量!IP48*24*3600/100000000</f>
        <v>6.0911999999999997</v>
      </c>
      <c r="IQ48" s="6">
        <f>日流量!IQ48*24*3600/100000000</f>
        <v>5.7283200000000001</v>
      </c>
      <c r="IR48" s="6">
        <f>日流量!IR48*24*3600/100000000</f>
        <v>5.4950400000000004</v>
      </c>
      <c r="IS48" s="6">
        <f>日流量!IS48*24*3600/100000000</f>
        <v>5.2617599999999998</v>
      </c>
      <c r="IT48" s="6">
        <f>日流量!IT48*24*3600/100000000</f>
        <v>5.4086400000000001</v>
      </c>
      <c r="IU48" s="6">
        <f>日流量!IU48*24*3600/100000000</f>
        <v>5.25312</v>
      </c>
      <c r="IV48" s="6">
        <f>日流量!IV48*24*3600/100000000</f>
        <v>5.2358399999999996</v>
      </c>
      <c r="IW48" s="6">
        <f>日流量!IW48*24*3600/100000000</f>
        <v>5.5555199999999996</v>
      </c>
      <c r="IX48" s="6">
        <f>日流量!IX48*24*3600/100000000</f>
        <v>5.8838400000000002</v>
      </c>
      <c r="IY48" s="6">
        <f>日流量!IY48*24*3600/100000000</f>
        <v>6.1344000000000003</v>
      </c>
      <c r="IZ48" s="6">
        <f>日流量!IZ48*24*3600/100000000</f>
        <v>7.2230400000000001</v>
      </c>
      <c r="JA48" s="6">
        <f>日流量!JA48*24*3600/100000000</f>
        <v>7.4131200000000002</v>
      </c>
      <c r="JB48" s="6">
        <f>日流量!JB48*24*3600/100000000</f>
        <v>7.992</v>
      </c>
      <c r="JC48" s="6">
        <f>日流量!JC48*24*3600/100000000</f>
        <v>8.1561599999999999</v>
      </c>
      <c r="JD48" s="6">
        <f>日流量!JD48*24*3600/100000000</f>
        <v>8.4239999999999995</v>
      </c>
      <c r="JE48" s="6">
        <f>日流量!JE48*24*3600/100000000</f>
        <v>8.64</v>
      </c>
      <c r="JF48" s="6">
        <f>日流量!JF48*24*3600/100000000</f>
        <v>8.2166399999999999</v>
      </c>
      <c r="JG48" s="6">
        <f>日流量!JG48*24*3600/100000000</f>
        <v>8.0179200000000002</v>
      </c>
      <c r="JH48" s="6">
        <f>日流量!JH48*24*3600/100000000</f>
        <v>8.3721599999999992</v>
      </c>
      <c r="JI48" s="6">
        <f>日流量!JI48*24*3600/100000000</f>
        <v>8.9855999999999998</v>
      </c>
      <c r="JJ48" s="6">
        <f>日流量!JJ48*24*3600/100000000</f>
        <v>9.5904000000000007</v>
      </c>
      <c r="JK48" s="6">
        <f>日流量!JK48*24*3600/100000000</f>
        <v>9.3312000000000008</v>
      </c>
      <c r="JL48" s="6">
        <f>日流量!JL48*24*3600/100000000</f>
        <v>8.5363199999999999</v>
      </c>
      <c r="JM48" s="6">
        <f>日流量!JM48*24*3600/100000000</f>
        <v>8.0524799999999992</v>
      </c>
      <c r="JN48" s="6">
        <f>日流量!JN48*24*3600/100000000</f>
        <v>8.0784000000000002</v>
      </c>
      <c r="JO48" s="6">
        <f>日流量!JO48*24*3600/100000000</f>
        <v>8.1216000000000008</v>
      </c>
      <c r="JP48" s="6">
        <f>日流量!JP48*24*3600/100000000</f>
        <v>7.4908799999999998</v>
      </c>
      <c r="JQ48" s="6">
        <f>日流量!JQ48*24*3600/100000000</f>
        <v>7.0243200000000003</v>
      </c>
      <c r="JR48" s="6">
        <f>日流量!JR48*24*3600/100000000</f>
        <v>6.6441600000000003</v>
      </c>
      <c r="JS48" s="6">
        <f>日流量!JS48*24*3600/100000000</f>
        <v>6.4367999999999999</v>
      </c>
      <c r="JT48" s="6">
        <f>日流量!JT48*24*3600/100000000</f>
        <v>6.2899200000000004</v>
      </c>
      <c r="JU48" s="6">
        <f>日流量!JU48*24*3600/100000000</f>
        <v>6.1516799999999998</v>
      </c>
      <c r="JV48" s="6">
        <f>日流量!JV48*24*3600/100000000</f>
        <v>6.1862399999999997</v>
      </c>
      <c r="JW48" s="6">
        <f>日流量!JW48*24*3600/100000000</f>
        <v>7.2662399999999998</v>
      </c>
      <c r="JX48" s="6">
        <f>日流量!JX48*24*3600/100000000</f>
        <v>9.3312000000000008</v>
      </c>
      <c r="JY48" s="6">
        <f>日流量!JY48*24*3600/100000000</f>
        <v>8.7263999999999999</v>
      </c>
      <c r="JZ48" s="6">
        <f>日流量!JZ48*24*3600/100000000</f>
        <v>7.1280000000000001</v>
      </c>
      <c r="KA48" s="6">
        <f>日流量!KA48*24*3600/100000000</f>
        <v>6.4022399999999999</v>
      </c>
      <c r="KB48" s="6">
        <f>日流量!KB48*24*3600/100000000</f>
        <v>5.9702400000000004</v>
      </c>
      <c r="KC48" s="6">
        <f>日流量!KC48*24*3600/100000000</f>
        <v>5.5641600000000002</v>
      </c>
      <c r="KD48" s="6">
        <f>日流量!KD48*24*3600/100000000</f>
        <v>5.2790400000000002</v>
      </c>
      <c r="KE48" s="6">
        <f>日流量!KE48*24*3600/100000000</f>
        <v>5.0889600000000002</v>
      </c>
      <c r="KF48" s="6">
        <f>日流量!KF48*24*3600/100000000</f>
        <v>4.8124799999999999</v>
      </c>
      <c r="KG48" s="6">
        <f>日流量!KG48*24*3600/100000000</f>
        <v>4.5359999999999996</v>
      </c>
      <c r="KH48" s="6">
        <f>日流量!KH48*24*3600/100000000</f>
        <v>4.3113599999999996</v>
      </c>
      <c r="KI48" s="6">
        <f>日流量!KI48*24*3600/100000000</f>
        <v>4.1644800000000002</v>
      </c>
      <c r="KJ48" s="6">
        <f>日流量!KJ48*24*3600/100000000</f>
        <v>4.0348800000000002</v>
      </c>
      <c r="KK48" s="6">
        <f>日流量!KK48*24*3600/100000000</f>
        <v>3.9052799999999999</v>
      </c>
      <c r="KL48" s="6">
        <f>日流量!KL48*24*3600/100000000</f>
        <v>3.7756799999999999</v>
      </c>
      <c r="KM48" s="6">
        <f>日流量!KM48*24*3600/100000000</f>
        <v>3.6892800000000001</v>
      </c>
      <c r="KN48" s="6">
        <f>日流量!KN48*24*3600/100000000</f>
        <v>3.6288</v>
      </c>
      <c r="KO48" s="6">
        <f>日流量!KO48*24*3600/100000000</f>
        <v>3.5164800000000001</v>
      </c>
      <c r="KP48" s="6">
        <f>日流量!KP48*24*3600/100000000</f>
        <v>3.4041600000000001</v>
      </c>
      <c r="KQ48" s="6">
        <f>日流量!KQ48*24*3600/100000000</f>
        <v>3.2831999999999999</v>
      </c>
      <c r="KR48" s="6">
        <f>日流量!KR48*24*3600/100000000</f>
        <v>3.1622400000000002</v>
      </c>
      <c r="KS48" s="6">
        <f>日流量!KS48*24*3600/100000000</f>
        <v>3.0672000000000001</v>
      </c>
      <c r="KT48" s="6">
        <f>日流量!KT48*24*3600/100000000</f>
        <v>2.9807999999999999</v>
      </c>
      <c r="KU48" s="6">
        <f>日流量!KU48*24*3600/100000000</f>
        <v>2.9030399999999998</v>
      </c>
      <c r="KV48" s="6">
        <f>日流量!KV48*24*3600/100000000</f>
        <v>2.8684799999999999</v>
      </c>
      <c r="KW48" s="6">
        <f>日流量!KW48*24*3600/100000000</f>
        <v>3.04128</v>
      </c>
      <c r="KX48" s="6">
        <f>日流量!KX48*24*3600/100000000</f>
        <v>3.4732799999999999</v>
      </c>
      <c r="KY48" s="6">
        <f>日流量!KY48*24*3600/100000000</f>
        <v>3.43872</v>
      </c>
      <c r="KZ48" s="6">
        <f>日流量!KZ48*24*3600/100000000</f>
        <v>3.24</v>
      </c>
      <c r="LA48" s="6">
        <f>日流量!LA48*24*3600/100000000</f>
        <v>3.0499200000000002</v>
      </c>
      <c r="LB48" s="6">
        <f>日流量!LB48*24*3600/100000000</f>
        <v>2.9203199999999998</v>
      </c>
      <c r="LC48" s="6">
        <f>日流量!LC48*24*3600/100000000</f>
        <v>2.8252799999999998</v>
      </c>
      <c r="LD48" s="6">
        <f>日流量!LD48*24*3600/100000000</f>
        <v>2.7475200000000002</v>
      </c>
      <c r="LE48" s="6">
        <f>日流量!LE48*24*3600/100000000</f>
        <v>2.6870400000000001</v>
      </c>
      <c r="LF48" s="6">
        <f>日流量!LF48*24*3600/100000000</f>
        <v>2.62656</v>
      </c>
      <c r="LG48" s="6">
        <f>日流量!LG48*24*3600/100000000</f>
        <v>2.5747200000000001</v>
      </c>
      <c r="LH48" s="6">
        <f>日流量!LH48*24*3600/100000000</f>
        <v>2.5747200000000001</v>
      </c>
      <c r="LI48" s="6">
        <f>日流量!LI48*24*3600/100000000</f>
        <v>2.5401600000000002</v>
      </c>
      <c r="LJ48" s="6">
        <f>日流量!LJ48*24*3600/100000000</f>
        <v>2.51424</v>
      </c>
      <c r="LK48" s="6">
        <f>日流量!LK48*24*3600/100000000</f>
        <v>2.4796800000000001</v>
      </c>
      <c r="LL48" s="6">
        <f>日流量!LL48*24*3600/100000000</f>
        <v>2.4278400000000002</v>
      </c>
      <c r="LM48" s="6">
        <f>日流量!LM48*24*3600/100000000</f>
        <v>2.3673600000000001</v>
      </c>
      <c r="LN48" s="6">
        <f>日流量!LN48*24*3600/100000000</f>
        <v>2.4537599999999999</v>
      </c>
      <c r="LO48" s="6">
        <f>日流量!LO48*24*3600/100000000</f>
        <v>2.7820800000000001</v>
      </c>
      <c r="LP48" s="6">
        <f>日流量!LP48*24*3600/100000000</f>
        <v>2.7302399999999998</v>
      </c>
      <c r="LQ48" s="6">
        <f>日流量!LQ48*24*3600/100000000</f>
        <v>2.51424</v>
      </c>
      <c r="LR48" s="6">
        <f>日流量!LR48*24*3600/100000000</f>
        <v>2.3846400000000001</v>
      </c>
      <c r="LS48" s="6">
        <f>日流量!LS48*24*3600/100000000</f>
        <v>2.30688</v>
      </c>
      <c r="LT48" s="6">
        <f>日流量!LT48*24*3600/100000000</f>
        <v>2.2377600000000002</v>
      </c>
      <c r="LU48" s="6">
        <f>日流量!LU48*24*3600/100000000</f>
        <v>2.1945600000000001</v>
      </c>
      <c r="LV48" s="6">
        <f>日流量!LV48*24*3600/100000000</f>
        <v>2.1859199999999999</v>
      </c>
      <c r="LW48" s="6">
        <f>日流量!LW48*24*3600/100000000</f>
        <v>2.1686399999999999</v>
      </c>
      <c r="LX48" s="6">
        <f>日流量!LX48*24*3600/100000000</f>
        <v>2.1254400000000002</v>
      </c>
      <c r="LY48" s="6">
        <f>日流量!LY48*24*3600/100000000</f>
        <v>2.0822400000000001</v>
      </c>
      <c r="LZ48" s="6">
        <f>日流量!LZ48*24*3600/100000000</f>
        <v>2.02176</v>
      </c>
      <c r="MA48" s="6">
        <f>日流量!MA48*24*3600/100000000</f>
        <v>1.9785600000000001</v>
      </c>
      <c r="MB48" s="6">
        <f>日流量!MB48*24*3600/100000000</f>
        <v>1.944</v>
      </c>
      <c r="MC48" s="6">
        <f>日流量!MC48*24*3600/100000000</f>
        <v>1.90944</v>
      </c>
      <c r="MD48" s="6">
        <f>日流量!MD48*24*3600/100000000</f>
        <v>1.8921600000000001</v>
      </c>
      <c r="ME48" s="6">
        <f>日流量!ME48*24*3600/100000000</f>
        <v>1.8575999999999999</v>
      </c>
      <c r="MF48" s="6">
        <f>日流量!MF48*24*3600/100000000</f>
        <v>1.84032</v>
      </c>
      <c r="MG48" s="6">
        <f>日流量!MG48*24*3600/100000000</f>
        <v>1.80576</v>
      </c>
      <c r="MH48" s="6">
        <f>日流量!MH48*24*3600/100000000</f>
        <v>1.7798400000000001</v>
      </c>
      <c r="MI48" s="6">
        <f>日流量!MI48*24*3600/100000000</f>
        <v>1.73664</v>
      </c>
      <c r="MJ48" s="6">
        <f>日流量!MJ48*24*3600/100000000</f>
        <v>1.71072</v>
      </c>
      <c r="MK48" s="6">
        <f>日流量!MK48*24*3600/100000000</f>
        <v>1.6675199999999999</v>
      </c>
      <c r="ML48" s="6">
        <f>日流量!ML48*24*3600/100000000</f>
        <v>1.62432</v>
      </c>
      <c r="MM48" s="6">
        <f>日流量!MM48*24*3600/100000000</f>
        <v>1.5811200000000001</v>
      </c>
      <c r="MN48" s="6">
        <f>日流量!MN48*24*3600/100000000</f>
        <v>1.5638399999999999</v>
      </c>
      <c r="MO48" s="6">
        <f>日流量!MO48*24*3600/100000000</f>
        <v>1.5551999999999999</v>
      </c>
      <c r="MP48" s="6">
        <f>日流量!MP48*24*3600/100000000</f>
        <v>1.53792</v>
      </c>
      <c r="MQ48" s="6">
        <f>日流量!MQ48*24*3600/100000000</f>
        <v>1.52064</v>
      </c>
      <c r="MR48" s="6">
        <f>日流量!MR48*24*3600/100000000</f>
        <v>1.50336</v>
      </c>
      <c r="MS48" s="6">
        <f>日流量!MS48*24*3600/100000000</f>
        <v>1.49472</v>
      </c>
      <c r="MT48" s="6">
        <f>日流量!MT48*24*3600/100000000</f>
        <v>1.4860800000000001</v>
      </c>
      <c r="MU48" s="6">
        <f>日流量!MU48*24*3600/100000000</f>
        <v>1.4774400000000001</v>
      </c>
      <c r="MV48" s="6">
        <f>日流量!MV48*24*3600/100000000</f>
        <v>1.4601599999999999</v>
      </c>
      <c r="MW48" s="6">
        <f>日流量!MW48*24*3600/100000000</f>
        <v>1.4515199999999999</v>
      </c>
      <c r="MX48" s="6">
        <f>日流量!MX48*24*3600/100000000</f>
        <v>1.4428799999999999</v>
      </c>
      <c r="MY48" s="6">
        <f>日流量!MY48*24*3600/100000000</f>
        <v>1.41696</v>
      </c>
      <c r="MZ48" s="6">
        <f>日流量!MZ48*24*3600/100000000</f>
        <v>1.40832</v>
      </c>
      <c r="NA48" s="6">
        <f>日流量!NA48*24*3600/100000000</f>
        <v>1.3910400000000001</v>
      </c>
      <c r="NB48" s="6">
        <f>日流量!NB48*24*3600/100000000</f>
        <v>1.3737600000000001</v>
      </c>
      <c r="NC48" s="6"/>
      <c r="ND48" s="6">
        <f>日流量!ND48*24*3600*31/100000000</f>
        <v>23.382432000000001</v>
      </c>
      <c r="NE48" s="6">
        <f>日流量!NE48*24*3600*28/100000000</f>
        <v>17.442432</v>
      </c>
      <c r="NF48" s="6">
        <f>日流量!NF48*24*3600*31/100000000</f>
        <v>17.650656000000001</v>
      </c>
      <c r="NG48" s="6">
        <f>日流量!NG48*24*3600*30/100000000</f>
        <v>21.487680000000001</v>
      </c>
      <c r="NH48" s="6">
        <f>日流量!NH48*24*3600*31/100000000</f>
        <v>57.853439999999999</v>
      </c>
      <c r="NI48" s="6">
        <f>日流量!NI48*24*3600*30/100000000</f>
        <v>101.8656</v>
      </c>
      <c r="NJ48" s="6">
        <f>日流量!NJ48*24*3600*31/100000000</f>
        <v>257.39424000000002</v>
      </c>
      <c r="NK48" s="6">
        <f>日流量!NK48*24*3600*31/100000000</f>
        <v>194.71968000000001</v>
      </c>
      <c r="NL48" s="6">
        <f>日流量!NL48*24*3600*30/100000000</f>
        <v>215.65440000000001</v>
      </c>
      <c r="NM48" s="6">
        <f>日流量!NM48*24*3600*31/100000000</f>
        <v>163.38239999999999</v>
      </c>
      <c r="NN48" s="6">
        <f>日流量!NN48*24*3600*30/100000000</f>
        <v>79.315200000000004</v>
      </c>
      <c r="NO48" s="6">
        <f>日流量!NO48*24*3600*31/100000000</f>
        <v>50.889600000000002</v>
      </c>
      <c r="NP48" s="14">
        <f t="shared" si="10"/>
        <v>1201.0377600000002</v>
      </c>
      <c r="NQ48" s="6">
        <f>日流量!NQ48*24*3600/100000000</f>
        <v>11.059200000000001</v>
      </c>
      <c r="NR48" s="4">
        <f>日流量!NR48</f>
        <v>42572</v>
      </c>
      <c r="NS48" s="6">
        <f>日流量!NS48*24*3600/100000000</f>
        <v>0.537408</v>
      </c>
      <c r="NT48" s="4">
        <f>日流量!NT48</f>
        <v>42447</v>
      </c>
      <c r="NU48" s="7">
        <f>日流量!NP48</f>
        <v>3807.9890410958906</v>
      </c>
      <c r="NW48" s="13">
        <f t="shared" si="0"/>
        <v>990.86976000000004</v>
      </c>
      <c r="NX48" s="12">
        <f t="shared" si="1"/>
        <v>82.501133020164147</v>
      </c>
      <c r="NY48" s="13">
        <f t="shared" si="2"/>
        <v>769.6339200000001</v>
      </c>
      <c r="NZ48" s="12">
        <f t="shared" si="3"/>
        <v>64.080742973476532</v>
      </c>
      <c r="OA48" s="13">
        <f t="shared" si="4"/>
        <v>210.16800000000012</v>
      </c>
      <c r="OB48" s="12">
        <f t="shared" si="5"/>
        <v>17.498866979835846</v>
      </c>
      <c r="OC48" s="13">
        <f t="shared" si="6"/>
        <v>257.39424000000002</v>
      </c>
      <c r="OD48" s="12">
        <f t="shared" si="7"/>
        <v>21.430986482889598</v>
      </c>
      <c r="OE48" s="12">
        <f t="shared" si="8"/>
        <v>280.61629906542055</v>
      </c>
      <c r="OF48" s="12">
        <f t="shared" si="9"/>
        <v>8.8982844706183588</v>
      </c>
    </row>
    <row r="49" spans="1:396" x14ac:dyDescent="0.15">
      <c r="A49" s="2">
        <v>1996</v>
      </c>
      <c r="B49" s="6">
        <f>日流量!B49*24*3600/100000000</f>
        <v>1.32192</v>
      </c>
      <c r="C49" s="6">
        <f>日流量!C49*24*3600/100000000</f>
        <v>1.31328</v>
      </c>
      <c r="D49" s="6">
        <f>日流量!D49*24*3600/100000000</f>
        <v>1.2787200000000001</v>
      </c>
      <c r="E49" s="6">
        <f>日流量!E49*24*3600/100000000</f>
        <v>1.2441599999999999</v>
      </c>
      <c r="F49" s="6">
        <f>日流量!F49*24*3600/100000000</f>
        <v>1.2096</v>
      </c>
      <c r="G49" s="6">
        <f>日流量!G49*24*3600/100000000</f>
        <v>1.1836800000000001</v>
      </c>
      <c r="H49" s="6">
        <f>日流量!H49*24*3600/100000000</f>
        <v>1.1664000000000001</v>
      </c>
      <c r="I49" s="6">
        <f>日流量!I49*24*3600/100000000</f>
        <v>1.1491199999999999</v>
      </c>
      <c r="J49" s="6">
        <f>日流量!J49*24*3600/100000000</f>
        <v>1.13184</v>
      </c>
      <c r="K49" s="6">
        <f>日流量!K49*24*3600/100000000</f>
        <v>1.1232</v>
      </c>
      <c r="L49" s="6">
        <f>日流量!L49*24*3600/100000000</f>
        <v>1.1232</v>
      </c>
      <c r="M49" s="6">
        <f>日流量!M49*24*3600/100000000</f>
        <v>1.1232</v>
      </c>
      <c r="N49" s="6">
        <f>日流量!N49*24*3600/100000000</f>
        <v>1.11456</v>
      </c>
      <c r="O49" s="6">
        <f>日流量!O49*24*3600/100000000</f>
        <v>1.10592</v>
      </c>
      <c r="P49" s="6">
        <f>日流量!P49*24*3600/100000000</f>
        <v>1.10592</v>
      </c>
      <c r="Q49" s="6">
        <f>日流量!Q49*24*3600/100000000</f>
        <v>1.09728</v>
      </c>
      <c r="R49" s="6">
        <f>日流量!R49*24*3600/100000000</f>
        <v>1.08</v>
      </c>
      <c r="S49" s="6">
        <f>日流量!S49*24*3600/100000000</f>
        <v>1.08</v>
      </c>
      <c r="T49" s="6">
        <f>日流量!T49*24*3600/100000000</f>
        <v>1.08</v>
      </c>
      <c r="U49" s="6">
        <f>日流量!U49*24*3600/100000000</f>
        <v>1.0713600000000001</v>
      </c>
      <c r="V49" s="6">
        <f>日流量!V49*24*3600/100000000</f>
        <v>1.0627200000000001</v>
      </c>
      <c r="W49" s="6">
        <f>日流量!W49*24*3600/100000000</f>
        <v>1.0627200000000001</v>
      </c>
      <c r="X49" s="6">
        <f>日流量!X49*24*3600/100000000</f>
        <v>1.0540799999999999</v>
      </c>
      <c r="Y49" s="6">
        <f>日流量!Y49*24*3600/100000000</f>
        <v>1.0454399999999999</v>
      </c>
      <c r="Z49" s="6">
        <f>日流量!Z49*24*3600/100000000</f>
        <v>1.0454399999999999</v>
      </c>
      <c r="AA49" s="6">
        <f>日流量!AA49*24*3600/100000000</f>
        <v>1.0367999999999999</v>
      </c>
      <c r="AB49" s="6">
        <f>日流量!AB49*24*3600/100000000</f>
        <v>1.02816</v>
      </c>
      <c r="AC49" s="6">
        <f>日流量!AC49*24*3600/100000000</f>
        <v>1.01952</v>
      </c>
      <c r="AD49" s="6">
        <f>日流量!AD49*24*3600/100000000</f>
        <v>1.01952</v>
      </c>
      <c r="AE49" s="6">
        <f>日流量!AE49*24*3600/100000000</f>
        <v>1.01952</v>
      </c>
      <c r="AF49" s="6">
        <f>日流量!AF49*24*3600/100000000</f>
        <v>1.01952</v>
      </c>
      <c r="AG49" s="6">
        <f>日流量!AG49*24*3600/100000000</f>
        <v>1.01952</v>
      </c>
      <c r="AH49" s="6">
        <f>日流量!AH49*24*3600/100000000</f>
        <v>1.01088</v>
      </c>
      <c r="AI49" s="6">
        <f>日流量!AI49*24*3600/100000000</f>
        <v>1.01088</v>
      </c>
      <c r="AJ49" s="6">
        <f>日流量!AJ49*24*3600/100000000</f>
        <v>1.00224</v>
      </c>
      <c r="AK49" s="6">
        <f>日流量!AK49*24*3600/100000000</f>
        <v>1.00224</v>
      </c>
      <c r="AL49" s="6">
        <f>日流量!AL49*24*3600/100000000</f>
        <v>1.00224</v>
      </c>
      <c r="AM49" s="6">
        <f>日流量!AM49*24*3600/100000000</f>
        <v>1.00224</v>
      </c>
      <c r="AN49" s="6">
        <f>日流量!AN49*24*3600/100000000</f>
        <v>1.00224</v>
      </c>
      <c r="AO49" s="6">
        <f>日流量!AO49*24*3600/100000000</f>
        <v>0.99360000000000004</v>
      </c>
      <c r="AP49" s="6">
        <f>日流量!AP49*24*3600/100000000</f>
        <v>0.97631999999999997</v>
      </c>
      <c r="AQ49" s="6">
        <f>日流量!AQ49*24*3600/100000000</f>
        <v>0.97631999999999997</v>
      </c>
      <c r="AR49" s="6">
        <f>日流量!AR49*24*3600/100000000</f>
        <v>0.97631999999999997</v>
      </c>
      <c r="AS49" s="6">
        <f>日流量!AS49*24*3600/100000000</f>
        <v>0.95904</v>
      </c>
      <c r="AT49" s="6">
        <f>日流量!AT49*24*3600/100000000</f>
        <v>0.95040000000000002</v>
      </c>
      <c r="AU49" s="6">
        <f>日流量!AU49*24*3600/100000000</f>
        <v>0.94176000000000004</v>
      </c>
      <c r="AV49" s="6">
        <f>日流量!AV49*24*3600/100000000</f>
        <v>0.94176000000000004</v>
      </c>
      <c r="AW49" s="6">
        <f>日流量!AW49*24*3600/100000000</f>
        <v>0.93311999999999995</v>
      </c>
      <c r="AX49" s="6">
        <f>日流量!AX49*24*3600/100000000</f>
        <v>0.92447999999999997</v>
      </c>
      <c r="AY49" s="6">
        <f>日流量!AY49*24*3600/100000000</f>
        <v>0.92447999999999997</v>
      </c>
      <c r="AZ49" s="6">
        <f>日流量!AZ49*24*3600/100000000</f>
        <v>0.92447999999999997</v>
      </c>
      <c r="BA49" s="6">
        <f>日流量!BA49*24*3600/100000000</f>
        <v>0.93311999999999995</v>
      </c>
      <c r="BB49" s="6">
        <f>日流量!BB49*24*3600/100000000</f>
        <v>0.94176000000000004</v>
      </c>
      <c r="BC49" s="6">
        <f>日流量!BC49*24*3600/100000000</f>
        <v>0.96767999999999998</v>
      </c>
      <c r="BD49" s="6">
        <f>日流量!BD49*24*3600/100000000</f>
        <v>0.99360000000000004</v>
      </c>
      <c r="BE49" s="6">
        <f>日流量!BE49*24*3600/100000000</f>
        <v>1.01088</v>
      </c>
      <c r="BF49" s="6">
        <f>日流量!BF49*24*3600/100000000</f>
        <v>1.01088</v>
      </c>
      <c r="BG49" s="6">
        <f>日流量!BG49*24*3600/100000000</f>
        <v>0.98495999999999995</v>
      </c>
      <c r="BH49" s="6">
        <f>日流量!BH49*24*3600/100000000</f>
        <v>0.96767999999999998</v>
      </c>
      <c r="BI49" s="6">
        <f>日流量!BI49*24*3600/100000000</f>
        <v>0.95040000000000002</v>
      </c>
      <c r="BJ49" s="6">
        <f>日流量!BJ49*24*3600/100000000</f>
        <v>0.93311999999999995</v>
      </c>
      <c r="BK49" s="6">
        <f>日流量!BK49*24*3600/100000000</f>
        <v>0.92447999999999997</v>
      </c>
      <c r="BL49" s="6">
        <f>日流量!BL49*24*3600/100000000</f>
        <v>0.93311999999999995</v>
      </c>
      <c r="BM49" s="6">
        <f>日流量!BM49*24*3600/100000000</f>
        <v>0.93311999999999995</v>
      </c>
      <c r="BN49" s="6">
        <f>日流量!BN49*24*3600/100000000</f>
        <v>0.91583999999999999</v>
      </c>
      <c r="BO49" s="6">
        <f>日流量!BO49*24*3600/100000000</f>
        <v>0.89856000000000003</v>
      </c>
      <c r="BP49" s="6">
        <f>日流量!BP49*24*3600/100000000</f>
        <v>0.88127999999999995</v>
      </c>
      <c r="BQ49" s="6">
        <f>日流量!BQ49*24*3600/100000000</f>
        <v>0.87263999999999997</v>
      </c>
      <c r="BR49" s="6">
        <f>日流量!BR49*24*3600/100000000</f>
        <v>0.86399999999999999</v>
      </c>
      <c r="BS49" s="6">
        <f>日流量!BS49*24*3600/100000000</f>
        <v>0.87263999999999997</v>
      </c>
      <c r="BT49" s="6">
        <f>日流量!BT49*24*3600/100000000</f>
        <v>0.88127999999999995</v>
      </c>
      <c r="BU49" s="6">
        <f>日流量!BU49*24*3600/100000000</f>
        <v>0.88992000000000004</v>
      </c>
      <c r="BV49" s="6">
        <f>日流量!BV49*24*3600/100000000</f>
        <v>0.89856000000000003</v>
      </c>
      <c r="BW49" s="6">
        <f>日流量!BW49*24*3600/100000000</f>
        <v>0.90720000000000001</v>
      </c>
      <c r="BX49" s="6">
        <f>日流量!BX49*24*3600/100000000</f>
        <v>0.91583999999999999</v>
      </c>
      <c r="BY49" s="6">
        <f>日流量!BY49*24*3600/100000000</f>
        <v>0.92447999999999997</v>
      </c>
      <c r="BZ49" s="6">
        <f>日流量!BZ49*24*3600/100000000</f>
        <v>0.93311999999999995</v>
      </c>
      <c r="CA49" s="6">
        <f>日流量!CA49*24*3600/100000000</f>
        <v>0.95904</v>
      </c>
      <c r="CB49" s="6">
        <f>日流量!CB49*24*3600/100000000</f>
        <v>0.95904</v>
      </c>
      <c r="CC49" s="6">
        <f>日流量!CC49*24*3600/100000000</f>
        <v>0.95040000000000002</v>
      </c>
      <c r="CD49" s="6">
        <f>日流量!CD49*24*3600/100000000</f>
        <v>0.94176000000000004</v>
      </c>
      <c r="CE49" s="6">
        <f>日流量!CE49*24*3600/100000000</f>
        <v>0.94176000000000004</v>
      </c>
      <c r="CF49" s="6">
        <f>日流量!CF49*24*3600/100000000</f>
        <v>0.95040000000000002</v>
      </c>
      <c r="CG49" s="6">
        <f>日流量!CG49*24*3600/100000000</f>
        <v>0.95904</v>
      </c>
      <c r="CH49" s="6">
        <f>日流量!CH49*24*3600/100000000</f>
        <v>0.95904</v>
      </c>
      <c r="CI49" s="6">
        <f>日流量!CI49*24*3600/100000000</f>
        <v>0.97631999999999997</v>
      </c>
      <c r="CJ49" s="6">
        <f>日流量!CJ49*24*3600/100000000</f>
        <v>0.99360000000000004</v>
      </c>
      <c r="CK49" s="6">
        <f>日流量!CK49*24*3600/100000000</f>
        <v>1.08</v>
      </c>
      <c r="CL49" s="6">
        <f>日流量!CL49*24*3600/100000000</f>
        <v>1.1491199999999999</v>
      </c>
      <c r="CM49" s="6">
        <f>日流量!CM49*24*3600/100000000</f>
        <v>1.1664000000000001</v>
      </c>
      <c r="CN49" s="6">
        <f>日流量!CN49*24*3600/100000000</f>
        <v>1.1232</v>
      </c>
      <c r="CO49" s="6">
        <f>日流量!CO49*24*3600/100000000</f>
        <v>1.10592</v>
      </c>
      <c r="CP49" s="6">
        <f>日流量!CP49*24*3600/100000000</f>
        <v>1.0713600000000001</v>
      </c>
      <c r="CQ49" s="6">
        <f>日流量!CQ49*24*3600/100000000</f>
        <v>1.0367999999999999</v>
      </c>
      <c r="CR49" s="6">
        <f>日流量!CR49*24*3600/100000000</f>
        <v>1.01952</v>
      </c>
      <c r="CS49" s="6">
        <f>日流量!CS49*24*3600/100000000</f>
        <v>1.01952</v>
      </c>
      <c r="CT49" s="6">
        <f>日流量!CT49*24*3600/100000000</f>
        <v>1.02816</v>
      </c>
      <c r="CU49" s="6">
        <f>日流量!CU49*24*3600/100000000</f>
        <v>1.01952</v>
      </c>
      <c r="CV49" s="6">
        <f>日流量!CV49*24*3600/100000000</f>
        <v>1.00224</v>
      </c>
      <c r="CW49" s="6">
        <f>日流量!CW49*24*3600/100000000</f>
        <v>0.96767999999999998</v>
      </c>
      <c r="CX49" s="6">
        <f>日流量!CX49*24*3600/100000000</f>
        <v>0.94176000000000004</v>
      </c>
      <c r="CY49" s="6">
        <f>日流量!CY49*24*3600/100000000</f>
        <v>0.94176000000000004</v>
      </c>
      <c r="CZ49" s="6">
        <f>日流量!CZ49*24*3600/100000000</f>
        <v>0.94176000000000004</v>
      </c>
      <c r="DA49" s="6">
        <f>日流量!DA49*24*3600/100000000</f>
        <v>0.95040000000000002</v>
      </c>
      <c r="DB49" s="6">
        <f>日流量!DB49*24*3600/100000000</f>
        <v>0.96767999999999998</v>
      </c>
      <c r="DC49" s="6">
        <f>日流量!DC49*24*3600/100000000</f>
        <v>0.97631999999999997</v>
      </c>
      <c r="DD49" s="6">
        <f>日流量!DD49*24*3600/100000000</f>
        <v>0.99360000000000004</v>
      </c>
      <c r="DE49" s="6">
        <f>日流量!DE49*24*3600/100000000</f>
        <v>1.01088</v>
      </c>
      <c r="DF49" s="6">
        <f>日流量!DF49*24*3600/100000000</f>
        <v>1.02816</v>
      </c>
      <c r="DG49" s="6">
        <f>日流量!DG49*24*3600/100000000</f>
        <v>1.0367999999999999</v>
      </c>
      <c r="DH49" s="6">
        <f>日流量!DH49*24*3600/100000000</f>
        <v>1.0713600000000001</v>
      </c>
      <c r="DI49" s="6">
        <f>日流量!DI49*24*3600/100000000</f>
        <v>1.1404799999999999</v>
      </c>
      <c r="DJ49" s="6">
        <f>日流量!DJ49*24*3600/100000000</f>
        <v>1.2787200000000001</v>
      </c>
      <c r="DK49" s="6">
        <f>日流量!DK49*24*3600/100000000</f>
        <v>1.71072</v>
      </c>
      <c r="DL49" s="6">
        <f>日流量!DL49*24*3600/100000000</f>
        <v>1.9872000000000001</v>
      </c>
      <c r="DM49" s="6">
        <f>日流量!DM49*24*3600/100000000</f>
        <v>2.0476800000000002</v>
      </c>
      <c r="DN49" s="6">
        <f>日流量!DN49*24*3600/100000000</f>
        <v>1.9872000000000001</v>
      </c>
      <c r="DO49" s="6">
        <f>日流量!DO49*24*3600/100000000</f>
        <v>1.8144</v>
      </c>
      <c r="DP49" s="6">
        <f>日流量!DP49*24*3600/100000000</f>
        <v>1.71072</v>
      </c>
      <c r="DQ49" s="6">
        <f>日流量!DQ49*24*3600/100000000</f>
        <v>1.63296</v>
      </c>
      <c r="DR49" s="6">
        <f>日流量!DR49*24*3600/100000000</f>
        <v>1.53792</v>
      </c>
      <c r="DS49" s="6">
        <f>日流量!DS49*24*3600/100000000</f>
        <v>1.4774400000000001</v>
      </c>
      <c r="DT49" s="6">
        <f>日流量!DT49*24*3600/100000000</f>
        <v>1.41696</v>
      </c>
      <c r="DU49" s="6">
        <f>日流量!DU49*24*3600/100000000</f>
        <v>1.3824000000000001</v>
      </c>
      <c r="DV49" s="6">
        <f>日流量!DV49*24*3600/100000000</f>
        <v>1.3737600000000001</v>
      </c>
      <c r="DW49" s="6">
        <f>日流量!DW49*24*3600/100000000</f>
        <v>1.3651199999999999</v>
      </c>
      <c r="DX49" s="6">
        <f>日流量!DX49*24*3600/100000000</f>
        <v>1.33056</v>
      </c>
      <c r="DY49" s="6">
        <f>日流量!DY49*24*3600/100000000</f>
        <v>1.3391999999999999</v>
      </c>
      <c r="DZ49" s="6">
        <f>日流量!DZ49*24*3600/100000000</f>
        <v>1.39968</v>
      </c>
      <c r="EA49" s="6">
        <f>日流量!EA49*24*3600/100000000</f>
        <v>1.4860800000000001</v>
      </c>
      <c r="EB49" s="6">
        <f>日流量!EB49*24*3600/100000000</f>
        <v>1.6415999999999999</v>
      </c>
      <c r="EC49" s="6">
        <f>日流量!EC49*24*3600/100000000</f>
        <v>1.70208</v>
      </c>
      <c r="ED49" s="6">
        <f>日流量!ED49*24*3600/100000000</f>
        <v>1.7539199999999999</v>
      </c>
      <c r="EE49" s="6">
        <f>日流量!EE49*24*3600/100000000</f>
        <v>1.7539199999999999</v>
      </c>
      <c r="EF49" s="6">
        <f>日流量!EF49*24*3600/100000000</f>
        <v>1.71936</v>
      </c>
      <c r="EG49" s="6">
        <f>日流量!EG49*24*3600/100000000</f>
        <v>1.6848000000000001</v>
      </c>
      <c r="EH49" s="6">
        <f>日流量!EH49*24*3600/100000000</f>
        <v>1.6588799999999999</v>
      </c>
      <c r="EI49" s="6">
        <f>日流量!EI49*24*3600/100000000</f>
        <v>1.5984</v>
      </c>
      <c r="EJ49" s="6">
        <f>日流量!EJ49*24*3600/100000000</f>
        <v>1.53792</v>
      </c>
      <c r="EK49" s="6">
        <f>日流量!EK49*24*3600/100000000</f>
        <v>1.50336</v>
      </c>
      <c r="EL49" s="6">
        <f>日流量!EL49*24*3600/100000000</f>
        <v>1.4515199999999999</v>
      </c>
      <c r="EM49" s="6">
        <f>日流量!EM49*24*3600/100000000</f>
        <v>1.43424</v>
      </c>
      <c r="EN49" s="6">
        <f>日流量!EN49*24*3600/100000000</f>
        <v>1.43424</v>
      </c>
      <c r="EO49" s="6">
        <f>日流量!EO49*24*3600/100000000</f>
        <v>1.4774400000000001</v>
      </c>
      <c r="EP49" s="6">
        <f>日流量!EP49*24*3600/100000000</f>
        <v>1.5465599999999999</v>
      </c>
      <c r="EQ49" s="6">
        <f>日流量!EQ49*24*3600/100000000</f>
        <v>1.6502399999999999</v>
      </c>
      <c r="ER49" s="6">
        <f>日流量!ER49*24*3600/100000000</f>
        <v>1.728</v>
      </c>
      <c r="ES49" s="6">
        <f>日流量!ES49*24*3600/100000000</f>
        <v>1.80576</v>
      </c>
      <c r="ET49" s="6">
        <f>日流量!ET49*24*3600/100000000</f>
        <v>1.9958400000000001</v>
      </c>
      <c r="EU49" s="6">
        <f>日流量!EU49*24*3600/100000000</f>
        <v>2.16</v>
      </c>
      <c r="EV49" s="6">
        <f>日流量!EV49*24*3600/100000000</f>
        <v>2.22912</v>
      </c>
      <c r="EW49" s="6">
        <f>日流量!EW49*24*3600/100000000</f>
        <v>2.21184</v>
      </c>
      <c r="EX49" s="6">
        <f>日流量!EX49*24*3600/100000000</f>
        <v>2.2809599999999999</v>
      </c>
      <c r="EY49" s="6">
        <f>日流量!EY49*24*3600/100000000</f>
        <v>2.2636799999999999</v>
      </c>
      <c r="EZ49" s="6">
        <f>日流量!EZ49*24*3600/100000000</f>
        <v>2.21184</v>
      </c>
      <c r="FA49" s="6">
        <f>日流量!FA49*24*3600/100000000</f>
        <v>2.2377600000000002</v>
      </c>
      <c r="FB49" s="6">
        <f>日流量!FB49*24*3600/100000000</f>
        <v>2.2982399999999998</v>
      </c>
      <c r="FC49" s="6">
        <f>日流量!FC49*24*3600/100000000</f>
        <v>2.32416</v>
      </c>
      <c r="FD49" s="6">
        <f>日流量!FD49*24*3600/100000000</f>
        <v>2.3328000000000002</v>
      </c>
      <c r="FE49" s="6">
        <f>日流量!FE49*24*3600/100000000</f>
        <v>2.3328000000000002</v>
      </c>
      <c r="FF49" s="6">
        <f>日流量!FF49*24*3600/100000000</f>
        <v>2.2464</v>
      </c>
      <c r="FG49" s="6">
        <f>日流量!FG49*24*3600/100000000</f>
        <v>2.3587199999999999</v>
      </c>
      <c r="FH49" s="6">
        <f>日流量!FH49*24*3600/100000000</f>
        <v>2.8512</v>
      </c>
      <c r="FI49" s="6">
        <f>日流量!FI49*24*3600/100000000</f>
        <v>2.6611199999999999</v>
      </c>
      <c r="FJ49" s="6">
        <f>日流量!FJ49*24*3600/100000000</f>
        <v>2.5401600000000002</v>
      </c>
      <c r="FK49" s="6">
        <f>日流量!FK49*24*3600/100000000</f>
        <v>2.3932799999999999</v>
      </c>
      <c r="FL49" s="6">
        <f>日流量!FL49*24*3600/100000000</f>
        <v>2.2809599999999999</v>
      </c>
      <c r="FM49" s="6">
        <f>日流量!FM49*24*3600/100000000</f>
        <v>2.1513599999999999</v>
      </c>
      <c r="FN49" s="6">
        <f>日流量!FN49*24*3600/100000000</f>
        <v>2.1427200000000002</v>
      </c>
      <c r="FO49" s="6">
        <f>日流量!FO49*24*3600/100000000</f>
        <v>2.5747200000000001</v>
      </c>
      <c r="FP49" s="6">
        <f>日流量!FP49*24*3600/100000000</f>
        <v>2.2204799999999998</v>
      </c>
      <c r="FQ49" s="6">
        <f>日流量!FQ49*24*3600/100000000</f>
        <v>2.2377600000000002</v>
      </c>
      <c r="FR49" s="6">
        <f>日流量!FR49*24*3600/100000000</f>
        <v>2.51424</v>
      </c>
      <c r="FS49" s="6">
        <f>日流量!FS49*24*3600/100000000</f>
        <v>2.8771200000000001</v>
      </c>
      <c r="FT49" s="6">
        <f>日流量!FT49*24*3600/100000000</f>
        <v>2.92896</v>
      </c>
      <c r="FU49" s="6">
        <f>日流量!FU49*24*3600/100000000</f>
        <v>3.024</v>
      </c>
      <c r="FV49" s="6">
        <f>日流量!FV49*24*3600/100000000</f>
        <v>3.0067200000000001</v>
      </c>
      <c r="FW49" s="6">
        <f>日流量!FW49*24*3600/100000000</f>
        <v>3.4041600000000001</v>
      </c>
      <c r="FX49" s="6">
        <f>日流量!FX49*24*3600/100000000</f>
        <v>4.2336</v>
      </c>
      <c r="FY49" s="6">
        <f>日流量!FY49*24*3600/100000000</f>
        <v>4.7519999999999998</v>
      </c>
      <c r="FZ49" s="6">
        <f>日流量!FZ49*24*3600/100000000</f>
        <v>4.9852800000000004</v>
      </c>
      <c r="GA49" s="6">
        <f>日流量!GA49*24*3600/100000000</f>
        <v>4.968</v>
      </c>
      <c r="GB49" s="6">
        <f>日流量!GB49*24*3600/100000000</f>
        <v>4.7692800000000002</v>
      </c>
      <c r="GC49" s="6">
        <f>日流量!GC49*24*3600/100000000</f>
        <v>4.6137600000000001</v>
      </c>
      <c r="GD49" s="6">
        <f>日流量!GD49*24*3600/100000000</f>
        <v>4.64832</v>
      </c>
      <c r="GE49" s="6">
        <f>日流量!GE49*24*3600/100000000</f>
        <v>5.2444800000000003</v>
      </c>
      <c r="GF49" s="6">
        <f>日流量!GF49*24*3600/100000000</f>
        <v>6.3763199999999998</v>
      </c>
      <c r="GG49" s="6">
        <f>日流量!GG49*24*3600/100000000</f>
        <v>7.0934400000000002</v>
      </c>
      <c r="GH49" s="6">
        <f>日流量!GH49*24*3600/100000000</f>
        <v>7.9142400000000004</v>
      </c>
      <c r="GI49" s="6">
        <f>日流量!GI49*24*3600/100000000</f>
        <v>8.6054399999999998</v>
      </c>
      <c r="GJ49" s="6">
        <f>日流量!GJ49*24*3600/100000000</f>
        <v>8.6227199999999993</v>
      </c>
      <c r="GK49" s="6">
        <f>日流量!GK49*24*3600/100000000</f>
        <v>9.2447999999999997</v>
      </c>
      <c r="GL49" s="6">
        <f>日流量!GL49*24*3600/100000000</f>
        <v>9.9359999999999999</v>
      </c>
      <c r="GM49" s="6">
        <f>日流量!GM49*24*3600/100000000</f>
        <v>9.9359999999999999</v>
      </c>
      <c r="GN49" s="6">
        <f>日流量!GN49*24*3600/100000000</f>
        <v>9.3312000000000008</v>
      </c>
      <c r="GO49" s="6">
        <f>日流量!GO49*24*3600/100000000</f>
        <v>8.5104000000000006</v>
      </c>
      <c r="GP49" s="6">
        <f>日流量!GP49*24*3600/100000000</f>
        <v>7.9055999999999997</v>
      </c>
      <c r="GQ49" s="6">
        <f>日流量!GQ49*24*3600/100000000</f>
        <v>7.4995200000000004</v>
      </c>
      <c r="GR49" s="6">
        <f>日流量!GR49*24*3600/100000000</f>
        <v>7.7414399999999999</v>
      </c>
      <c r="GS49" s="6">
        <f>日流量!GS49*24*3600/100000000</f>
        <v>8.5622399999999992</v>
      </c>
      <c r="GT49" s="6">
        <f>日流量!GT49*24*3600/100000000</f>
        <v>8.6140799999999995</v>
      </c>
      <c r="GU49" s="6">
        <f>日流量!GU49*24*3600/100000000</f>
        <v>8.6140799999999995</v>
      </c>
      <c r="GV49" s="6">
        <f>日流量!GV49*24*3600/100000000</f>
        <v>9.5039999999999996</v>
      </c>
      <c r="GW49" s="6">
        <f>日流量!GW49*24*3600/100000000</f>
        <v>10.7136</v>
      </c>
      <c r="GX49" s="6">
        <f>日流量!GX49*24*3600/100000000</f>
        <v>13.478400000000001</v>
      </c>
      <c r="GY49" s="6">
        <f>日流量!GY49*24*3600/100000000</f>
        <v>15.2064</v>
      </c>
      <c r="GZ49" s="6">
        <f>日流量!GZ49*24*3600/100000000</f>
        <v>14.7744</v>
      </c>
      <c r="HA49" s="6">
        <f>日流量!HA49*24*3600/100000000</f>
        <v>12.8736</v>
      </c>
      <c r="HB49" s="6">
        <f>日流量!HB49*24*3600/100000000</f>
        <v>10.8</v>
      </c>
      <c r="HC49" s="6">
        <f>日流量!HC49*24*3600/100000000</f>
        <v>9.2447999999999997</v>
      </c>
      <c r="HD49" s="6">
        <f>日流量!HD49*24*3600/100000000</f>
        <v>8.3548799999999996</v>
      </c>
      <c r="HE49" s="6">
        <f>日流量!HE49*24*3600/100000000</f>
        <v>7.992</v>
      </c>
      <c r="HF49" s="6">
        <f>日流量!HF49*24*3600/100000000</f>
        <v>7.67232</v>
      </c>
      <c r="HG49" s="6">
        <f>日流量!HG49*24*3600/100000000</f>
        <v>7.9055999999999997</v>
      </c>
      <c r="HH49" s="6">
        <f>日流量!HH49*24*3600/100000000</f>
        <v>8.7263999999999999</v>
      </c>
      <c r="HI49" s="6">
        <f>日流量!HI49*24*3600/100000000</f>
        <v>9.6768000000000001</v>
      </c>
      <c r="HJ49" s="6">
        <f>日流量!HJ49*24*3600/100000000</f>
        <v>10.1952</v>
      </c>
      <c r="HK49" s="6">
        <f>日流量!HK49*24*3600/100000000</f>
        <v>9.8496000000000006</v>
      </c>
      <c r="HL49" s="6">
        <f>日流量!HL49*24*3600/100000000</f>
        <v>9.3312000000000008</v>
      </c>
      <c r="HM49" s="6">
        <f>日流量!HM49*24*3600/100000000</f>
        <v>9.2447999999999997</v>
      </c>
      <c r="HN49" s="6">
        <f>日流量!HN49*24*3600/100000000</f>
        <v>9.5039999999999996</v>
      </c>
      <c r="HO49" s="6">
        <f>日流量!HO49*24*3600/100000000</f>
        <v>9.9359999999999999</v>
      </c>
      <c r="HP49" s="6">
        <f>日流量!HP49*24*3600/100000000</f>
        <v>9.6768000000000001</v>
      </c>
      <c r="HQ49" s="6">
        <f>日流量!HQ49*24*3600/100000000</f>
        <v>9.5039999999999996</v>
      </c>
      <c r="HR49" s="6">
        <f>日流量!HR49*24*3600/100000000</f>
        <v>9.3312000000000008</v>
      </c>
      <c r="HS49" s="6">
        <f>日流量!HS49*24*3600/100000000</f>
        <v>8.9855999999999998</v>
      </c>
      <c r="HT49" s="6">
        <f>日流量!HT49*24*3600/100000000</f>
        <v>8.6313600000000008</v>
      </c>
      <c r="HU49" s="6">
        <f>日流量!HU49*24*3600/100000000</f>
        <v>8.4758399999999998</v>
      </c>
      <c r="HV49" s="6">
        <f>日流量!HV49*24*3600/100000000</f>
        <v>8.3721599999999992</v>
      </c>
      <c r="HW49" s="6">
        <f>日流量!HW49*24*3600/100000000</f>
        <v>8.2598400000000005</v>
      </c>
      <c r="HX49" s="6">
        <f>日流量!HX49*24*3600/100000000</f>
        <v>8.5968</v>
      </c>
      <c r="HY49" s="6">
        <f>日流量!HY49*24*3600/100000000</f>
        <v>8.0524799999999992</v>
      </c>
      <c r="HZ49" s="6">
        <f>日流量!HZ49*24*3600/100000000</f>
        <v>7.48224</v>
      </c>
      <c r="IA49" s="6">
        <f>日流量!IA49*24*3600/100000000</f>
        <v>7.0243200000000003</v>
      </c>
      <c r="IB49" s="6">
        <f>日流量!IB49*24*3600/100000000</f>
        <v>6.4713599999999998</v>
      </c>
      <c r="IC49" s="6">
        <f>日流量!IC49*24*3600/100000000</f>
        <v>5.9702400000000004</v>
      </c>
      <c r="ID49" s="6">
        <f>日流量!ID49*24*3600/100000000</f>
        <v>5.5641600000000002</v>
      </c>
      <c r="IE49" s="6">
        <f>日流量!IE49*24*3600/100000000</f>
        <v>5.2704000000000004</v>
      </c>
      <c r="IF49" s="6">
        <f>日流量!IF49*24*3600/100000000</f>
        <v>5.0544000000000002</v>
      </c>
      <c r="IG49" s="6">
        <f>日流量!IG49*24*3600/100000000</f>
        <v>4.8384</v>
      </c>
      <c r="IH49" s="6">
        <f>日流量!IH49*24*3600/100000000</f>
        <v>4.64832</v>
      </c>
      <c r="II49" s="6">
        <f>日流量!II49*24*3600/100000000</f>
        <v>4.7001600000000003</v>
      </c>
      <c r="IJ49" s="6">
        <f>日流量!IJ49*24*3600/100000000</f>
        <v>4.8643200000000002</v>
      </c>
      <c r="IK49" s="6">
        <f>日流量!IK49*24*3600/100000000</f>
        <v>4.9939200000000001</v>
      </c>
      <c r="IL49" s="6">
        <f>日流量!IL49*24*3600/100000000</f>
        <v>5.2099200000000003</v>
      </c>
      <c r="IM49" s="6">
        <f>日流量!IM49*24*3600/100000000</f>
        <v>5.4</v>
      </c>
      <c r="IN49" s="6">
        <f>日流量!IN49*24*3600/100000000</f>
        <v>5.5728</v>
      </c>
      <c r="IO49" s="6">
        <f>日流量!IO49*24*3600/100000000</f>
        <v>5.5209599999999996</v>
      </c>
      <c r="IP49" s="6">
        <f>日流量!IP49*24*3600/100000000</f>
        <v>5.4950400000000004</v>
      </c>
      <c r="IQ49" s="6">
        <f>日流量!IQ49*24*3600/100000000</f>
        <v>5.5209599999999996</v>
      </c>
      <c r="IR49" s="6">
        <f>日流量!IR49*24*3600/100000000</f>
        <v>5.4691200000000002</v>
      </c>
      <c r="IS49" s="6">
        <f>日流量!IS49*24*3600/100000000</f>
        <v>5.5728</v>
      </c>
      <c r="IT49" s="6">
        <f>日流量!IT49*24*3600/100000000</f>
        <v>5.6332800000000001</v>
      </c>
      <c r="IU49" s="6">
        <f>日流量!IU49*24*3600/100000000</f>
        <v>5.8319999999999999</v>
      </c>
      <c r="IV49" s="6">
        <f>日流量!IV49*24*3600/100000000</f>
        <v>5.8492800000000003</v>
      </c>
      <c r="IW49" s="6">
        <f>日流量!IW49*24*3600/100000000</f>
        <v>5.8838400000000002</v>
      </c>
      <c r="IX49" s="6">
        <f>日流量!IX49*24*3600/100000000</f>
        <v>6.0220799999999999</v>
      </c>
      <c r="IY49" s="6">
        <f>日流量!IY49*24*3600/100000000</f>
        <v>6.1516799999999998</v>
      </c>
      <c r="IZ49" s="6">
        <f>日流量!IZ49*24*3600/100000000</f>
        <v>6.3590400000000002</v>
      </c>
      <c r="JA49" s="6">
        <f>日流量!JA49*24*3600/100000000</f>
        <v>6.2640000000000002</v>
      </c>
      <c r="JB49" s="6">
        <f>日流量!JB49*24*3600/100000000</f>
        <v>5.9097600000000003</v>
      </c>
      <c r="JC49" s="6">
        <f>日流量!JC49*24*3600/100000000</f>
        <v>5.5814399999999997</v>
      </c>
      <c r="JD49" s="6">
        <f>日流量!JD49*24*3600/100000000</f>
        <v>5.4</v>
      </c>
      <c r="JE49" s="6">
        <f>日流量!JE49*24*3600/100000000</f>
        <v>5.85792</v>
      </c>
      <c r="JF49" s="6">
        <f>日流量!JF49*24*3600/100000000</f>
        <v>5.9702400000000004</v>
      </c>
      <c r="JG49" s="6">
        <f>日流量!JG49*24*3600/100000000</f>
        <v>5.8233600000000001</v>
      </c>
      <c r="JH49" s="6">
        <f>日流量!JH49*24*3600/100000000</f>
        <v>5.76288</v>
      </c>
      <c r="JI49" s="6">
        <f>日流量!JI49*24*3600/100000000</f>
        <v>6.2553599999999996</v>
      </c>
      <c r="JJ49" s="6">
        <f>日流量!JJ49*24*3600/100000000</f>
        <v>6.6182400000000001</v>
      </c>
      <c r="JK49" s="6">
        <f>日流量!JK49*24*3600/100000000</f>
        <v>6.5059199999999997</v>
      </c>
      <c r="JL49" s="6">
        <f>日流量!JL49*24*3600/100000000</f>
        <v>6.1603199999999996</v>
      </c>
      <c r="JM49" s="6">
        <f>日流量!JM49*24*3600/100000000</f>
        <v>5.7974399999999999</v>
      </c>
      <c r="JN49" s="6">
        <f>日流量!JN49*24*3600/100000000</f>
        <v>5.6505599999999996</v>
      </c>
      <c r="JO49" s="6">
        <f>日流量!JO49*24*3600/100000000</f>
        <v>5.5209599999999996</v>
      </c>
      <c r="JP49" s="6">
        <f>日流量!JP49*24*3600/100000000</f>
        <v>5.7542400000000002</v>
      </c>
      <c r="JQ49" s="6">
        <f>日流量!JQ49*24*3600/100000000</f>
        <v>6.1171199999999999</v>
      </c>
      <c r="JR49" s="6">
        <f>日流量!JR49*24*3600/100000000</f>
        <v>6.6009599999999997</v>
      </c>
      <c r="JS49" s="6">
        <f>日流量!JS49*24*3600/100000000</f>
        <v>6.3763199999999998</v>
      </c>
      <c r="JT49" s="6">
        <f>日流量!JT49*24*3600/100000000</f>
        <v>5.9702400000000004</v>
      </c>
      <c r="JU49" s="6">
        <f>日流量!JU49*24*3600/100000000</f>
        <v>5.6159999999999997</v>
      </c>
      <c r="JV49" s="6">
        <f>日流量!JV49*24*3600/100000000</f>
        <v>5.3136000000000001</v>
      </c>
      <c r="JW49" s="6">
        <f>日流量!JW49*24*3600/100000000</f>
        <v>5.2790400000000002</v>
      </c>
      <c r="JX49" s="6">
        <f>日流量!JX49*24*3600/100000000</f>
        <v>5.0975999999999999</v>
      </c>
      <c r="JY49" s="6">
        <f>日流量!JY49*24*3600/100000000</f>
        <v>4.8556800000000004</v>
      </c>
      <c r="JZ49" s="6">
        <f>日流量!JZ49*24*3600/100000000</f>
        <v>4.7260799999999996</v>
      </c>
      <c r="KA49" s="6">
        <f>日流量!KA49*24*3600/100000000</f>
        <v>4.6656000000000004</v>
      </c>
      <c r="KB49" s="6">
        <f>日流量!KB49*24*3600/100000000</f>
        <v>4.5100800000000003</v>
      </c>
      <c r="KC49" s="6">
        <f>日流量!KC49*24*3600/100000000</f>
        <v>4.3977599999999999</v>
      </c>
      <c r="KD49" s="6">
        <f>日流量!KD49*24*3600/100000000</f>
        <v>4.2854400000000004</v>
      </c>
      <c r="KE49" s="6">
        <f>日流量!KE49*24*3600/100000000</f>
        <v>4.1212799999999996</v>
      </c>
      <c r="KF49" s="6">
        <f>日流量!KF49*24*3600/100000000</f>
        <v>3.9916800000000001</v>
      </c>
      <c r="KG49" s="6">
        <f>日流量!KG49*24*3600/100000000</f>
        <v>3.8102399999999998</v>
      </c>
      <c r="KH49" s="6">
        <f>日流量!KH49*24*3600/100000000</f>
        <v>3.6892800000000001</v>
      </c>
      <c r="KI49" s="6">
        <f>日流量!KI49*24*3600/100000000</f>
        <v>3.6028799999999999</v>
      </c>
      <c r="KJ49" s="6">
        <f>日流量!KJ49*24*3600/100000000</f>
        <v>3.4300799999999998</v>
      </c>
      <c r="KK49" s="6">
        <f>日流量!KK49*24*3600/100000000</f>
        <v>3.3177599999999998</v>
      </c>
      <c r="KL49" s="6">
        <f>日流量!KL49*24*3600/100000000</f>
        <v>3.2054399999999998</v>
      </c>
      <c r="KM49" s="6">
        <f>日流量!KM49*24*3600/100000000</f>
        <v>3.13632</v>
      </c>
      <c r="KN49" s="6">
        <f>日流量!KN49*24*3600/100000000</f>
        <v>3.0499200000000002</v>
      </c>
      <c r="KO49" s="6">
        <f>日流量!KO49*24*3600/100000000</f>
        <v>2.9721600000000001</v>
      </c>
      <c r="KP49" s="6">
        <f>日流量!KP49*24*3600/100000000</f>
        <v>2.94624</v>
      </c>
      <c r="KQ49" s="6">
        <f>日流量!KQ49*24*3600/100000000</f>
        <v>2.9807999999999999</v>
      </c>
      <c r="KR49" s="6">
        <f>日流量!KR49*24*3600/100000000</f>
        <v>2.94624</v>
      </c>
      <c r="KS49" s="6">
        <f>日流量!KS49*24*3600/100000000</f>
        <v>2.8857599999999999</v>
      </c>
      <c r="KT49" s="6">
        <f>日流量!KT49*24*3600/100000000</f>
        <v>2.83392</v>
      </c>
      <c r="KU49" s="6">
        <f>日流量!KU49*24*3600/100000000</f>
        <v>2.7993600000000001</v>
      </c>
      <c r="KV49" s="6">
        <f>日流量!KV49*24*3600/100000000</f>
        <v>2.7907199999999999</v>
      </c>
      <c r="KW49" s="6">
        <f>日流量!KW49*24*3600/100000000</f>
        <v>2.81664</v>
      </c>
      <c r="KX49" s="6">
        <f>日流量!KX49*24*3600/100000000</f>
        <v>2.8771200000000001</v>
      </c>
      <c r="KY49" s="6">
        <f>日流量!KY49*24*3600/100000000</f>
        <v>2.9203199999999998</v>
      </c>
      <c r="KZ49" s="6">
        <f>日流量!KZ49*24*3600/100000000</f>
        <v>2.9980799999999999</v>
      </c>
      <c r="LA49" s="6">
        <f>日流量!LA49*24*3600/100000000</f>
        <v>3.1276799999999998</v>
      </c>
      <c r="LB49" s="6">
        <f>日流量!LB49*24*3600/100000000</f>
        <v>2.9894400000000001</v>
      </c>
      <c r="LC49" s="6">
        <f>日流量!LC49*24*3600/100000000</f>
        <v>2.8079999999999998</v>
      </c>
      <c r="LD49" s="6">
        <f>日流量!LD49*24*3600/100000000</f>
        <v>2.6697600000000001</v>
      </c>
      <c r="LE49" s="6">
        <f>日流量!LE49*24*3600/100000000</f>
        <v>2.5833599999999999</v>
      </c>
      <c r="LF49" s="6">
        <f>日流量!LF49*24*3600/100000000</f>
        <v>2.51424</v>
      </c>
      <c r="LG49" s="6">
        <f>日流量!LG49*24*3600/100000000</f>
        <v>2.4537599999999999</v>
      </c>
      <c r="LH49" s="6">
        <f>日流量!LH49*24*3600/100000000</f>
        <v>2.4019200000000001</v>
      </c>
      <c r="LI49" s="6">
        <f>日流量!LI49*24*3600/100000000</f>
        <v>2.3328000000000002</v>
      </c>
      <c r="LJ49" s="6">
        <f>日流量!LJ49*24*3600/100000000</f>
        <v>2.2723200000000001</v>
      </c>
      <c r="LK49" s="6">
        <f>日流量!LK49*24*3600/100000000</f>
        <v>2.22912</v>
      </c>
      <c r="LL49" s="6">
        <f>日流量!LL49*24*3600/100000000</f>
        <v>2.1945600000000001</v>
      </c>
      <c r="LM49" s="6">
        <f>日流量!LM49*24*3600/100000000</f>
        <v>2.1686399999999999</v>
      </c>
      <c r="LN49" s="6">
        <f>日流量!LN49*24*3600/100000000</f>
        <v>2.1513599999999999</v>
      </c>
      <c r="LO49" s="6">
        <f>日流量!LO49*24*3600/100000000</f>
        <v>2.1081599999999998</v>
      </c>
      <c r="LP49" s="6">
        <f>日流量!LP49*24*3600/100000000</f>
        <v>2.0649600000000001</v>
      </c>
      <c r="LQ49" s="6">
        <f>日流量!LQ49*24*3600/100000000</f>
        <v>2.0304000000000002</v>
      </c>
      <c r="LR49" s="6">
        <f>日流量!LR49*24*3600/100000000</f>
        <v>1.9958400000000001</v>
      </c>
      <c r="LS49" s="6">
        <f>日流量!LS49*24*3600/100000000</f>
        <v>1.9612799999999999</v>
      </c>
      <c r="LT49" s="6">
        <f>日流量!LT49*24*3600/100000000</f>
        <v>1.944</v>
      </c>
      <c r="LU49" s="6">
        <f>日流量!LU49*24*3600/100000000</f>
        <v>1.91808</v>
      </c>
      <c r="LV49" s="6">
        <f>日流量!LV49*24*3600/100000000</f>
        <v>1.8921600000000001</v>
      </c>
      <c r="LW49" s="6">
        <f>日流量!LW49*24*3600/100000000</f>
        <v>1.8662399999999999</v>
      </c>
      <c r="LX49" s="6">
        <f>日流量!LX49*24*3600/100000000</f>
        <v>1.8489599999999999</v>
      </c>
      <c r="LY49" s="6">
        <f>日流量!LY49*24*3600/100000000</f>
        <v>1.83168</v>
      </c>
      <c r="LZ49" s="6">
        <f>日流量!LZ49*24*3600/100000000</f>
        <v>1.80576</v>
      </c>
      <c r="MA49" s="6">
        <f>日流量!MA49*24*3600/100000000</f>
        <v>1.7798400000000001</v>
      </c>
      <c r="MB49" s="6">
        <f>日流量!MB49*24*3600/100000000</f>
        <v>1.7452799999999999</v>
      </c>
      <c r="MC49" s="6">
        <f>日流量!MC49*24*3600/100000000</f>
        <v>1.70208</v>
      </c>
      <c r="MD49" s="6">
        <f>日流量!MD49*24*3600/100000000</f>
        <v>1.6675199999999999</v>
      </c>
      <c r="ME49" s="6">
        <f>日流量!ME49*24*3600/100000000</f>
        <v>1.6415999999999999</v>
      </c>
      <c r="MF49" s="6">
        <f>日流量!MF49*24*3600/100000000</f>
        <v>1.61568</v>
      </c>
      <c r="MG49" s="6">
        <f>日流量!MG49*24*3600/100000000</f>
        <v>1.60704</v>
      </c>
      <c r="MH49" s="6">
        <f>日流量!MH49*24*3600/100000000</f>
        <v>1.5984</v>
      </c>
      <c r="MI49" s="6">
        <f>日流量!MI49*24*3600/100000000</f>
        <v>1.5897600000000001</v>
      </c>
      <c r="MJ49" s="6">
        <f>日流量!MJ49*24*3600/100000000</f>
        <v>1.5638399999999999</v>
      </c>
      <c r="MK49" s="6">
        <f>日流量!MK49*24*3600/100000000</f>
        <v>1.5465599999999999</v>
      </c>
      <c r="ML49" s="6">
        <f>日流量!ML49*24*3600/100000000</f>
        <v>1.52928</v>
      </c>
      <c r="MM49" s="6">
        <f>日流量!MM49*24*3600/100000000</f>
        <v>1.512</v>
      </c>
      <c r="MN49" s="6">
        <f>日流量!MN49*24*3600/100000000</f>
        <v>1.4860800000000001</v>
      </c>
      <c r="MO49" s="6">
        <f>日流量!MO49*24*3600/100000000</f>
        <v>1.4688000000000001</v>
      </c>
      <c r="MP49" s="6">
        <f>日流量!MP49*24*3600/100000000</f>
        <v>1.4428799999999999</v>
      </c>
      <c r="MQ49" s="6">
        <f>日流量!MQ49*24*3600/100000000</f>
        <v>1.43424</v>
      </c>
      <c r="MR49" s="6">
        <f>日流量!MR49*24*3600/100000000</f>
        <v>1.41696</v>
      </c>
      <c r="MS49" s="6">
        <f>日流量!MS49*24*3600/100000000</f>
        <v>1.3910400000000001</v>
      </c>
      <c r="MT49" s="6">
        <f>日流量!MT49*24*3600/100000000</f>
        <v>1.3651199999999999</v>
      </c>
      <c r="MU49" s="6">
        <f>日流量!MU49*24*3600/100000000</f>
        <v>1.3564799999999999</v>
      </c>
      <c r="MV49" s="6">
        <f>日流量!MV49*24*3600/100000000</f>
        <v>1.3478399999999999</v>
      </c>
      <c r="MW49" s="6">
        <f>日流量!MW49*24*3600/100000000</f>
        <v>1.33056</v>
      </c>
      <c r="MX49" s="6">
        <f>日流量!MX49*24*3600/100000000</f>
        <v>1.31328</v>
      </c>
      <c r="MY49" s="6">
        <f>日流量!MY49*24*3600/100000000</f>
        <v>1.31328</v>
      </c>
      <c r="MZ49" s="6">
        <f>日流量!MZ49*24*3600/100000000</f>
        <v>1.296</v>
      </c>
      <c r="NA49" s="6">
        <f>日流量!NA49*24*3600/100000000</f>
        <v>1.2873600000000001</v>
      </c>
      <c r="NB49" s="6">
        <f>日流量!NB49*24*3600/100000000</f>
        <v>1.2787200000000001</v>
      </c>
      <c r="NC49" s="6">
        <f>日流量!NC49*24*3600/100000000</f>
        <v>1.2614399999999999</v>
      </c>
      <c r="ND49" s="6">
        <f>日流量!ND49*24*3600*31/100000000</f>
        <v>34.551360000000003</v>
      </c>
      <c r="NE49" s="6">
        <f>日流量!NE49*24*3600*29/100000000</f>
        <v>28.313279999999999</v>
      </c>
      <c r="NF49" s="6">
        <f>日流量!NF49*24*3600*31/100000000</f>
        <v>29.462399999999999</v>
      </c>
      <c r="NG49" s="6">
        <f>日流量!NG49*24*3600*30/100000000</f>
        <v>37.065600000000003</v>
      </c>
      <c r="NH49" s="6">
        <f>日流量!NH49*24*3600*31/100000000</f>
        <v>50.353920000000002</v>
      </c>
      <c r="NI49" s="6">
        <f>日流量!NI49*24*3600*30/100000000</f>
        <v>83.721599999999995</v>
      </c>
      <c r="NJ49" s="6">
        <f>日流量!NJ49*24*3600*31/100000000</f>
        <v>273.1968</v>
      </c>
      <c r="NK49" s="6">
        <f>日流量!NK49*24*3600*31/100000000</f>
        <v>239.18111999999999</v>
      </c>
      <c r="NL49" s="6">
        <f>日流量!NL49*24*3600*30/100000000</f>
        <v>174.70079999999999</v>
      </c>
      <c r="NM49" s="6">
        <f>日流量!NM49*24*3600*31/100000000</f>
        <v>132.58080000000001</v>
      </c>
      <c r="NN49" s="6">
        <f>日流量!NN49*24*3600*30/100000000</f>
        <v>71.798400000000001</v>
      </c>
      <c r="NO49" s="6">
        <f>日流量!NO49*24*3600*31/100000000</f>
        <v>46.60416</v>
      </c>
      <c r="NP49" s="14">
        <f t="shared" si="10"/>
        <v>1201.53024</v>
      </c>
      <c r="NQ49" s="6">
        <f>日流量!NQ49*24*3600/100000000</f>
        <v>15.2064</v>
      </c>
      <c r="NR49" s="4">
        <f>日流量!NR49</f>
        <v>42575</v>
      </c>
      <c r="NS49" s="6">
        <f>日流量!NS49*24*3600/100000000</f>
        <v>0.86399999999999999</v>
      </c>
      <c r="NT49" s="4">
        <f>日流量!NT49</f>
        <v>42438</v>
      </c>
      <c r="NU49" s="7">
        <f>日流量!NP49</f>
        <v>3800.9562841530055</v>
      </c>
      <c r="NW49" s="13">
        <f t="shared" si="0"/>
        <v>953.73504000000003</v>
      </c>
      <c r="NX49" s="12">
        <f t="shared" si="1"/>
        <v>79.376698833647325</v>
      </c>
      <c r="NY49" s="13">
        <f t="shared" si="2"/>
        <v>770.80031999999994</v>
      </c>
      <c r="NZ49" s="12">
        <f t="shared" si="3"/>
        <v>64.15155393841772</v>
      </c>
      <c r="OA49" s="13">
        <f t="shared" si="4"/>
        <v>247.79520000000002</v>
      </c>
      <c r="OB49" s="12">
        <f t="shared" si="5"/>
        <v>20.623301166352668</v>
      </c>
      <c r="OC49" s="13">
        <f t="shared" si="6"/>
        <v>273.1968</v>
      </c>
      <c r="OD49" s="12">
        <f t="shared" si="7"/>
        <v>22.737405260811411</v>
      </c>
      <c r="OE49" s="12">
        <f t="shared" si="8"/>
        <v>280.73136448598132</v>
      </c>
      <c r="OF49" s="12">
        <f t="shared" si="9"/>
        <v>8.9019331711688636</v>
      </c>
    </row>
    <row r="50" spans="1:396" x14ac:dyDescent="0.15">
      <c r="A50" s="2">
        <v>1997</v>
      </c>
      <c r="B50" s="6">
        <f>日流量!B50*24*3600/100000000</f>
        <v>1.23552</v>
      </c>
      <c r="C50" s="6">
        <f>日流量!C50*24*3600/100000000</f>
        <v>1.22688</v>
      </c>
      <c r="D50" s="6">
        <f>日流量!D50*24*3600/100000000</f>
        <v>1.2096</v>
      </c>
      <c r="E50" s="6">
        <f>日流量!E50*24*3600/100000000</f>
        <v>1.19232</v>
      </c>
      <c r="F50" s="6">
        <f>日流量!F50*24*3600/100000000</f>
        <v>1.1750400000000001</v>
      </c>
      <c r="G50" s="6">
        <f>日流量!G50*24*3600/100000000</f>
        <v>1.1577599999999999</v>
      </c>
      <c r="H50" s="6">
        <f>日流量!H50*24*3600/100000000</f>
        <v>1.1664000000000001</v>
      </c>
      <c r="I50" s="6">
        <f>日流量!I50*24*3600/100000000</f>
        <v>1.1664000000000001</v>
      </c>
      <c r="J50" s="6">
        <f>日流量!J50*24*3600/100000000</f>
        <v>1.1577599999999999</v>
      </c>
      <c r="K50" s="6">
        <f>日流量!K50*24*3600/100000000</f>
        <v>1.1491199999999999</v>
      </c>
      <c r="L50" s="6">
        <f>日流量!L50*24*3600/100000000</f>
        <v>1.1491199999999999</v>
      </c>
      <c r="M50" s="6">
        <f>日流量!M50*24*3600/100000000</f>
        <v>1.1404799999999999</v>
      </c>
      <c r="N50" s="6">
        <f>日流量!N50*24*3600/100000000</f>
        <v>1.1404799999999999</v>
      </c>
      <c r="O50" s="6">
        <f>日流量!O50*24*3600/100000000</f>
        <v>1.13184</v>
      </c>
      <c r="P50" s="6">
        <f>日流量!P50*24*3600/100000000</f>
        <v>1.1232</v>
      </c>
      <c r="Q50" s="6">
        <f>日流量!Q50*24*3600/100000000</f>
        <v>1.10592</v>
      </c>
      <c r="R50" s="6">
        <f>日流量!R50*24*3600/100000000</f>
        <v>1.0886400000000001</v>
      </c>
      <c r="S50" s="6">
        <f>日流量!S50*24*3600/100000000</f>
        <v>1.0713600000000001</v>
      </c>
      <c r="T50" s="6">
        <f>日流量!T50*24*3600/100000000</f>
        <v>1.0713600000000001</v>
      </c>
      <c r="U50" s="6">
        <f>日流量!U50*24*3600/100000000</f>
        <v>1.0627200000000001</v>
      </c>
      <c r="V50" s="6">
        <f>日流量!V50*24*3600/100000000</f>
        <v>1.0627200000000001</v>
      </c>
      <c r="W50" s="6">
        <f>日流量!W50*24*3600/100000000</f>
        <v>1.0540799999999999</v>
      </c>
      <c r="X50" s="6">
        <f>日流量!X50*24*3600/100000000</f>
        <v>1.0540799999999999</v>
      </c>
      <c r="Y50" s="6">
        <f>日流量!Y50*24*3600/100000000</f>
        <v>1.0540799999999999</v>
      </c>
      <c r="Z50" s="6">
        <f>日流量!Z50*24*3600/100000000</f>
        <v>1.0540799999999999</v>
      </c>
      <c r="AA50" s="6">
        <f>日流量!AA50*24*3600/100000000</f>
        <v>1.0540799999999999</v>
      </c>
      <c r="AB50" s="6">
        <f>日流量!AB50*24*3600/100000000</f>
        <v>1.0540799999999999</v>
      </c>
      <c r="AC50" s="6">
        <f>日流量!AC50*24*3600/100000000</f>
        <v>1.0540799999999999</v>
      </c>
      <c r="AD50" s="6">
        <f>日流量!AD50*24*3600/100000000</f>
        <v>1.0540799999999999</v>
      </c>
      <c r="AE50" s="6">
        <f>日流量!AE50*24*3600/100000000</f>
        <v>1.0454399999999999</v>
      </c>
      <c r="AF50" s="6">
        <f>日流量!AF50*24*3600/100000000</f>
        <v>1.0367999999999999</v>
      </c>
      <c r="AG50" s="6">
        <f>日流量!AG50*24*3600/100000000</f>
        <v>1.01952</v>
      </c>
      <c r="AH50" s="6">
        <f>日流量!AH50*24*3600/100000000</f>
        <v>1.01088</v>
      </c>
      <c r="AI50" s="6">
        <f>日流量!AI50*24*3600/100000000</f>
        <v>1.00224</v>
      </c>
      <c r="AJ50" s="6">
        <f>日流量!AJ50*24*3600/100000000</f>
        <v>0.99360000000000004</v>
      </c>
      <c r="AK50" s="6">
        <f>日流量!AK50*24*3600/100000000</f>
        <v>0.99360000000000004</v>
      </c>
      <c r="AL50" s="6">
        <f>日流量!AL50*24*3600/100000000</f>
        <v>0.98495999999999995</v>
      </c>
      <c r="AM50" s="6">
        <f>日流量!AM50*24*3600/100000000</f>
        <v>0.99360000000000004</v>
      </c>
      <c r="AN50" s="6">
        <f>日流量!AN50*24*3600/100000000</f>
        <v>0.99360000000000004</v>
      </c>
      <c r="AO50" s="6">
        <f>日流量!AO50*24*3600/100000000</f>
        <v>0.99360000000000004</v>
      </c>
      <c r="AP50" s="6">
        <f>日流量!AP50*24*3600/100000000</f>
        <v>0.99360000000000004</v>
      </c>
      <c r="AQ50" s="6">
        <f>日流量!AQ50*24*3600/100000000</f>
        <v>0.98495999999999995</v>
      </c>
      <c r="AR50" s="6">
        <f>日流量!AR50*24*3600/100000000</f>
        <v>0.97631999999999997</v>
      </c>
      <c r="AS50" s="6">
        <f>日流量!AS50*24*3600/100000000</f>
        <v>0.96767999999999998</v>
      </c>
      <c r="AT50" s="6">
        <f>日流量!AT50*24*3600/100000000</f>
        <v>0.96767999999999998</v>
      </c>
      <c r="AU50" s="6">
        <f>日流量!AU50*24*3600/100000000</f>
        <v>0.96767999999999998</v>
      </c>
      <c r="AV50" s="6">
        <f>日流量!AV50*24*3600/100000000</f>
        <v>0.97631999999999997</v>
      </c>
      <c r="AW50" s="6">
        <f>日流量!AW50*24*3600/100000000</f>
        <v>0.97631999999999997</v>
      </c>
      <c r="AX50" s="6">
        <f>日流量!AX50*24*3600/100000000</f>
        <v>0.97631999999999997</v>
      </c>
      <c r="AY50" s="6">
        <f>日流量!AY50*24*3600/100000000</f>
        <v>0.98495999999999995</v>
      </c>
      <c r="AZ50" s="6">
        <f>日流量!AZ50*24*3600/100000000</f>
        <v>0.97631999999999997</v>
      </c>
      <c r="BA50" s="6">
        <f>日流量!BA50*24*3600/100000000</f>
        <v>0.98495999999999995</v>
      </c>
      <c r="BB50" s="6">
        <f>日流量!BB50*24*3600/100000000</f>
        <v>0.98495999999999995</v>
      </c>
      <c r="BC50" s="6">
        <f>日流量!BC50*24*3600/100000000</f>
        <v>0.98495999999999995</v>
      </c>
      <c r="BD50" s="6">
        <f>日流量!BD50*24*3600/100000000</f>
        <v>0.97631999999999997</v>
      </c>
      <c r="BE50" s="6">
        <f>日流量!BE50*24*3600/100000000</f>
        <v>0.96767999999999998</v>
      </c>
      <c r="BF50" s="6">
        <f>日流量!BF50*24*3600/100000000</f>
        <v>0.95904</v>
      </c>
      <c r="BG50" s="6">
        <f>日流量!BG50*24*3600/100000000</f>
        <v>0.95040000000000002</v>
      </c>
      <c r="BH50" s="6">
        <f>日流量!BH50*24*3600/100000000</f>
        <v>0.94176000000000004</v>
      </c>
      <c r="BI50" s="6"/>
      <c r="BJ50" s="6">
        <f>日流量!BJ50*24*3600/100000000</f>
        <v>0.93311999999999995</v>
      </c>
      <c r="BK50" s="6">
        <f>日流量!BK50*24*3600/100000000</f>
        <v>0.93311999999999995</v>
      </c>
      <c r="BL50" s="6">
        <f>日流量!BL50*24*3600/100000000</f>
        <v>0.93311999999999995</v>
      </c>
      <c r="BM50" s="6">
        <f>日流量!BM50*24*3600/100000000</f>
        <v>0.93311999999999995</v>
      </c>
      <c r="BN50" s="6">
        <f>日流量!BN50*24*3600/100000000</f>
        <v>0.92447999999999997</v>
      </c>
      <c r="BO50" s="6">
        <f>日流量!BO50*24*3600/100000000</f>
        <v>0.92447999999999997</v>
      </c>
      <c r="BP50" s="6">
        <f>日流量!BP50*24*3600/100000000</f>
        <v>0.91583999999999999</v>
      </c>
      <c r="BQ50" s="6">
        <f>日流量!BQ50*24*3600/100000000</f>
        <v>0.91583999999999999</v>
      </c>
      <c r="BR50" s="6">
        <f>日流量!BR50*24*3600/100000000</f>
        <v>0.91583999999999999</v>
      </c>
      <c r="BS50" s="6">
        <f>日流量!BS50*24*3600/100000000</f>
        <v>0.90720000000000001</v>
      </c>
      <c r="BT50" s="6">
        <f>日流量!BT50*24*3600/100000000</f>
        <v>0.91583999999999999</v>
      </c>
      <c r="BU50" s="6">
        <f>日流量!BU50*24*3600/100000000</f>
        <v>0.91583999999999999</v>
      </c>
      <c r="BV50" s="6">
        <f>日流量!BV50*24*3600/100000000</f>
        <v>0.91583999999999999</v>
      </c>
      <c r="BW50" s="6">
        <f>日流量!BW50*24*3600/100000000</f>
        <v>0.91583999999999999</v>
      </c>
      <c r="BX50" s="6">
        <f>日流量!BX50*24*3600/100000000</f>
        <v>0.91583999999999999</v>
      </c>
      <c r="BY50" s="6">
        <f>日流量!BY50*24*3600/100000000</f>
        <v>0.92447999999999997</v>
      </c>
      <c r="BZ50" s="6">
        <f>日流量!BZ50*24*3600/100000000</f>
        <v>0.93311999999999995</v>
      </c>
      <c r="CA50" s="6">
        <f>日流量!CA50*24*3600/100000000</f>
        <v>0.95040000000000002</v>
      </c>
      <c r="CB50" s="6">
        <f>日流量!CB50*24*3600/100000000</f>
        <v>0.95904</v>
      </c>
      <c r="CC50" s="6">
        <f>日流量!CC50*24*3600/100000000</f>
        <v>0.96767999999999998</v>
      </c>
      <c r="CD50" s="6">
        <f>日流量!CD50*24*3600/100000000</f>
        <v>0.96767999999999998</v>
      </c>
      <c r="CE50" s="6">
        <f>日流量!CE50*24*3600/100000000</f>
        <v>0.97631999999999997</v>
      </c>
      <c r="CF50" s="6">
        <f>日流量!CF50*24*3600/100000000</f>
        <v>0.97631999999999997</v>
      </c>
      <c r="CG50" s="6">
        <f>日流量!CG50*24*3600/100000000</f>
        <v>0.96767999999999998</v>
      </c>
      <c r="CH50" s="6">
        <f>日流量!CH50*24*3600/100000000</f>
        <v>0.97631999999999997</v>
      </c>
      <c r="CI50" s="6">
        <f>日流量!CI50*24*3600/100000000</f>
        <v>0.97631999999999997</v>
      </c>
      <c r="CJ50" s="6">
        <f>日流量!CJ50*24*3600/100000000</f>
        <v>0.95904</v>
      </c>
      <c r="CK50" s="6">
        <f>日流量!CK50*24*3600/100000000</f>
        <v>0.95040000000000002</v>
      </c>
      <c r="CL50" s="6">
        <f>日流量!CL50*24*3600/100000000</f>
        <v>0.95040000000000002</v>
      </c>
      <c r="CM50" s="6">
        <f>日流量!CM50*24*3600/100000000</f>
        <v>0.95040000000000002</v>
      </c>
      <c r="CN50" s="6">
        <f>日流量!CN50*24*3600/100000000</f>
        <v>0.95040000000000002</v>
      </c>
      <c r="CO50" s="6">
        <f>日流量!CO50*24*3600/100000000</f>
        <v>0.95904</v>
      </c>
      <c r="CP50" s="6">
        <f>日流量!CP50*24*3600/100000000</f>
        <v>0.95040000000000002</v>
      </c>
      <c r="CQ50" s="6">
        <f>日流量!CQ50*24*3600/100000000</f>
        <v>0.95904</v>
      </c>
      <c r="CR50" s="6">
        <f>日流量!CR50*24*3600/100000000</f>
        <v>0.95040000000000002</v>
      </c>
      <c r="CS50" s="6">
        <f>日流量!CS50*24*3600/100000000</f>
        <v>0.95040000000000002</v>
      </c>
      <c r="CT50" s="6">
        <f>日流量!CT50*24*3600/100000000</f>
        <v>0.95040000000000002</v>
      </c>
      <c r="CU50" s="6">
        <f>日流量!CU50*24*3600/100000000</f>
        <v>0.95904</v>
      </c>
      <c r="CV50" s="6">
        <f>日流量!CV50*24*3600/100000000</f>
        <v>0.96767999999999998</v>
      </c>
      <c r="CW50" s="6">
        <f>日流量!CW50*24*3600/100000000</f>
        <v>0.98495999999999995</v>
      </c>
      <c r="CX50" s="6">
        <f>日流量!CX50*24*3600/100000000</f>
        <v>0.99360000000000004</v>
      </c>
      <c r="CY50" s="6">
        <f>日流量!CY50*24*3600/100000000</f>
        <v>1.00224</v>
      </c>
      <c r="CZ50" s="6">
        <f>日流量!CZ50*24*3600/100000000</f>
        <v>0.99360000000000004</v>
      </c>
      <c r="DA50" s="6">
        <f>日流量!DA50*24*3600/100000000</f>
        <v>0.98495999999999995</v>
      </c>
      <c r="DB50" s="6">
        <f>日流量!DB50*24*3600/100000000</f>
        <v>0.97631999999999997</v>
      </c>
      <c r="DC50" s="6">
        <f>日流量!DC50*24*3600/100000000</f>
        <v>0.97631999999999997</v>
      </c>
      <c r="DD50" s="6">
        <f>日流量!DD50*24*3600/100000000</f>
        <v>0.96767999999999998</v>
      </c>
      <c r="DE50" s="6">
        <f>日流量!DE50*24*3600/100000000</f>
        <v>0.97631999999999997</v>
      </c>
      <c r="DF50" s="6">
        <f>日流量!DF50*24*3600/100000000</f>
        <v>0.97631999999999997</v>
      </c>
      <c r="DG50" s="6">
        <f>日流量!DG50*24*3600/100000000</f>
        <v>0.96767999999999998</v>
      </c>
      <c r="DH50" s="6">
        <f>日流量!DH50*24*3600/100000000</f>
        <v>0.95904</v>
      </c>
      <c r="DI50" s="6">
        <f>日流量!DI50*24*3600/100000000</f>
        <v>0.95904</v>
      </c>
      <c r="DJ50" s="6">
        <f>日流量!DJ50*24*3600/100000000</f>
        <v>0.96767999999999998</v>
      </c>
      <c r="DK50" s="6">
        <f>日流量!DK50*24*3600/100000000</f>
        <v>0.96767999999999998</v>
      </c>
      <c r="DL50" s="6">
        <f>日流量!DL50*24*3600/100000000</f>
        <v>0.98495999999999995</v>
      </c>
      <c r="DM50" s="6">
        <f>日流量!DM50*24*3600/100000000</f>
        <v>1.01088</v>
      </c>
      <c r="DN50" s="6">
        <f>日流量!DN50*24*3600/100000000</f>
        <v>1.0627200000000001</v>
      </c>
      <c r="DO50" s="6">
        <f>日流量!DO50*24*3600/100000000</f>
        <v>1.09728</v>
      </c>
      <c r="DP50" s="6">
        <f>日流量!DP50*24*3600/100000000</f>
        <v>1.1232</v>
      </c>
      <c r="DQ50" s="6">
        <f>日流量!DQ50*24*3600/100000000</f>
        <v>1.1404799999999999</v>
      </c>
      <c r="DR50" s="6">
        <f>日流量!DR50*24*3600/100000000</f>
        <v>1.10592</v>
      </c>
      <c r="DS50" s="6">
        <f>日流量!DS50*24*3600/100000000</f>
        <v>1.0713600000000001</v>
      </c>
      <c r="DT50" s="6">
        <f>日流量!DT50*24*3600/100000000</f>
        <v>1.08</v>
      </c>
      <c r="DU50" s="6">
        <f>日流量!DU50*24*3600/100000000</f>
        <v>1.08</v>
      </c>
      <c r="DV50" s="6">
        <f>日流量!DV50*24*3600/100000000</f>
        <v>1.0713600000000001</v>
      </c>
      <c r="DW50" s="6">
        <f>日流量!DW50*24*3600/100000000</f>
        <v>1.0540799999999999</v>
      </c>
      <c r="DX50" s="6">
        <f>日流量!DX50*24*3600/100000000</f>
        <v>1.0540799999999999</v>
      </c>
      <c r="DY50" s="6">
        <f>日流量!DY50*24*3600/100000000</f>
        <v>1.0886400000000001</v>
      </c>
      <c r="DZ50" s="6">
        <f>日流量!DZ50*24*3600/100000000</f>
        <v>1.2873600000000001</v>
      </c>
      <c r="EA50" s="6">
        <f>日流量!EA50*24*3600/100000000</f>
        <v>1.512</v>
      </c>
      <c r="EB50" s="6">
        <f>日流量!EB50*24*3600/100000000</f>
        <v>1.6848000000000001</v>
      </c>
      <c r="EC50" s="6">
        <f>日流量!EC50*24*3600/100000000</f>
        <v>1.8144</v>
      </c>
      <c r="ED50" s="6">
        <f>日流量!ED50*24*3600/100000000</f>
        <v>1.8575999999999999</v>
      </c>
      <c r="EE50" s="6">
        <f>日流量!EE50*24*3600/100000000</f>
        <v>1.92672</v>
      </c>
      <c r="EF50" s="6">
        <f>日流量!EF50*24*3600/100000000</f>
        <v>1.944</v>
      </c>
      <c r="EG50" s="6">
        <f>日流量!EG50*24*3600/100000000</f>
        <v>1.91808</v>
      </c>
      <c r="EH50" s="6">
        <f>日流量!EH50*24*3600/100000000</f>
        <v>1.92672</v>
      </c>
      <c r="EI50" s="6">
        <f>日流量!EI50*24*3600/100000000</f>
        <v>1.9699199999999999</v>
      </c>
      <c r="EJ50" s="6">
        <f>日流量!EJ50*24*3600/100000000</f>
        <v>1.93536</v>
      </c>
      <c r="EK50" s="6">
        <f>日流量!EK50*24*3600/100000000</f>
        <v>1.9008</v>
      </c>
      <c r="EL50" s="6">
        <f>日流量!EL50*24*3600/100000000</f>
        <v>1.8921600000000001</v>
      </c>
      <c r="EM50" s="6">
        <f>日流量!EM50*24*3600/100000000</f>
        <v>1.8921600000000001</v>
      </c>
      <c r="EN50" s="6">
        <f>日流量!EN50*24*3600/100000000</f>
        <v>1.8489599999999999</v>
      </c>
      <c r="EO50" s="6">
        <f>日流量!EO50*24*3600/100000000</f>
        <v>1.8921600000000001</v>
      </c>
      <c r="EP50" s="6">
        <f>日流量!EP50*24*3600/100000000</f>
        <v>2.00448</v>
      </c>
      <c r="EQ50" s="6">
        <f>日流量!EQ50*24*3600/100000000</f>
        <v>2.0995200000000001</v>
      </c>
      <c r="ER50" s="6">
        <f>日流量!ER50*24*3600/100000000</f>
        <v>2.2031999999999998</v>
      </c>
      <c r="ES50" s="6">
        <f>日流量!ES50*24*3600/100000000</f>
        <v>2.2031999999999998</v>
      </c>
      <c r="ET50" s="6">
        <f>日流量!ET50*24*3600/100000000</f>
        <v>2.1686399999999999</v>
      </c>
      <c r="EU50" s="6">
        <f>日流量!EU50*24*3600/100000000</f>
        <v>2.1254400000000002</v>
      </c>
      <c r="EV50" s="6">
        <f>日流量!EV50*24*3600/100000000</f>
        <v>2.1168</v>
      </c>
      <c r="EW50" s="6">
        <f>日流量!EW50*24*3600/100000000</f>
        <v>2.1427200000000002</v>
      </c>
      <c r="EX50" s="6">
        <f>日流量!EX50*24*3600/100000000</f>
        <v>2.1945600000000001</v>
      </c>
      <c r="EY50" s="6">
        <f>日流量!EY50*24*3600/100000000</f>
        <v>2.16</v>
      </c>
      <c r="EZ50" s="6">
        <f>日流量!EZ50*24*3600/100000000</f>
        <v>2.0476800000000002</v>
      </c>
      <c r="FA50" s="6">
        <f>日流量!FA50*24*3600/100000000</f>
        <v>2.1254400000000002</v>
      </c>
      <c r="FB50" s="6">
        <f>日流量!FB50*24*3600/100000000</f>
        <v>2.2809599999999999</v>
      </c>
      <c r="FC50" s="6">
        <f>日流量!FC50*24*3600/100000000</f>
        <v>2.3328000000000002</v>
      </c>
      <c r="FD50" s="6">
        <f>日流量!FD50*24*3600/100000000</f>
        <v>2.3846400000000001</v>
      </c>
      <c r="FE50" s="6">
        <f>日流量!FE50*24*3600/100000000</f>
        <v>2.6006399999999998</v>
      </c>
      <c r="FF50" s="6">
        <f>日流量!FF50*24*3600/100000000</f>
        <v>2.5833599999999999</v>
      </c>
      <c r="FG50" s="6">
        <f>日流量!FG50*24*3600/100000000</f>
        <v>2.5228799999999998</v>
      </c>
      <c r="FH50" s="6">
        <f>日流量!FH50*24*3600/100000000</f>
        <v>2.5055999999999998</v>
      </c>
      <c r="FI50" s="6">
        <f>日流量!FI50*24*3600/100000000</f>
        <v>2.5401600000000002</v>
      </c>
      <c r="FJ50" s="6">
        <f>日流量!FJ50*24*3600/100000000</f>
        <v>2.73888</v>
      </c>
      <c r="FK50" s="6">
        <f>日流量!FK50*24*3600/100000000</f>
        <v>2.8857599999999999</v>
      </c>
      <c r="FL50" s="6">
        <f>日流量!FL50*24*3600/100000000</f>
        <v>3.2659199999999999</v>
      </c>
      <c r="FM50" s="6">
        <f>日流量!FM50*24*3600/100000000</f>
        <v>3.5769600000000001</v>
      </c>
      <c r="FN50" s="6">
        <f>日流量!FN50*24*3600/100000000</f>
        <v>3.6806399999999999</v>
      </c>
      <c r="FO50" s="6">
        <f>日流量!FO50*24*3600/100000000</f>
        <v>4.5100800000000003</v>
      </c>
      <c r="FP50" s="6">
        <f>日流量!FP50*24*3600/100000000</f>
        <v>4.87296</v>
      </c>
      <c r="FQ50" s="6">
        <f>日流量!FQ50*24*3600/100000000</f>
        <v>5.2704000000000004</v>
      </c>
      <c r="FR50" s="6">
        <f>日流量!FR50*24*3600/100000000</f>
        <v>5.6937600000000002</v>
      </c>
      <c r="FS50" s="6">
        <f>日流量!FS50*24*3600/100000000</f>
        <v>5.9443200000000003</v>
      </c>
      <c r="FT50" s="6">
        <f>日流量!FT50*24*3600/100000000</f>
        <v>5.4604799999999996</v>
      </c>
      <c r="FU50" s="6">
        <f>日流量!FU50*24*3600/100000000</f>
        <v>5.3740800000000002</v>
      </c>
      <c r="FV50" s="6">
        <f>日流量!FV50*24*3600/100000000</f>
        <v>5.4086400000000001</v>
      </c>
      <c r="FW50" s="6">
        <f>日流量!FW50*24*3600/100000000</f>
        <v>5.2444800000000003</v>
      </c>
      <c r="FX50" s="6">
        <f>日流量!FX50*24*3600/100000000</f>
        <v>4.7692800000000002</v>
      </c>
      <c r="FY50" s="6">
        <f>日流量!FY50*24*3600/100000000</f>
        <v>4.87296</v>
      </c>
      <c r="FZ50" s="6">
        <f>日流量!FZ50*24*3600/100000000</f>
        <v>4.7347200000000003</v>
      </c>
      <c r="GA50" s="6">
        <f>日流量!GA50*24*3600/100000000</f>
        <v>4.5878399999999999</v>
      </c>
      <c r="GB50" s="6">
        <f>日流量!GB50*24*3600/100000000</f>
        <v>5.0975999999999999</v>
      </c>
      <c r="GC50" s="6">
        <f>日流量!GC50*24*3600/100000000</f>
        <v>5.9011199999999997</v>
      </c>
      <c r="GD50" s="6">
        <f>日流量!GD50*24*3600/100000000</f>
        <v>6.7046400000000004</v>
      </c>
      <c r="GE50" s="6">
        <f>日流量!GE50*24*3600/100000000</f>
        <v>7.3353599999999997</v>
      </c>
      <c r="GF50" s="6">
        <f>日流量!GF50*24*3600/100000000</f>
        <v>7.5340800000000003</v>
      </c>
      <c r="GG50" s="6">
        <f>日流量!GG50*24*3600/100000000</f>
        <v>7.4563199999999998</v>
      </c>
      <c r="GH50" s="6">
        <f>日流量!GH50*24*3600/100000000</f>
        <v>7.992</v>
      </c>
      <c r="GI50" s="6">
        <f>日流量!GI50*24*3600/100000000</f>
        <v>10.6272</v>
      </c>
      <c r="GJ50" s="6">
        <f>日流量!GJ50*24*3600/100000000</f>
        <v>10.8</v>
      </c>
      <c r="GK50" s="6">
        <f>日流量!GK50*24*3600/100000000</f>
        <v>11.1456</v>
      </c>
      <c r="GL50" s="6">
        <f>日流量!GL50*24*3600/100000000</f>
        <v>11.231999999999999</v>
      </c>
      <c r="GM50" s="6">
        <f>日流量!GM50*24*3600/100000000</f>
        <v>11.3184</v>
      </c>
      <c r="GN50" s="6">
        <f>日流量!GN50*24*3600/100000000</f>
        <v>10.6272</v>
      </c>
      <c r="GO50" s="6">
        <f>日流量!GO50*24*3600/100000000</f>
        <v>9.8496000000000006</v>
      </c>
      <c r="GP50" s="6">
        <f>日流量!GP50*24*3600/100000000</f>
        <v>10.540800000000001</v>
      </c>
      <c r="GQ50" s="6">
        <f>日流量!GQ50*24*3600/100000000</f>
        <v>11.4048</v>
      </c>
      <c r="GR50" s="6">
        <f>日流量!GR50*24*3600/100000000</f>
        <v>10.540800000000001</v>
      </c>
      <c r="GS50" s="6">
        <f>日流量!GS50*24*3600/100000000</f>
        <v>10.7136</v>
      </c>
      <c r="GT50" s="6">
        <f>日流量!GT50*24*3600/100000000</f>
        <v>12.182399999999999</v>
      </c>
      <c r="GU50" s="6">
        <f>日流量!GU50*24*3600/100000000</f>
        <v>12.8736</v>
      </c>
      <c r="GV50" s="6">
        <f>日流量!GV50*24*3600/100000000</f>
        <v>11.3184</v>
      </c>
      <c r="GW50" s="6">
        <f>日流量!GW50*24*3600/100000000</f>
        <v>9.3312000000000008</v>
      </c>
      <c r="GX50" s="6">
        <f>日流量!GX50*24*3600/100000000</f>
        <v>7.8192000000000004</v>
      </c>
      <c r="GY50" s="6">
        <f>日流量!GY50*24*3600/100000000</f>
        <v>6.8515199999999998</v>
      </c>
      <c r="GZ50" s="6">
        <f>日流量!GZ50*24*3600/100000000</f>
        <v>6.2985600000000002</v>
      </c>
      <c r="HA50" s="6">
        <f>日流量!HA50*24*3600/100000000</f>
        <v>6.1084800000000001</v>
      </c>
      <c r="HB50" s="6">
        <f>日流量!HB50*24*3600/100000000</f>
        <v>6.0048000000000004</v>
      </c>
      <c r="HC50" s="6">
        <f>日流量!HC50*24*3600/100000000</f>
        <v>5.7974399999999999</v>
      </c>
      <c r="HD50" s="6">
        <f>日流量!HD50*24*3600/100000000</f>
        <v>5.5468799999999998</v>
      </c>
      <c r="HE50" s="6">
        <f>日流量!HE50*24*3600/100000000</f>
        <v>5.6419199999999998</v>
      </c>
      <c r="HF50" s="6">
        <f>日流量!HF50*24*3600/100000000</f>
        <v>6.2207999999999997</v>
      </c>
      <c r="HG50" s="6">
        <f>日流量!HG50*24*3600/100000000</f>
        <v>7.5167999999999999</v>
      </c>
      <c r="HH50" s="6">
        <f>日流量!HH50*24*3600/100000000</f>
        <v>8.1216000000000008</v>
      </c>
      <c r="HI50" s="6">
        <f>日流量!HI50*24*3600/100000000</f>
        <v>7.6463999999999999</v>
      </c>
      <c r="HJ50" s="6">
        <f>日流量!HJ50*24*3600/100000000</f>
        <v>6.8601599999999996</v>
      </c>
      <c r="HK50" s="6">
        <f>日流量!HK50*24*3600/100000000</f>
        <v>6.2207999999999997</v>
      </c>
      <c r="HL50" s="6">
        <f>日流量!HL50*24*3600/100000000</f>
        <v>5.7542400000000002</v>
      </c>
      <c r="HM50" s="6">
        <f>日流量!HM50*24*3600/100000000</f>
        <v>5.34816</v>
      </c>
      <c r="HN50" s="6">
        <f>日流量!HN50*24*3600/100000000</f>
        <v>5.4</v>
      </c>
      <c r="HO50" s="6">
        <f>日流量!HO50*24*3600/100000000</f>
        <v>5.6505599999999996</v>
      </c>
      <c r="HP50" s="6">
        <f>日流量!HP50*24*3600/100000000</f>
        <v>5.6592000000000002</v>
      </c>
      <c r="HQ50" s="6">
        <f>日流量!HQ50*24*3600/100000000</f>
        <v>5.25312</v>
      </c>
      <c r="HR50" s="6">
        <f>日流量!HR50*24*3600/100000000</f>
        <v>5.0544000000000002</v>
      </c>
      <c r="HS50" s="6">
        <f>日流量!HS50*24*3600/100000000</f>
        <v>5.1148800000000003</v>
      </c>
      <c r="HT50" s="6">
        <f>日流量!HT50*24*3600/100000000</f>
        <v>5.15808</v>
      </c>
      <c r="HU50" s="6">
        <f>日流量!HU50*24*3600/100000000</f>
        <v>5.0889600000000002</v>
      </c>
      <c r="HV50" s="6">
        <f>日流量!HV50*24*3600/100000000</f>
        <v>5.3654400000000004</v>
      </c>
      <c r="HW50" s="6">
        <f>日流量!HW50*24*3600/100000000</f>
        <v>5.6937600000000002</v>
      </c>
      <c r="HX50" s="6">
        <f>日流量!HX50*24*3600/100000000</f>
        <v>5.7715199999999998</v>
      </c>
      <c r="HY50" s="6">
        <f>日流量!HY50*24*3600/100000000</f>
        <v>5.5555199999999996</v>
      </c>
      <c r="HZ50" s="6">
        <f>日流量!HZ50*24*3600/100000000</f>
        <v>5.3395200000000003</v>
      </c>
      <c r="IA50" s="6">
        <f>日流量!IA50*24*3600/100000000</f>
        <v>5.4950400000000004</v>
      </c>
      <c r="IB50" s="6">
        <f>日流量!IB50*24*3600/100000000</f>
        <v>5.7542400000000002</v>
      </c>
      <c r="IC50" s="6">
        <f>日流量!IC50*24*3600/100000000</f>
        <v>5.6764799999999997</v>
      </c>
      <c r="ID50" s="6">
        <f>日流量!ID50*24*3600/100000000</f>
        <v>5.6419199999999998</v>
      </c>
      <c r="IE50" s="6">
        <f>日流量!IE50*24*3600/100000000</f>
        <v>5.7888000000000002</v>
      </c>
      <c r="IF50" s="6">
        <f>日流量!IF50*24*3600/100000000</f>
        <v>5.5900800000000004</v>
      </c>
      <c r="IG50" s="6">
        <f>日流量!IG50*24*3600/100000000</f>
        <v>5.2012799999999997</v>
      </c>
      <c r="IH50" s="6">
        <f>日流量!IH50*24*3600/100000000</f>
        <v>5.0975999999999999</v>
      </c>
      <c r="II50" s="6">
        <f>日流量!II50*24*3600/100000000</f>
        <v>5.4086400000000001</v>
      </c>
      <c r="IJ50" s="6">
        <f>日流量!IJ50*24*3600/100000000</f>
        <v>5.2704000000000004</v>
      </c>
      <c r="IK50" s="6">
        <f>日流量!IK50*24*3600/100000000</f>
        <v>5.3049600000000003</v>
      </c>
      <c r="IL50" s="6">
        <f>日流量!IL50*24*3600/100000000</f>
        <v>5.0111999999999997</v>
      </c>
      <c r="IM50" s="6">
        <f>日流量!IM50*24*3600/100000000</f>
        <v>4.8902400000000004</v>
      </c>
      <c r="IN50" s="6">
        <f>日流量!IN50*24*3600/100000000</f>
        <v>4.9248000000000003</v>
      </c>
      <c r="IO50" s="6">
        <f>日流量!IO50*24*3600/100000000</f>
        <v>5.0111999999999997</v>
      </c>
      <c r="IP50" s="6">
        <f>日流量!IP50*24*3600/100000000</f>
        <v>5.47776</v>
      </c>
      <c r="IQ50" s="6">
        <f>日流量!IQ50*24*3600/100000000</f>
        <v>6.1430400000000001</v>
      </c>
      <c r="IR50" s="6">
        <f>日流量!IR50*24*3600/100000000</f>
        <v>6.5836800000000002</v>
      </c>
      <c r="IS50" s="6">
        <f>日流量!IS50*24*3600/100000000</f>
        <v>6.2467199999999998</v>
      </c>
      <c r="IT50" s="6">
        <f>日流量!IT50*24*3600/100000000</f>
        <v>5.6332800000000001</v>
      </c>
      <c r="IU50" s="6">
        <f>日流量!IU50*24*3600/100000000</f>
        <v>5.1148800000000003</v>
      </c>
      <c r="IV50" s="6">
        <f>日流量!IV50*24*3600/100000000</f>
        <v>4.7174399999999999</v>
      </c>
      <c r="IW50" s="6">
        <f>日流量!IW50*24*3600/100000000</f>
        <v>4.4496000000000002</v>
      </c>
      <c r="IX50" s="6">
        <f>日流量!IX50*24*3600/100000000</f>
        <v>4.2767999999999997</v>
      </c>
      <c r="IY50" s="6">
        <f>日流量!IY50*24*3600/100000000</f>
        <v>4.1731199999999999</v>
      </c>
      <c r="IZ50" s="6">
        <f>日流量!IZ50*24*3600/100000000</f>
        <v>4.3027199999999999</v>
      </c>
      <c r="JA50" s="6">
        <f>日流量!JA50*24*3600/100000000</f>
        <v>4.9248000000000003</v>
      </c>
      <c r="JB50" s="6">
        <f>日流量!JB50*24*3600/100000000</f>
        <v>5.3654400000000004</v>
      </c>
      <c r="JC50" s="6">
        <f>日流量!JC50*24*3600/100000000</f>
        <v>6.4972799999999999</v>
      </c>
      <c r="JD50" s="6">
        <f>日流量!JD50*24*3600/100000000</f>
        <v>7.5340800000000003</v>
      </c>
      <c r="JE50" s="6">
        <f>日流量!JE50*24*3600/100000000</f>
        <v>7.8624000000000001</v>
      </c>
      <c r="JF50" s="6">
        <f>日流量!JF50*24*3600/100000000</f>
        <v>8.1388800000000003</v>
      </c>
      <c r="JG50" s="6">
        <f>日流量!JG50*24*3600/100000000</f>
        <v>7.4476800000000001</v>
      </c>
      <c r="JH50" s="6">
        <f>日流量!JH50*24*3600/100000000</f>
        <v>6.7651199999999996</v>
      </c>
      <c r="JI50" s="6">
        <f>日流量!JI50*24*3600/100000000</f>
        <v>6.2812799999999998</v>
      </c>
      <c r="JJ50" s="6">
        <f>日流量!JJ50*24*3600/100000000</f>
        <v>6.1171199999999999</v>
      </c>
      <c r="JK50" s="6">
        <f>日流量!JK50*24*3600/100000000</f>
        <v>6.9292800000000003</v>
      </c>
      <c r="JL50" s="6">
        <f>日流量!JL50*24*3600/100000000</f>
        <v>8.2339199999999995</v>
      </c>
      <c r="JM50" s="6">
        <f>日流量!JM50*24*3600/100000000</f>
        <v>9.1584000000000003</v>
      </c>
      <c r="JN50" s="6">
        <f>日流量!JN50*24*3600/100000000</f>
        <v>9.6768000000000001</v>
      </c>
      <c r="JO50" s="6">
        <f>日流量!JO50*24*3600/100000000</f>
        <v>9.0719999999999992</v>
      </c>
      <c r="JP50" s="6">
        <f>日流量!JP50*24*3600/100000000</f>
        <v>8.3721599999999992</v>
      </c>
      <c r="JQ50" s="6">
        <f>日流量!JQ50*24*3600/100000000</f>
        <v>7.67232</v>
      </c>
      <c r="JR50" s="6">
        <f>日流量!JR50*24*3600/100000000</f>
        <v>7.1193600000000004</v>
      </c>
      <c r="JS50" s="6">
        <f>日流量!JS50*24*3600/100000000</f>
        <v>6.6441600000000003</v>
      </c>
      <c r="JT50" s="6">
        <f>日流量!JT50*24*3600/100000000</f>
        <v>6.2121599999999999</v>
      </c>
      <c r="JU50" s="6">
        <f>日流量!JU50*24*3600/100000000</f>
        <v>5.9011199999999997</v>
      </c>
      <c r="JV50" s="6">
        <f>日流量!JV50*24*3600/100000000</f>
        <v>5.8665599999999998</v>
      </c>
      <c r="JW50" s="6">
        <f>日流量!JW50*24*3600/100000000</f>
        <v>6.1171199999999999</v>
      </c>
      <c r="JX50" s="6">
        <f>日流量!JX50*24*3600/100000000</f>
        <v>6.6009599999999997</v>
      </c>
      <c r="JY50" s="6">
        <f>日流量!JY50*24*3600/100000000</f>
        <v>5.9270399999999999</v>
      </c>
      <c r="JZ50" s="6">
        <f>日流量!JZ50*24*3600/100000000</f>
        <v>5.4863999999999997</v>
      </c>
      <c r="KA50" s="6">
        <f>日流量!KA50*24*3600/100000000</f>
        <v>5.1494400000000002</v>
      </c>
      <c r="KB50" s="6">
        <f>日流量!KB50*24*3600/100000000</f>
        <v>4.8556800000000004</v>
      </c>
      <c r="KC50" s="6">
        <f>日流量!KC50*24*3600/100000000</f>
        <v>4.4841600000000001</v>
      </c>
      <c r="KD50" s="6">
        <f>日流量!KD50*24*3600/100000000</f>
        <v>4.3718399999999997</v>
      </c>
      <c r="KE50" s="6">
        <f>日流量!KE50*24*3600/100000000</f>
        <v>4.3027199999999999</v>
      </c>
      <c r="KF50" s="6">
        <f>日流量!KF50*24*3600/100000000</f>
        <v>4.1904000000000003</v>
      </c>
      <c r="KG50" s="6">
        <f>日流量!KG50*24*3600/100000000</f>
        <v>4.0867199999999997</v>
      </c>
      <c r="KH50" s="6">
        <f>日流量!KH50*24*3600/100000000</f>
        <v>3.9744000000000002</v>
      </c>
      <c r="KI50" s="6">
        <f>日流量!KI50*24*3600/100000000</f>
        <v>3.8793600000000001</v>
      </c>
      <c r="KJ50" s="6">
        <f>日流量!KJ50*24*3600/100000000</f>
        <v>3.8102399999999998</v>
      </c>
      <c r="KK50" s="6">
        <f>日流量!KK50*24*3600/100000000</f>
        <v>3.74112</v>
      </c>
      <c r="KL50" s="6">
        <f>日流量!KL50*24*3600/100000000</f>
        <v>3.6374399999999998</v>
      </c>
      <c r="KM50" s="6">
        <f>日流量!KM50*24*3600/100000000</f>
        <v>3.5251199999999998</v>
      </c>
      <c r="KN50" s="6">
        <f>日流量!KN50*24*3600/100000000</f>
        <v>3.43872</v>
      </c>
      <c r="KO50" s="6">
        <f>日流量!KO50*24*3600/100000000</f>
        <v>3.3350399999999998</v>
      </c>
      <c r="KP50" s="6">
        <f>日流量!KP50*24*3600/100000000</f>
        <v>3.24864</v>
      </c>
      <c r="KQ50" s="6">
        <f>日流量!KQ50*24*3600/100000000</f>
        <v>3.1881599999999999</v>
      </c>
      <c r="KR50" s="6">
        <f>日流量!KR50*24*3600/100000000</f>
        <v>3.0931199999999999</v>
      </c>
      <c r="KS50" s="6">
        <f>日流量!KS50*24*3600/100000000</f>
        <v>3.024</v>
      </c>
      <c r="KT50" s="6">
        <f>日流量!KT50*24*3600/100000000</f>
        <v>2.9721600000000001</v>
      </c>
      <c r="KU50" s="6">
        <f>日流量!KU50*24*3600/100000000</f>
        <v>2.91168</v>
      </c>
      <c r="KV50" s="6">
        <f>日流量!KV50*24*3600/100000000</f>
        <v>2.9203199999999998</v>
      </c>
      <c r="KW50" s="6">
        <f>日流量!KW50*24*3600/100000000</f>
        <v>2.8771200000000001</v>
      </c>
      <c r="KX50" s="6">
        <f>日流量!KX50*24*3600/100000000</f>
        <v>2.81664</v>
      </c>
      <c r="KY50" s="6">
        <f>日流量!KY50*24*3600/100000000</f>
        <v>2.6956799999999999</v>
      </c>
      <c r="KZ50" s="6">
        <f>日流量!KZ50*24*3600/100000000</f>
        <v>2.6611199999999999</v>
      </c>
      <c r="LA50" s="6">
        <f>日流量!LA50*24*3600/100000000</f>
        <v>2.64384</v>
      </c>
      <c r="LB50" s="6">
        <f>日流量!LB50*24*3600/100000000</f>
        <v>2.5833599999999999</v>
      </c>
      <c r="LC50" s="6">
        <f>日流量!LC50*24*3600/100000000</f>
        <v>2.5055999999999998</v>
      </c>
      <c r="LD50" s="6">
        <f>日流量!LD50*24*3600/100000000</f>
        <v>2.43648</v>
      </c>
      <c r="LE50" s="6">
        <f>日流量!LE50*24*3600/100000000</f>
        <v>2.3846400000000001</v>
      </c>
      <c r="LF50" s="6">
        <f>日流量!LF50*24*3600/100000000</f>
        <v>2.3500800000000002</v>
      </c>
      <c r="LG50" s="6">
        <f>日流量!LG50*24*3600/100000000</f>
        <v>2.3155199999999998</v>
      </c>
      <c r="LH50" s="6">
        <f>日流量!LH50*24*3600/100000000</f>
        <v>2.2809599999999999</v>
      </c>
      <c r="LI50" s="6">
        <f>日流量!LI50*24*3600/100000000</f>
        <v>2.2550400000000002</v>
      </c>
      <c r="LJ50" s="6">
        <f>日流量!LJ50*24*3600/100000000</f>
        <v>2.21184</v>
      </c>
      <c r="LK50" s="6">
        <f>日流量!LK50*24*3600/100000000</f>
        <v>2.1945600000000001</v>
      </c>
      <c r="LL50" s="6">
        <f>日流量!LL50*24*3600/100000000</f>
        <v>2.1686399999999999</v>
      </c>
      <c r="LM50" s="6">
        <f>日流量!LM50*24*3600/100000000</f>
        <v>2.1168</v>
      </c>
      <c r="LN50" s="6">
        <f>日流量!LN50*24*3600/100000000</f>
        <v>2.0563199999999999</v>
      </c>
      <c r="LO50" s="6">
        <f>日流量!LO50*24*3600/100000000</f>
        <v>2.00448</v>
      </c>
      <c r="LP50" s="6">
        <f>日流量!LP50*24*3600/100000000</f>
        <v>1.9699199999999999</v>
      </c>
      <c r="LQ50" s="6">
        <f>日流量!LQ50*24*3600/100000000</f>
        <v>1.92672</v>
      </c>
      <c r="LR50" s="6">
        <f>日流量!LR50*24*3600/100000000</f>
        <v>1.9008</v>
      </c>
      <c r="LS50" s="6">
        <f>日流量!LS50*24*3600/100000000</f>
        <v>1.8748800000000001</v>
      </c>
      <c r="LT50" s="6">
        <f>日流量!LT50*24*3600/100000000</f>
        <v>1.83168</v>
      </c>
      <c r="LU50" s="6">
        <f>日流量!LU50*24*3600/100000000</f>
        <v>1.8144</v>
      </c>
      <c r="LV50" s="6">
        <f>日流量!LV50*24*3600/100000000</f>
        <v>1.7971200000000001</v>
      </c>
      <c r="LW50" s="6">
        <f>日流量!LW50*24*3600/100000000</f>
        <v>1.7625599999999999</v>
      </c>
      <c r="LX50" s="6">
        <f>日流量!LX50*24*3600/100000000</f>
        <v>1.7452799999999999</v>
      </c>
      <c r="LY50" s="6">
        <f>日流量!LY50*24*3600/100000000</f>
        <v>1.71936</v>
      </c>
      <c r="LZ50" s="6">
        <f>日流量!LZ50*24*3600/100000000</f>
        <v>1.6761600000000001</v>
      </c>
      <c r="MA50" s="6">
        <f>日流量!MA50*24*3600/100000000</f>
        <v>1.6675199999999999</v>
      </c>
      <c r="MB50" s="6">
        <f>日流量!MB50*24*3600/100000000</f>
        <v>1.6588799999999999</v>
      </c>
      <c r="MC50" s="6">
        <f>日流量!MC50*24*3600/100000000</f>
        <v>1.6502399999999999</v>
      </c>
      <c r="MD50" s="6">
        <f>日流量!MD50*24*3600/100000000</f>
        <v>1.6415999999999999</v>
      </c>
      <c r="ME50" s="6">
        <f>日流量!ME50*24*3600/100000000</f>
        <v>1.62432</v>
      </c>
      <c r="MF50" s="6">
        <f>日流量!MF50*24*3600/100000000</f>
        <v>1.60704</v>
      </c>
      <c r="MG50" s="6">
        <f>日流量!MG50*24*3600/100000000</f>
        <v>1.60704</v>
      </c>
      <c r="MH50" s="6">
        <f>日流量!MH50*24*3600/100000000</f>
        <v>1.61568</v>
      </c>
      <c r="MI50" s="6">
        <f>日流量!MI50*24*3600/100000000</f>
        <v>1.61568</v>
      </c>
      <c r="MJ50" s="6">
        <f>日流量!MJ50*24*3600/100000000</f>
        <v>1.60704</v>
      </c>
      <c r="MK50" s="6">
        <f>日流量!MK50*24*3600/100000000</f>
        <v>1.5897600000000001</v>
      </c>
      <c r="ML50" s="6">
        <f>日流量!ML50*24*3600/100000000</f>
        <v>1.5551999999999999</v>
      </c>
      <c r="MM50" s="6">
        <f>日流量!MM50*24*3600/100000000</f>
        <v>1.4774400000000001</v>
      </c>
      <c r="MN50" s="6">
        <f>日流量!MN50*24*3600/100000000</f>
        <v>1.4601599999999999</v>
      </c>
      <c r="MO50" s="6">
        <f>日流量!MO50*24*3600/100000000</f>
        <v>1.4428799999999999</v>
      </c>
      <c r="MP50" s="6">
        <f>日流量!MP50*24*3600/100000000</f>
        <v>1.40832</v>
      </c>
      <c r="MQ50" s="6">
        <f>日流量!MQ50*24*3600/100000000</f>
        <v>1.39968</v>
      </c>
      <c r="MR50" s="6">
        <f>日流量!MR50*24*3600/100000000</f>
        <v>1.39968</v>
      </c>
      <c r="MS50" s="6">
        <f>日流量!MS50*24*3600/100000000</f>
        <v>1.3824000000000001</v>
      </c>
      <c r="MT50" s="6">
        <f>日流量!MT50*24*3600/100000000</f>
        <v>1.3478399999999999</v>
      </c>
      <c r="MU50" s="6">
        <f>日流量!MU50*24*3600/100000000</f>
        <v>1.2873600000000001</v>
      </c>
      <c r="MV50" s="6">
        <f>日流量!MV50*24*3600/100000000</f>
        <v>1.2873600000000001</v>
      </c>
      <c r="MW50" s="6">
        <f>日流量!MW50*24*3600/100000000</f>
        <v>1.2787200000000001</v>
      </c>
      <c r="MX50" s="6">
        <f>日流量!MX50*24*3600/100000000</f>
        <v>1.2700800000000001</v>
      </c>
      <c r="MY50" s="6">
        <f>日流量!MY50*24*3600/100000000</f>
        <v>1.2614399999999999</v>
      </c>
      <c r="MZ50" s="6">
        <f>日流量!MZ50*24*3600/100000000</f>
        <v>1.22688</v>
      </c>
      <c r="NA50" s="6">
        <f>日流量!NA50*24*3600/100000000</f>
        <v>1.2096</v>
      </c>
      <c r="NB50" s="6">
        <f>日流量!NB50*24*3600/100000000</f>
        <v>1.1836800000000001</v>
      </c>
      <c r="NC50" s="6"/>
      <c r="ND50" s="6">
        <f>日流量!ND50*24*3600*31/100000000</f>
        <v>34.551360000000003</v>
      </c>
      <c r="NE50" s="6">
        <f>日流量!NE50*24*3600*28/100000000</f>
        <v>27.578880000000002</v>
      </c>
      <c r="NF50" s="6">
        <f>日流量!NF50*24*3600*31/100000000</f>
        <v>29.194559999999999</v>
      </c>
      <c r="NG50" s="6">
        <f>日流量!NG50*24*3600*30/100000000</f>
        <v>29.808</v>
      </c>
      <c r="NH50" s="6">
        <f>日流量!NH50*24*3600*31/100000000</f>
        <v>53.835839999999997</v>
      </c>
      <c r="NI50" s="6">
        <f>日流量!NI50*24*3600*30/100000000</f>
        <v>111.1968</v>
      </c>
      <c r="NJ50" s="6">
        <f>日流量!NJ50*24*3600*31/100000000</f>
        <v>267.83999999999997</v>
      </c>
      <c r="NK50" s="6">
        <f>日流量!NK50*24*3600*31/100000000</f>
        <v>177.84576000000001</v>
      </c>
      <c r="NL50" s="6">
        <f>日流量!NL50*24*3600*30/100000000</f>
        <v>186.88319999999999</v>
      </c>
      <c r="NM50" s="6">
        <f>日流量!NM50*24*3600*31/100000000</f>
        <v>148.11552</v>
      </c>
      <c r="NN50" s="6">
        <f>日流量!NN50*24*3600*30/100000000</f>
        <v>67.910399999999996</v>
      </c>
      <c r="NO50" s="6">
        <f>日流量!NO50*24*3600*31/100000000</f>
        <v>45.264960000000002</v>
      </c>
      <c r="NP50" s="14">
        <f t="shared" si="10"/>
        <v>1180.0252799999998</v>
      </c>
      <c r="NQ50" s="6">
        <f>日流量!NQ50*24*3600/100000000</f>
        <v>12.8736</v>
      </c>
      <c r="NR50" s="4">
        <f>日流量!NR50</f>
        <v>42571</v>
      </c>
      <c r="NS50" s="6">
        <f>日流量!NS50*24*3600/100000000</f>
        <v>0.90720000000000001</v>
      </c>
      <c r="NT50" s="4">
        <f>日流量!NT50</f>
        <v>42439</v>
      </c>
      <c r="NU50" s="7">
        <f>日流量!NP50</f>
        <v>3745.0684931506848</v>
      </c>
      <c r="NW50" s="13">
        <f t="shared" si="0"/>
        <v>945.71712000000002</v>
      </c>
      <c r="NX50" s="12">
        <f t="shared" si="1"/>
        <v>80.143801664994854</v>
      </c>
      <c r="NY50" s="13">
        <f t="shared" si="2"/>
        <v>743.76576</v>
      </c>
      <c r="NZ50" s="12">
        <f t="shared" si="3"/>
        <v>63.029646280120375</v>
      </c>
      <c r="OA50" s="13">
        <f t="shared" si="4"/>
        <v>234.30815999999982</v>
      </c>
      <c r="OB50" s="12">
        <f t="shared" si="5"/>
        <v>19.85619833500515</v>
      </c>
      <c r="OC50" s="13">
        <f t="shared" si="6"/>
        <v>267.83999999999997</v>
      </c>
      <c r="OD50" s="12">
        <f t="shared" si="7"/>
        <v>22.697818812830857</v>
      </c>
      <c r="OE50" s="12">
        <f t="shared" si="8"/>
        <v>275.7068411214953</v>
      </c>
      <c r="OF50" s="12">
        <f t="shared" si="9"/>
        <v>8.7426065804634483</v>
      </c>
    </row>
    <row r="51" spans="1:396" x14ac:dyDescent="0.15">
      <c r="A51" s="2">
        <v>1998</v>
      </c>
      <c r="B51" s="6">
        <f>日流量!B51*24*3600/100000000</f>
        <v>1.1664000000000001</v>
      </c>
      <c r="C51" s="6">
        <f>日流量!C51*24*3600/100000000</f>
        <v>1.1577599999999999</v>
      </c>
      <c r="D51" s="6">
        <f>日流量!D51*24*3600/100000000</f>
        <v>1.1491199999999999</v>
      </c>
      <c r="E51" s="6">
        <f>日流量!E51*24*3600/100000000</f>
        <v>1.1491199999999999</v>
      </c>
      <c r="F51" s="6">
        <f>日流量!F51*24*3600/100000000</f>
        <v>1.1491199999999999</v>
      </c>
      <c r="G51" s="6">
        <f>日流量!G51*24*3600/100000000</f>
        <v>1.1577599999999999</v>
      </c>
      <c r="H51" s="6">
        <f>日流量!H51*24*3600/100000000</f>
        <v>1.1491199999999999</v>
      </c>
      <c r="I51" s="6">
        <f>日流量!I51*24*3600/100000000</f>
        <v>1.13184</v>
      </c>
      <c r="J51" s="6">
        <f>日流量!J51*24*3600/100000000</f>
        <v>1.1232</v>
      </c>
      <c r="K51" s="6">
        <f>日流量!K51*24*3600/100000000</f>
        <v>1.11456</v>
      </c>
      <c r="L51" s="6">
        <f>日流量!L51*24*3600/100000000</f>
        <v>1.0886400000000001</v>
      </c>
      <c r="M51" s="6">
        <f>日流量!M51*24*3600/100000000</f>
        <v>1.08</v>
      </c>
      <c r="N51" s="6">
        <f>日流量!N51*24*3600/100000000</f>
        <v>1.08</v>
      </c>
      <c r="O51" s="6">
        <f>日流量!O51*24*3600/100000000</f>
        <v>1.0713600000000001</v>
      </c>
      <c r="P51" s="6">
        <f>日流量!P51*24*3600/100000000</f>
        <v>1.0713600000000001</v>
      </c>
      <c r="Q51" s="6">
        <f>日流量!Q51*24*3600/100000000</f>
        <v>1.0713600000000001</v>
      </c>
      <c r="R51" s="6">
        <f>日流量!R51*24*3600/100000000</f>
        <v>1.0713600000000001</v>
      </c>
      <c r="S51" s="6">
        <f>日流量!S51*24*3600/100000000</f>
        <v>1.0713600000000001</v>
      </c>
      <c r="T51" s="6">
        <f>日流量!T51*24*3600/100000000</f>
        <v>1.0627200000000001</v>
      </c>
      <c r="U51" s="6">
        <f>日流量!U51*24*3600/100000000</f>
        <v>1.0540799999999999</v>
      </c>
      <c r="V51" s="6">
        <f>日流量!V51*24*3600/100000000</f>
        <v>1.0454399999999999</v>
      </c>
      <c r="W51" s="6">
        <f>日流量!W51*24*3600/100000000</f>
        <v>1.0454399999999999</v>
      </c>
      <c r="X51" s="6">
        <f>日流量!X51*24*3600/100000000</f>
        <v>1.0540799999999999</v>
      </c>
      <c r="Y51" s="6">
        <f>日流量!Y51*24*3600/100000000</f>
        <v>1.0540799999999999</v>
      </c>
      <c r="Z51" s="6">
        <f>日流量!Z51*24*3600/100000000</f>
        <v>1.0454399999999999</v>
      </c>
      <c r="AA51" s="6">
        <f>日流量!AA51*24*3600/100000000</f>
        <v>1.0367999999999999</v>
      </c>
      <c r="AB51" s="6">
        <f>日流量!AB51*24*3600/100000000</f>
        <v>1.01952</v>
      </c>
      <c r="AC51" s="6">
        <f>日流量!AC51*24*3600/100000000</f>
        <v>1.00224</v>
      </c>
      <c r="AD51" s="6">
        <f>日流量!AD51*24*3600/100000000</f>
        <v>0.99360000000000004</v>
      </c>
      <c r="AE51" s="6">
        <f>日流量!AE51*24*3600/100000000</f>
        <v>0.99360000000000004</v>
      </c>
      <c r="AF51" s="6">
        <f>日流量!AF51*24*3600/100000000</f>
        <v>0.99360000000000004</v>
      </c>
      <c r="AG51" s="6">
        <f>日流量!AG51*24*3600/100000000</f>
        <v>0.99360000000000004</v>
      </c>
      <c r="AH51" s="6">
        <f>日流量!AH51*24*3600/100000000</f>
        <v>0.99360000000000004</v>
      </c>
      <c r="AI51" s="6">
        <f>日流量!AI51*24*3600/100000000</f>
        <v>0.98495999999999995</v>
      </c>
      <c r="AJ51" s="6">
        <f>日流量!AJ51*24*3600/100000000</f>
        <v>0.97631999999999997</v>
      </c>
      <c r="AK51" s="6">
        <f>日流量!AK51*24*3600/100000000</f>
        <v>0.96767999999999998</v>
      </c>
      <c r="AL51" s="6">
        <f>日流量!AL51*24*3600/100000000</f>
        <v>0.95904</v>
      </c>
      <c r="AM51" s="6">
        <f>日流量!AM51*24*3600/100000000</f>
        <v>0.95904</v>
      </c>
      <c r="AN51" s="6">
        <f>日流量!AN51*24*3600/100000000</f>
        <v>0.95904</v>
      </c>
      <c r="AO51" s="6">
        <f>日流量!AO51*24*3600/100000000</f>
        <v>0.96767999999999998</v>
      </c>
      <c r="AP51" s="6">
        <f>日流量!AP51*24*3600/100000000</f>
        <v>0.95904</v>
      </c>
      <c r="AQ51" s="6">
        <f>日流量!AQ51*24*3600/100000000</f>
        <v>0.95904</v>
      </c>
      <c r="AR51" s="6">
        <f>日流量!AR51*24*3600/100000000</f>
        <v>0.94176000000000004</v>
      </c>
      <c r="AS51" s="6">
        <f>日流量!AS51*24*3600/100000000</f>
        <v>0.93311999999999995</v>
      </c>
      <c r="AT51" s="6">
        <f>日流量!AT51*24*3600/100000000</f>
        <v>0.91583999999999999</v>
      </c>
      <c r="AU51" s="6">
        <f>日流量!AU51*24*3600/100000000</f>
        <v>0.90720000000000001</v>
      </c>
      <c r="AV51" s="6">
        <f>日流量!AV51*24*3600/100000000</f>
        <v>0.89856000000000003</v>
      </c>
      <c r="AW51" s="6">
        <f>日流量!AW51*24*3600/100000000</f>
        <v>0.89856000000000003</v>
      </c>
      <c r="AX51" s="6">
        <f>日流量!AX51*24*3600/100000000</f>
        <v>0.89856000000000003</v>
      </c>
      <c r="AY51" s="6">
        <f>日流量!AY51*24*3600/100000000</f>
        <v>0.90720000000000001</v>
      </c>
      <c r="AZ51" s="6">
        <f>日流量!AZ51*24*3600/100000000</f>
        <v>0.90720000000000001</v>
      </c>
      <c r="BA51" s="6">
        <f>日流量!BA51*24*3600/100000000</f>
        <v>0.91583999999999999</v>
      </c>
      <c r="BB51" s="6">
        <f>日流量!BB51*24*3600/100000000</f>
        <v>0.91583999999999999</v>
      </c>
      <c r="BC51" s="6">
        <f>日流量!BC51*24*3600/100000000</f>
        <v>0.91583999999999999</v>
      </c>
      <c r="BD51" s="6">
        <f>日流量!BD51*24*3600/100000000</f>
        <v>0.92447999999999997</v>
      </c>
      <c r="BE51" s="6">
        <f>日流量!BE51*24*3600/100000000</f>
        <v>0.92447999999999997</v>
      </c>
      <c r="BF51" s="6">
        <f>日流量!BF51*24*3600/100000000</f>
        <v>0.93311999999999995</v>
      </c>
      <c r="BG51" s="6">
        <f>日流量!BG51*24*3600/100000000</f>
        <v>0.93311999999999995</v>
      </c>
      <c r="BH51" s="6">
        <f>日流量!BH51*24*3600/100000000</f>
        <v>0.92447999999999997</v>
      </c>
      <c r="BI51" s="6"/>
      <c r="BJ51" s="6">
        <f>日流量!BJ51*24*3600/100000000</f>
        <v>0.91583999999999999</v>
      </c>
      <c r="BK51" s="6">
        <f>日流量!BK51*24*3600/100000000</f>
        <v>0.90720000000000001</v>
      </c>
      <c r="BL51" s="6">
        <f>日流量!BL51*24*3600/100000000</f>
        <v>0.89856000000000003</v>
      </c>
      <c r="BM51" s="6">
        <f>日流量!BM51*24*3600/100000000</f>
        <v>0.89856000000000003</v>
      </c>
      <c r="BN51" s="6">
        <f>日流量!BN51*24*3600/100000000</f>
        <v>0.89856000000000003</v>
      </c>
      <c r="BO51" s="6">
        <f>日流量!BO51*24*3600/100000000</f>
        <v>0.89856000000000003</v>
      </c>
      <c r="BP51" s="6">
        <f>日流量!BP51*24*3600/100000000</f>
        <v>0.89856000000000003</v>
      </c>
      <c r="BQ51" s="6">
        <f>日流量!BQ51*24*3600/100000000</f>
        <v>0.89856000000000003</v>
      </c>
      <c r="BR51" s="6">
        <f>日流量!BR51*24*3600/100000000</f>
        <v>0.92447999999999997</v>
      </c>
      <c r="BS51" s="6">
        <f>日流量!BS51*24*3600/100000000</f>
        <v>0.92447999999999997</v>
      </c>
      <c r="BT51" s="6">
        <f>日流量!BT51*24*3600/100000000</f>
        <v>0.92447999999999997</v>
      </c>
      <c r="BU51" s="6">
        <f>日流量!BU51*24*3600/100000000</f>
        <v>0.93311999999999995</v>
      </c>
      <c r="BV51" s="6">
        <f>日流量!BV51*24*3600/100000000</f>
        <v>0.93311999999999995</v>
      </c>
      <c r="BW51" s="6">
        <f>日流量!BW51*24*3600/100000000</f>
        <v>0.93311999999999995</v>
      </c>
      <c r="BX51" s="6">
        <f>日流量!BX51*24*3600/100000000</f>
        <v>0.90720000000000001</v>
      </c>
      <c r="BY51" s="6">
        <f>日流量!BY51*24*3600/100000000</f>
        <v>0.90720000000000001</v>
      </c>
      <c r="BZ51" s="6">
        <f>日流量!BZ51*24*3600/100000000</f>
        <v>0.89856000000000003</v>
      </c>
      <c r="CA51" s="6">
        <f>日流量!CA51*24*3600/100000000</f>
        <v>0.88992000000000004</v>
      </c>
      <c r="CB51" s="6">
        <f>日流量!CB51*24*3600/100000000</f>
        <v>0.88127999999999995</v>
      </c>
      <c r="CC51" s="6">
        <f>日流量!CC51*24*3600/100000000</f>
        <v>0.87263999999999997</v>
      </c>
      <c r="CD51" s="6">
        <f>日流量!CD51*24*3600/100000000</f>
        <v>0.87263999999999997</v>
      </c>
      <c r="CE51" s="6">
        <f>日流量!CE51*24*3600/100000000</f>
        <v>0.87263999999999997</v>
      </c>
      <c r="CF51" s="6">
        <f>日流量!CF51*24*3600/100000000</f>
        <v>0.87263999999999997</v>
      </c>
      <c r="CG51" s="6">
        <f>日流量!CG51*24*3600/100000000</f>
        <v>0.88127999999999995</v>
      </c>
      <c r="CH51" s="6">
        <f>日流量!CH51*24*3600/100000000</f>
        <v>0.90720000000000001</v>
      </c>
      <c r="CI51" s="6">
        <f>日流量!CI51*24*3600/100000000</f>
        <v>0.91583999999999999</v>
      </c>
      <c r="CJ51" s="6">
        <f>日流量!CJ51*24*3600/100000000</f>
        <v>0.94176000000000004</v>
      </c>
      <c r="CK51" s="6">
        <f>日流量!CK51*24*3600/100000000</f>
        <v>0.95904</v>
      </c>
      <c r="CL51" s="6">
        <f>日流量!CL51*24*3600/100000000</f>
        <v>0.97631999999999997</v>
      </c>
      <c r="CM51" s="6">
        <f>日流量!CM51*24*3600/100000000</f>
        <v>0.97631999999999997</v>
      </c>
      <c r="CN51" s="6">
        <f>日流量!CN51*24*3600/100000000</f>
        <v>0.96767999999999998</v>
      </c>
      <c r="CO51" s="6">
        <f>日流量!CO51*24*3600/100000000</f>
        <v>0.95040000000000002</v>
      </c>
      <c r="CP51" s="6">
        <f>日流量!CP51*24*3600/100000000</f>
        <v>0.95040000000000002</v>
      </c>
      <c r="CQ51" s="6">
        <f>日流量!CQ51*24*3600/100000000</f>
        <v>0.93311999999999995</v>
      </c>
      <c r="CR51" s="6">
        <f>日流量!CR51*24*3600/100000000</f>
        <v>0.92447999999999997</v>
      </c>
      <c r="CS51" s="6">
        <f>日流量!CS51*24*3600/100000000</f>
        <v>0.92447999999999997</v>
      </c>
      <c r="CT51" s="6">
        <f>日流量!CT51*24*3600/100000000</f>
        <v>0.91583999999999999</v>
      </c>
      <c r="CU51" s="6">
        <f>日流量!CU51*24*3600/100000000</f>
        <v>0.92447999999999997</v>
      </c>
      <c r="CV51" s="6">
        <f>日流量!CV51*24*3600/100000000</f>
        <v>0.93311999999999995</v>
      </c>
      <c r="CW51" s="6">
        <f>日流量!CW51*24*3600/100000000</f>
        <v>0.95904</v>
      </c>
      <c r="CX51" s="6">
        <f>日流量!CX51*24*3600/100000000</f>
        <v>1.00224</v>
      </c>
      <c r="CY51" s="6">
        <f>日流量!CY51*24*3600/100000000</f>
        <v>1.0540799999999999</v>
      </c>
      <c r="CZ51" s="6">
        <f>日流量!CZ51*24*3600/100000000</f>
        <v>1.10592</v>
      </c>
      <c r="DA51" s="6">
        <f>日流量!DA51*24*3600/100000000</f>
        <v>1.10592</v>
      </c>
      <c r="DB51" s="6">
        <f>日流量!DB51*24*3600/100000000</f>
        <v>1.0886400000000001</v>
      </c>
      <c r="DC51" s="6">
        <f>日流量!DC51*24*3600/100000000</f>
        <v>1.09728</v>
      </c>
      <c r="DD51" s="6">
        <f>日流量!DD51*24*3600/100000000</f>
        <v>1.13184</v>
      </c>
      <c r="DE51" s="6">
        <f>日流量!DE51*24*3600/100000000</f>
        <v>1.1491199999999999</v>
      </c>
      <c r="DF51" s="6">
        <f>日流量!DF51*24*3600/100000000</f>
        <v>1.1404799999999999</v>
      </c>
      <c r="DG51" s="6">
        <f>日流量!DG51*24*3600/100000000</f>
        <v>1.1232</v>
      </c>
      <c r="DH51" s="6">
        <f>日流量!DH51*24*3600/100000000</f>
        <v>1.13184</v>
      </c>
      <c r="DI51" s="6">
        <f>日流量!DI51*24*3600/100000000</f>
        <v>1.1577599999999999</v>
      </c>
      <c r="DJ51" s="6">
        <f>日流量!DJ51*24*3600/100000000</f>
        <v>1.1664000000000001</v>
      </c>
      <c r="DK51" s="6">
        <f>日流量!DK51*24*3600/100000000</f>
        <v>1.1664000000000001</v>
      </c>
      <c r="DL51" s="6">
        <f>日流量!DL51*24*3600/100000000</f>
        <v>1.1750400000000001</v>
      </c>
      <c r="DM51" s="6">
        <f>日流量!DM51*24*3600/100000000</f>
        <v>1.20096</v>
      </c>
      <c r="DN51" s="6">
        <f>日流量!DN51*24*3600/100000000</f>
        <v>1.22688</v>
      </c>
      <c r="DO51" s="6">
        <f>日流量!DO51*24*3600/100000000</f>
        <v>1.30464</v>
      </c>
      <c r="DP51" s="6">
        <f>日流量!DP51*24*3600/100000000</f>
        <v>1.41696</v>
      </c>
      <c r="DQ51" s="6">
        <f>日流量!DQ51*24*3600/100000000</f>
        <v>1.61568</v>
      </c>
      <c r="DR51" s="6">
        <f>日流量!DR51*24*3600/100000000</f>
        <v>1.7625599999999999</v>
      </c>
      <c r="DS51" s="6">
        <f>日流量!DS51*24*3600/100000000</f>
        <v>1.93536</v>
      </c>
      <c r="DT51" s="6">
        <f>日流量!DT51*24*3600/100000000</f>
        <v>1.9612799999999999</v>
      </c>
      <c r="DU51" s="6">
        <f>日流量!DU51*24*3600/100000000</f>
        <v>1.3651199999999999</v>
      </c>
      <c r="DV51" s="6">
        <f>日流量!DV51*24*3600/100000000</f>
        <v>1.4256</v>
      </c>
      <c r="DW51" s="6">
        <f>日流量!DW51*24*3600/100000000</f>
        <v>1.49472</v>
      </c>
      <c r="DX51" s="6">
        <f>日流量!DX51*24*3600/100000000</f>
        <v>1.4774400000000001</v>
      </c>
      <c r="DY51" s="6">
        <f>日流量!DY51*24*3600/100000000</f>
        <v>1.41696</v>
      </c>
      <c r="DZ51" s="6">
        <f>日流量!DZ51*24*3600/100000000</f>
        <v>1.39968</v>
      </c>
      <c r="EA51" s="6">
        <f>日流量!EA51*24*3600/100000000</f>
        <v>1.43424</v>
      </c>
      <c r="EB51" s="6">
        <f>日流量!EB51*24*3600/100000000</f>
        <v>1.70208</v>
      </c>
      <c r="EC51" s="6">
        <f>日流量!EC51*24*3600/100000000</f>
        <v>1.7884800000000001</v>
      </c>
      <c r="ED51" s="6">
        <f>日流量!ED51*24*3600/100000000</f>
        <v>1.80576</v>
      </c>
      <c r="EE51" s="6">
        <f>日流量!EE51*24*3600/100000000</f>
        <v>1.7884800000000001</v>
      </c>
      <c r="EF51" s="6">
        <f>日流量!EF51*24*3600/100000000</f>
        <v>1.7625599999999999</v>
      </c>
      <c r="EG51" s="6">
        <f>日流量!EG51*24*3600/100000000</f>
        <v>1.7452799999999999</v>
      </c>
      <c r="EH51" s="6">
        <f>日流量!EH51*24*3600/100000000</f>
        <v>1.7452799999999999</v>
      </c>
      <c r="EI51" s="6">
        <f>日流量!EI51*24*3600/100000000</f>
        <v>1.6761600000000001</v>
      </c>
      <c r="EJ51" s="6">
        <f>日流量!EJ51*24*3600/100000000</f>
        <v>1.5551999999999999</v>
      </c>
      <c r="EK51" s="6">
        <f>日流量!EK51*24*3600/100000000</f>
        <v>1.49472</v>
      </c>
      <c r="EL51" s="6">
        <f>日流量!EL51*24*3600/100000000</f>
        <v>1.4256</v>
      </c>
      <c r="EM51" s="6">
        <f>日流量!EM51*24*3600/100000000</f>
        <v>1.3737600000000001</v>
      </c>
      <c r="EN51" s="6">
        <f>日流量!EN51*24*3600/100000000</f>
        <v>1.3391999999999999</v>
      </c>
      <c r="EO51" s="6">
        <f>日流量!EO51*24*3600/100000000</f>
        <v>1.296</v>
      </c>
      <c r="EP51" s="6">
        <f>日流量!EP51*24*3600/100000000</f>
        <v>1.296</v>
      </c>
      <c r="EQ51" s="6">
        <f>日流量!EQ51*24*3600/100000000</f>
        <v>1.39968</v>
      </c>
      <c r="ER51" s="6">
        <f>日流量!ER51*24*3600/100000000</f>
        <v>1.4256</v>
      </c>
      <c r="ES51" s="6">
        <f>日流量!ES51*24*3600/100000000</f>
        <v>1.52064</v>
      </c>
      <c r="ET51" s="6">
        <f>日流量!ET51*24*3600/100000000</f>
        <v>1.70208</v>
      </c>
      <c r="EU51" s="6">
        <f>日流量!EU51*24*3600/100000000</f>
        <v>1.73664</v>
      </c>
      <c r="EV51" s="6">
        <f>日流量!EV51*24*3600/100000000</f>
        <v>1.63296</v>
      </c>
      <c r="EW51" s="6">
        <f>日流量!EW51*24*3600/100000000</f>
        <v>1.53792</v>
      </c>
      <c r="EX51" s="6">
        <f>日流量!EX51*24*3600/100000000</f>
        <v>1.5638399999999999</v>
      </c>
      <c r="EY51" s="6">
        <f>日流量!EY51*24*3600/100000000</f>
        <v>1.6415999999999999</v>
      </c>
      <c r="EZ51" s="6">
        <f>日流量!EZ51*24*3600/100000000</f>
        <v>1.6502399999999999</v>
      </c>
      <c r="FA51" s="6">
        <f>日流量!FA51*24*3600/100000000</f>
        <v>1.7884800000000001</v>
      </c>
      <c r="FB51" s="6">
        <f>日流量!FB51*24*3600/100000000</f>
        <v>1.91808</v>
      </c>
      <c r="FC51" s="6">
        <f>日流量!FC51*24*3600/100000000</f>
        <v>1.8489599999999999</v>
      </c>
      <c r="FD51" s="6">
        <f>日流量!FD51*24*3600/100000000</f>
        <v>1.728</v>
      </c>
      <c r="FE51" s="6">
        <f>日流量!FE51*24*3600/100000000</f>
        <v>1.7712000000000001</v>
      </c>
      <c r="FF51" s="6">
        <f>日流量!FF51*24*3600/100000000</f>
        <v>1.62432</v>
      </c>
      <c r="FG51" s="6">
        <f>日流量!FG51*24*3600/100000000</f>
        <v>1.62432</v>
      </c>
      <c r="FH51" s="6">
        <f>日流量!FH51*24*3600/100000000</f>
        <v>1.6848000000000001</v>
      </c>
      <c r="FI51" s="6">
        <f>日流量!FI51*24*3600/100000000</f>
        <v>1.71936</v>
      </c>
      <c r="FJ51" s="6">
        <f>日流量!FJ51*24*3600/100000000</f>
        <v>1.8748800000000001</v>
      </c>
      <c r="FK51" s="6">
        <f>日流量!FK51*24*3600/100000000</f>
        <v>2.0649600000000001</v>
      </c>
      <c r="FL51" s="6">
        <f>日流量!FL51*24*3600/100000000</f>
        <v>2.3846400000000001</v>
      </c>
      <c r="FM51" s="6">
        <f>日流量!FM51*24*3600/100000000</f>
        <v>2.3587199999999999</v>
      </c>
      <c r="FN51" s="6">
        <f>日流量!FN51*24*3600/100000000</f>
        <v>2.34144</v>
      </c>
      <c r="FO51" s="6">
        <f>日流量!FO51*24*3600/100000000</f>
        <v>2.4969600000000001</v>
      </c>
      <c r="FP51" s="6">
        <f>日流量!FP51*24*3600/100000000</f>
        <v>2.8252799999999998</v>
      </c>
      <c r="FQ51" s="6">
        <f>日流量!FQ51*24*3600/100000000</f>
        <v>3.6115200000000001</v>
      </c>
      <c r="FR51" s="6">
        <f>日流量!FR51*24*3600/100000000</f>
        <v>3.5855999999999999</v>
      </c>
      <c r="FS51" s="6">
        <f>日流量!FS51*24*3600/100000000</f>
        <v>4.7174399999999999</v>
      </c>
      <c r="FT51" s="6">
        <f>日流量!FT51*24*3600/100000000</f>
        <v>3.5769600000000001</v>
      </c>
      <c r="FU51" s="6">
        <f>日流量!FU51*24*3600/100000000</f>
        <v>3.456</v>
      </c>
      <c r="FV51" s="6">
        <f>日流量!FV51*24*3600/100000000</f>
        <v>4.7174399999999999</v>
      </c>
      <c r="FW51" s="6">
        <f>日流量!FW51*24*3600/100000000</f>
        <v>5.8319999999999999</v>
      </c>
      <c r="FX51" s="6">
        <f>日流量!FX51*24*3600/100000000</f>
        <v>6.8688000000000002</v>
      </c>
      <c r="FY51" s="6">
        <f>日流量!FY51*24*3600/100000000</f>
        <v>8.3635199999999994</v>
      </c>
      <c r="FZ51" s="6">
        <f>日流量!FZ51*24*3600/100000000</f>
        <v>8.1993600000000004</v>
      </c>
      <c r="GA51" s="6">
        <f>日流量!GA51*24*3600/100000000</f>
        <v>7.8796799999999996</v>
      </c>
      <c r="GB51" s="6">
        <f>日流量!GB51*24*3600/100000000</f>
        <v>9.8496000000000006</v>
      </c>
      <c r="GC51" s="6">
        <f>日流量!GC51*24*3600/100000000</f>
        <v>10.281599999999999</v>
      </c>
      <c r="GD51" s="6">
        <f>日流量!GD51*24*3600/100000000</f>
        <v>12.182399999999999</v>
      </c>
      <c r="GE51" s="6">
        <f>日流量!GE51*24*3600/100000000</f>
        <v>11.4048</v>
      </c>
      <c r="GF51" s="6">
        <f>日流量!GF51*24*3600/100000000</f>
        <v>10.540800000000001</v>
      </c>
      <c r="GG51" s="6">
        <f>日流量!GG51*24*3600/100000000</f>
        <v>10.7136</v>
      </c>
      <c r="GH51" s="6">
        <f>日流量!GH51*24*3600/100000000</f>
        <v>11.750400000000001</v>
      </c>
      <c r="GI51" s="6">
        <f>日流量!GI51*24*3600/100000000</f>
        <v>11.8368</v>
      </c>
      <c r="GJ51" s="6">
        <f>日流量!GJ51*24*3600/100000000</f>
        <v>12.528</v>
      </c>
      <c r="GK51" s="6">
        <f>日流量!GK51*24*3600/100000000</f>
        <v>13.651199999999999</v>
      </c>
      <c r="GL51" s="6">
        <f>日流量!GL51*24*3600/100000000</f>
        <v>14.256</v>
      </c>
      <c r="GM51" s="6">
        <f>日流量!GM51*24*3600/100000000</f>
        <v>14.3424</v>
      </c>
      <c r="GN51" s="6">
        <f>日流量!GN51*24*3600/100000000</f>
        <v>14.169600000000001</v>
      </c>
      <c r="GO51" s="6">
        <f>日流量!GO51*24*3600/100000000</f>
        <v>14.428800000000001</v>
      </c>
      <c r="GP51" s="6">
        <f>日流量!GP51*24*3600/100000000</f>
        <v>15.12</v>
      </c>
      <c r="GQ51" s="6">
        <f>日流量!GQ51*24*3600/100000000</f>
        <v>15.4656</v>
      </c>
      <c r="GR51" s="6">
        <f>日流量!GR51*24*3600/100000000</f>
        <v>14.428800000000001</v>
      </c>
      <c r="GS51" s="6">
        <f>日流量!GS51*24*3600/100000000</f>
        <v>13.824</v>
      </c>
      <c r="GT51" s="6">
        <f>日流量!GT51*24*3600/100000000</f>
        <v>13.0464</v>
      </c>
      <c r="GU51" s="6">
        <f>日流量!GU51*24*3600/100000000</f>
        <v>11.9232</v>
      </c>
      <c r="GV51" s="6">
        <f>日流量!GV51*24*3600/100000000</f>
        <v>10.972799999999999</v>
      </c>
      <c r="GW51" s="6">
        <f>日流量!GW51*24*3600/100000000</f>
        <v>10.4544</v>
      </c>
      <c r="GX51" s="6">
        <f>日流量!GX51*24*3600/100000000</f>
        <v>8.5708800000000007</v>
      </c>
      <c r="GY51" s="6">
        <f>日流量!GY51*24*3600/100000000</f>
        <v>9.5039999999999996</v>
      </c>
      <c r="GZ51" s="6">
        <f>日流量!GZ51*24*3600/100000000</f>
        <v>10.1088</v>
      </c>
      <c r="HA51" s="6">
        <f>日流量!HA51*24*3600/100000000</f>
        <v>11.231999999999999</v>
      </c>
      <c r="HB51" s="6">
        <f>日流量!HB51*24*3600/100000000</f>
        <v>11.9232</v>
      </c>
      <c r="HC51" s="6">
        <f>日流量!HC51*24*3600/100000000</f>
        <v>12.3552</v>
      </c>
      <c r="HD51" s="6">
        <f>日流量!HD51*24*3600/100000000</f>
        <v>12.7872</v>
      </c>
      <c r="HE51" s="6">
        <f>日流量!HE51*24*3600/100000000</f>
        <v>13.651199999999999</v>
      </c>
      <c r="HF51" s="6">
        <f>日流量!HF51*24*3600/100000000</f>
        <v>13.3056</v>
      </c>
      <c r="HG51" s="6">
        <f>日流量!HG51*24*3600/100000000</f>
        <v>12.6144</v>
      </c>
      <c r="HH51" s="6">
        <f>日流量!HH51*24*3600/100000000</f>
        <v>12.528</v>
      </c>
      <c r="HI51" s="6">
        <f>日流量!HI51*24*3600/100000000</f>
        <v>12.700799999999999</v>
      </c>
      <c r="HJ51" s="6">
        <f>日流量!HJ51*24*3600/100000000</f>
        <v>12.8736</v>
      </c>
      <c r="HK51" s="6">
        <f>日流量!HK51*24*3600/100000000</f>
        <v>13.5648</v>
      </c>
      <c r="HL51" s="6">
        <f>日流量!HL51*24*3600/100000000</f>
        <v>13.9968</v>
      </c>
      <c r="HM51" s="6">
        <f>日流量!HM51*24*3600/100000000</f>
        <v>13.7376</v>
      </c>
      <c r="HN51" s="6">
        <f>日流量!HN51*24*3600/100000000</f>
        <v>13.910399999999999</v>
      </c>
      <c r="HO51" s="6">
        <f>日流量!HO51*24*3600/100000000</f>
        <v>13.9968</v>
      </c>
      <c r="HP51" s="6">
        <f>日流量!HP51*24*3600/100000000</f>
        <v>14.7744</v>
      </c>
      <c r="HQ51" s="6">
        <f>日流量!HQ51*24*3600/100000000</f>
        <v>16.502400000000002</v>
      </c>
      <c r="HR51" s="6">
        <f>日流量!HR51*24*3600/100000000</f>
        <v>17.107199999999999</v>
      </c>
      <c r="HS51" s="6">
        <f>日流量!HS51*24*3600/100000000</f>
        <v>17.020800000000001</v>
      </c>
      <c r="HT51" s="6">
        <f>日流量!HT51*24*3600/100000000</f>
        <v>16.761600000000001</v>
      </c>
      <c r="HU51" s="6">
        <f>日流量!HU51*24*3600/100000000</f>
        <v>15.2928</v>
      </c>
      <c r="HV51" s="6">
        <f>日流量!HV51*24*3600/100000000</f>
        <v>13.9968</v>
      </c>
      <c r="HW51" s="6">
        <f>日流量!HW51*24*3600/100000000</f>
        <v>14.688000000000001</v>
      </c>
      <c r="HX51" s="6">
        <f>日流量!HX51*24*3600/100000000</f>
        <v>15.552</v>
      </c>
      <c r="HY51" s="6">
        <f>日流量!HY51*24*3600/100000000</f>
        <v>15.984</v>
      </c>
      <c r="HZ51" s="6">
        <f>日流量!HZ51*24*3600/100000000</f>
        <v>15.897600000000001</v>
      </c>
      <c r="IA51" s="6">
        <f>日流量!IA51*24*3600/100000000</f>
        <v>14.688000000000001</v>
      </c>
      <c r="IB51" s="6">
        <f>日流量!IB51*24*3600/100000000</f>
        <v>13.824</v>
      </c>
      <c r="IC51" s="6">
        <f>日流量!IC51*24*3600/100000000</f>
        <v>13.1328</v>
      </c>
      <c r="ID51" s="6">
        <f>日流量!ID51*24*3600/100000000</f>
        <v>12.441599999999999</v>
      </c>
      <c r="IE51" s="6">
        <f>日流量!IE51*24*3600/100000000</f>
        <v>12.700799999999999</v>
      </c>
      <c r="IF51" s="6">
        <f>日流量!IF51*24*3600/100000000</f>
        <v>13.0464</v>
      </c>
      <c r="IG51" s="6">
        <f>日流量!IG51*24*3600/100000000</f>
        <v>12.700799999999999</v>
      </c>
      <c r="IH51" s="6">
        <f>日流量!IH51*24*3600/100000000</f>
        <v>12.7872</v>
      </c>
      <c r="II51" s="6">
        <f>日流量!II51*24*3600/100000000</f>
        <v>13.0464</v>
      </c>
      <c r="IJ51" s="6">
        <f>日流量!IJ51*24*3600/100000000</f>
        <v>14.0832</v>
      </c>
      <c r="IK51" s="6">
        <f>日流量!IK51*24*3600/100000000</f>
        <v>13.910399999999999</v>
      </c>
      <c r="IL51" s="6">
        <f>日流量!IL51*24*3600/100000000</f>
        <v>13.824</v>
      </c>
      <c r="IM51" s="6">
        <f>日流量!IM51*24*3600/100000000</f>
        <v>13.0464</v>
      </c>
      <c r="IN51" s="6">
        <f>日流量!IN51*24*3600/100000000</f>
        <v>15.552</v>
      </c>
      <c r="IO51" s="6">
        <f>日流量!IO51*24*3600/100000000</f>
        <v>16.6752</v>
      </c>
      <c r="IP51" s="6">
        <f>日流量!IP51*24*3600/100000000</f>
        <v>16.9344</v>
      </c>
      <c r="IQ51" s="6">
        <f>日流量!IQ51*24*3600/100000000</f>
        <v>16.6752</v>
      </c>
      <c r="IR51" s="6">
        <f>日流量!IR51*24*3600/100000000</f>
        <v>16.243200000000002</v>
      </c>
      <c r="IS51" s="6">
        <f>日流量!IS51*24*3600/100000000</f>
        <v>15.638400000000001</v>
      </c>
      <c r="IT51" s="6">
        <f>日流量!IT51*24*3600/100000000</f>
        <v>14.428800000000001</v>
      </c>
      <c r="IU51" s="6">
        <f>日流量!IU51*24*3600/100000000</f>
        <v>13.219200000000001</v>
      </c>
      <c r="IV51" s="6">
        <f>日流量!IV51*24*3600/100000000</f>
        <v>12.268800000000001</v>
      </c>
      <c r="IW51" s="6">
        <f>日流量!IW51*24*3600/100000000</f>
        <v>11.5776</v>
      </c>
      <c r="IX51" s="6">
        <f>日流量!IX51*24*3600/100000000</f>
        <v>11.059200000000001</v>
      </c>
      <c r="IY51" s="6">
        <f>日流量!IY51*24*3600/100000000</f>
        <v>10.4544</v>
      </c>
      <c r="IZ51" s="6">
        <f>日流量!IZ51*24*3600/100000000</f>
        <v>8.7263999999999999</v>
      </c>
      <c r="JA51" s="6">
        <f>日流量!JA51*24*3600/100000000</f>
        <v>8.3980800000000002</v>
      </c>
      <c r="JB51" s="6">
        <f>日流量!JB51*24*3600/100000000</f>
        <v>8.1475200000000001</v>
      </c>
      <c r="JC51" s="6">
        <f>日流量!JC51*24*3600/100000000</f>
        <v>7.8883200000000002</v>
      </c>
      <c r="JD51" s="6">
        <f>日流量!JD51*24*3600/100000000</f>
        <v>7.7414399999999999</v>
      </c>
      <c r="JE51" s="6">
        <f>日流量!JE51*24*3600/100000000</f>
        <v>7.8537600000000003</v>
      </c>
      <c r="JF51" s="6">
        <f>日流量!JF51*24*3600/100000000</f>
        <v>7.7414399999999999</v>
      </c>
      <c r="JG51" s="6">
        <f>日流量!JG51*24*3600/100000000</f>
        <v>6.7478400000000001</v>
      </c>
      <c r="JH51" s="6">
        <f>日流量!JH51*24*3600/100000000</f>
        <v>7.4995200000000004</v>
      </c>
      <c r="JI51" s="6">
        <f>日流量!JI51*24*3600/100000000</f>
        <v>7.4217599999999999</v>
      </c>
      <c r="JJ51" s="6">
        <f>日流量!JJ51*24*3600/100000000</f>
        <v>6.9897600000000004</v>
      </c>
      <c r="JK51" s="6">
        <f>日流量!JK51*24*3600/100000000</f>
        <v>6.6096000000000004</v>
      </c>
      <c r="JL51" s="6">
        <f>日流量!JL51*24*3600/100000000</f>
        <v>6.8601599999999996</v>
      </c>
      <c r="JM51" s="6">
        <f>日流量!JM51*24*3600/100000000</f>
        <v>6.5145600000000004</v>
      </c>
      <c r="JN51" s="6">
        <f>日流量!JN51*24*3600/100000000</f>
        <v>7.06752</v>
      </c>
      <c r="JO51" s="6">
        <f>日流量!JO51*24*3600/100000000</f>
        <v>7.2403199999999996</v>
      </c>
      <c r="JP51" s="6">
        <f>日流量!JP51*24*3600/100000000</f>
        <v>6.9551999999999996</v>
      </c>
      <c r="JQ51" s="6">
        <f>日流量!JQ51*24*3600/100000000</f>
        <v>6.3244800000000003</v>
      </c>
      <c r="JR51" s="6">
        <f>日流量!JR51*24*3600/100000000</f>
        <v>6.0220799999999999</v>
      </c>
      <c r="JS51" s="6">
        <f>日流量!JS51*24*3600/100000000</f>
        <v>5.6937600000000002</v>
      </c>
      <c r="JT51" s="6">
        <f>日流量!JT51*24*3600/100000000</f>
        <v>5.6159999999999997</v>
      </c>
      <c r="JU51" s="6">
        <f>日流量!JU51*24*3600/100000000</f>
        <v>5.5728</v>
      </c>
      <c r="JV51" s="6">
        <f>日流量!JV51*24*3600/100000000</f>
        <v>5.47776</v>
      </c>
      <c r="JW51" s="6">
        <f>日流量!JW51*24*3600/100000000</f>
        <v>5.1062399999999997</v>
      </c>
      <c r="JX51" s="6">
        <f>日流量!JX51*24*3600/100000000</f>
        <v>5.1494400000000002</v>
      </c>
      <c r="JY51" s="6">
        <f>日流量!JY51*24*3600/100000000</f>
        <v>5.1926399999999999</v>
      </c>
      <c r="JZ51" s="6">
        <f>日流量!JZ51*24*3600/100000000</f>
        <v>5.9184000000000001</v>
      </c>
      <c r="KA51" s="6">
        <f>日流量!KA51*24*3600/100000000</f>
        <v>4.64832</v>
      </c>
      <c r="KB51" s="6">
        <f>日流量!KB51*24*3600/100000000</f>
        <v>5.3827199999999999</v>
      </c>
      <c r="KC51" s="6">
        <f>日流量!KC51*24*3600/100000000</f>
        <v>5.1062399999999997</v>
      </c>
      <c r="KD51" s="6">
        <f>日流量!KD51*24*3600/100000000</f>
        <v>4.7088000000000001</v>
      </c>
      <c r="KE51" s="6">
        <f>日流量!KE51*24*3600/100000000</f>
        <v>4.6310399999999996</v>
      </c>
      <c r="KF51" s="6">
        <f>日流量!KF51*24*3600/100000000</f>
        <v>4.2076799999999999</v>
      </c>
      <c r="KG51" s="6">
        <f>日流量!KG51*24*3600/100000000</f>
        <v>4.6051200000000003</v>
      </c>
      <c r="KH51" s="6">
        <f>日流量!KH51*24*3600/100000000</f>
        <v>4.4496000000000002</v>
      </c>
      <c r="KI51" s="6">
        <f>日流量!KI51*24*3600/100000000</f>
        <v>4.4063999999999997</v>
      </c>
      <c r="KJ51" s="6">
        <f>日流量!KJ51*24*3600/100000000</f>
        <v>4.3718399999999997</v>
      </c>
      <c r="KK51" s="6">
        <f>日流量!KK51*24*3600/100000000</f>
        <v>4.1904000000000003</v>
      </c>
      <c r="KL51" s="6">
        <f>日流量!KL51*24*3600/100000000</f>
        <v>4.3113599999999996</v>
      </c>
      <c r="KM51" s="6">
        <f>日流量!KM51*24*3600/100000000</f>
        <v>4.5100800000000003</v>
      </c>
      <c r="KN51" s="6">
        <f>日流量!KN51*24*3600/100000000</f>
        <v>4.7952000000000004</v>
      </c>
      <c r="KO51" s="6">
        <f>日流量!KO51*24*3600/100000000</f>
        <v>4.7865599999999997</v>
      </c>
      <c r="KP51" s="6">
        <f>日流量!KP51*24*3600/100000000</f>
        <v>5.0975999999999999</v>
      </c>
      <c r="KQ51" s="6">
        <f>日流量!KQ51*24*3600/100000000</f>
        <v>4.93344</v>
      </c>
      <c r="KR51" s="6">
        <f>日流量!KR51*24*3600/100000000</f>
        <v>4.6310399999999996</v>
      </c>
      <c r="KS51" s="6">
        <f>日流量!KS51*24*3600/100000000</f>
        <v>4.32864</v>
      </c>
      <c r="KT51" s="6">
        <f>日流量!KT51*24*3600/100000000</f>
        <v>4.2336</v>
      </c>
      <c r="KU51" s="6">
        <f>日流量!KU51*24*3600/100000000</f>
        <v>4.1644800000000002</v>
      </c>
      <c r="KV51" s="6">
        <f>日流量!KV51*24*3600/100000000</f>
        <v>4.2249600000000003</v>
      </c>
      <c r="KW51" s="6">
        <f>日流量!KW51*24*3600/100000000</f>
        <v>3.9744000000000002</v>
      </c>
      <c r="KX51" s="6">
        <f>日流量!KX51*24*3600/100000000</f>
        <v>3.7324799999999998</v>
      </c>
      <c r="KY51" s="6">
        <f>日流量!KY51*24*3600/100000000</f>
        <v>3.24864</v>
      </c>
      <c r="KZ51" s="6">
        <f>日流量!KZ51*24*3600/100000000</f>
        <v>2.4883199999999999</v>
      </c>
      <c r="LA51" s="6">
        <f>日流量!LA51*24*3600/100000000</f>
        <v>2.3846400000000001</v>
      </c>
      <c r="LB51" s="6">
        <f>日流量!LB51*24*3600/100000000</f>
        <v>2.3328000000000002</v>
      </c>
      <c r="LC51" s="6">
        <f>日流量!LC51*24*3600/100000000</f>
        <v>2.2031999999999998</v>
      </c>
      <c r="LD51" s="6">
        <f>日流量!LD51*24*3600/100000000</f>
        <v>2.1945600000000001</v>
      </c>
      <c r="LE51" s="6">
        <f>日流量!LE51*24*3600/100000000</f>
        <v>2.1945600000000001</v>
      </c>
      <c r="LF51" s="6">
        <f>日流量!LF51*24*3600/100000000</f>
        <v>2.1686399999999999</v>
      </c>
      <c r="LG51" s="6">
        <f>日流量!LG51*24*3600/100000000</f>
        <v>2.13408</v>
      </c>
      <c r="LH51" s="6">
        <f>日流量!LH51*24*3600/100000000</f>
        <v>2.0563199999999999</v>
      </c>
      <c r="LI51" s="6">
        <f>日流量!LI51*24*3600/100000000</f>
        <v>2.03904</v>
      </c>
      <c r="LJ51" s="6">
        <f>日流量!LJ51*24*3600/100000000</f>
        <v>2.0304000000000002</v>
      </c>
      <c r="LK51" s="6">
        <f>日流量!LK51*24*3600/100000000</f>
        <v>1.9958400000000001</v>
      </c>
      <c r="LL51" s="6">
        <f>日流量!LL51*24*3600/100000000</f>
        <v>1.9526399999999999</v>
      </c>
      <c r="LM51" s="6">
        <f>日流量!LM51*24*3600/100000000</f>
        <v>1.91808</v>
      </c>
      <c r="LN51" s="6">
        <f>日流量!LN51*24*3600/100000000</f>
        <v>1.9008</v>
      </c>
      <c r="LO51" s="6">
        <f>日流量!LO51*24*3600/100000000</f>
        <v>1.8748800000000001</v>
      </c>
      <c r="LP51" s="6">
        <f>日流量!LP51*24*3600/100000000</f>
        <v>1.8575999999999999</v>
      </c>
      <c r="LQ51" s="6">
        <f>日流量!LQ51*24*3600/100000000</f>
        <v>1.8489599999999999</v>
      </c>
      <c r="LR51" s="6">
        <f>日流量!LR51*24*3600/100000000</f>
        <v>1.83168</v>
      </c>
      <c r="LS51" s="6">
        <f>日流量!LS51*24*3600/100000000</f>
        <v>2.0735999999999999</v>
      </c>
      <c r="LT51" s="6">
        <f>日流量!LT51*24*3600/100000000</f>
        <v>2.51424</v>
      </c>
      <c r="LU51" s="6">
        <f>日流量!LU51*24*3600/100000000</f>
        <v>2.53152</v>
      </c>
      <c r="LV51" s="6">
        <f>日流量!LV51*24*3600/100000000</f>
        <v>2.5055999999999998</v>
      </c>
      <c r="LW51" s="6">
        <f>日流量!LW51*24*3600/100000000</f>
        <v>2.4105599999999998</v>
      </c>
      <c r="LX51" s="6">
        <f>日流量!LX51*24*3600/100000000</f>
        <v>1.83168</v>
      </c>
      <c r="LY51" s="6">
        <f>日流量!LY51*24*3600/100000000</f>
        <v>1.7625599999999999</v>
      </c>
      <c r="LZ51" s="6">
        <f>日流量!LZ51*24*3600/100000000</f>
        <v>2.34144</v>
      </c>
      <c r="MA51" s="6">
        <f>日流量!MA51*24*3600/100000000</f>
        <v>2.4105599999999998</v>
      </c>
      <c r="MB51" s="6">
        <f>日流量!MB51*24*3600/100000000</f>
        <v>2.2636799999999999</v>
      </c>
      <c r="MC51" s="6">
        <f>日流量!MC51*24*3600/100000000</f>
        <v>1.6848000000000001</v>
      </c>
      <c r="MD51" s="6">
        <f>日流量!MD51*24*3600/100000000</f>
        <v>1.63296</v>
      </c>
      <c r="ME51" s="6">
        <f>日流量!ME51*24*3600/100000000</f>
        <v>1.9699199999999999</v>
      </c>
      <c r="MF51" s="6">
        <f>日流量!MF51*24*3600/100000000</f>
        <v>1.9699199999999999</v>
      </c>
      <c r="MG51" s="6">
        <f>日流量!MG51*24*3600/100000000</f>
        <v>1.944</v>
      </c>
      <c r="MH51" s="6">
        <f>日流量!MH51*24*3600/100000000</f>
        <v>1.91808</v>
      </c>
      <c r="MI51" s="6">
        <f>日流量!MI51*24*3600/100000000</f>
        <v>1.9008</v>
      </c>
      <c r="MJ51" s="6">
        <f>日流量!MJ51*24*3600/100000000</f>
        <v>2.0908799999999998</v>
      </c>
      <c r="MK51" s="6">
        <f>日流量!MK51*24*3600/100000000</f>
        <v>2.16</v>
      </c>
      <c r="ML51" s="6">
        <f>日流量!ML51*24*3600/100000000</f>
        <v>2.13408</v>
      </c>
      <c r="MM51" s="6">
        <f>日流量!MM51*24*3600/100000000</f>
        <v>1.9008</v>
      </c>
      <c r="MN51" s="6">
        <f>日流量!MN51*24*3600/100000000</f>
        <v>1.5465599999999999</v>
      </c>
      <c r="MO51" s="6">
        <f>日流量!MO51*24*3600/100000000</f>
        <v>1.50336</v>
      </c>
      <c r="MP51" s="6">
        <f>日流量!MP51*24*3600/100000000</f>
        <v>1.4774400000000001</v>
      </c>
      <c r="MQ51" s="6">
        <f>日流量!MQ51*24*3600/100000000</f>
        <v>1.4774400000000001</v>
      </c>
      <c r="MR51" s="6">
        <f>日流量!MR51*24*3600/100000000</f>
        <v>1.4688000000000001</v>
      </c>
      <c r="MS51" s="6">
        <f>日流量!MS51*24*3600/100000000</f>
        <v>1.9958400000000001</v>
      </c>
      <c r="MT51" s="6">
        <f>日流量!MT51*24*3600/100000000</f>
        <v>1.8662399999999999</v>
      </c>
      <c r="MU51" s="6">
        <f>日流量!MU51*24*3600/100000000</f>
        <v>1.4860800000000001</v>
      </c>
      <c r="MV51" s="6">
        <f>日流量!MV51*24*3600/100000000</f>
        <v>1.4428799999999999</v>
      </c>
      <c r="MW51" s="6">
        <f>日流量!MW51*24*3600/100000000</f>
        <v>1.4774400000000001</v>
      </c>
      <c r="MX51" s="6">
        <f>日流量!MX51*24*3600/100000000</f>
        <v>2.4019200000000001</v>
      </c>
      <c r="MY51" s="6">
        <f>日流量!MY51*24*3600/100000000</f>
        <v>2.4969600000000001</v>
      </c>
      <c r="MZ51" s="6">
        <f>日流量!MZ51*24*3600/100000000</f>
        <v>2.4624000000000001</v>
      </c>
      <c r="NA51" s="6">
        <f>日流量!NA51*24*3600/100000000</f>
        <v>2.1254400000000002</v>
      </c>
      <c r="NB51" s="6">
        <f>日流量!NB51*24*3600/100000000</f>
        <v>1.512</v>
      </c>
      <c r="NC51" s="6"/>
      <c r="ND51" s="6">
        <f>日流量!ND51*24*3600*31/100000000</f>
        <v>33.479999999999997</v>
      </c>
      <c r="NE51" s="6">
        <f>日流量!NE51*24*3600*28/100000000</f>
        <v>26.36928</v>
      </c>
      <c r="NF51" s="6">
        <f>日流量!NF51*24*3600*31/100000000</f>
        <v>28.39104</v>
      </c>
      <c r="NG51" s="6">
        <f>日流量!NG51*24*3600*30/100000000</f>
        <v>33.695999999999998</v>
      </c>
      <c r="NH51" s="6">
        <f>日流量!NH51*24*3600*31/100000000</f>
        <v>48.746879999999997</v>
      </c>
      <c r="NI51" s="6">
        <f>日流量!NI51*24*3600*30/100000000</f>
        <v>97.718400000000003</v>
      </c>
      <c r="NJ51" s="6">
        <f>日流量!NJ51*24*3600*31/100000000</f>
        <v>380.33280000000002</v>
      </c>
      <c r="NK51" s="6">
        <f>日流量!NK51*24*3600*31/100000000</f>
        <v>439.25760000000002</v>
      </c>
      <c r="NL51" s="6">
        <f>日流量!NL51*24*3600*30/100000000</f>
        <v>316.22399999999999</v>
      </c>
      <c r="NM51" s="6">
        <f>日流量!NM51*24*3600*31/100000000</f>
        <v>155.34719999999999</v>
      </c>
      <c r="NN51" s="6">
        <f>日流量!NN51*24*3600*30/100000000</f>
        <v>72.575999999999993</v>
      </c>
      <c r="NO51" s="6">
        <f>日流量!NO51*24*3600*31/100000000</f>
        <v>58.121279999999999</v>
      </c>
      <c r="NP51" s="14">
        <f t="shared" si="10"/>
        <v>1690.2604800000001</v>
      </c>
      <c r="NQ51" s="6">
        <f>日流量!NQ51*24*3600/100000000</f>
        <v>17.107199999999999</v>
      </c>
      <c r="NR51" s="4">
        <f>日流量!NR51</f>
        <v>42594</v>
      </c>
      <c r="NS51" s="6">
        <f>日流量!NS51*24*3600/100000000</f>
        <v>0.87263999999999997</v>
      </c>
      <c r="NT51" s="4">
        <f>日流量!NT51</f>
        <v>42449</v>
      </c>
      <c r="NU51" s="7">
        <f>日流量!NP51</f>
        <v>5364.8767123287671</v>
      </c>
      <c r="NW51" s="13">
        <f t="shared" si="0"/>
        <v>1437.62688</v>
      </c>
      <c r="NX51" s="12">
        <f t="shared" si="1"/>
        <v>85.053569968103375</v>
      </c>
      <c r="NY51" s="13">
        <f t="shared" si="2"/>
        <v>1233.5328</v>
      </c>
      <c r="NZ51" s="12">
        <f t="shared" si="3"/>
        <v>72.978858264496594</v>
      </c>
      <c r="OA51" s="13">
        <f t="shared" si="4"/>
        <v>252.63360000000011</v>
      </c>
      <c r="OB51" s="12">
        <f t="shared" si="5"/>
        <v>14.946430031896627</v>
      </c>
      <c r="OC51" s="13">
        <f t="shared" si="6"/>
        <v>439.25760000000002</v>
      </c>
      <c r="OD51" s="12">
        <f t="shared" si="7"/>
        <v>25.987568495951578</v>
      </c>
      <c r="OE51" s="12">
        <f t="shared" si="8"/>
        <v>394.92067289719625</v>
      </c>
      <c r="OF51" s="12">
        <f t="shared" si="9"/>
        <v>12.52285238765843</v>
      </c>
    </row>
    <row r="52" spans="1:396" x14ac:dyDescent="0.15">
      <c r="A52" s="2">
        <v>1999</v>
      </c>
      <c r="B52" s="6">
        <f>日流量!B52*24*3600/100000000</f>
        <v>1.5638399999999999</v>
      </c>
      <c r="C52" s="6">
        <f>日流量!C52*24*3600/100000000</f>
        <v>2.0563199999999999</v>
      </c>
      <c r="D52" s="6">
        <f>日流量!D52*24*3600/100000000</f>
        <v>2.1081599999999998</v>
      </c>
      <c r="E52" s="6">
        <f>日流量!E52*24*3600/100000000</f>
        <v>2.03904</v>
      </c>
      <c r="F52" s="6">
        <f>日流量!F52*24*3600/100000000</f>
        <v>1.3910400000000001</v>
      </c>
      <c r="G52" s="6">
        <f>日流量!G52*24*3600/100000000</f>
        <v>1.33056</v>
      </c>
      <c r="H52" s="6">
        <f>日流量!H52*24*3600/100000000</f>
        <v>1.296</v>
      </c>
      <c r="I52" s="6">
        <f>日流量!I52*24*3600/100000000</f>
        <v>1.2700800000000001</v>
      </c>
      <c r="J52" s="6">
        <f>日流量!J52*24*3600/100000000</f>
        <v>1.2614399999999999</v>
      </c>
      <c r="K52" s="6">
        <f>日流量!K52*24*3600/100000000</f>
        <v>1.23552</v>
      </c>
      <c r="L52" s="6">
        <f>日流量!L52*24*3600/100000000</f>
        <v>1.22688</v>
      </c>
      <c r="M52" s="6">
        <f>日流量!M52*24*3600/100000000</f>
        <v>1.33056</v>
      </c>
      <c r="N52" s="6">
        <f>日流量!N52*24*3600/100000000</f>
        <v>1.3651199999999999</v>
      </c>
      <c r="O52" s="6">
        <f>日流量!O52*24*3600/100000000</f>
        <v>1.39968</v>
      </c>
      <c r="P52" s="6">
        <f>日流量!P52*24*3600/100000000</f>
        <v>1.43424</v>
      </c>
      <c r="Q52" s="6">
        <f>日流量!Q52*24*3600/100000000</f>
        <v>2.2723200000000001</v>
      </c>
      <c r="R52" s="6">
        <f>日流量!R52*24*3600/100000000</f>
        <v>2.3587199999999999</v>
      </c>
      <c r="S52" s="6">
        <f>日流量!S52*24*3600/100000000</f>
        <v>2.32416</v>
      </c>
      <c r="T52" s="6">
        <f>日流量!T52*24*3600/100000000</f>
        <v>2.43648</v>
      </c>
      <c r="U52" s="6">
        <f>日流量!U52*24*3600/100000000</f>
        <v>2.3328000000000002</v>
      </c>
      <c r="V52" s="6">
        <f>日流量!V52*24*3600/100000000</f>
        <v>2.1686399999999999</v>
      </c>
      <c r="W52" s="6">
        <f>日流量!W52*24*3600/100000000</f>
        <v>2.0563199999999999</v>
      </c>
      <c r="X52" s="6">
        <f>日流量!X52*24*3600/100000000</f>
        <v>1.9872000000000001</v>
      </c>
      <c r="Y52" s="6">
        <f>日流量!Y52*24*3600/100000000</f>
        <v>1.83168</v>
      </c>
      <c r="Z52" s="6">
        <f>日流量!Z52*24*3600/100000000</f>
        <v>1.61568</v>
      </c>
      <c r="AA52" s="6">
        <f>日流量!AA52*24*3600/100000000</f>
        <v>1.5724800000000001</v>
      </c>
      <c r="AB52" s="6">
        <f>日流量!AB52*24*3600/100000000</f>
        <v>1.7539199999999999</v>
      </c>
      <c r="AC52" s="6">
        <f>日流量!AC52*24*3600/100000000</f>
        <v>1.7625599999999999</v>
      </c>
      <c r="AD52" s="6">
        <f>日流量!AD52*24*3600/100000000</f>
        <v>1.71072</v>
      </c>
      <c r="AE52" s="6">
        <f>日流量!AE52*24*3600/100000000</f>
        <v>1.6675199999999999</v>
      </c>
      <c r="AF52" s="6">
        <f>日流量!AF52*24*3600/100000000</f>
        <v>1.6415999999999999</v>
      </c>
      <c r="AG52" s="6">
        <f>日流量!AG52*24*3600/100000000</f>
        <v>1.5811200000000001</v>
      </c>
      <c r="AH52" s="6">
        <f>日流量!AH52*24*3600/100000000</f>
        <v>1.5551999999999999</v>
      </c>
      <c r="AI52" s="6">
        <f>日流量!AI52*24*3600/100000000</f>
        <v>1.52064</v>
      </c>
      <c r="AJ52" s="6">
        <f>日流量!AJ52*24*3600/100000000</f>
        <v>1.5638399999999999</v>
      </c>
      <c r="AK52" s="6">
        <f>日流量!AK52*24*3600/100000000</f>
        <v>1.512</v>
      </c>
      <c r="AL52" s="6">
        <f>日流量!AL52*24*3600/100000000</f>
        <v>1.50336</v>
      </c>
      <c r="AM52" s="6">
        <f>日流量!AM52*24*3600/100000000</f>
        <v>1.50336</v>
      </c>
      <c r="AN52" s="6">
        <f>日流量!AN52*24*3600/100000000</f>
        <v>1.39968</v>
      </c>
      <c r="AO52" s="6">
        <f>日流量!AO52*24*3600/100000000</f>
        <v>1.39968</v>
      </c>
      <c r="AP52" s="6">
        <f>日流量!AP52*24*3600/100000000</f>
        <v>1.3824000000000001</v>
      </c>
      <c r="AQ52" s="6">
        <f>日流量!AQ52*24*3600/100000000</f>
        <v>1.3824000000000001</v>
      </c>
      <c r="AR52" s="6">
        <f>日流量!AR52*24*3600/100000000</f>
        <v>1.8662399999999999</v>
      </c>
      <c r="AS52" s="6">
        <f>日流量!AS52*24*3600/100000000</f>
        <v>1.8921600000000001</v>
      </c>
      <c r="AT52" s="6">
        <f>日流量!AT52*24*3600/100000000</f>
        <v>1.80576</v>
      </c>
      <c r="AU52" s="6">
        <f>日流量!AU52*24*3600/100000000</f>
        <v>1.7798400000000001</v>
      </c>
      <c r="AV52" s="6">
        <f>日流量!AV52*24*3600/100000000</f>
        <v>1.73664</v>
      </c>
      <c r="AW52" s="6">
        <f>日流量!AW52*24*3600/100000000</f>
        <v>1.7539199999999999</v>
      </c>
      <c r="AX52" s="6">
        <f>日流量!AX52*24*3600/100000000</f>
        <v>1.71936</v>
      </c>
      <c r="AY52" s="6">
        <f>日流量!AY52*24*3600/100000000</f>
        <v>1.7625599999999999</v>
      </c>
      <c r="AZ52" s="6">
        <f>日流量!AZ52*24*3600/100000000</f>
        <v>1.7539199999999999</v>
      </c>
      <c r="BA52" s="6">
        <f>日流量!BA52*24*3600/100000000</f>
        <v>1.7452799999999999</v>
      </c>
      <c r="BB52" s="6">
        <f>日流量!BB52*24*3600/100000000</f>
        <v>1.7539199999999999</v>
      </c>
      <c r="BC52" s="6">
        <f>日流量!BC52*24*3600/100000000</f>
        <v>1.7625599999999999</v>
      </c>
      <c r="BD52" s="6">
        <f>日流量!BD52*24*3600/100000000</f>
        <v>1.728</v>
      </c>
      <c r="BE52" s="6">
        <f>日流量!BE52*24*3600/100000000</f>
        <v>1.6848000000000001</v>
      </c>
      <c r="BF52" s="6">
        <f>日流量!BF52*24*3600/100000000</f>
        <v>1.6588799999999999</v>
      </c>
      <c r="BG52" s="6">
        <f>日流量!BG52*24*3600/100000000</f>
        <v>1.23552</v>
      </c>
      <c r="BH52" s="6">
        <f>日流量!BH52*24*3600/100000000</f>
        <v>1.11456</v>
      </c>
      <c r="BI52" s="6"/>
      <c r="BJ52" s="6">
        <f>日流量!BJ52*24*3600/100000000</f>
        <v>1.11456</v>
      </c>
      <c r="BK52" s="6">
        <f>日流量!BK52*24*3600/100000000</f>
        <v>1.1232</v>
      </c>
      <c r="BL52" s="6">
        <f>日流量!BL52*24*3600/100000000</f>
        <v>1.1232</v>
      </c>
      <c r="BM52" s="6">
        <f>日流量!BM52*24*3600/100000000</f>
        <v>1.09728</v>
      </c>
      <c r="BN52" s="6">
        <f>日流量!BN52*24*3600/100000000</f>
        <v>1.09728</v>
      </c>
      <c r="BO52" s="6">
        <f>日流量!BO52*24*3600/100000000</f>
        <v>1.0886400000000001</v>
      </c>
      <c r="BP52" s="6">
        <f>日流量!BP52*24*3600/100000000</f>
        <v>1.08</v>
      </c>
      <c r="BQ52" s="6">
        <f>日流量!BQ52*24*3600/100000000</f>
        <v>1.10592</v>
      </c>
      <c r="BR52" s="6">
        <f>日流量!BR52*24*3600/100000000</f>
        <v>1.0713600000000001</v>
      </c>
      <c r="BS52" s="6">
        <f>日流量!BS52*24*3600/100000000</f>
        <v>1.0627200000000001</v>
      </c>
      <c r="BT52" s="6">
        <f>日流量!BT52*24*3600/100000000</f>
        <v>1.11456</v>
      </c>
      <c r="BU52" s="6">
        <f>日流量!BU52*24*3600/100000000</f>
        <v>1.09728</v>
      </c>
      <c r="BV52" s="6">
        <f>日流量!BV52*24*3600/100000000</f>
        <v>1.11456</v>
      </c>
      <c r="BW52" s="6">
        <f>日流量!BW52*24*3600/100000000</f>
        <v>1.01088</v>
      </c>
      <c r="BX52" s="6">
        <f>日流量!BX52*24*3600/100000000</f>
        <v>0.93311999999999995</v>
      </c>
      <c r="BY52" s="6">
        <f>日流量!BY52*24*3600/100000000</f>
        <v>1.0454399999999999</v>
      </c>
      <c r="BZ52" s="6">
        <f>日流量!BZ52*24*3600/100000000</f>
        <v>1.0540799999999999</v>
      </c>
      <c r="CA52" s="6">
        <f>日流量!CA52*24*3600/100000000</f>
        <v>1.0540799999999999</v>
      </c>
      <c r="CB52" s="6">
        <f>日流量!CB52*24*3600/100000000</f>
        <v>1.0540799999999999</v>
      </c>
      <c r="CC52" s="6">
        <f>日流量!CC52*24*3600/100000000</f>
        <v>1.0540799999999999</v>
      </c>
      <c r="CD52" s="6">
        <f>日流量!CD52*24*3600/100000000</f>
        <v>1.09728</v>
      </c>
      <c r="CE52" s="6">
        <f>日流量!CE52*24*3600/100000000</f>
        <v>1.0627200000000001</v>
      </c>
      <c r="CF52" s="6">
        <f>日流量!CF52*24*3600/100000000</f>
        <v>1.01952</v>
      </c>
      <c r="CG52" s="6">
        <f>日流量!CG52*24*3600/100000000</f>
        <v>1.01088</v>
      </c>
      <c r="CH52" s="6">
        <f>日流量!CH52*24*3600/100000000</f>
        <v>1.01952</v>
      </c>
      <c r="CI52" s="6">
        <f>日流量!CI52*24*3600/100000000</f>
        <v>1.01088</v>
      </c>
      <c r="CJ52" s="6">
        <f>日流量!CJ52*24*3600/100000000</f>
        <v>1.0540799999999999</v>
      </c>
      <c r="CK52" s="6">
        <f>日流量!CK52*24*3600/100000000</f>
        <v>1.0713600000000001</v>
      </c>
      <c r="CL52" s="6">
        <f>日流量!CL52*24*3600/100000000</f>
        <v>0.96767999999999998</v>
      </c>
      <c r="CM52" s="6">
        <f>日流量!CM52*24*3600/100000000</f>
        <v>1.01088</v>
      </c>
      <c r="CN52" s="6">
        <f>日流量!CN52*24*3600/100000000</f>
        <v>1.0713600000000001</v>
      </c>
      <c r="CO52" s="6">
        <f>日流量!CO52*24*3600/100000000</f>
        <v>1.08</v>
      </c>
      <c r="CP52" s="6">
        <f>日流量!CP52*24*3600/100000000</f>
        <v>1.0540799999999999</v>
      </c>
      <c r="CQ52" s="6">
        <f>日流量!CQ52*24*3600/100000000</f>
        <v>1.0540799999999999</v>
      </c>
      <c r="CR52" s="6">
        <f>日流量!CR52*24*3600/100000000</f>
        <v>1.0713600000000001</v>
      </c>
      <c r="CS52" s="6">
        <f>日流量!CS52*24*3600/100000000</f>
        <v>0.99360000000000004</v>
      </c>
      <c r="CT52" s="6">
        <f>日流量!CT52*24*3600/100000000</f>
        <v>1.02816</v>
      </c>
      <c r="CU52" s="6">
        <f>日流量!CU52*24*3600/100000000</f>
        <v>1.0454399999999999</v>
      </c>
      <c r="CV52" s="6">
        <f>日流量!CV52*24*3600/100000000</f>
        <v>1.01088</v>
      </c>
      <c r="CW52" s="6">
        <f>日流量!CW52*24*3600/100000000</f>
        <v>1.0367999999999999</v>
      </c>
      <c r="CX52" s="6">
        <f>日流量!CX52*24*3600/100000000</f>
        <v>1.0540799999999999</v>
      </c>
      <c r="CY52" s="6">
        <f>日流量!CY52*24*3600/100000000</f>
        <v>1.01088</v>
      </c>
      <c r="CZ52" s="6">
        <f>日流量!CZ52*24*3600/100000000</f>
        <v>1.02816</v>
      </c>
      <c r="DA52" s="6">
        <f>日流量!DA52*24*3600/100000000</f>
        <v>1.01952</v>
      </c>
      <c r="DB52" s="6">
        <f>日流量!DB52*24*3600/100000000</f>
        <v>1.02816</v>
      </c>
      <c r="DC52" s="6">
        <f>日流量!DC52*24*3600/100000000</f>
        <v>1.0454399999999999</v>
      </c>
      <c r="DD52" s="6">
        <f>日流量!DD52*24*3600/100000000</f>
        <v>1.0627200000000001</v>
      </c>
      <c r="DE52" s="6">
        <f>日流量!DE52*24*3600/100000000</f>
        <v>1.0713600000000001</v>
      </c>
      <c r="DF52" s="6">
        <f>日流量!DF52*24*3600/100000000</f>
        <v>1.02816</v>
      </c>
      <c r="DG52" s="6">
        <f>日流量!DG52*24*3600/100000000</f>
        <v>1.01952</v>
      </c>
      <c r="DH52" s="6">
        <f>日流量!DH52*24*3600/100000000</f>
        <v>1.0886400000000001</v>
      </c>
      <c r="DI52" s="6">
        <f>日流量!DI52*24*3600/100000000</f>
        <v>1.0886400000000001</v>
      </c>
      <c r="DJ52" s="6">
        <f>日流量!DJ52*24*3600/100000000</f>
        <v>1.10592</v>
      </c>
      <c r="DK52" s="6">
        <f>日流量!DK52*24*3600/100000000</f>
        <v>1.11456</v>
      </c>
      <c r="DL52" s="6">
        <f>日流量!DL52*24*3600/100000000</f>
        <v>1.09728</v>
      </c>
      <c r="DM52" s="6">
        <f>日流量!DM52*24*3600/100000000</f>
        <v>1.08</v>
      </c>
      <c r="DN52" s="6">
        <f>日流量!DN52*24*3600/100000000</f>
        <v>1.02816</v>
      </c>
      <c r="DO52" s="6">
        <f>日流量!DO52*24*3600/100000000</f>
        <v>0.98495999999999995</v>
      </c>
      <c r="DP52" s="6">
        <f>日流量!DP52*24*3600/100000000</f>
        <v>0.99360000000000004</v>
      </c>
      <c r="DQ52" s="6">
        <f>日流量!DQ52*24*3600/100000000</f>
        <v>0.95040000000000002</v>
      </c>
      <c r="DR52" s="6">
        <f>日流量!DR52*24*3600/100000000</f>
        <v>0.89856000000000003</v>
      </c>
      <c r="DS52" s="6">
        <f>日流量!DS52*24*3600/100000000</f>
        <v>1.1664000000000001</v>
      </c>
      <c r="DT52" s="6">
        <f>日流量!DT52*24*3600/100000000</f>
        <v>1.0367999999999999</v>
      </c>
      <c r="DU52" s="6">
        <f>日流量!DU52*24*3600/100000000</f>
        <v>1.0367999999999999</v>
      </c>
      <c r="DV52" s="6">
        <f>日流量!DV52*24*3600/100000000</f>
        <v>1.0713600000000001</v>
      </c>
      <c r="DW52" s="6">
        <f>日流量!DW52*24*3600/100000000</f>
        <v>1.1404799999999999</v>
      </c>
      <c r="DX52" s="6">
        <f>日流量!DX52*24*3600/100000000</f>
        <v>1.1491199999999999</v>
      </c>
      <c r="DY52" s="6">
        <f>日流量!DY52*24*3600/100000000</f>
        <v>1.1404799999999999</v>
      </c>
      <c r="DZ52" s="6">
        <f>日流量!DZ52*24*3600/100000000</f>
        <v>1.23552</v>
      </c>
      <c r="EA52" s="6">
        <f>日流量!EA52*24*3600/100000000</f>
        <v>1.4601599999999999</v>
      </c>
      <c r="EB52" s="6">
        <f>日流量!EB52*24*3600/100000000</f>
        <v>1.4256</v>
      </c>
      <c r="EC52" s="6">
        <f>日流量!EC52*24*3600/100000000</f>
        <v>1.33056</v>
      </c>
      <c r="ED52" s="6">
        <f>日流量!ED52*24*3600/100000000</f>
        <v>1.23552</v>
      </c>
      <c r="EE52" s="6">
        <f>日流量!EE52*24*3600/100000000</f>
        <v>1.1664000000000001</v>
      </c>
      <c r="EF52" s="6">
        <f>日流量!EF52*24*3600/100000000</f>
        <v>1.22688</v>
      </c>
      <c r="EG52" s="6">
        <f>日流量!EG52*24*3600/100000000</f>
        <v>1.2096</v>
      </c>
      <c r="EH52" s="6">
        <f>日流量!EH52*24*3600/100000000</f>
        <v>1.2096</v>
      </c>
      <c r="EI52" s="6">
        <f>日流量!EI52*24*3600/100000000</f>
        <v>1.1750400000000001</v>
      </c>
      <c r="EJ52" s="6">
        <f>日流量!EJ52*24*3600/100000000</f>
        <v>1.1577599999999999</v>
      </c>
      <c r="EK52" s="6">
        <f>日流量!EK52*24*3600/100000000</f>
        <v>1.1836800000000001</v>
      </c>
      <c r="EL52" s="6">
        <f>日流量!EL52*24*3600/100000000</f>
        <v>1.2441599999999999</v>
      </c>
      <c r="EM52" s="6">
        <f>日流量!EM52*24*3600/100000000</f>
        <v>1.2614399999999999</v>
      </c>
      <c r="EN52" s="6">
        <f>日流量!EN52*24*3600/100000000</f>
        <v>1.2873600000000001</v>
      </c>
      <c r="EO52" s="6">
        <f>日流量!EO52*24*3600/100000000</f>
        <v>1.33056</v>
      </c>
      <c r="EP52" s="6">
        <f>日流量!EP52*24*3600/100000000</f>
        <v>1.30464</v>
      </c>
      <c r="EQ52" s="6">
        <f>日流量!EQ52*24*3600/100000000</f>
        <v>1.3737600000000001</v>
      </c>
      <c r="ER52" s="6">
        <f>日流量!ER52*24*3600/100000000</f>
        <v>1.52064</v>
      </c>
      <c r="ES52" s="6">
        <f>日流量!ES52*24*3600/100000000</f>
        <v>1.6761600000000001</v>
      </c>
      <c r="ET52" s="6">
        <f>日流量!ET52*24*3600/100000000</f>
        <v>1.83168</v>
      </c>
      <c r="EU52" s="6">
        <f>日流量!EU52*24*3600/100000000</f>
        <v>1.90944</v>
      </c>
      <c r="EV52" s="6">
        <f>日流量!EV52*24*3600/100000000</f>
        <v>1.944</v>
      </c>
      <c r="EW52" s="6">
        <f>日流量!EW52*24*3600/100000000</f>
        <v>1.9785600000000001</v>
      </c>
      <c r="EX52" s="6">
        <f>日流量!EX52*24*3600/100000000</f>
        <v>2.0649600000000001</v>
      </c>
      <c r="EY52" s="6">
        <f>日流量!EY52*24*3600/100000000</f>
        <v>2.9030399999999998</v>
      </c>
      <c r="EZ52" s="6">
        <f>日流量!EZ52*24*3600/100000000</f>
        <v>4.3718399999999997</v>
      </c>
      <c r="FA52" s="6">
        <f>日流量!FA52*24*3600/100000000</f>
        <v>4.2163199999999996</v>
      </c>
      <c r="FB52" s="6">
        <f>日流量!FB52*24*3600/100000000</f>
        <v>4.1471999999999998</v>
      </c>
      <c r="FC52" s="6">
        <f>日流量!FC52*24*3600/100000000</f>
        <v>4.87296</v>
      </c>
      <c r="FD52" s="6">
        <f>日流量!FD52*24*3600/100000000</f>
        <v>4.74336</v>
      </c>
      <c r="FE52" s="6">
        <f>日流量!FE52*24*3600/100000000</f>
        <v>4.7088000000000001</v>
      </c>
      <c r="FF52" s="6">
        <f>日流量!FF52*24*3600/100000000</f>
        <v>4.5964799999999997</v>
      </c>
      <c r="FG52" s="6">
        <f>日流量!FG52*24*3600/100000000</f>
        <v>4.4841600000000001</v>
      </c>
      <c r="FH52" s="6">
        <f>日流量!FH52*24*3600/100000000</f>
        <v>4.4755200000000004</v>
      </c>
      <c r="FI52" s="6">
        <f>日流量!FI52*24*3600/100000000</f>
        <v>4.1644800000000002</v>
      </c>
      <c r="FJ52" s="6">
        <f>日流量!FJ52*24*3600/100000000</f>
        <v>4.0608000000000004</v>
      </c>
      <c r="FK52" s="6">
        <f>日流量!FK52*24*3600/100000000</f>
        <v>4.7519999999999998</v>
      </c>
      <c r="FL52" s="6">
        <f>日流量!FL52*24*3600/100000000</f>
        <v>4.9075199999999999</v>
      </c>
      <c r="FM52" s="6">
        <f>日流量!FM52*24*3600/100000000</f>
        <v>4.6656000000000004</v>
      </c>
      <c r="FN52" s="6">
        <f>日流量!FN52*24*3600/100000000</f>
        <v>4.5187200000000001</v>
      </c>
      <c r="FO52" s="6">
        <f>日流量!FO52*24*3600/100000000</f>
        <v>4.6742400000000002</v>
      </c>
      <c r="FP52" s="6">
        <f>日流量!FP52*24*3600/100000000</f>
        <v>4.9507199999999996</v>
      </c>
      <c r="FQ52" s="6">
        <f>日流量!FQ52*24*3600/100000000</f>
        <v>4.9420799999999998</v>
      </c>
      <c r="FR52" s="6">
        <f>日流量!FR52*24*3600/100000000</f>
        <v>5.0284800000000001</v>
      </c>
      <c r="FS52" s="6">
        <f>日流量!FS52*24*3600/100000000</f>
        <v>5.1926399999999999</v>
      </c>
      <c r="FT52" s="6">
        <f>日流量!FT52*24*3600/100000000</f>
        <v>5.3049600000000003</v>
      </c>
      <c r="FU52" s="6">
        <f>日流量!FU52*24*3600/100000000</f>
        <v>5.5296000000000003</v>
      </c>
      <c r="FV52" s="6">
        <f>日流量!FV52*24*3600/100000000</f>
        <v>6.2035200000000001</v>
      </c>
      <c r="FW52" s="6">
        <f>日流量!FW52*24*3600/100000000</f>
        <v>5.8838400000000002</v>
      </c>
      <c r="FX52" s="6">
        <f>日流量!FX52*24*3600/100000000</f>
        <v>5.95296</v>
      </c>
      <c r="FY52" s="6">
        <f>日流量!FY52*24*3600/100000000</f>
        <v>6.5836800000000002</v>
      </c>
      <c r="FZ52" s="6">
        <f>日流量!FZ52*24*3600/100000000</f>
        <v>6.9551999999999996</v>
      </c>
      <c r="GA52" s="6">
        <f>日流量!GA52*24*3600/100000000</f>
        <v>7.3872</v>
      </c>
      <c r="GB52" s="6">
        <f>日流量!GB52*24*3600/100000000</f>
        <v>9.2447999999999997</v>
      </c>
      <c r="GC52" s="6">
        <f>日流量!GC52*24*3600/100000000</f>
        <v>11.5776</v>
      </c>
      <c r="GD52" s="6">
        <f>日流量!GD52*24*3600/100000000</f>
        <v>12.182399999999999</v>
      </c>
      <c r="GE52" s="6">
        <f>日流量!GE52*24*3600/100000000</f>
        <v>11.750400000000001</v>
      </c>
      <c r="GF52" s="6">
        <f>日流量!GF52*24*3600/100000000</f>
        <v>10.540800000000001</v>
      </c>
      <c r="GG52" s="6">
        <f>日流量!GG52*24*3600/100000000</f>
        <v>9.9359999999999999</v>
      </c>
      <c r="GH52" s="6">
        <f>日流量!GH52*24*3600/100000000</f>
        <v>9.2447999999999997</v>
      </c>
      <c r="GI52" s="6">
        <f>日流量!GI52*24*3600/100000000</f>
        <v>9.0719999999999992</v>
      </c>
      <c r="GJ52" s="6">
        <f>日流量!GJ52*24*3600/100000000</f>
        <v>9.5039999999999996</v>
      </c>
      <c r="GK52" s="6">
        <f>日流量!GK52*24*3600/100000000</f>
        <v>9.7631999999999994</v>
      </c>
      <c r="GL52" s="6">
        <f>日流量!GL52*24*3600/100000000</f>
        <v>9.7631999999999994</v>
      </c>
      <c r="GM52" s="6">
        <f>日流量!GM52*24*3600/100000000</f>
        <v>9.7631999999999994</v>
      </c>
      <c r="GN52" s="6">
        <f>日流量!GN52*24*3600/100000000</f>
        <v>9.5904000000000007</v>
      </c>
      <c r="GO52" s="6">
        <f>日流量!GO52*24*3600/100000000</f>
        <v>9.0719999999999992</v>
      </c>
      <c r="GP52" s="6">
        <f>日流量!GP52*24*3600/100000000</f>
        <v>8.5622399999999992</v>
      </c>
      <c r="GQ52" s="6">
        <f>日流量!GQ52*24*3600/100000000</f>
        <v>10.8864</v>
      </c>
      <c r="GR52" s="6">
        <f>日流量!GR52*24*3600/100000000</f>
        <v>12.009600000000001</v>
      </c>
      <c r="GS52" s="6">
        <f>日流量!GS52*24*3600/100000000</f>
        <v>10.540800000000001</v>
      </c>
      <c r="GT52" s="6">
        <f>日流量!GT52*24*3600/100000000</f>
        <v>9.5904000000000007</v>
      </c>
      <c r="GU52" s="6">
        <f>日流量!GU52*24*3600/100000000</f>
        <v>9.0719999999999992</v>
      </c>
      <c r="GV52" s="6">
        <f>日流量!GV52*24*3600/100000000</f>
        <v>8.2684800000000003</v>
      </c>
      <c r="GW52" s="6">
        <f>日流量!GW52*24*3600/100000000</f>
        <v>7.7587200000000003</v>
      </c>
      <c r="GX52" s="6">
        <f>日流量!GX52*24*3600/100000000</f>
        <v>7.3699199999999996</v>
      </c>
      <c r="GY52" s="6">
        <f>日流量!GY52*24*3600/100000000</f>
        <v>7.56</v>
      </c>
      <c r="GZ52" s="6">
        <f>日流量!GZ52*24*3600/100000000</f>
        <v>7.9142400000000004</v>
      </c>
      <c r="HA52" s="6">
        <f>日流量!HA52*24*3600/100000000</f>
        <v>8.1907200000000007</v>
      </c>
      <c r="HB52" s="6">
        <f>日流量!HB52*24*3600/100000000</f>
        <v>8.9855999999999998</v>
      </c>
      <c r="HC52" s="6">
        <f>日流量!HC52*24*3600/100000000</f>
        <v>9.2447999999999997</v>
      </c>
      <c r="HD52" s="6">
        <f>日流量!HD52*24*3600/100000000</f>
        <v>9.1584000000000003</v>
      </c>
      <c r="HE52" s="6">
        <f>日流量!HE52*24*3600/100000000</f>
        <v>9.2447999999999997</v>
      </c>
      <c r="HF52" s="6">
        <f>日流量!HF52*24*3600/100000000</f>
        <v>9.0719999999999992</v>
      </c>
      <c r="HG52" s="6">
        <f>日流量!HG52*24*3600/100000000</f>
        <v>8.5622399999999992</v>
      </c>
      <c r="HH52" s="6">
        <f>日流量!HH52*24*3600/100000000</f>
        <v>7.9401599999999997</v>
      </c>
      <c r="HI52" s="6">
        <f>日流量!HI52*24*3600/100000000</f>
        <v>7.0070399999999999</v>
      </c>
      <c r="HJ52" s="6">
        <f>日流量!HJ52*24*3600/100000000</f>
        <v>6.3071999999999999</v>
      </c>
      <c r="HK52" s="6">
        <f>日流量!HK52*24*3600/100000000</f>
        <v>6.1862399999999997</v>
      </c>
      <c r="HL52" s="6">
        <f>日流量!HL52*24*3600/100000000</f>
        <v>6.048</v>
      </c>
      <c r="HM52" s="6">
        <f>日流量!HM52*24*3600/100000000</f>
        <v>6.0048000000000004</v>
      </c>
      <c r="HN52" s="6">
        <f>日流量!HN52*24*3600/100000000</f>
        <v>5.8752000000000004</v>
      </c>
      <c r="HO52" s="6">
        <f>日流量!HO52*24*3600/100000000</f>
        <v>5.6851200000000004</v>
      </c>
      <c r="HP52" s="6">
        <f>日流量!HP52*24*3600/100000000</f>
        <v>5.5814399999999997</v>
      </c>
      <c r="HQ52" s="6">
        <f>日流量!HQ52*24*3600/100000000</f>
        <v>5.9443200000000003</v>
      </c>
      <c r="HR52" s="6">
        <f>日流量!HR52*24*3600/100000000</f>
        <v>5.8060799999999997</v>
      </c>
      <c r="HS52" s="6">
        <f>日流量!HS52*24*3600/100000000</f>
        <v>5.9788800000000002</v>
      </c>
      <c r="HT52" s="6">
        <f>日流量!HT52*24*3600/100000000</f>
        <v>6.6787200000000002</v>
      </c>
      <c r="HU52" s="6">
        <f>日流量!HU52*24*3600/100000000</f>
        <v>6.9119999999999999</v>
      </c>
      <c r="HV52" s="6">
        <f>日流量!HV52*24*3600/100000000</f>
        <v>7.4131200000000002</v>
      </c>
      <c r="HW52" s="6">
        <f>日流量!HW52*24*3600/100000000</f>
        <v>8.2512000000000008</v>
      </c>
      <c r="HX52" s="6">
        <f>日流量!HX52*24*3600/100000000</f>
        <v>10.022399999999999</v>
      </c>
      <c r="HY52" s="6">
        <f>日流量!HY52*24*3600/100000000</f>
        <v>10.1088</v>
      </c>
      <c r="HZ52" s="6">
        <f>日流量!HZ52*24*3600/100000000</f>
        <v>9.4176000000000002</v>
      </c>
      <c r="IA52" s="6">
        <f>日流量!IA52*24*3600/100000000</f>
        <v>8.9855999999999998</v>
      </c>
      <c r="IB52" s="6">
        <f>日流量!IB52*24*3600/100000000</f>
        <v>9.6768000000000001</v>
      </c>
      <c r="IC52" s="6">
        <f>日流量!IC52*24*3600/100000000</f>
        <v>11.231999999999999</v>
      </c>
      <c r="ID52" s="6">
        <f>日流量!ID52*24*3600/100000000</f>
        <v>11.1456</v>
      </c>
      <c r="IE52" s="6">
        <f>日流量!IE52*24*3600/100000000</f>
        <v>11.231999999999999</v>
      </c>
      <c r="IF52" s="6">
        <f>日流量!IF52*24*3600/100000000</f>
        <v>12.182399999999999</v>
      </c>
      <c r="IG52" s="6">
        <f>日流量!IG52*24*3600/100000000</f>
        <v>11.9232</v>
      </c>
      <c r="IH52" s="6">
        <f>日流量!IH52*24*3600/100000000</f>
        <v>11.5776</v>
      </c>
      <c r="II52" s="6">
        <f>日流量!II52*24*3600/100000000</f>
        <v>11.750400000000001</v>
      </c>
      <c r="IJ52" s="6">
        <f>日流量!IJ52*24*3600/100000000</f>
        <v>11.491199999999999</v>
      </c>
      <c r="IK52" s="6">
        <f>日流量!IK52*24*3600/100000000</f>
        <v>10.8864</v>
      </c>
      <c r="IL52" s="6">
        <f>日流量!IL52*24*3600/100000000</f>
        <v>10.1088</v>
      </c>
      <c r="IM52" s="6">
        <f>日流量!IM52*24*3600/100000000</f>
        <v>10.281599999999999</v>
      </c>
      <c r="IN52" s="6">
        <f>日流量!IN52*24*3600/100000000</f>
        <v>11.231999999999999</v>
      </c>
      <c r="IO52" s="6">
        <f>日流量!IO52*24*3600/100000000</f>
        <v>15.2928</v>
      </c>
      <c r="IP52" s="6">
        <f>日流量!IP52*24*3600/100000000</f>
        <v>14.688000000000001</v>
      </c>
      <c r="IQ52" s="6">
        <f>日流量!IQ52*24*3600/100000000</f>
        <v>13.478400000000001</v>
      </c>
      <c r="IR52" s="6">
        <f>日流量!IR52*24*3600/100000000</f>
        <v>13.478400000000001</v>
      </c>
      <c r="IS52" s="6">
        <f>日流量!IS52*24*3600/100000000</f>
        <v>13.1328</v>
      </c>
      <c r="IT52" s="6">
        <f>日流量!IT52*24*3600/100000000</f>
        <v>12.3552</v>
      </c>
      <c r="IU52" s="6">
        <f>日流量!IU52*24*3600/100000000</f>
        <v>11.4048</v>
      </c>
      <c r="IV52" s="6">
        <f>日流量!IV52*24*3600/100000000</f>
        <v>10.4544</v>
      </c>
      <c r="IW52" s="6">
        <f>日流量!IW52*24*3600/100000000</f>
        <v>9.6768000000000001</v>
      </c>
      <c r="IX52" s="6">
        <f>日流量!IX52*24*3600/100000000</f>
        <v>9.5904000000000007</v>
      </c>
      <c r="IY52" s="6">
        <f>日流量!IY52*24*3600/100000000</f>
        <v>8.8127999999999993</v>
      </c>
      <c r="IZ52" s="6">
        <f>日流量!IZ52*24*3600/100000000</f>
        <v>7.6982400000000002</v>
      </c>
      <c r="JA52" s="6">
        <f>日流量!JA52*24*3600/100000000</f>
        <v>7.3612799999999998</v>
      </c>
      <c r="JB52" s="6">
        <f>日流量!JB52*24*3600/100000000</f>
        <v>7.4908799999999998</v>
      </c>
      <c r="JC52" s="6">
        <f>日流量!JC52*24*3600/100000000</f>
        <v>7.3440000000000003</v>
      </c>
      <c r="JD52" s="6">
        <f>日流量!JD52*24*3600/100000000</f>
        <v>8.0006400000000006</v>
      </c>
      <c r="JE52" s="6">
        <f>日流量!JE52*24*3600/100000000</f>
        <v>9.0719999999999992</v>
      </c>
      <c r="JF52" s="6">
        <f>日流量!JF52*24*3600/100000000</f>
        <v>9.8496000000000006</v>
      </c>
      <c r="JG52" s="6">
        <f>日流量!JG52*24*3600/100000000</f>
        <v>8.2166399999999999</v>
      </c>
      <c r="JH52" s="6">
        <f>日流量!JH52*24*3600/100000000</f>
        <v>6.3417599999999998</v>
      </c>
      <c r="JI52" s="6">
        <f>日流量!JI52*24*3600/100000000</f>
        <v>6.1862399999999997</v>
      </c>
      <c r="JJ52" s="6">
        <f>日流量!JJ52*24*3600/100000000</f>
        <v>5.7974399999999999</v>
      </c>
      <c r="JK52" s="6">
        <f>日流量!JK52*24*3600/100000000</f>
        <v>5.7283200000000001</v>
      </c>
      <c r="JL52" s="6">
        <f>日流量!JL52*24*3600/100000000</f>
        <v>7.2144000000000004</v>
      </c>
      <c r="JM52" s="6">
        <f>日流量!JM52*24*3600/100000000</f>
        <v>7.4390400000000003</v>
      </c>
      <c r="JN52" s="6">
        <f>日流量!JN52*24*3600/100000000</f>
        <v>5.8233600000000001</v>
      </c>
      <c r="JO52" s="6">
        <f>日流量!JO52*24*3600/100000000</f>
        <v>4.968</v>
      </c>
      <c r="JP52" s="6">
        <f>日流量!JP52*24*3600/100000000</f>
        <v>4.7865599999999997</v>
      </c>
      <c r="JQ52" s="6">
        <f>日流量!JQ52*24*3600/100000000</f>
        <v>4.5964799999999997</v>
      </c>
      <c r="JR52" s="6">
        <f>日流量!JR52*24*3600/100000000</f>
        <v>4.4150400000000003</v>
      </c>
      <c r="JS52" s="6">
        <f>日流量!JS52*24*3600/100000000</f>
        <v>4.3545600000000002</v>
      </c>
      <c r="JT52" s="6">
        <f>日流量!JT52*24*3600/100000000</f>
        <v>4.3027199999999999</v>
      </c>
      <c r="JU52" s="6">
        <f>日流量!JU52*24*3600/100000000</f>
        <v>4.1471999999999998</v>
      </c>
      <c r="JV52" s="6">
        <f>日流量!JV52*24*3600/100000000</f>
        <v>4.3977599999999999</v>
      </c>
      <c r="JW52" s="6">
        <f>日流量!JW52*24*3600/100000000</f>
        <v>5.2704000000000004</v>
      </c>
      <c r="JX52" s="6">
        <f>日流量!JX52*24*3600/100000000</f>
        <v>5.0803200000000004</v>
      </c>
      <c r="JY52" s="6">
        <f>日流量!JY52*24*3600/100000000</f>
        <v>5.0803200000000004</v>
      </c>
      <c r="JZ52" s="6">
        <f>日流量!JZ52*24*3600/100000000</f>
        <v>4.7692800000000002</v>
      </c>
      <c r="KA52" s="6">
        <f>日流量!KA52*24*3600/100000000</f>
        <v>4.9766399999999997</v>
      </c>
      <c r="KB52" s="6">
        <f>日流量!KB52*24*3600/100000000</f>
        <v>5.06304</v>
      </c>
      <c r="KC52" s="6">
        <f>日流量!KC52*24*3600/100000000</f>
        <v>4.8211199999999996</v>
      </c>
      <c r="KD52" s="6">
        <f>日流量!KD52*24*3600/100000000</f>
        <v>4.8556800000000004</v>
      </c>
      <c r="KE52" s="6">
        <f>日流量!KE52*24*3600/100000000</f>
        <v>4.8384</v>
      </c>
      <c r="KF52" s="6">
        <f>日流量!KF52*24*3600/100000000</f>
        <v>5.3222399999999999</v>
      </c>
      <c r="KG52" s="6">
        <f>日流量!KG52*24*3600/100000000</f>
        <v>5.0284800000000001</v>
      </c>
      <c r="KH52" s="6">
        <f>日流量!KH52*24*3600/100000000</f>
        <v>5.0889600000000002</v>
      </c>
      <c r="KI52" s="6">
        <f>日流量!KI52*24*3600/100000000</f>
        <v>6.1862399999999997</v>
      </c>
      <c r="KJ52" s="6">
        <f>日流量!KJ52*24*3600/100000000</f>
        <v>4.5792000000000002</v>
      </c>
      <c r="KK52" s="6">
        <f>日流量!KK52*24*3600/100000000</f>
        <v>5.5987200000000001</v>
      </c>
      <c r="KL52" s="6">
        <f>日流量!KL52*24*3600/100000000</f>
        <v>4.1040000000000001</v>
      </c>
      <c r="KM52" s="6">
        <f>日流量!KM52*24*3600/100000000</f>
        <v>4.9766399999999997</v>
      </c>
      <c r="KN52" s="6">
        <f>日流量!KN52*24*3600/100000000</f>
        <v>4.4063999999999997</v>
      </c>
      <c r="KO52" s="6">
        <f>日流量!KO52*24*3600/100000000</f>
        <v>5.2704000000000004</v>
      </c>
      <c r="KP52" s="6">
        <f>日流量!KP52*24*3600/100000000</f>
        <v>4.2854400000000004</v>
      </c>
      <c r="KQ52" s="6">
        <f>日流量!KQ52*24*3600/100000000</f>
        <v>4.1817599999999997</v>
      </c>
      <c r="KR52" s="6">
        <f>日流量!KR52*24*3600/100000000</f>
        <v>5.4345600000000003</v>
      </c>
      <c r="KS52" s="6">
        <f>日流量!KS52*24*3600/100000000</f>
        <v>3.8102399999999998</v>
      </c>
      <c r="KT52" s="6">
        <f>日流量!KT52*24*3600/100000000</f>
        <v>4.1212799999999996</v>
      </c>
      <c r="KU52" s="6">
        <f>日流量!KU52*24*3600/100000000</f>
        <v>4.4496000000000002</v>
      </c>
      <c r="KV52" s="6">
        <f>日流量!KV52*24*3600/100000000</f>
        <v>4.8124799999999999</v>
      </c>
      <c r="KW52" s="6">
        <f>日流量!KW52*24*3600/100000000</f>
        <v>5.0371199999999998</v>
      </c>
      <c r="KX52" s="6">
        <f>日流量!KX52*24*3600/100000000</f>
        <v>5.0716799999999997</v>
      </c>
      <c r="KY52" s="6">
        <f>日流量!KY52*24*3600/100000000</f>
        <v>5.3136000000000001</v>
      </c>
      <c r="KZ52" s="6">
        <f>日流量!KZ52*24*3600/100000000</f>
        <v>5.2099200000000003</v>
      </c>
      <c r="LA52" s="6">
        <f>日流量!LA52*24*3600/100000000</f>
        <v>4.9248000000000003</v>
      </c>
      <c r="LB52" s="6">
        <f>日流量!LB52*24*3600/100000000</f>
        <v>4.7260799999999996</v>
      </c>
      <c r="LC52" s="6">
        <f>日流量!LC52*24*3600/100000000</f>
        <v>4.5619199999999998</v>
      </c>
      <c r="LD52" s="6">
        <f>日流量!LD52*24*3600/100000000</f>
        <v>4.45824</v>
      </c>
      <c r="LE52" s="6">
        <f>日流量!LE52*24*3600/100000000</f>
        <v>4.1558400000000004</v>
      </c>
      <c r="LF52" s="6">
        <f>日流量!LF52*24*3600/100000000</f>
        <v>3.8879999999999999</v>
      </c>
      <c r="LG52" s="6">
        <f>日流量!LG52*24*3600/100000000</f>
        <v>3.7497600000000002</v>
      </c>
      <c r="LH52" s="6">
        <f>日流量!LH52*24*3600/100000000</f>
        <v>3.6374399999999998</v>
      </c>
      <c r="LI52" s="6">
        <f>日流量!LI52*24*3600/100000000</f>
        <v>3.6028799999999999</v>
      </c>
      <c r="LJ52" s="6">
        <f>日流量!LJ52*24*3600/100000000</f>
        <v>3.1708799999999999</v>
      </c>
      <c r="LK52" s="6">
        <f>日流量!LK52*24*3600/100000000</f>
        <v>3.2572800000000002</v>
      </c>
      <c r="LL52" s="6">
        <f>日流量!LL52*24*3600/100000000</f>
        <v>3.3091200000000001</v>
      </c>
      <c r="LM52" s="6">
        <f>日流量!LM52*24*3600/100000000</f>
        <v>3.7756799999999999</v>
      </c>
      <c r="LN52" s="6">
        <f>日流量!LN52*24*3600/100000000</f>
        <v>4.2422399999999998</v>
      </c>
      <c r="LO52" s="6">
        <f>日流量!LO52*24*3600/100000000</f>
        <v>4.3891200000000001</v>
      </c>
      <c r="LP52" s="6">
        <f>日流量!LP52*24*3600/100000000</f>
        <v>4.3804800000000004</v>
      </c>
      <c r="LQ52" s="6">
        <f>日流量!LQ52*24*3600/100000000</f>
        <v>4.4150400000000003</v>
      </c>
      <c r="LR52" s="6">
        <f>日流量!LR52*24*3600/100000000</f>
        <v>4.6137600000000001</v>
      </c>
      <c r="LS52" s="6">
        <f>日流量!LS52*24*3600/100000000</f>
        <v>4.4323199999999998</v>
      </c>
      <c r="LT52" s="6">
        <f>日流量!LT52*24*3600/100000000</f>
        <v>4.5964799999999997</v>
      </c>
      <c r="LU52" s="6">
        <f>日流量!LU52*24*3600/100000000</f>
        <v>4.1471999999999998</v>
      </c>
      <c r="LV52" s="6">
        <f>日流量!LV52*24*3600/100000000</f>
        <v>3.4819200000000001</v>
      </c>
      <c r="LW52" s="6">
        <f>日流量!LW52*24*3600/100000000</f>
        <v>2.43648</v>
      </c>
      <c r="LX52" s="6">
        <f>日流量!LX52*24*3600/100000000</f>
        <v>2.32416</v>
      </c>
      <c r="LY52" s="6">
        <f>日流量!LY52*24*3600/100000000</f>
        <v>2.2723200000000001</v>
      </c>
      <c r="LZ52" s="6">
        <f>日流量!LZ52*24*3600/100000000</f>
        <v>2.21184</v>
      </c>
      <c r="MA52" s="6">
        <f>日流量!MA52*24*3600/100000000</f>
        <v>2.1945600000000001</v>
      </c>
      <c r="MB52" s="6">
        <f>日流量!MB52*24*3600/100000000</f>
        <v>2.13408</v>
      </c>
      <c r="MC52" s="6">
        <f>日流量!MC52*24*3600/100000000</f>
        <v>2.0908799999999998</v>
      </c>
      <c r="MD52" s="6">
        <f>日流量!MD52*24*3600/100000000</f>
        <v>2.1081599999999998</v>
      </c>
      <c r="ME52" s="6">
        <f>日流量!ME52*24*3600/100000000</f>
        <v>2.0476800000000002</v>
      </c>
      <c r="MF52" s="6">
        <f>日流量!MF52*24*3600/100000000</f>
        <v>2.0563199999999999</v>
      </c>
      <c r="MG52" s="6">
        <f>日流量!MG52*24*3600/100000000</f>
        <v>2.03904</v>
      </c>
      <c r="MH52" s="6">
        <f>日流量!MH52*24*3600/100000000</f>
        <v>2.0563199999999999</v>
      </c>
      <c r="MI52" s="6">
        <f>日流量!MI52*24*3600/100000000</f>
        <v>1.9785600000000001</v>
      </c>
      <c r="MJ52" s="6">
        <f>日流量!MJ52*24*3600/100000000</f>
        <v>1.944</v>
      </c>
      <c r="MK52" s="6">
        <f>日流量!MK52*24*3600/100000000</f>
        <v>1.9699199999999999</v>
      </c>
      <c r="ML52" s="6">
        <f>日流量!ML52*24*3600/100000000</f>
        <v>1.9526399999999999</v>
      </c>
      <c r="MM52" s="6">
        <f>日流量!MM52*24*3600/100000000</f>
        <v>1.9872000000000001</v>
      </c>
      <c r="MN52" s="6">
        <f>日流量!MN52*24*3600/100000000</f>
        <v>2.0476800000000002</v>
      </c>
      <c r="MO52" s="6">
        <f>日流量!MO52*24*3600/100000000</f>
        <v>1.9872000000000001</v>
      </c>
      <c r="MP52" s="6">
        <f>日流量!MP52*24*3600/100000000</f>
        <v>1.9612799999999999</v>
      </c>
      <c r="MQ52" s="6">
        <f>日流量!MQ52*24*3600/100000000</f>
        <v>1.8835200000000001</v>
      </c>
      <c r="MR52" s="6">
        <f>日流量!MR52*24*3600/100000000</f>
        <v>1.82304</v>
      </c>
      <c r="MS52" s="6">
        <f>日流量!MS52*24*3600/100000000</f>
        <v>1.7712000000000001</v>
      </c>
      <c r="MT52" s="6">
        <f>日流量!MT52*24*3600/100000000</f>
        <v>1.8144</v>
      </c>
      <c r="MU52" s="6">
        <f>日流量!MU52*24*3600/100000000</f>
        <v>1.84032</v>
      </c>
      <c r="MV52" s="6">
        <f>日流量!MV52*24*3600/100000000</f>
        <v>1.6675199999999999</v>
      </c>
      <c r="MW52" s="6">
        <f>日流量!MW52*24*3600/100000000</f>
        <v>1.6415999999999999</v>
      </c>
      <c r="MX52" s="6">
        <f>日流量!MX52*24*3600/100000000</f>
        <v>1.6934400000000001</v>
      </c>
      <c r="MY52" s="6">
        <f>日流量!MY52*24*3600/100000000</f>
        <v>1.7625599999999999</v>
      </c>
      <c r="MZ52" s="6">
        <f>日流量!MZ52*24*3600/100000000</f>
        <v>1.7884800000000001</v>
      </c>
      <c r="NA52" s="6">
        <f>日流量!NA52*24*3600/100000000</f>
        <v>1.80576</v>
      </c>
      <c r="NB52" s="6">
        <f>日流量!NB52*24*3600/100000000</f>
        <v>1.7971200000000001</v>
      </c>
      <c r="NC52" s="6"/>
      <c r="ND52" s="6">
        <f>日流量!ND52*24*3600*31/100000000</f>
        <v>53.835839999999997</v>
      </c>
      <c r="NE52" s="6">
        <f>日流量!NE52*24*3600*28/100000000</f>
        <v>44.997120000000002</v>
      </c>
      <c r="NF52" s="6">
        <f>日流量!NF52*24*3600*31/100000000</f>
        <v>32.944319999999998</v>
      </c>
      <c r="NG52" s="6">
        <f>日流量!NG52*24*3600*30/100000000</f>
        <v>31.103999999999999</v>
      </c>
      <c r="NH52" s="6">
        <f>日流量!NH52*24*3600*31/100000000</f>
        <v>41.5152</v>
      </c>
      <c r="NI52" s="6">
        <f>日流量!NI52*24*3600*30/100000000</f>
        <v>147.22559999999999</v>
      </c>
      <c r="NJ52" s="6">
        <f>日流量!NJ52*24*3600*31/100000000</f>
        <v>294.62400000000002</v>
      </c>
      <c r="NK52" s="6">
        <f>日流量!NK52*24*3600*31/100000000</f>
        <v>263.82240000000002</v>
      </c>
      <c r="NL52" s="6">
        <f>日流量!NL52*24*3600*30/100000000</f>
        <v>277.34399999999999</v>
      </c>
      <c r="NM52" s="6">
        <f>日流量!NM52*24*3600*31/100000000</f>
        <v>148.11552</v>
      </c>
      <c r="NN52" s="6">
        <f>日流量!NN52*24*3600*30/100000000</f>
        <v>124.6752</v>
      </c>
      <c r="NO52" s="6">
        <f>日流量!NO52*24*3600*31/100000000</f>
        <v>59.996160000000003</v>
      </c>
      <c r="NP52" s="14">
        <f t="shared" si="10"/>
        <v>1520.1993599999998</v>
      </c>
      <c r="NQ52" s="6">
        <f>日流量!NQ52*24*3600/100000000</f>
        <v>15.2928</v>
      </c>
      <c r="NR52" s="4">
        <f>日流量!NR52</f>
        <v>42617</v>
      </c>
      <c r="NS52" s="6">
        <f>日流量!NS52*24*3600/100000000</f>
        <v>0.89856000000000003</v>
      </c>
      <c r="NT52" s="4">
        <f>日流量!NT52</f>
        <v>42490</v>
      </c>
      <c r="NU52" s="7">
        <f>日流量!NP52</f>
        <v>4823.6438356164381</v>
      </c>
      <c r="NW52" s="13">
        <f t="shared" si="0"/>
        <v>1172.6467200000002</v>
      </c>
      <c r="NX52" s="12">
        <f t="shared" si="1"/>
        <v>77.137693308856555</v>
      </c>
      <c r="NY52" s="13">
        <f t="shared" si="2"/>
        <v>983.01600000000008</v>
      </c>
      <c r="NZ52" s="12">
        <f t="shared" si="3"/>
        <v>64.663624118352487</v>
      </c>
      <c r="OA52" s="13">
        <f t="shared" si="4"/>
        <v>347.55263999999966</v>
      </c>
      <c r="OB52" s="12">
        <f t="shared" si="5"/>
        <v>22.862306691143434</v>
      </c>
      <c r="OC52" s="13">
        <f t="shared" si="6"/>
        <v>294.62400000000002</v>
      </c>
      <c r="OD52" s="12">
        <f t="shared" si="7"/>
        <v>19.380615973946998</v>
      </c>
      <c r="OE52" s="12">
        <f t="shared" si="8"/>
        <v>355.18676635514015</v>
      </c>
      <c r="OF52" s="12">
        <f t="shared" si="9"/>
        <v>11.262898476507488</v>
      </c>
    </row>
    <row r="53" spans="1:396" x14ac:dyDescent="0.15">
      <c r="A53" s="2">
        <v>2000</v>
      </c>
      <c r="B53" s="6">
        <f>日流量!B53*24*3600/100000000</f>
        <v>1.61568</v>
      </c>
      <c r="C53" s="6">
        <f>日流量!C53*24*3600/100000000</f>
        <v>1.4774400000000001</v>
      </c>
      <c r="D53" s="6">
        <f>日流量!D53*24*3600/100000000</f>
        <v>1.41696</v>
      </c>
      <c r="E53" s="6">
        <f>日流量!E53*24*3600/100000000</f>
        <v>1.50336</v>
      </c>
      <c r="F53" s="6">
        <f>日流量!F53*24*3600/100000000</f>
        <v>1.6848000000000001</v>
      </c>
      <c r="G53" s="6">
        <f>日流量!G53*24*3600/100000000</f>
        <v>1.6934400000000001</v>
      </c>
      <c r="H53" s="6">
        <f>日流量!H53*24*3600/100000000</f>
        <v>1.6415999999999999</v>
      </c>
      <c r="I53" s="6">
        <f>日流量!I53*24*3600/100000000</f>
        <v>1.5897600000000001</v>
      </c>
      <c r="J53" s="6">
        <f>日流量!J53*24*3600/100000000</f>
        <v>1.53792</v>
      </c>
      <c r="K53" s="6">
        <f>日流量!K53*24*3600/100000000</f>
        <v>1.49472</v>
      </c>
      <c r="L53" s="6">
        <f>日流量!L53*24*3600/100000000</f>
        <v>1.50336</v>
      </c>
      <c r="M53" s="6">
        <f>日流量!M53*24*3600/100000000</f>
        <v>1.5638399999999999</v>
      </c>
      <c r="N53" s="6">
        <f>日流量!N53*24*3600/100000000</f>
        <v>1.5638399999999999</v>
      </c>
      <c r="O53" s="6">
        <f>日流量!O53*24*3600/100000000</f>
        <v>1.5984</v>
      </c>
      <c r="P53" s="6">
        <f>日流量!P53*24*3600/100000000</f>
        <v>1.5811200000000001</v>
      </c>
      <c r="Q53" s="6">
        <f>日流量!Q53*24*3600/100000000</f>
        <v>1.5551999999999999</v>
      </c>
      <c r="R53" s="6">
        <f>日流量!R53*24*3600/100000000</f>
        <v>1.49472</v>
      </c>
      <c r="S53" s="6">
        <f>日流量!S53*24*3600/100000000</f>
        <v>1.4515199999999999</v>
      </c>
      <c r="T53" s="6">
        <f>日流量!T53*24*3600/100000000</f>
        <v>1.4515199999999999</v>
      </c>
      <c r="U53" s="6">
        <f>日流量!U53*24*3600/100000000</f>
        <v>1.3910400000000001</v>
      </c>
      <c r="V53" s="6">
        <f>日流量!V53*24*3600/100000000</f>
        <v>1.53792</v>
      </c>
      <c r="W53" s="6">
        <f>日流量!W53*24*3600/100000000</f>
        <v>1.5811200000000001</v>
      </c>
      <c r="X53" s="6">
        <f>日流量!X53*24*3600/100000000</f>
        <v>1.512</v>
      </c>
      <c r="Y53" s="6">
        <f>日流量!Y53*24*3600/100000000</f>
        <v>1.512</v>
      </c>
      <c r="Z53" s="6">
        <f>日流量!Z53*24*3600/100000000</f>
        <v>1.43424</v>
      </c>
      <c r="AA53" s="6">
        <f>日流量!AA53*24*3600/100000000</f>
        <v>1.4774400000000001</v>
      </c>
      <c r="AB53" s="6">
        <f>日流量!AB53*24*3600/100000000</f>
        <v>1.4774400000000001</v>
      </c>
      <c r="AC53" s="6">
        <f>日流量!AC53*24*3600/100000000</f>
        <v>1.4688000000000001</v>
      </c>
      <c r="AD53" s="6">
        <f>日流量!AD53*24*3600/100000000</f>
        <v>1.4688000000000001</v>
      </c>
      <c r="AE53" s="6">
        <f>日流量!AE53*24*3600/100000000</f>
        <v>1.4774400000000001</v>
      </c>
      <c r="AF53" s="6">
        <f>日流量!AF53*24*3600/100000000</f>
        <v>1.4688000000000001</v>
      </c>
      <c r="AG53" s="6">
        <f>日流量!AG53*24*3600/100000000</f>
        <v>1.5465599999999999</v>
      </c>
      <c r="AH53" s="6">
        <f>日流量!AH53*24*3600/100000000</f>
        <v>1.41696</v>
      </c>
      <c r="AI53" s="6">
        <f>日流量!AI53*24*3600/100000000</f>
        <v>1.4688000000000001</v>
      </c>
      <c r="AJ53" s="6">
        <f>日流量!AJ53*24*3600/100000000</f>
        <v>1.52928</v>
      </c>
      <c r="AK53" s="6">
        <f>日流量!AK53*24*3600/100000000</f>
        <v>1.4428799999999999</v>
      </c>
      <c r="AL53" s="6">
        <f>日流量!AL53*24*3600/100000000</f>
        <v>1.3737600000000001</v>
      </c>
      <c r="AM53" s="6">
        <f>日流量!AM53*24*3600/100000000</f>
        <v>1.2614399999999999</v>
      </c>
      <c r="AN53" s="6">
        <f>日流量!AN53*24*3600/100000000</f>
        <v>1.2614399999999999</v>
      </c>
      <c r="AO53" s="6">
        <f>日流量!AO53*24*3600/100000000</f>
        <v>1.2787200000000001</v>
      </c>
      <c r="AP53" s="6">
        <f>日流量!AP53*24*3600/100000000</f>
        <v>1.39968</v>
      </c>
      <c r="AQ53" s="6">
        <f>日流量!AQ53*24*3600/100000000</f>
        <v>1.4256</v>
      </c>
      <c r="AR53" s="6">
        <f>日流量!AR53*24*3600/100000000</f>
        <v>1.41696</v>
      </c>
      <c r="AS53" s="6">
        <f>日流量!AS53*24*3600/100000000</f>
        <v>1.41696</v>
      </c>
      <c r="AT53" s="6">
        <f>日流量!AT53*24*3600/100000000</f>
        <v>1.4774400000000001</v>
      </c>
      <c r="AU53" s="6">
        <f>日流量!AU53*24*3600/100000000</f>
        <v>1.43424</v>
      </c>
      <c r="AV53" s="6">
        <f>日流量!AV53*24*3600/100000000</f>
        <v>1.40832</v>
      </c>
      <c r="AW53" s="6">
        <f>日流量!AW53*24*3600/100000000</f>
        <v>1.3478399999999999</v>
      </c>
      <c r="AX53" s="6">
        <f>日流量!AX53*24*3600/100000000</f>
        <v>1.3478399999999999</v>
      </c>
      <c r="AY53" s="6">
        <f>日流量!AY53*24*3600/100000000</f>
        <v>1.3824000000000001</v>
      </c>
      <c r="AZ53" s="6">
        <f>日流量!AZ53*24*3600/100000000</f>
        <v>1.3737600000000001</v>
      </c>
      <c r="BA53" s="6">
        <f>日流量!BA53*24*3600/100000000</f>
        <v>1.3824000000000001</v>
      </c>
      <c r="BB53" s="6">
        <f>日流量!BB53*24*3600/100000000</f>
        <v>1.3651199999999999</v>
      </c>
      <c r="BC53" s="6">
        <f>日流量!BC53*24*3600/100000000</f>
        <v>1.32192</v>
      </c>
      <c r="BD53" s="6">
        <f>日流量!BD53*24*3600/100000000</f>
        <v>1.3824000000000001</v>
      </c>
      <c r="BE53" s="6">
        <f>日流量!BE53*24*3600/100000000</f>
        <v>1.3391999999999999</v>
      </c>
      <c r="BF53" s="6">
        <f>日流量!BF53*24*3600/100000000</f>
        <v>1.3391999999999999</v>
      </c>
      <c r="BG53" s="6">
        <f>日流量!BG53*24*3600/100000000</f>
        <v>1.31328</v>
      </c>
      <c r="BH53" s="6">
        <f>日流量!BH53*24*3600/100000000</f>
        <v>1.3824000000000001</v>
      </c>
      <c r="BI53" s="6">
        <f>日流量!BI53*24*3600/100000000</f>
        <v>1.40832</v>
      </c>
      <c r="BJ53" s="6">
        <f>日流量!BJ53*24*3600/100000000</f>
        <v>1.4256</v>
      </c>
      <c r="BK53" s="6">
        <f>日流量!BK53*24*3600/100000000</f>
        <v>1.4428799999999999</v>
      </c>
      <c r="BL53" s="6">
        <f>日流量!BL53*24*3600/100000000</f>
        <v>1.4256</v>
      </c>
      <c r="BM53" s="6">
        <f>日流量!BM53*24*3600/100000000</f>
        <v>1.39968</v>
      </c>
      <c r="BN53" s="6">
        <f>日流量!BN53*24*3600/100000000</f>
        <v>1.4515199999999999</v>
      </c>
      <c r="BO53" s="6">
        <f>日流量!BO53*24*3600/100000000</f>
        <v>1.41696</v>
      </c>
      <c r="BP53" s="6">
        <f>日流量!BP53*24*3600/100000000</f>
        <v>1.39968</v>
      </c>
      <c r="BQ53" s="6">
        <f>日流量!BQ53*24*3600/100000000</f>
        <v>1.3824000000000001</v>
      </c>
      <c r="BR53" s="6">
        <f>日流量!BR53*24*3600/100000000</f>
        <v>1.3910400000000001</v>
      </c>
      <c r="BS53" s="6">
        <f>日流量!BS53*24*3600/100000000</f>
        <v>1.4688000000000001</v>
      </c>
      <c r="BT53" s="6">
        <f>日流量!BT53*24*3600/100000000</f>
        <v>1.4515199999999999</v>
      </c>
      <c r="BU53" s="6">
        <f>日流量!BU53*24*3600/100000000</f>
        <v>1.4515199999999999</v>
      </c>
      <c r="BV53" s="6">
        <f>日流量!BV53*24*3600/100000000</f>
        <v>1.4428799999999999</v>
      </c>
      <c r="BW53" s="6">
        <f>日流量!BW53*24*3600/100000000</f>
        <v>1.4256</v>
      </c>
      <c r="BX53" s="6">
        <f>日流量!BX53*24*3600/100000000</f>
        <v>1.4601599999999999</v>
      </c>
      <c r="BY53" s="6">
        <f>日流量!BY53*24*3600/100000000</f>
        <v>1.40832</v>
      </c>
      <c r="BZ53" s="6">
        <f>日流量!BZ53*24*3600/100000000</f>
        <v>1.296</v>
      </c>
      <c r="CA53" s="6">
        <f>日流量!CA53*24*3600/100000000</f>
        <v>1.2700800000000001</v>
      </c>
      <c r="CB53" s="6">
        <f>日流量!CB53*24*3600/100000000</f>
        <v>1.33056</v>
      </c>
      <c r="CC53" s="6">
        <f>日流量!CC53*24*3600/100000000</f>
        <v>1.31328</v>
      </c>
      <c r="CD53" s="6">
        <f>日流量!CD53*24*3600/100000000</f>
        <v>1.30464</v>
      </c>
      <c r="CE53" s="6">
        <f>日流量!CE53*24*3600/100000000</f>
        <v>1.296</v>
      </c>
      <c r="CF53" s="6">
        <f>日流量!CF53*24*3600/100000000</f>
        <v>1.2527999999999999</v>
      </c>
      <c r="CG53" s="6">
        <f>日流量!CG53*24*3600/100000000</f>
        <v>1.10592</v>
      </c>
      <c r="CH53" s="6">
        <f>日流量!CH53*24*3600/100000000</f>
        <v>1.22688</v>
      </c>
      <c r="CI53" s="6">
        <f>日流量!CI53*24*3600/100000000</f>
        <v>1.2873600000000001</v>
      </c>
      <c r="CJ53" s="6">
        <f>日流量!CJ53*24*3600/100000000</f>
        <v>1.2614399999999999</v>
      </c>
      <c r="CK53" s="6">
        <f>日流量!CK53*24*3600/100000000</f>
        <v>1.296</v>
      </c>
      <c r="CL53" s="6">
        <f>日流量!CL53*24*3600/100000000</f>
        <v>1.30464</v>
      </c>
      <c r="CM53" s="6">
        <f>日流量!CM53*24*3600/100000000</f>
        <v>1.31328</v>
      </c>
      <c r="CN53" s="6">
        <f>日流量!CN53*24*3600/100000000</f>
        <v>1.2787200000000001</v>
      </c>
      <c r="CO53" s="6">
        <f>日流量!CO53*24*3600/100000000</f>
        <v>1.2873600000000001</v>
      </c>
      <c r="CP53" s="6">
        <f>日流量!CP53*24*3600/100000000</f>
        <v>1.33056</v>
      </c>
      <c r="CQ53" s="6">
        <f>日流量!CQ53*24*3600/100000000</f>
        <v>1.3737600000000001</v>
      </c>
      <c r="CR53" s="6">
        <f>日流量!CR53*24*3600/100000000</f>
        <v>1.30464</v>
      </c>
      <c r="CS53" s="6">
        <f>日流量!CS53*24*3600/100000000</f>
        <v>1.4428799999999999</v>
      </c>
      <c r="CT53" s="6">
        <f>日流量!CT53*24*3600/100000000</f>
        <v>1.512</v>
      </c>
      <c r="CU53" s="6">
        <f>日流量!CU53*24*3600/100000000</f>
        <v>1.5811200000000001</v>
      </c>
      <c r="CV53" s="6">
        <f>日流量!CV53*24*3600/100000000</f>
        <v>1.5724800000000001</v>
      </c>
      <c r="CW53" s="6">
        <f>日流量!CW53*24*3600/100000000</f>
        <v>1.61568</v>
      </c>
      <c r="CX53" s="6">
        <f>日流量!CX53*24*3600/100000000</f>
        <v>1.5897600000000001</v>
      </c>
      <c r="CY53" s="6">
        <f>日流量!CY53*24*3600/100000000</f>
        <v>1.4860800000000001</v>
      </c>
      <c r="CZ53" s="6">
        <f>日流量!CZ53*24*3600/100000000</f>
        <v>1.32192</v>
      </c>
      <c r="DA53" s="6">
        <f>日流量!DA53*24*3600/100000000</f>
        <v>1.296</v>
      </c>
      <c r="DB53" s="6">
        <f>日流量!DB53*24*3600/100000000</f>
        <v>1.2873600000000001</v>
      </c>
      <c r="DC53" s="6">
        <f>日流量!DC53*24*3600/100000000</f>
        <v>1.2787200000000001</v>
      </c>
      <c r="DD53" s="6">
        <f>日流量!DD53*24*3600/100000000</f>
        <v>1.3824000000000001</v>
      </c>
      <c r="DE53" s="6">
        <f>日流量!DE53*24*3600/100000000</f>
        <v>1.4601599999999999</v>
      </c>
      <c r="DF53" s="6">
        <f>日流量!DF53*24*3600/100000000</f>
        <v>1.4860800000000001</v>
      </c>
      <c r="DG53" s="6">
        <f>日流量!DG53*24*3600/100000000</f>
        <v>1.50336</v>
      </c>
      <c r="DH53" s="6">
        <f>日流量!DH53*24*3600/100000000</f>
        <v>1.49472</v>
      </c>
      <c r="DI53" s="6">
        <f>日流量!DI53*24*3600/100000000</f>
        <v>1.3910400000000001</v>
      </c>
      <c r="DJ53" s="6">
        <f>日流量!DJ53*24*3600/100000000</f>
        <v>1.2614399999999999</v>
      </c>
      <c r="DK53" s="6">
        <f>日流量!DK53*24*3600/100000000</f>
        <v>1.2700800000000001</v>
      </c>
      <c r="DL53" s="6">
        <f>日流量!DL53*24*3600/100000000</f>
        <v>1.3737600000000001</v>
      </c>
      <c r="DM53" s="6">
        <f>日流量!DM53*24*3600/100000000</f>
        <v>1.4774400000000001</v>
      </c>
      <c r="DN53" s="6">
        <f>日流量!DN53*24*3600/100000000</f>
        <v>1.4774400000000001</v>
      </c>
      <c r="DO53" s="6">
        <f>日流量!DO53*24*3600/100000000</f>
        <v>1.50336</v>
      </c>
      <c r="DP53" s="6">
        <f>日流量!DP53*24*3600/100000000</f>
        <v>1.52064</v>
      </c>
      <c r="DQ53" s="6">
        <f>日流量!DQ53*24*3600/100000000</f>
        <v>1.53792</v>
      </c>
      <c r="DR53" s="6">
        <f>日流量!DR53*24*3600/100000000</f>
        <v>1.6848000000000001</v>
      </c>
      <c r="DS53" s="6">
        <f>日流量!DS53*24*3600/100000000</f>
        <v>1.5465599999999999</v>
      </c>
      <c r="DT53" s="6">
        <f>日流量!DT53*24*3600/100000000</f>
        <v>1.41696</v>
      </c>
      <c r="DU53" s="6">
        <f>日流量!DU53*24*3600/100000000</f>
        <v>1.43424</v>
      </c>
      <c r="DV53" s="6">
        <f>日流量!DV53*24*3600/100000000</f>
        <v>1.52928</v>
      </c>
      <c r="DW53" s="6">
        <f>日流量!DW53*24*3600/100000000</f>
        <v>1.6502399999999999</v>
      </c>
      <c r="DX53" s="6">
        <f>日流量!DX53*24*3600/100000000</f>
        <v>1.8144</v>
      </c>
      <c r="DY53" s="6">
        <f>日流量!DY53*24*3600/100000000</f>
        <v>1.84032</v>
      </c>
      <c r="DZ53" s="6">
        <f>日流量!DZ53*24*3600/100000000</f>
        <v>1.71936</v>
      </c>
      <c r="EA53" s="6">
        <f>日流量!EA53*24*3600/100000000</f>
        <v>1.63296</v>
      </c>
      <c r="EB53" s="6">
        <f>日流量!EB53*24*3600/100000000</f>
        <v>1.5551999999999999</v>
      </c>
      <c r="EC53" s="6">
        <f>日流量!EC53*24*3600/100000000</f>
        <v>1.63296</v>
      </c>
      <c r="ED53" s="6">
        <f>日流量!ED53*24*3600/100000000</f>
        <v>1.7452799999999999</v>
      </c>
      <c r="EE53" s="6">
        <f>日流量!EE53*24*3600/100000000</f>
        <v>1.9958400000000001</v>
      </c>
      <c r="EF53" s="6">
        <f>日流量!EF53*24*3600/100000000</f>
        <v>2.0304000000000002</v>
      </c>
      <c r="EG53" s="6">
        <f>日流量!EG53*24*3600/100000000</f>
        <v>2.03904</v>
      </c>
      <c r="EH53" s="6">
        <f>日流量!EH53*24*3600/100000000</f>
        <v>1.9872000000000001</v>
      </c>
      <c r="EI53" s="6">
        <f>日流量!EI53*24*3600/100000000</f>
        <v>1.7971200000000001</v>
      </c>
      <c r="EJ53" s="6">
        <f>日流量!EJ53*24*3600/100000000</f>
        <v>1.7798400000000001</v>
      </c>
      <c r="EK53" s="6">
        <f>日流量!EK53*24*3600/100000000</f>
        <v>1.9699199999999999</v>
      </c>
      <c r="EL53" s="6">
        <f>日流量!EL53*24*3600/100000000</f>
        <v>2.21184</v>
      </c>
      <c r="EM53" s="6">
        <f>日流量!EM53*24*3600/100000000</f>
        <v>2.6956799999999999</v>
      </c>
      <c r="EN53" s="6">
        <f>日流量!EN53*24*3600/100000000</f>
        <v>3.74112</v>
      </c>
      <c r="EO53" s="6">
        <f>日流量!EO53*24*3600/100000000</f>
        <v>3.8707199999999999</v>
      </c>
      <c r="EP53" s="6">
        <f>日流量!EP53*24*3600/100000000</f>
        <v>4.0262399999999996</v>
      </c>
      <c r="EQ53" s="6">
        <f>日流量!EQ53*24*3600/100000000</f>
        <v>3.8448000000000002</v>
      </c>
      <c r="ER53" s="6">
        <f>日流量!ER53*24*3600/100000000</f>
        <v>3.9916800000000001</v>
      </c>
      <c r="ES53" s="6">
        <f>日流量!ES53*24*3600/100000000</f>
        <v>4.2940800000000001</v>
      </c>
      <c r="ET53" s="6">
        <f>日流量!ET53*24*3600/100000000</f>
        <v>4.5705600000000004</v>
      </c>
      <c r="EU53" s="6">
        <f>日流量!EU53*24*3600/100000000</f>
        <v>4.7001600000000003</v>
      </c>
      <c r="EV53" s="6">
        <f>日流量!EV53*24*3600/100000000</f>
        <v>4.5792000000000002</v>
      </c>
      <c r="EW53" s="6">
        <f>日流量!EW53*24*3600/100000000</f>
        <v>4.4150400000000003</v>
      </c>
      <c r="EX53" s="6">
        <f>日流量!EX53*24*3600/100000000</f>
        <v>4.4841600000000001</v>
      </c>
      <c r="EY53" s="6">
        <f>日流量!EY53*24*3600/100000000</f>
        <v>4.5705600000000004</v>
      </c>
      <c r="EZ53" s="6">
        <f>日流量!EZ53*24*3600/100000000</f>
        <v>4.4063999999999997</v>
      </c>
      <c r="FA53" s="6">
        <f>日流量!FA53*24*3600/100000000</f>
        <v>4.5705600000000004</v>
      </c>
      <c r="FB53" s="6">
        <f>日流量!FB53*24*3600/100000000</f>
        <v>4.8384</v>
      </c>
      <c r="FC53" s="6">
        <f>日流量!FC53*24*3600/100000000</f>
        <v>4.7174399999999999</v>
      </c>
      <c r="FD53" s="6">
        <f>日流量!FD53*24*3600/100000000</f>
        <v>4.968</v>
      </c>
      <c r="FE53" s="6">
        <f>日流量!FE53*24*3600/100000000</f>
        <v>5.2099200000000003</v>
      </c>
      <c r="FF53" s="6">
        <f>日流量!FF53*24*3600/100000000</f>
        <v>5.1840000000000002</v>
      </c>
      <c r="FG53" s="6">
        <f>日流量!FG53*24*3600/100000000</f>
        <v>5.3827199999999999</v>
      </c>
      <c r="FH53" s="6">
        <f>日流量!FH53*24*3600/100000000</f>
        <v>5.4604799999999996</v>
      </c>
      <c r="FI53" s="6">
        <f>日流量!FI53*24*3600/100000000</f>
        <v>5.6505599999999996</v>
      </c>
      <c r="FJ53" s="6">
        <f>日流量!FJ53*24*3600/100000000</f>
        <v>5.8233600000000001</v>
      </c>
      <c r="FK53" s="6">
        <f>日流量!FK53*24*3600/100000000</f>
        <v>6.0911999999999997</v>
      </c>
      <c r="FL53" s="6">
        <f>日流量!FL53*24*3600/100000000</f>
        <v>6.5232000000000001</v>
      </c>
      <c r="FM53" s="6">
        <f>日流量!FM53*24*3600/100000000</f>
        <v>8.0006400000000006</v>
      </c>
      <c r="FN53" s="6">
        <f>日流量!FN53*24*3600/100000000</f>
        <v>8.4326399999999992</v>
      </c>
      <c r="FO53" s="6">
        <f>日流量!FO53*24*3600/100000000</f>
        <v>8.0611200000000007</v>
      </c>
      <c r="FP53" s="6">
        <f>日流量!FP53*24*3600/100000000</f>
        <v>7.2057599999999997</v>
      </c>
      <c r="FQ53" s="6">
        <f>日流量!FQ53*24*3600/100000000</f>
        <v>7.8710399999999998</v>
      </c>
      <c r="FR53" s="6">
        <f>日流量!FR53*24*3600/100000000</f>
        <v>8.2425599999999992</v>
      </c>
      <c r="FS53" s="6">
        <f>日流量!FS53*24*3600/100000000</f>
        <v>7.3267199999999999</v>
      </c>
      <c r="FT53" s="6">
        <f>日流量!FT53*24*3600/100000000</f>
        <v>6.3503999999999996</v>
      </c>
      <c r="FU53" s="6">
        <f>日流量!FU53*24*3600/100000000</f>
        <v>5.6246400000000003</v>
      </c>
      <c r="FV53" s="6">
        <f>日流量!FV53*24*3600/100000000</f>
        <v>4.8384</v>
      </c>
      <c r="FW53" s="6">
        <f>日流量!FW53*24*3600/100000000</f>
        <v>4.8297600000000003</v>
      </c>
      <c r="FX53" s="6">
        <f>日流量!FX53*24*3600/100000000</f>
        <v>4.6137600000000001</v>
      </c>
      <c r="FY53" s="6">
        <f>日流量!FY53*24*3600/100000000</f>
        <v>5.2358399999999996</v>
      </c>
      <c r="FZ53" s="6">
        <f>日流量!FZ53*24*3600/100000000</f>
        <v>6.7392000000000003</v>
      </c>
      <c r="GA53" s="6">
        <f>日流量!GA53*24*3600/100000000</f>
        <v>8.2598400000000005</v>
      </c>
      <c r="GB53" s="6">
        <f>日流量!GB53*24*3600/100000000</f>
        <v>9.1584000000000003</v>
      </c>
      <c r="GC53" s="6">
        <f>日流量!GC53*24*3600/100000000</f>
        <v>8.7263999999999999</v>
      </c>
      <c r="GD53" s="6">
        <f>日流量!GD53*24*3600/100000000</f>
        <v>7.7414399999999999</v>
      </c>
      <c r="GE53" s="6">
        <f>日流量!GE53*24*3600/100000000</f>
        <v>7.89696</v>
      </c>
      <c r="GF53" s="6">
        <f>日流量!GF53*24*3600/100000000</f>
        <v>8.8127999999999993</v>
      </c>
      <c r="GG53" s="6">
        <f>日流量!GG53*24*3600/100000000</f>
        <v>8.5449599999999997</v>
      </c>
      <c r="GH53" s="6">
        <f>日流量!GH53*24*3600/100000000</f>
        <v>8.2425599999999992</v>
      </c>
      <c r="GI53" s="6">
        <f>日流量!GI53*24*3600/100000000</f>
        <v>7.6982400000000002</v>
      </c>
      <c r="GJ53" s="6">
        <f>日流量!GJ53*24*3600/100000000</f>
        <v>8.8127999999999993</v>
      </c>
      <c r="GK53" s="6">
        <f>日流量!GK53*24*3600/100000000</f>
        <v>9.6768000000000001</v>
      </c>
      <c r="GL53" s="6">
        <f>日流量!GL53*24*3600/100000000</f>
        <v>9.9359999999999999</v>
      </c>
      <c r="GM53" s="6">
        <f>日流量!GM53*24*3600/100000000</f>
        <v>10.8864</v>
      </c>
      <c r="GN53" s="6">
        <f>日流量!GN53*24*3600/100000000</f>
        <v>11.9232</v>
      </c>
      <c r="GO53" s="6">
        <f>日流量!GO53*24*3600/100000000</f>
        <v>12.268800000000001</v>
      </c>
      <c r="GP53" s="6">
        <f>日流量!GP53*24*3600/100000000</f>
        <v>13.1328</v>
      </c>
      <c r="GQ53" s="6">
        <f>日流量!GQ53*24*3600/100000000</f>
        <v>13.5648</v>
      </c>
      <c r="GR53" s="6">
        <f>日流量!GR53*24*3600/100000000</f>
        <v>12.700799999999999</v>
      </c>
      <c r="GS53" s="6">
        <f>日流量!GS53*24*3600/100000000</f>
        <v>11.5776</v>
      </c>
      <c r="GT53" s="6">
        <f>日流量!GT53*24*3600/100000000</f>
        <v>10.022399999999999</v>
      </c>
      <c r="GU53" s="6">
        <f>日流量!GU53*24*3600/100000000</f>
        <v>9.5904000000000007</v>
      </c>
      <c r="GV53" s="6">
        <f>日流量!GV53*24*3600/100000000</f>
        <v>8.4153599999999997</v>
      </c>
      <c r="GW53" s="6">
        <f>日流量!GW53*24*3600/100000000</f>
        <v>7.2576000000000001</v>
      </c>
      <c r="GX53" s="6">
        <f>日流量!GX53*24*3600/100000000</f>
        <v>7.1539200000000003</v>
      </c>
      <c r="GY53" s="6">
        <f>日流量!GY53*24*3600/100000000</f>
        <v>6.9897600000000004</v>
      </c>
      <c r="GZ53" s="6">
        <f>日流量!GZ53*24*3600/100000000</f>
        <v>6.8601599999999996</v>
      </c>
      <c r="HA53" s="6">
        <f>日流量!HA53*24*3600/100000000</f>
        <v>6.7219199999999999</v>
      </c>
      <c r="HB53" s="6">
        <f>日流量!HB53*24*3600/100000000</f>
        <v>6.5491200000000003</v>
      </c>
      <c r="HC53" s="6">
        <f>日流量!HC53*24*3600/100000000</f>
        <v>6.46272</v>
      </c>
      <c r="HD53" s="6">
        <f>日流量!HD53*24*3600/100000000</f>
        <v>6.0739200000000002</v>
      </c>
      <c r="HE53" s="6">
        <f>日流量!HE53*24*3600/100000000</f>
        <v>5.5123199999999999</v>
      </c>
      <c r="HF53" s="6">
        <f>日流量!HF53*24*3600/100000000</f>
        <v>5.3913599999999997</v>
      </c>
      <c r="HG53" s="6">
        <f>日流量!HG53*24*3600/100000000</f>
        <v>5.3049600000000003</v>
      </c>
      <c r="HH53" s="6">
        <f>日流量!HH53*24*3600/100000000</f>
        <v>5.2790400000000002</v>
      </c>
      <c r="HI53" s="6">
        <f>日流量!HI53*24*3600/100000000</f>
        <v>5.5900800000000004</v>
      </c>
      <c r="HJ53" s="6">
        <f>日流量!HJ53*24*3600/100000000</f>
        <v>5.5987200000000001</v>
      </c>
      <c r="HK53" s="6">
        <f>日流量!HK53*24*3600/100000000</f>
        <v>5.9356799999999996</v>
      </c>
      <c r="HL53" s="6">
        <f>日流量!HL53*24*3600/100000000</f>
        <v>6.6009599999999997</v>
      </c>
      <c r="HM53" s="6">
        <f>日流量!HM53*24*3600/100000000</f>
        <v>7.6291200000000003</v>
      </c>
      <c r="HN53" s="6">
        <f>日流量!HN53*24*3600/100000000</f>
        <v>7.9488000000000003</v>
      </c>
      <c r="HO53" s="6">
        <f>日流量!HO53*24*3600/100000000</f>
        <v>8.1907200000000007</v>
      </c>
      <c r="HP53" s="6">
        <f>日流量!HP53*24*3600/100000000</f>
        <v>9.5039999999999996</v>
      </c>
      <c r="HQ53" s="6">
        <f>日流量!HQ53*24*3600/100000000</f>
        <v>9.8496000000000006</v>
      </c>
      <c r="HR53" s="6">
        <f>日流量!HR53*24*3600/100000000</f>
        <v>9.6768000000000001</v>
      </c>
      <c r="HS53" s="6">
        <f>日流量!HS53*24*3600/100000000</f>
        <v>10.022399999999999</v>
      </c>
      <c r="HT53" s="6">
        <f>日流量!HT53*24*3600/100000000</f>
        <v>9.5904000000000007</v>
      </c>
      <c r="HU53" s="6">
        <f>日流量!HU53*24*3600/100000000</f>
        <v>8.4412800000000008</v>
      </c>
      <c r="HV53" s="6">
        <f>日流量!HV53*24*3600/100000000</f>
        <v>7.5945600000000004</v>
      </c>
      <c r="HW53" s="6">
        <f>日流量!HW53*24*3600/100000000</f>
        <v>7.4649599999999996</v>
      </c>
      <c r="HX53" s="6">
        <f>日流量!HX53*24*3600/100000000</f>
        <v>7.48224</v>
      </c>
      <c r="HY53" s="6">
        <f>日流量!HY53*24*3600/100000000</f>
        <v>8.40672</v>
      </c>
      <c r="HZ53" s="6">
        <f>日流量!HZ53*24*3600/100000000</f>
        <v>9.9359999999999999</v>
      </c>
      <c r="IA53" s="6">
        <f>日流量!IA53*24*3600/100000000</f>
        <v>10.1088</v>
      </c>
      <c r="IB53" s="6">
        <f>日流量!IB53*24*3600/100000000</f>
        <v>10.022399999999999</v>
      </c>
      <c r="IC53" s="6">
        <f>日流量!IC53*24*3600/100000000</f>
        <v>9.3312000000000008</v>
      </c>
      <c r="ID53" s="6">
        <f>日流量!ID53*24*3600/100000000</f>
        <v>8.5363199999999999</v>
      </c>
      <c r="IE53" s="6">
        <f>日流量!IE53*24*3600/100000000</f>
        <v>8.9855999999999998</v>
      </c>
      <c r="IF53" s="6">
        <f>日流量!IF53*24*3600/100000000</f>
        <v>9.4176000000000002</v>
      </c>
      <c r="IG53" s="6">
        <f>日流量!IG53*24*3600/100000000</f>
        <v>10.368</v>
      </c>
      <c r="IH53" s="6">
        <f>日流量!IH53*24*3600/100000000</f>
        <v>12.182399999999999</v>
      </c>
      <c r="II53" s="6">
        <f>日流量!II53*24*3600/100000000</f>
        <v>12.8736</v>
      </c>
      <c r="IJ53" s="6">
        <f>日流量!IJ53*24*3600/100000000</f>
        <v>13.651199999999999</v>
      </c>
      <c r="IK53" s="6">
        <f>日流量!IK53*24*3600/100000000</f>
        <v>14.169600000000001</v>
      </c>
      <c r="IL53" s="6">
        <f>日流量!IL53*24*3600/100000000</f>
        <v>14.428800000000001</v>
      </c>
      <c r="IM53" s="6">
        <f>日流量!IM53*24*3600/100000000</f>
        <v>14.860799999999999</v>
      </c>
      <c r="IN53" s="6">
        <f>日流量!IN53*24*3600/100000000</f>
        <v>14.3424</v>
      </c>
      <c r="IO53" s="6">
        <f>日流量!IO53*24*3600/100000000</f>
        <v>13.910399999999999</v>
      </c>
      <c r="IP53" s="6">
        <f>日流量!IP53*24*3600/100000000</f>
        <v>13.1328</v>
      </c>
      <c r="IQ53" s="6">
        <f>日流量!IQ53*24*3600/100000000</f>
        <v>11.9232</v>
      </c>
      <c r="IR53" s="6">
        <f>日流量!IR53*24*3600/100000000</f>
        <v>11.4048</v>
      </c>
      <c r="IS53" s="6">
        <f>日流量!IS53*24*3600/100000000</f>
        <v>10.8864</v>
      </c>
      <c r="IT53" s="6">
        <f>日流量!IT53*24*3600/100000000</f>
        <v>10.7136</v>
      </c>
      <c r="IU53" s="6">
        <f>日流量!IU53*24*3600/100000000</f>
        <v>10.972799999999999</v>
      </c>
      <c r="IV53" s="6">
        <f>日流量!IV53*24*3600/100000000</f>
        <v>11.491199999999999</v>
      </c>
      <c r="IW53" s="6">
        <f>日流量!IW53*24*3600/100000000</f>
        <v>11.750400000000001</v>
      </c>
      <c r="IX53" s="6">
        <f>日流量!IX53*24*3600/100000000</f>
        <v>11.9232</v>
      </c>
      <c r="IY53" s="6">
        <f>日流量!IY53*24*3600/100000000</f>
        <v>11.9232</v>
      </c>
      <c r="IZ53" s="6">
        <f>日流量!IZ53*24*3600/100000000</f>
        <v>11.491199999999999</v>
      </c>
      <c r="JA53" s="6">
        <f>日流量!JA53*24*3600/100000000</f>
        <v>11.491199999999999</v>
      </c>
      <c r="JB53" s="6">
        <f>日流量!JB53*24*3600/100000000</f>
        <v>11.5776</v>
      </c>
      <c r="JC53" s="6">
        <f>日流量!JC53*24*3600/100000000</f>
        <v>10.972799999999999</v>
      </c>
      <c r="JD53" s="6">
        <f>日流量!JD53*24*3600/100000000</f>
        <v>11.059200000000001</v>
      </c>
      <c r="JE53" s="6">
        <f>日流量!JE53*24*3600/100000000</f>
        <v>11.750400000000001</v>
      </c>
      <c r="JF53" s="6">
        <f>日流量!JF53*24*3600/100000000</f>
        <v>11.750400000000001</v>
      </c>
      <c r="JG53" s="6">
        <f>日流量!JG53*24*3600/100000000</f>
        <v>11.1456</v>
      </c>
      <c r="JH53" s="6">
        <f>日流量!JH53*24*3600/100000000</f>
        <v>10.8864</v>
      </c>
      <c r="JI53" s="6">
        <f>日流量!JI53*24*3600/100000000</f>
        <v>10.1088</v>
      </c>
      <c r="JJ53" s="6">
        <f>日流量!JJ53*24*3600/100000000</f>
        <v>9.6768000000000001</v>
      </c>
      <c r="JK53" s="6">
        <f>日流量!JK53*24*3600/100000000</f>
        <v>8.4153599999999997</v>
      </c>
      <c r="JL53" s="6">
        <f>日流量!JL53*24*3600/100000000</f>
        <v>6.5836800000000002</v>
      </c>
      <c r="JM53" s="6">
        <f>日流量!JM53*24*3600/100000000</f>
        <v>5.9961599999999997</v>
      </c>
      <c r="JN53" s="6">
        <f>日流量!JN53*24*3600/100000000</f>
        <v>5.7542400000000002</v>
      </c>
      <c r="JO53" s="6">
        <f>日流量!JO53*24*3600/100000000</f>
        <v>5.5728</v>
      </c>
      <c r="JP53" s="6">
        <f>日流量!JP53*24*3600/100000000</f>
        <v>5.3136000000000001</v>
      </c>
      <c r="JQ53" s="6">
        <f>日流量!JQ53*24*3600/100000000</f>
        <v>6.4281600000000001</v>
      </c>
      <c r="JR53" s="6">
        <f>日流量!JR53*24*3600/100000000</f>
        <v>7.7846399999999996</v>
      </c>
      <c r="JS53" s="6">
        <f>日流量!JS53*24*3600/100000000</f>
        <v>5.8665599999999998</v>
      </c>
      <c r="JT53" s="6">
        <f>日流量!JT53*24*3600/100000000</f>
        <v>6.08256</v>
      </c>
      <c r="JU53" s="6">
        <f>日流量!JU53*24*3600/100000000</f>
        <v>6.6614399999999998</v>
      </c>
      <c r="JV53" s="6">
        <f>日流量!JV53*24*3600/100000000</f>
        <v>5.9961599999999997</v>
      </c>
      <c r="JW53" s="6">
        <f>日流量!JW53*24*3600/100000000</f>
        <v>5.8147200000000003</v>
      </c>
      <c r="JX53" s="6">
        <f>日流量!JX53*24*3600/100000000</f>
        <v>5.4086400000000001</v>
      </c>
      <c r="JY53" s="6">
        <f>日流量!JY53*24*3600/100000000</f>
        <v>5.1926399999999999</v>
      </c>
      <c r="JZ53" s="6">
        <f>日流量!JZ53*24*3600/100000000</f>
        <v>5.0457599999999996</v>
      </c>
      <c r="KA53" s="6">
        <f>日流量!KA53*24*3600/100000000</f>
        <v>4.7779199999999999</v>
      </c>
      <c r="KB53" s="6">
        <f>日流量!KB53*24*3600/100000000</f>
        <v>4.8038400000000001</v>
      </c>
      <c r="KC53" s="6">
        <f>日流量!KC53*24*3600/100000000</f>
        <v>4.8038400000000001</v>
      </c>
      <c r="KD53" s="6">
        <f>日流量!KD53*24*3600/100000000</f>
        <v>5.2963199999999997</v>
      </c>
      <c r="KE53" s="6">
        <f>日流量!KE53*24*3600/100000000</f>
        <v>5.3654400000000004</v>
      </c>
      <c r="KF53" s="6">
        <f>日流量!KF53*24*3600/100000000</f>
        <v>4.9161599999999996</v>
      </c>
      <c r="KG53" s="6">
        <f>日流量!KG53*24*3600/100000000</f>
        <v>4.4323199999999998</v>
      </c>
      <c r="KH53" s="6">
        <f>日流量!KH53*24*3600/100000000</f>
        <v>4.87296</v>
      </c>
      <c r="KI53" s="6">
        <f>日流量!KI53*24*3600/100000000</f>
        <v>4.5792000000000002</v>
      </c>
      <c r="KJ53" s="6">
        <f>日流量!KJ53*24*3600/100000000</f>
        <v>4.5100800000000003</v>
      </c>
      <c r="KK53" s="6">
        <f>日流量!KK53*24*3600/100000000</f>
        <v>4.3372799999999998</v>
      </c>
      <c r="KL53" s="6">
        <f>日流量!KL53*24*3600/100000000</f>
        <v>4.32</v>
      </c>
      <c r="KM53" s="6">
        <f>日流量!KM53*24*3600/100000000</f>
        <v>4.2854400000000004</v>
      </c>
      <c r="KN53" s="6">
        <f>日流量!KN53*24*3600/100000000</f>
        <v>4.2767999999999997</v>
      </c>
      <c r="KO53" s="6">
        <f>日流量!KO53*24*3600/100000000</f>
        <v>4.2767999999999997</v>
      </c>
      <c r="KP53" s="6">
        <f>日流量!KP53*24*3600/100000000</f>
        <v>4.3027199999999999</v>
      </c>
      <c r="KQ53" s="6">
        <f>日流量!KQ53*24*3600/100000000</f>
        <v>4.2854400000000004</v>
      </c>
      <c r="KR53" s="6">
        <f>日流量!KR53*24*3600/100000000</f>
        <v>4.4063999999999997</v>
      </c>
      <c r="KS53" s="6">
        <f>日流量!KS53*24*3600/100000000</f>
        <v>5.0025599999999999</v>
      </c>
      <c r="KT53" s="6">
        <f>日流量!KT53*24*3600/100000000</f>
        <v>5.0803200000000004</v>
      </c>
      <c r="KU53" s="6">
        <f>日流量!KU53*24*3600/100000000</f>
        <v>4.7174399999999999</v>
      </c>
      <c r="KV53" s="6">
        <f>日流量!KV53*24*3600/100000000</f>
        <v>4.3545600000000002</v>
      </c>
      <c r="KW53" s="6">
        <f>日流量!KW53*24*3600/100000000</f>
        <v>3.83616</v>
      </c>
      <c r="KX53" s="6">
        <f>日流量!KX53*24*3600/100000000</f>
        <v>3.64608</v>
      </c>
      <c r="KY53" s="6">
        <f>日流量!KY53*24*3600/100000000</f>
        <v>3.7151999999999998</v>
      </c>
      <c r="KZ53" s="6">
        <f>日流量!KZ53*24*3600/100000000</f>
        <v>3.6633599999999999</v>
      </c>
      <c r="LA53" s="6">
        <f>日流量!LA53*24*3600/100000000</f>
        <v>3.64608</v>
      </c>
      <c r="LB53" s="6">
        <f>日流量!LB53*24*3600/100000000</f>
        <v>3.5078399999999998</v>
      </c>
      <c r="LC53" s="6">
        <f>日流量!LC53*24*3600/100000000</f>
        <v>3.3609599999999999</v>
      </c>
      <c r="LD53" s="6">
        <f>日流量!LD53*24*3600/100000000</f>
        <v>3.2745600000000001</v>
      </c>
      <c r="LE53" s="6">
        <f>日流量!LE53*24*3600/100000000</f>
        <v>3.3004799999999999</v>
      </c>
      <c r="LF53" s="6">
        <f>日流量!LF53*24*3600/100000000</f>
        <v>3.1968000000000001</v>
      </c>
      <c r="LG53" s="6">
        <f>日流量!LG53*24*3600/100000000</f>
        <v>3.1103999999999998</v>
      </c>
      <c r="LH53" s="6">
        <f>日流量!LH53*24*3600/100000000</f>
        <v>3.11904</v>
      </c>
      <c r="LI53" s="6">
        <f>日流量!LI53*24*3600/100000000</f>
        <v>3.0758399999999999</v>
      </c>
      <c r="LJ53" s="6">
        <f>日流量!LJ53*24*3600/100000000</f>
        <v>2.9548800000000002</v>
      </c>
      <c r="LK53" s="6">
        <f>日流量!LK53*24*3600/100000000</f>
        <v>2.9376000000000002</v>
      </c>
      <c r="LL53" s="6">
        <f>日流量!LL53*24*3600/100000000</f>
        <v>2.8771200000000001</v>
      </c>
      <c r="LM53" s="6">
        <f>日流量!LM53*24*3600/100000000</f>
        <v>2.9030399999999998</v>
      </c>
      <c r="LN53" s="6">
        <f>日流量!LN53*24*3600/100000000</f>
        <v>2.7907199999999999</v>
      </c>
      <c r="LO53" s="6">
        <f>日流量!LO53*24*3600/100000000</f>
        <v>2.8684799999999999</v>
      </c>
      <c r="LP53" s="6">
        <f>日流量!LP53*24*3600/100000000</f>
        <v>2.7907199999999999</v>
      </c>
      <c r="LQ53" s="6">
        <f>日流量!LQ53*24*3600/100000000</f>
        <v>2.83392</v>
      </c>
      <c r="LR53" s="6">
        <f>日流量!LR53*24*3600/100000000</f>
        <v>2.8079999999999998</v>
      </c>
      <c r="LS53" s="6">
        <f>日流量!LS53*24*3600/100000000</f>
        <v>2.73888</v>
      </c>
      <c r="LT53" s="6">
        <f>日流量!LT53*24*3600/100000000</f>
        <v>2.6697600000000001</v>
      </c>
      <c r="LU53" s="6">
        <f>日流量!LU53*24*3600/100000000</f>
        <v>2.62656</v>
      </c>
      <c r="LV53" s="6">
        <f>日流量!LV53*24*3600/100000000</f>
        <v>2.5920000000000001</v>
      </c>
      <c r="LW53" s="6">
        <f>日流量!LW53*24*3600/100000000</f>
        <v>2.5401600000000002</v>
      </c>
      <c r="LX53" s="6">
        <f>日流量!LX53*24*3600/100000000</f>
        <v>2.4969600000000001</v>
      </c>
      <c r="LY53" s="6">
        <f>日流量!LY53*24*3600/100000000</f>
        <v>2.4710399999999999</v>
      </c>
      <c r="LZ53" s="6">
        <f>日流量!LZ53*24*3600/100000000</f>
        <v>2.4796800000000001</v>
      </c>
      <c r="MA53" s="6">
        <f>日流量!MA53*24*3600/100000000</f>
        <v>2.4278400000000002</v>
      </c>
      <c r="MB53" s="6">
        <f>日流量!MB53*24*3600/100000000</f>
        <v>2.43648</v>
      </c>
      <c r="MC53" s="6">
        <f>日流量!MC53*24*3600/100000000</f>
        <v>2.4192</v>
      </c>
      <c r="MD53" s="6">
        <f>日流量!MD53*24*3600/100000000</f>
        <v>2.3932799999999999</v>
      </c>
      <c r="ME53" s="6">
        <f>日流量!ME53*24*3600/100000000</f>
        <v>2.4019200000000001</v>
      </c>
      <c r="MF53" s="6">
        <f>日流量!MF53*24*3600/100000000</f>
        <v>2.4019200000000001</v>
      </c>
      <c r="MG53" s="6">
        <f>日流量!MG53*24*3600/100000000</f>
        <v>2.3846400000000001</v>
      </c>
      <c r="MH53" s="6">
        <f>日流量!MH53*24*3600/100000000</f>
        <v>2.3759999999999999</v>
      </c>
      <c r="MI53" s="6">
        <f>日流量!MI53*24*3600/100000000</f>
        <v>2.34144</v>
      </c>
      <c r="MJ53" s="6">
        <f>日流量!MJ53*24*3600/100000000</f>
        <v>2.3155199999999998</v>
      </c>
      <c r="MK53" s="6">
        <f>日流量!MK53*24*3600/100000000</f>
        <v>2.3932799999999999</v>
      </c>
      <c r="ML53" s="6">
        <f>日流量!ML53*24*3600/100000000</f>
        <v>2.4192</v>
      </c>
      <c r="MM53" s="6">
        <f>日流量!MM53*24*3600/100000000</f>
        <v>2.3846400000000001</v>
      </c>
      <c r="MN53" s="6">
        <f>日流量!MN53*24*3600/100000000</f>
        <v>2.3673600000000001</v>
      </c>
      <c r="MO53" s="6">
        <f>日流量!MO53*24*3600/100000000</f>
        <v>2.2636799999999999</v>
      </c>
      <c r="MP53" s="6">
        <f>日流量!MP53*24*3600/100000000</f>
        <v>2.1513599999999999</v>
      </c>
      <c r="MQ53" s="6">
        <f>日流量!MQ53*24*3600/100000000</f>
        <v>2.1859199999999999</v>
      </c>
      <c r="MR53" s="6">
        <f>日流量!MR53*24*3600/100000000</f>
        <v>2.1772800000000001</v>
      </c>
      <c r="MS53" s="6">
        <f>日流量!MS53*24*3600/100000000</f>
        <v>2.1081599999999998</v>
      </c>
      <c r="MT53" s="6">
        <f>日流量!MT53*24*3600/100000000</f>
        <v>2.0995200000000001</v>
      </c>
      <c r="MU53" s="6">
        <f>日流量!MU53*24*3600/100000000</f>
        <v>2.0735999999999999</v>
      </c>
      <c r="MV53" s="6">
        <f>日流量!MV53*24*3600/100000000</f>
        <v>2.0131199999999998</v>
      </c>
      <c r="MW53" s="6">
        <f>日流量!MW53*24*3600/100000000</f>
        <v>1.9612799999999999</v>
      </c>
      <c r="MX53" s="6">
        <f>日流量!MX53*24*3600/100000000</f>
        <v>2.00448</v>
      </c>
      <c r="MY53" s="6">
        <f>日流量!MY53*24*3600/100000000</f>
        <v>2.00448</v>
      </c>
      <c r="MZ53" s="6">
        <f>日流量!MZ53*24*3600/100000000</f>
        <v>1.9612799999999999</v>
      </c>
      <c r="NA53" s="6">
        <f>日流量!NA53*24*3600/100000000</f>
        <v>1.9526399999999999</v>
      </c>
      <c r="NB53" s="6">
        <f>日流量!NB53*24*3600/100000000</f>
        <v>1.9008</v>
      </c>
      <c r="NC53" s="6">
        <f>日流量!NC53*24*3600/100000000</f>
        <v>1.83168</v>
      </c>
      <c r="ND53" s="6">
        <f>日流量!ND53*24*3600*31/100000000</f>
        <v>47.13984</v>
      </c>
      <c r="NE53" s="6">
        <f>日流量!NE53*24*3600*29/100000000</f>
        <v>40.340159999999997</v>
      </c>
      <c r="NF53" s="6">
        <f>日流量!NF53*24*3600*31/100000000</f>
        <v>42.050879999999999</v>
      </c>
      <c r="NG53" s="6">
        <f>日流量!NG53*24*3600*30/100000000</f>
        <v>43.027200000000001</v>
      </c>
      <c r="NH53" s="6">
        <f>日流量!NH53*24*3600*31/100000000</f>
        <v>80.084159999999997</v>
      </c>
      <c r="NI53" s="6">
        <f>日流量!NI53*24*3600*30/100000000</f>
        <v>179.62559999999999</v>
      </c>
      <c r="NJ53" s="6">
        <f>日流量!NJ53*24*3600*31/100000000</f>
        <v>273.1968</v>
      </c>
      <c r="NK53" s="6">
        <f>日流量!NK53*24*3600*31/100000000</f>
        <v>275.87520000000001</v>
      </c>
      <c r="NL53" s="6">
        <f>日流量!NL53*24*3600*30/100000000</f>
        <v>329.18400000000003</v>
      </c>
      <c r="NM53" s="6">
        <f>日流量!NM53*24*3600*31/100000000</f>
        <v>158.56128000000001</v>
      </c>
      <c r="NN53" s="6">
        <f>日流量!NN53*24*3600*30/100000000</f>
        <v>94.867199999999997</v>
      </c>
      <c r="NO53" s="6">
        <f>日流量!NO53*24*3600*31/100000000</f>
        <v>69.102720000000005</v>
      </c>
      <c r="NP53" s="14">
        <f t="shared" si="10"/>
        <v>1633.0550399999997</v>
      </c>
      <c r="NQ53" s="6">
        <f>日流量!NQ53*24*3600/100000000</f>
        <v>14.860799999999999</v>
      </c>
      <c r="NR53" s="4">
        <f>日流量!NR53</f>
        <v>42615</v>
      </c>
      <c r="NS53" s="6">
        <f>日流量!NS53*24*3600/100000000</f>
        <v>1.10592</v>
      </c>
      <c r="NT53" s="4">
        <f>日流量!NT53</f>
        <v>42453</v>
      </c>
      <c r="NU53" s="7">
        <f>日流量!NP53</f>
        <v>5162.8142076502736</v>
      </c>
      <c r="NW53" s="13">
        <f t="shared" si="0"/>
        <v>1296.5270399999999</v>
      </c>
      <c r="NX53" s="12">
        <f t="shared" si="1"/>
        <v>79.392733756236424</v>
      </c>
      <c r="NY53" s="13">
        <f t="shared" si="2"/>
        <v>1057.8815999999999</v>
      </c>
      <c r="NZ53" s="12">
        <f t="shared" si="3"/>
        <v>64.779298559343118</v>
      </c>
      <c r="OA53" s="13">
        <f t="shared" si="4"/>
        <v>336.52799999999979</v>
      </c>
      <c r="OB53" s="12">
        <f t="shared" si="5"/>
        <v>20.607266243763579</v>
      </c>
      <c r="OC53" s="13">
        <f t="shared" si="6"/>
        <v>329.18400000000003</v>
      </c>
      <c r="OD53" s="12">
        <f t="shared" si="7"/>
        <v>20.157556967583904</v>
      </c>
      <c r="OE53" s="12">
        <f t="shared" si="8"/>
        <v>381.55491588785037</v>
      </c>
      <c r="OF53" s="12">
        <f t="shared" si="9"/>
        <v>12.099027013186529</v>
      </c>
    </row>
    <row r="54" spans="1:396" x14ac:dyDescent="0.15">
      <c r="A54" s="2">
        <v>2001</v>
      </c>
      <c r="B54" s="6">
        <f>日流量!B54*24*3600/100000000</f>
        <v>1.82304</v>
      </c>
      <c r="C54" s="6">
        <f>日流量!C54*24*3600/100000000</f>
        <v>1.71072</v>
      </c>
      <c r="D54" s="6">
        <f>日流量!D54*24*3600/100000000</f>
        <v>1.92672</v>
      </c>
      <c r="E54" s="6">
        <f>日流量!E54*24*3600/100000000</f>
        <v>2.02176</v>
      </c>
      <c r="F54" s="6">
        <f>日流量!F54*24*3600/100000000</f>
        <v>2.00448</v>
      </c>
      <c r="G54" s="6">
        <f>日流量!G54*24*3600/100000000</f>
        <v>1.8835200000000001</v>
      </c>
      <c r="H54" s="6">
        <f>日流量!H54*24*3600/100000000</f>
        <v>1.7452799999999999</v>
      </c>
      <c r="I54" s="6">
        <f>日流量!I54*24*3600/100000000</f>
        <v>1.73664</v>
      </c>
      <c r="J54" s="6">
        <f>日流量!J54*24*3600/100000000</f>
        <v>1.7712000000000001</v>
      </c>
      <c r="K54" s="6">
        <f>日流量!K54*24*3600/100000000</f>
        <v>1.80576</v>
      </c>
      <c r="L54" s="6">
        <f>日流量!L54*24*3600/100000000</f>
        <v>1.728</v>
      </c>
      <c r="M54" s="6">
        <f>日流量!M54*24*3600/100000000</f>
        <v>1.71072</v>
      </c>
      <c r="N54" s="6">
        <f>日流量!N54*24*3600/100000000</f>
        <v>1.7539199999999999</v>
      </c>
      <c r="O54" s="6">
        <f>日流量!O54*24*3600/100000000</f>
        <v>1.7452799999999999</v>
      </c>
      <c r="P54" s="6">
        <f>日流量!P54*24*3600/100000000</f>
        <v>1.70208</v>
      </c>
      <c r="Q54" s="6">
        <f>日流量!Q54*24*3600/100000000</f>
        <v>1.71936</v>
      </c>
      <c r="R54" s="6">
        <f>日流量!R54*24*3600/100000000</f>
        <v>1.7452799999999999</v>
      </c>
      <c r="S54" s="6">
        <f>日流量!S54*24*3600/100000000</f>
        <v>1.6848000000000001</v>
      </c>
      <c r="T54" s="6">
        <f>日流量!T54*24*3600/100000000</f>
        <v>1.70208</v>
      </c>
      <c r="U54" s="6">
        <f>日流量!U54*24*3600/100000000</f>
        <v>1.63296</v>
      </c>
      <c r="V54" s="6">
        <f>日流量!V54*24*3600/100000000</f>
        <v>1.52928</v>
      </c>
      <c r="W54" s="6">
        <f>日流量!W54*24*3600/100000000</f>
        <v>1.52064</v>
      </c>
      <c r="X54" s="6">
        <f>日流量!X54*24*3600/100000000</f>
        <v>1.52064</v>
      </c>
      <c r="Y54" s="6">
        <f>日流量!Y54*24*3600/100000000</f>
        <v>1.6415999999999999</v>
      </c>
      <c r="Z54" s="6">
        <f>日流量!Z54*24*3600/100000000</f>
        <v>1.6848000000000001</v>
      </c>
      <c r="AA54" s="6">
        <f>日流量!AA54*24*3600/100000000</f>
        <v>1.61568</v>
      </c>
      <c r="AB54" s="6">
        <f>日流量!AB54*24*3600/100000000</f>
        <v>1.6761600000000001</v>
      </c>
      <c r="AC54" s="6">
        <f>日流量!AC54*24*3600/100000000</f>
        <v>1.62432</v>
      </c>
      <c r="AD54" s="6">
        <f>日流量!AD54*24*3600/100000000</f>
        <v>1.62432</v>
      </c>
      <c r="AE54" s="6">
        <f>日流量!AE54*24*3600/100000000</f>
        <v>1.6761600000000001</v>
      </c>
      <c r="AF54" s="6">
        <f>日流量!AF54*24*3600/100000000</f>
        <v>1.71936</v>
      </c>
      <c r="AG54" s="6">
        <f>日流量!AG54*24*3600/100000000</f>
        <v>1.7539199999999999</v>
      </c>
      <c r="AH54" s="6">
        <f>日流量!AH54*24*3600/100000000</f>
        <v>1.7452799999999999</v>
      </c>
      <c r="AI54" s="6">
        <f>日流量!AI54*24*3600/100000000</f>
        <v>1.7539199999999999</v>
      </c>
      <c r="AJ54" s="6">
        <f>日流量!AJ54*24*3600/100000000</f>
        <v>1.7625599999999999</v>
      </c>
      <c r="AK54" s="6">
        <f>日流量!AK54*24*3600/100000000</f>
        <v>1.7539199999999999</v>
      </c>
      <c r="AL54" s="6">
        <f>日流量!AL54*24*3600/100000000</f>
        <v>1.7625599999999999</v>
      </c>
      <c r="AM54" s="6">
        <f>日流量!AM54*24*3600/100000000</f>
        <v>1.7539199999999999</v>
      </c>
      <c r="AN54" s="6">
        <f>日流量!AN54*24*3600/100000000</f>
        <v>1.7539199999999999</v>
      </c>
      <c r="AO54" s="6">
        <f>日流量!AO54*24*3600/100000000</f>
        <v>1.71936</v>
      </c>
      <c r="AP54" s="6">
        <f>日流量!AP54*24*3600/100000000</f>
        <v>1.73664</v>
      </c>
      <c r="AQ54" s="6">
        <f>日流量!AQ54*24*3600/100000000</f>
        <v>1.7798400000000001</v>
      </c>
      <c r="AR54" s="6">
        <f>日流量!AR54*24*3600/100000000</f>
        <v>1.7971200000000001</v>
      </c>
      <c r="AS54" s="6">
        <f>日流量!AS54*24*3600/100000000</f>
        <v>1.7452799999999999</v>
      </c>
      <c r="AT54" s="6">
        <f>日流量!AT54*24*3600/100000000</f>
        <v>1.6761600000000001</v>
      </c>
      <c r="AU54" s="6">
        <f>日流量!AU54*24*3600/100000000</f>
        <v>1.6588799999999999</v>
      </c>
      <c r="AV54" s="6">
        <f>日流量!AV54*24*3600/100000000</f>
        <v>1.6848000000000001</v>
      </c>
      <c r="AW54" s="6">
        <f>日流量!AW54*24*3600/100000000</f>
        <v>1.61568</v>
      </c>
      <c r="AX54" s="6">
        <f>日流量!AX54*24*3600/100000000</f>
        <v>1.70208</v>
      </c>
      <c r="AY54" s="6">
        <f>日流量!AY54*24*3600/100000000</f>
        <v>1.6588799999999999</v>
      </c>
      <c r="AZ54" s="6">
        <f>日流量!AZ54*24*3600/100000000</f>
        <v>1.6761600000000001</v>
      </c>
      <c r="BA54" s="6">
        <f>日流量!BA54*24*3600/100000000</f>
        <v>1.728</v>
      </c>
      <c r="BB54" s="6">
        <f>日流量!BB54*24*3600/100000000</f>
        <v>1.6761600000000001</v>
      </c>
      <c r="BC54" s="6">
        <f>日流量!BC54*24*3600/100000000</f>
        <v>1.7452799999999999</v>
      </c>
      <c r="BD54" s="6">
        <f>日流量!BD54*24*3600/100000000</f>
        <v>1.7452799999999999</v>
      </c>
      <c r="BE54" s="6">
        <f>日流量!BE54*24*3600/100000000</f>
        <v>1.6761600000000001</v>
      </c>
      <c r="BF54" s="6">
        <f>日流量!BF54*24*3600/100000000</f>
        <v>1.6502399999999999</v>
      </c>
      <c r="BG54" s="6">
        <f>日流量!BG54*24*3600/100000000</f>
        <v>1.6761600000000001</v>
      </c>
      <c r="BH54" s="6">
        <f>日流量!BH54*24*3600/100000000</f>
        <v>1.71936</v>
      </c>
      <c r="BI54" s="6"/>
      <c r="BJ54" s="6">
        <f>日流量!BJ54*24*3600/100000000</f>
        <v>1.71072</v>
      </c>
      <c r="BK54" s="6">
        <f>日流量!BK54*24*3600/100000000</f>
        <v>1.7625599999999999</v>
      </c>
      <c r="BL54" s="6">
        <f>日流量!BL54*24*3600/100000000</f>
        <v>1.7625599999999999</v>
      </c>
      <c r="BM54" s="6">
        <f>日流量!BM54*24*3600/100000000</f>
        <v>1.71936</v>
      </c>
      <c r="BN54" s="6">
        <f>日流量!BN54*24*3600/100000000</f>
        <v>1.6934400000000001</v>
      </c>
      <c r="BO54" s="6">
        <f>日流量!BO54*24*3600/100000000</f>
        <v>1.6761600000000001</v>
      </c>
      <c r="BP54" s="6">
        <f>日流量!BP54*24*3600/100000000</f>
        <v>1.6848000000000001</v>
      </c>
      <c r="BQ54" s="6">
        <f>日流量!BQ54*24*3600/100000000</f>
        <v>1.3910400000000001</v>
      </c>
      <c r="BR54" s="6">
        <f>日流量!BR54*24*3600/100000000</f>
        <v>1.52064</v>
      </c>
      <c r="BS54" s="6">
        <f>日流量!BS54*24*3600/100000000</f>
        <v>1.71072</v>
      </c>
      <c r="BT54" s="6">
        <f>日流量!BT54*24*3600/100000000</f>
        <v>1.7884800000000001</v>
      </c>
      <c r="BU54" s="6">
        <f>日流量!BU54*24*3600/100000000</f>
        <v>1.7798400000000001</v>
      </c>
      <c r="BV54" s="6">
        <f>日流量!BV54*24*3600/100000000</f>
        <v>1.80576</v>
      </c>
      <c r="BW54" s="6">
        <f>日流量!BW54*24*3600/100000000</f>
        <v>1.7712000000000001</v>
      </c>
      <c r="BX54" s="6">
        <f>日流量!BX54*24*3600/100000000</f>
        <v>1.6934400000000001</v>
      </c>
      <c r="BY54" s="6">
        <f>日流量!BY54*24*3600/100000000</f>
        <v>1.6934400000000001</v>
      </c>
      <c r="BZ54" s="6">
        <f>日流量!BZ54*24*3600/100000000</f>
        <v>1.728</v>
      </c>
      <c r="CA54" s="6">
        <f>日流量!CA54*24*3600/100000000</f>
        <v>1.7798400000000001</v>
      </c>
      <c r="CB54" s="6">
        <f>日流量!CB54*24*3600/100000000</f>
        <v>1.7971200000000001</v>
      </c>
      <c r="CC54" s="6">
        <f>日流量!CC54*24*3600/100000000</f>
        <v>1.7884800000000001</v>
      </c>
      <c r="CD54" s="6">
        <f>日流量!CD54*24*3600/100000000</f>
        <v>1.8144</v>
      </c>
      <c r="CE54" s="6">
        <f>日流量!CE54*24*3600/100000000</f>
        <v>1.7884800000000001</v>
      </c>
      <c r="CF54" s="6">
        <f>日流量!CF54*24*3600/100000000</f>
        <v>1.7971200000000001</v>
      </c>
      <c r="CG54" s="6">
        <f>日流量!CG54*24*3600/100000000</f>
        <v>1.7625599999999999</v>
      </c>
      <c r="CH54" s="6">
        <f>日流量!CH54*24*3600/100000000</f>
        <v>1.7625599999999999</v>
      </c>
      <c r="CI54" s="6">
        <f>日流量!CI54*24*3600/100000000</f>
        <v>1.7625599999999999</v>
      </c>
      <c r="CJ54" s="6">
        <f>日流量!CJ54*24*3600/100000000</f>
        <v>1.73664</v>
      </c>
      <c r="CK54" s="6">
        <f>日流量!CK54*24*3600/100000000</f>
        <v>1.7798400000000001</v>
      </c>
      <c r="CL54" s="6">
        <f>日流量!CL54*24*3600/100000000</f>
        <v>1.82304</v>
      </c>
      <c r="CM54" s="6">
        <f>日流量!CM54*24*3600/100000000</f>
        <v>1.7625599999999999</v>
      </c>
      <c r="CN54" s="6">
        <f>日流量!CN54*24*3600/100000000</f>
        <v>1.8489599999999999</v>
      </c>
      <c r="CO54" s="6">
        <f>日流量!CO54*24*3600/100000000</f>
        <v>1.82304</v>
      </c>
      <c r="CP54" s="6">
        <f>日流量!CP54*24*3600/100000000</f>
        <v>1.6675199999999999</v>
      </c>
      <c r="CQ54" s="6">
        <f>日流量!CQ54*24*3600/100000000</f>
        <v>1.71936</v>
      </c>
      <c r="CR54" s="6">
        <f>日流量!CR54*24*3600/100000000</f>
        <v>1.7539199999999999</v>
      </c>
      <c r="CS54" s="6">
        <f>日流量!CS54*24*3600/100000000</f>
        <v>1.6675199999999999</v>
      </c>
      <c r="CT54" s="6">
        <f>日流量!CT54*24*3600/100000000</f>
        <v>1.63296</v>
      </c>
      <c r="CU54" s="6">
        <f>日流量!CU54*24*3600/100000000</f>
        <v>1.5724800000000001</v>
      </c>
      <c r="CV54" s="6">
        <f>日流量!CV54*24*3600/100000000</f>
        <v>1.5638399999999999</v>
      </c>
      <c r="CW54" s="6">
        <f>日流量!CW54*24*3600/100000000</f>
        <v>1.6415999999999999</v>
      </c>
      <c r="CX54" s="6">
        <f>日流量!CX54*24*3600/100000000</f>
        <v>1.7884800000000001</v>
      </c>
      <c r="CY54" s="6">
        <f>日流量!CY54*24*3600/100000000</f>
        <v>1.8144</v>
      </c>
      <c r="CZ54" s="6">
        <f>日流量!CZ54*24*3600/100000000</f>
        <v>1.7884800000000001</v>
      </c>
      <c r="DA54" s="6">
        <f>日流量!DA54*24*3600/100000000</f>
        <v>1.8489599999999999</v>
      </c>
      <c r="DB54" s="6">
        <f>日流量!DB54*24*3600/100000000</f>
        <v>1.8489599999999999</v>
      </c>
      <c r="DC54" s="6">
        <f>日流量!DC54*24*3600/100000000</f>
        <v>1.4860800000000001</v>
      </c>
      <c r="DD54" s="6">
        <f>日流量!DD54*24*3600/100000000</f>
        <v>1.3564799999999999</v>
      </c>
      <c r="DE54" s="6">
        <f>日流量!DE54*24*3600/100000000</f>
        <v>1.3651199999999999</v>
      </c>
      <c r="DF54" s="6">
        <f>日流量!DF54*24*3600/100000000</f>
        <v>1.2441599999999999</v>
      </c>
      <c r="DG54" s="6">
        <f>日流量!DG54*24*3600/100000000</f>
        <v>1.2700800000000001</v>
      </c>
      <c r="DH54" s="6">
        <f>日流量!DH54*24*3600/100000000</f>
        <v>1.2787200000000001</v>
      </c>
      <c r="DI54" s="6">
        <f>日流量!DI54*24*3600/100000000</f>
        <v>1.2527999999999999</v>
      </c>
      <c r="DJ54" s="6">
        <f>日流量!DJ54*24*3600/100000000</f>
        <v>1.2700800000000001</v>
      </c>
      <c r="DK54" s="6">
        <f>日流量!DK54*24*3600/100000000</f>
        <v>1.2614399999999999</v>
      </c>
      <c r="DL54" s="6">
        <f>日流量!DL54*24*3600/100000000</f>
        <v>1.39968</v>
      </c>
      <c r="DM54" s="6">
        <f>日流量!DM54*24*3600/100000000</f>
        <v>1.4515199999999999</v>
      </c>
      <c r="DN54" s="6">
        <f>日流量!DN54*24*3600/100000000</f>
        <v>1.5724800000000001</v>
      </c>
      <c r="DO54" s="6">
        <f>日流量!DO54*24*3600/100000000</f>
        <v>1.5984</v>
      </c>
      <c r="DP54" s="6">
        <f>日流量!DP54*24*3600/100000000</f>
        <v>1.61568</v>
      </c>
      <c r="DQ54" s="6">
        <f>日流量!DQ54*24*3600/100000000</f>
        <v>1.6415999999999999</v>
      </c>
      <c r="DR54" s="6">
        <f>日流量!DR54*24*3600/100000000</f>
        <v>1.6761600000000001</v>
      </c>
      <c r="DS54" s="6">
        <f>日流量!DS54*24*3600/100000000</f>
        <v>1.6934400000000001</v>
      </c>
      <c r="DT54" s="6">
        <f>日流量!DT54*24*3600/100000000</f>
        <v>1.4774400000000001</v>
      </c>
      <c r="DU54" s="6">
        <f>日流量!DU54*24*3600/100000000</f>
        <v>1.4860800000000001</v>
      </c>
      <c r="DV54" s="6">
        <f>日流量!DV54*24*3600/100000000</f>
        <v>1.5465599999999999</v>
      </c>
      <c r="DW54" s="6">
        <f>日流量!DW54*24*3600/100000000</f>
        <v>1.6761600000000001</v>
      </c>
      <c r="DX54" s="6">
        <f>日流量!DX54*24*3600/100000000</f>
        <v>1.6934400000000001</v>
      </c>
      <c r="DY54" s="6">
        <f>日流量!DY54*24*3600/100000000</f>
        <v>1.728</v>
      </c>
      <c r="DZ54" s="6">
        <f>日流量!DZ54*24*3600/100000000</f>
        <v>1.6848000000000001</v>
      </c>
      <c r="EA54" s="6">
        <f>日流量!EA54*24*3600/100000000</f>
        <v>1.5724800000000001</v>
      </c>
      <c r="EB54" s="6">
        <f>日流量!EB54*24*3600/100000000</f>
        <v>1.4860800000000001</v>
      </c>
      <c r="EC54" s="6">
        <f>日流量!EC54*24*3600/100000000</f>
        <v>1.5811200000000001</v>
      </c>
      <c r="ED54" s="6">
        <f>日流量!ED54*24*3600/100000000</f>
        <v>1.71072</v>
      </c>
      <c r="EE54" s="6">
        <f>日流量!EE54*24*3600/100000000</f>
        <v>1.80576</v>
      </c>
      <c r="EF54" s="6">
        <f>日流量!EF54*24*3600/100000000</f>
        <v>1.9699199999999999</v>
      </c>
      <c r="EG54" s="6">
        <f>日流量!EG54*24*3600/100000000</f>
        <v>2.2204799999999998</v>
      </c>
      <c r="EH54" s="6">
        <f>日流量!EH54*24*3600/100000000</f>
        <v>2.2204799999999998</v>
      </c>
      <c r="EI54" s="6">
        <f>日流量!EI54*24*3600/100000000</f>
        <v>1.9526399999999999</v>
      </c>
      <c r="EJ54" s="6">
        <f>日流量!EJ54*24*3600/100000000</f>
        <v>1.73664</v>
      </c>
      <c r="EK54" s="6">
        <f>日流量!EK54*24*3600/100000000</f>
        <v>1.70208</v>
      </c>
      <c r="EL54" s="6">
        <f>日流量!EL54*24*3600/100000000</f>
        <v>1.7971200000000001</v>
      </c>
      <c r="EM54" s="6">
        <f>日流量!EM54*24*3600/100000000</f>
        <v>1.944</v>
      </c>
      <c r="EN54" s="6">
        <f>日流量!EN54*24*3600/100000000</f>
        <v>2.13408</v>
      </c>
      <c r="EO54" s="6">
        <f>日流量!EO54*24*3600/100000000</f>
        <v>2.1686399999999999</v>
      </c>
      <c r="EP54" s="6">
        <f>日流量!EP54*24*3600/100000000</f>
        <v>2.1427200000000002</v>
      </c>
      <c r="EQ54" s="6">
        <f>日流量!EQ54*24*3600/100000000</f>
        <v>1.9872000000000001</v>
      </c>
      <c r="ER54" s="6">
        <f>日流量!ER54*24*3600/100000000</f>
        <v>1.9872000000000001</v>
      </c>
      <c r="ES54" s="6">
        <f>日流量!ES54*24*3600/100000000</f>
        <v>2.1686399999999999</v>
      </c>
      <c r="ET54" s="6">
        <f>日流量!ET54*24*3600/100000000</f>
        <v>2.1686399999999999</v>
      </c>
      <c r="EU54" s="6">
        <f>日流量!EU54*24*3600/100000000</f>
        <v>2.4537599999999999</v>
      </c>
      <c r="EV54" s="6">
        <f>日流量!EV54*24*3600/100000000</f>
        <v>2.62656</v>
      </c>
      <c r="EW54" s="6">
        <f>日流量!EW54*24*3600/100000000</f>
        <v>2.7216</v>
      </c>
      <c r="EX54" s="6">
        <f>日流量!EX54*24*3600/100000000</f>
        <v>3.7151999999999998</v>
      </c>
      <c r="EY54" s="6">
        <f>日流量!EY54*24*3600/100000000</f>
        <v>5.2704000000000004</v>
      </c>
      <c r="EZ54" s="6">
        <f>日流量!EZ54*24*3600/100000000</f>
        <v>5.1667199999999998</v>
      </c>
      <c r="FA54" s="6">
        <f>日流量!FA54*24*3600/100000000</f>
        <v>4.5705600000000004</v>
      </c>
      <c r="FB54" s="6">
        <f>日流量!FB54*24*3600/100000000</f>
        <v>4.1040000000000001</v>
      </c>
      <c r="FC54" s="6">
        <f>日流量!FC54*24*3600/100000000</f>
        <v>3.74112</v>
      </c>
      <c r="FD54" s="6">
        <f>日流量!FD54*24*3600/100000000</f>
        <v>3.6374399999999998</v>
      </c>
      <c r="FE54" s="6">
        <f>日流量!FE54*24*3600/100000000</f>
        <v>3.5424000000000002</v>
      </c>
      <c r="FF54" s="6">
        <f>日流量!FF54*24*3600/100000000</f>
        <v>3.34368</v>
      </c>
      <c r="FG54" s="6">
        <f>日流量!FG54*24*3600/100000000</f>
        <v>3.1881599999999999</v>
      </c>
      <c r="FH54" s="6">
        <f>日流量!FH54*24*3600/100000000</f>
        <v>3.3177599999999998</v>
      </c>
      <c r="FI54" s="6">
        <f>日流量!FI54*24*3600/100000000</f>
        <v>3.6288</v>
      </c>
      <c r="FJ54" s="6">
        <f>日流量!FJ54*24*3600/100000000</f>
        <v>4.1644800000000002</v>
      </c>
      <c r="FK54" s="6">
        <f>日流量!FK54*24*3600/100000000</f>
        <v>4.9766399999999997</v>
      </c>
      <c r="FL54" s="6">
        <f>日流量!FL54*24*3600/100000000</f>
        <v>6.2207999999999997</v>
      </c>
      <c r="FM54" s="6">
        <f>日流量!FM54*24*3600/100000000</f>
        <v>6.1948800000000004</v>
      </c>
      <c r="FN54" s="6">
        <f>日流量!FN54*24*3600/100000000</f>
        <v>6.048</v>
      </c>
      <c r="FO54" s="6">
        <f>日流量!FO54*24*3600/100000000</f>
        <v>5.7888000000000002</v>
      </c>
      <c r="FP54" s="6">
        <f>日流量!FP54*24*3600/100000000</f>
        <v>5.9615999999999998</v>
      </c>
      <c r="FQ54" s="6">
        <f>日流量!FQ54*24*3600/100000000</f>
        <v>5.5296000000000003</v>
      </c>
      <c r="FR54" s="6">
        <f>日流量!FR54*24*3600/100000000</f>
        <v>5.8752000000000004</v>
      </c>
      <c r="FS54" s="6">
        <f>日流量!FS54*24*3600/100000000</f>
        <v>6.0048000000000004</v>
      </c>
      <c r="FT54" s="6">
        <f>日流量!FT54*24*3600/100000000</f>
        <v>7.48224</v>
      </c>
      <c r="FU54" s="6">
        <f>日流量!FU54*24*3600/100000000</f>
        <v>8.0092800000000004</v>
      </c>
      <c r="FV54" s="6">
        <f>日流量!FV54*24*3600/100000000</f>
        <v>8.4758399999999998</v>
      </c>
      <c r="FW54" s="6">
        <f>日流量!FW54*24*3600/100000000</f>
        <v>8.7263999999999999</v>
      </c>
      <c r="FX54" s="6">
        <f>日流量!FX54*24*3600/100000000</f>
        <v>8.7263999999999999</v>
      </c>
      <c r="FY54" s="6">
        <f>日流量!FY54*24*3600/100000000</f>
        <v>8.64</v>
      </c>
      <c r="FZ54" s="6">
        <f>日流量!FZ54*24*3600/100000000</f>
        <v>10.1088</v>
      </c>
      <c r="GA54" s="6">
        <f>日流量!GA54*24*3600/100000000</f>
        <v>11.231999999999999</v>
      </c>
      <c r="GB54" s="6">
        <f>日流量!GB54*24*3600/100000000</f>
        <v>11.9232</v>
      </c>
      <c r="GC54" s="6">
        <f>日流量!GC54*24*3600/100000000</f>
        <v>11.664</v>
      </c>
      <c r="GD54" s="6">
        <f>日流量!GD54*24*3600/100000000</f>
        <v>11.4048</v>
      </c>
      <c r="GE54" s="6">
        <f>日流量!GE54*24*3600/100000000</f>
        <v>9.3312000000000008</v>
      </c>
      <c r="GF54" s="6">
        <f>日流量!GF54*24*3600/100000000</f>
        <v>7.0329600000000001</v>
      </c>
      <c r="GG54" s="6">
        <f>日流量!GG54*24*3600/100000000</f>
        <v>6.68736</v>
      </c>
      <c r="GH54" s="6">
        <f>日流量!GH54*24*3600/100000000</f>
        <v>6.27264</v>
      </c>
      <c r="GI54" s="6">
        <f>日流量!GI54*24*3600/100000000</f>
        <v>5.3740800000000002</v>
      </c>
      <c r="GJ54" s="6">
        <f>日流量!GJ54*24*3600/100000000</f>
        <v>5.06304</v>
      </c>
      <c r="GK54" s="6">
        <f>日流量!GK54*24*3600/100000000</f>
        <v>5.2876799999999999</v>
      </c>
      <c r="GL54" s="6">
        <f>日流量!GL54*24*3600/100000000</f>
        <v>6.0652799999999996</v>
      </c>
      <c r="GM54" s="6">
        <f>日流量!GM54*24*3600/100000000</f>
        <v>6.3071999999999999</v>
      </c>
      <c r="GN54" s="6">
        <f>日流量!GN54*24*3600/100000000</f>
        <v>5.9615999999999998</v>
      </c>
      <c r="GO54" s="6">
        <f>日流量!GO54*24*3600/100000000</f>
        <v>5.7801600000000004</v>
      </c>
      <c r="GP54" s="6">
        <f>日流量!GP54*24*3600/100000000</f>
        <v>5.6505599999999996</v>
      </c>
      <c r="GQ54" s="6">
        <f>日流量!GQ54*24*3600/100000000</f>
        <v>5.8233600000000001</v>
      </c>
      <c r="GR54" s="6">
        <f>日流量!GR54*24*3600/100000000</f>
        <v>5.6764799999999997</v>
      </c>
      <c r="GS54" s="6">
        <f>日流量!GS54*24*3600/100000000</f>
        <v>5.4604799999999996</v>
      </c>
      <c r="GT54" s="6">
        <f>日流量!GT54*24*3600/100000000</f>
        <v>5.1407999999999996</v>
      </c>
      <c r="GU54" s="6">
        <f>日流量!GU54*24*3600/100000000</f>
        <v>4.8384</v>
      </c>
      <c r="GV54" s="6">
        <f>日流量!GV54*24*3600/100000000</f>
        <v>4.4496000000000002</v>
      </c>
      <c r="GW54" s="6">
        <f>日流量!GW54*24*3600/100000000</f>
        <v>3.8879999999999999</v>
      </c>
      <c r="GX54" s="6">
        <f>日流量!GX54*24*3600/100000000</f>
        <v>3.8879999999999999</v>
      </c>
      <c r="GY54" s="6">
        <f>日流量!GY54*24*3600/100000000</f>
        <v>4.1817599999999997</v>
      </c>
      <c r="GZ54" s="6">
        <f>日流量!GZ54*24*3600/100000000</f>
        <v>4.6137600000000001</v>
      </c>
      <c r="HA54" s="6">
        <f>日流量!HA54*24*3600/100000000</f>
        <v>5.0025599999999999</v>
      </c>
      <c r="HB54" s="6">
        <f>日流量!HB54*24*3600/100000000</f>
        <v>4.9852800000000004</v>
      </c>
      <c r="HC54" s="6">
        <f>日流量!HC54*24*3600/100000000</f>
        <v>4.6742400000000002</v>
      </c>
      <c r="HD54" s="6">
        <f>日流量!HD54*24*3600/100000000</f>
        <v>4.7347200000000003</v>
      </c>
      <c r="HE54" s="6">
        <f>日流量!HE54*24*3600/100000000</f>
        <v>5.0975999999999999</v>
      </c>
      <c r="HF54" s="6">
        <f>日流量!HF54*24*3600/100000000</f>
        <v>7.0156799999999997</v>
      </c>
      <c r="HG54" s="6">
        <f>日流量!HG54*24*3600/100000000</f>
        <v>9.8496000000000006</v>
      </c>
      <c r="HH54" s="6">
        <f>日流量!HH54*24*3600/100000000</f>
        <v>10.1088</v>
      </c>
      <c r="HI54" s="6">
        <f>日流量!HI54*24*3600/100000000</f>
        <v>9.3312000000000008</v>
      </c>
      <c r="HJ54" s="6">
        <f>日流量!HJ54*24*3600/100000000</f>
        <v>8.6054399999999998</v>
      </c>
      <c r="HK54" s="6">
        <f>日流量!HK54*24*3600/100000000</f>
        <v>7.8278400000000001</v>
      </c>
      <c r="HL54" s="6">
        <f>日流量!HL54*24*3600/100000000</f>
        <v>6.97248</v>
      </c>
      <c r="HM54" s="6">
        <f>日流量!HM54*24*3600/100000000</f>
        <v>5.7715199999999998</v>
      </c>
      <c r="HN54" s="6">
        <f>日流量!HN54*24*3600/100000000</f>
        <v>5.0371199999999998</v>
      </c>
      <c r="HO54" s="6">
        <f>日流量!HO54*24*3600/100000000</f>
        <v>4.6828799999999999</v>
      </c>
      <c r="HP54" s="6">
        <f>日流量!HP54*24*3600/100000000</f>
        <v>4.3545600000000002</v>
      </c>
      <c r="HQ54" s="6">
        <f>日流量!HQ54*24*3600/100000000</f>
        <v>4.5446400000000002</v>
      </c>
      <c r="HR54" s="6">
        <f>日流量!HR54*24*3600/100000000</f>
        <v>5.2358399999999996</v>
      </c>
      <c r="HS54" s="6">
        <f>日流量!HS54*24*3600/100000000</f>
        <v>5.9961599999999997</v>
      </c>
      <c r="HT54" s="6">
        <f>日流量!HT54*24*3600/100000000</f>
        <v>7.1711999999999998</v>
      </c>
      <c r="HU54" s="6">
        <f>日流量!HU54*24*3600/100000000</f>
        <v>8.4153599999999997</v>
      </c>
      <c r="HV54" s="6">
        <f>日流量!HV54*24*3600/100000000</f>
        <v>8.3203200000000006</v>
      </c>
      <c r="HW54" s="6">
        <f>日流量!HW54*24*3600/100000000</f>
        <v>7.9142400000000004</v>
      </c>
      <c r="HX54" s="6">
        <f>日流量!HX54*24*3600/100000000</f>
        <v>7.5081600000000002</v>
      </c>
      <c r="HY54" s="6">
        <f>日流量!HY54*24*3600/100000000</f>
        <v>7.4476800000000001</v>
      </c>
      <c r="HZ54" s="6">
        <f>日流量!HZ54*24*3600/100000000</f>
        <v>7.7500799999999996</v>
      </c>
      <c r="IA54" s="6">
        <f>日流量!IA54*24*3600/100000000</f>
        <v>9.6768000000000001</v>
      </c>
      <c r="IB54" s="6">
        <f>日流量!IB54*24*3600/100000000</f>
        <v>8.9855999999999998</v>
      </c>
      <c r="IC54" s="6">
        <f>日流量!IC54*24*3600/100000000</f>
        <v>9.4176000000000002</v>
      </c>
      <c r="ID54" s="6">
        <f>日流量!ID54*24*3600/100000000</f>
        <v>10.4544</v>
      </c>
      <c r="IE54" s="6">
        <f>日流量!IE54*24*3600/100000000</f>
        <v>10.540800000000001</v>
      </c>
      <c r="IF54" s="6">
        <f>日流量!IF54*24*3600/100000000</f>
        <v>10.368</v>
      </c>
      <c r="IG54" s="6">
        <f>日流量!IG54*24*3600/100000000</f>
        <v>10.281599999999999</v>
      </c>
      <c r="IH54" s="6">
        <f>日流量!IH54*24*3600/100000000</f>
        <v>10.7136</v>
      </c>
      <c r="II54" s="6">
        <f>日流量!II54*24*3600/100000000</f>
        <v>11.8368</v>
      </c>
      <c r="IJ54" s="6">
        <f>日流量!IJ54*24*3600/100000000</f>
        <v>12.700799999999999</v>
      </c>
      <c r="IK54" s="6">
        <f>日流量!IK54*24*3600/100000000</f>
        <v>13.651199999999999</v>
      </c>
      <c r="IL54" s="6">
        <f>日流量!IL54*24*3600/100000000</f>
        <v>14.688000000000001</v>
      </c>
      <c r="IM54" s="6">
        <f>日流量!IM54*24*3600/100000000</f>
        <v>15.2064</v>
      </c>
      <c r="IN54" s="6">
        <f>日流量!IN54*24*3600/100000000</f>
        <v>15.2064</v>
      </c>
      <c r="IO54" s="6">
        <f>日流量!IO54*24*3600/100000000</f>
        <v>15.552</v>
      </c>
      <c r="IP54" s="6">
        <f>日流量!IP54*24*3600/100000000</f>
        <v>16.502400000000002</v>
      </c>
      <c r="IQ54" s="6">
        <f>日流量!IQ54*24*3600/100000000</f>
        <v>14.601599999999999</v>
      </c>
      <c r="IR54" s="6">
        <f>日流量!IR54*24*3600/100000000</f>
        <v>13.5648</v>
      </c>
      <c r="IS54" s="6">
        <f>日流量!IS54*24*3600/100000000</f>
        <v>12.8736</v>
      </c>
      <c r="IT54" s="6">
        <f>日流量!IT54*24*3600/100000000</f>
        <v>12.009600000000001</v>
      </c>
      <c r="IU54" s="6">
        <f>日流量!IU54*24*3600/100000000</f>
        <v>11.1456</v>
      </c>
      <c r="IV54" s="6">
        <f>日流量!IV54*24*3600/100000000</f>
        <v>10.8</v>
      </c>
      <c r="IW54" s="6">
        <f>日流量!IW54*24*3600/100000000</f>
        <v>10.8</v>
      </c>
      <c r="IX54" s="6">
        <f>日流量!IX54*24*3600/100000000</f>
        <v>10.972799999999999</v>
      </c>
      <c r="IY54" s="6">
        <f>日流量!IY54*24*3600/100000000</f>
        <v>11.059200000000001</v>
      </c>
      <c r="IZ54" s="6">
        <f>日流量!IZ54*24*3600/100000000</f>
        <v>10.972799999999999</v>
      </c>
      <c r="JA54" s="6">
        <f>日流量!JA54*24*3600/100000000</f>
        <v>10.972799999999999</v>
      </c>
      <c r="JB54" s="6">
        <f>日流量!JB54*24*3600/100000000</f>
        <v>11.059200000000001</v>
      </c>
      <c r="JC54" s="6">
        <f>日流量!JC54*24*3600/100000000</f>
        <v>8.8127999999999993</v>
      </c>
      <c r="JD54" s="6">
        <f>日流量!JD54*24*3600/100000000</f>
        <v>7.3612799999999998</v>
      </c>
      <c r="JE54" s="6">
        <f>日流量!JE54*24*3600/100000000</f>
        <v>6.6614399999999998</v>
      </c>
      <c r="JF54" s="6">
        <f>日流量!JF54*24*3600/100000000</f>
        <v>8.3548799999999996</v>
      </c>
      <c r="JG54" s="6">
        <f>日流量!JG54*24*3600/100000000</f>
        <v>9.1584000000000003</v>
      </c>
      <c r="JH54" s="6">
        <f>日流量!JH54*24*3600/100000000</f>
        <v>8.5449599999999997</v>
      </c>
      <c r="JI54" s="6">
        <f>日流量!JI54*24*3600/100000000</f>
        <v>8.7263999999999999</v>
      </c>
      <c r="JJ54" s="6">
        <f>日流量!JJ54*24*3600/100000000</f>
        <v>8.8127999999999993</v>
      </c>
      <c r="JK54" s="6">
        <f>日流量!JK54*24*3600/100000000</f>
        <v>9.5039999999999996</v>
      </c>
      <c r="JL54" s="6">
        <f>日流量!JL54*24*3600/100000000</f>
        <v>9.5904000000000007</v>
      </c>
      <c r="JM54" s="6">
        <f>日流量!JM54*24*3600/100000000</f>
        <v>9.5039999999999996</v>
      </c>
      <c r="JN54" s="6">
        <f>日流量!JN54*24*3600/100000000</f>
        <v>9.5039999999999996</v>
      </c>
      <c r="JO54" s="6">
        <f>日流量!JO54*24*3600/100000000</f>
        <v>9.3312000000000008</v>
      </c>
      <c r="JP54" s="6">
        <f>日流量!JP54*24*3600/100000000</f>
        <v>9.0719999999999992</v>
      </c>
      <c r="JQ54" s="6">
        <f>日流量!JQ54*24*3600/100000000</f>
        <v>8.4844799999999996</v>
      </c>
      <c r="JR54" s="6">
        <f>日流量!JR54*24*3600/100000000</f>
        <v>8.8992000000000004</v>
      </c>
      <c r="JS54" s="6">
        <f>日流量!JS54*24*3600/100000000</f>
        <v>9.9359999999999999</v>
      </c>
      <c r="JT54" s="6">
        <f>日流量!JT54*24*3600/100000000</f>
        <v>9.9359999999999999</v>
      </c>
      <c r="JU54" s="6">
        <f>日流量!JU54*24*3600/100000000</f>
        <v>8.7263999999999999</v>
      </c>
      <c r="JV54" s="6">
        <f>日流量!JV54*24*3600/100000000</f>
        <v>7.7414399999999999</v>
      </c>
      <c r="JW54" s="6">
        <f>日流量!JW54*24*3600/100000000</f>
        <v>7.3872</v>
      </c>
      <c r="JX54" s="6">
        <f>日流量!JX54*24*3600/100000000</f>
        <v>7.1539200000000003</v>
      </c>
      <c r="JY54" s="6">
        <f>日流量!JY54*24*3600/100000000</f>
        <v>7.0588800000000003</v>
      </c>
      <c r="JZ54" s="6">
        <f>日流量!JZ54*24*3600/100000000</f>
        <v>7.0329600000000001</v>
      </c>
      <c r="KA54" s="6">
        <f>日流量!KA54*24*3600/100000000</f>
        <v>6.6700799999999996</v>
      </c>
      <c r="KB54" s="6">
        <f>日流量!KB54*24*3600/100000000</f>
        <v>6.7564799999999998</v>
      </c>
      <c r="KC54" s="6">
        <f>日流量!KC54*24*3600/100000000</f>
        <v>6.2380800000000001</v>
      </c>
      <c r="KD54" s="6">
        <f>日流量!KD54*24*3600/100000000</f>
        <v>6.0220799999999999</v>
      </c>
      <c r="KE54" s="6">
        <f>日流量!KE54*24*3600/100000000</f>
        <v>5.7542400000000002</v>
      </c>
      <c r="KF54" s="6">
        <f>日流量!KF54*24*3600/100000000</f>
        <v>5.25312</v>
      </c>
      <c r="KG54" s="6">
        <f>日流量!KG54*24*3600/100000000</f>
        <v>5.3913599999999997</v>
      </c>
      <c r="KH54" s="6">
        <f>日流量!KH54*24*3600/100000000</f>
        <v>5.3913599999999997</v>
      </c>
      <c r="KI54" s="6">
        <f>日流量!KI54*24*3600/100000000</f>
        <v>4.9420799999999998</v>
      </c>
      <c r="KJ54" s="6">
        <f>日流量!KJ54*24*3600/100000000</f>
        <v>4.87296</v>
      </c>
      <c r="KK54" s="6">
        <f>日流量!KK54*24*3600/100000000</f>
        <v>5.0284800000000001</v>
      </c>
      <c r="KL54" s="6">
        <f>日流量!KL54*24*3600/100000000</f>
        <v>4.9248000000000003</v>
      </c>
      <c r="KM54" s="6">
        <f>日流量!KM54*24*3600/100000000</f>
        <v>4.8643200000000002</v>
      </c>
      <c r="KN54" s="6">
        <f>日流量!KN54*24*3600/100000000</f>
        <v>4.6310399999999996</v>
      </c>
      <c r="KO54" s="6">
        <f>日流量!KO54*24*3600/100000000</f>
        <v>5.3740800000000002</v>
      </c>
      <c r="KP54" s="6">
        <f>日流量!KP54*24*3600/100000000</f>
        <v>5.3308799999999996</v>
      </c>
      <c r="KQ54" s="6">
        <f>日流量!KQ54*24*3600/100000000</f>
        <v>4.74336</v>
      </c>
      <c r="KR54" s="6">
        <f>日流量!KR54*24*3600/100000000</f>
        <v>4.5792000000000002</v>
      </c>
      <c r="KS54" s="6">
        <f>日流量!KS54*24*3600/100000000</f>
        <v>4.5446400000000002</v>
      </c>
      <c r="KT54" s="6">
        <f>日流量!KT54*24*3600/100000000</f>
        <v>4.0608000000000004</v>
      </c>
      <c r="KU54" s="6">
        <f>日流量!KU54*24*3600/100000000</f>
        <v>4.1990400000000001</v>
      </c>
      <c r="KV54" s="6">
        <f>日流量!KV54*24*3600/100000000</f>
        <v>4.32</v>
      </c>
      <c r="KW54" s="6">
        <f>日流量!KW54*24*3600/100000000</f>
        <v>4.2940800000000001</v>
      </c>
      <c r="KX54" s="6">
        <f>日流量!KX54*24*3600/100000000</f>
        <v>4.1817599999999997</v>
      </c>
      <c r="KY54" s="6">
        <f>日流量!KY54*24*3600/100000000</f>
        <v>3.96576</v>
      </c>
      <c r="KZ54" s="6">
        <f>日流量!KZ54*24*3600/100000000</f>
        <v>3.8188800000000001</v>
      </c>
      <c r="LA54" s="6">
        <f>日流量!LA54*24*3600/100000000</f>
        <v>3.6892800000000001</v>
      </c>
      <c r="LB54" s="6">
        <f>日流量!LB54*24*3600/100000000</f>
        <v>3.5855999999999999</v>
      </c>
      <c r="LC54" s="6">
        <f>日流量!LC54*24*3600/100000000</f>
        <v>3.42144</v>
      </c>
      <c r="LD54" s="6">
        <f>日流量!LD54*24*3600/100000000</f>
        <v>3.4041600000000001</v>
      </c>
      <c r="LE54" s="6">
        <f>日流量!LE54*24*3600/100000000</f>
        <v>3.3696000000000002</v>
      </c>
      <c r="LF54" s="6">
        <f>日流量!LF54*24*3600/100000000</f>
        <v>3.2831999999999999</v>
      </c>
      <c r="LG54" s="6">
        <f>日流量!LG54*24*3600/100000000</f>
        <v>3.1536</v>
      </c>
      <c r="LH54" s="6">
        <f>日流量!LH54*24*3600/100000000</f>
        <v>3.24864</v>
      </c>
      <c r="LI54" s="6">
        <f>日流量!LI54*24*3600/100000000</f>
        <v>3.1968000000000001</v>
      </c>
      <c r="LJ54" s="6">
        <f>日流量!LJ54*24*3600/100000000</f>
        <v>3.1708799999999999</v>
      </c>
      <c r="LK54" s="6">
        <f>日流量!LK54*24*3600/100000000</f>
        <v>3.13632</v>
      </c>
      <c r="LL54" s="6">
        <f>日流量!LL54*24*3600/100000000</f>
        <v>3.0585599999999999</v>
      </c>
      <c r="LM54" s="6">
        <f>日流量!LM54*24*3600/100000000</f>
        <v>3.0585599999999999</v>
      </c>
      <c r="LN54" s="6">
        <f>日流量!LN54*24*3600/100000000</f>
        <v>3.0499200000000002</v>
      </c>
      <c r="LO54" s="6">
        <f>日流量!LO54*24*3600/100000000</f>
        <v>3.0672000000000001</v>
      </c>
      <c r="LP54" s="6">
        <f>日流量!LP54*24*3600/100000000</f>
        <v>2.9635199999999999</v>
      </c>
      <c r="LQ54" s="6">
        <f>日流量!LQ54*24*3600/100000000</f>
        <v>2.8857599999999999</v>
      </c>
      <c r="LR54" s="6">
        <f>日流量!LR54*24*3600/100000000</f>
        <v>2.81664</v>
      </c>
      <c r="LS54" s="6">
        <f>日流量!LS54*24*3600/100000000</f>
        <v>2.7820800000000001</v>
      </c>
      <c r="LT54" s="6">
        <f>日流量!LT54*24*3600/100000000</f>
        <v>2.7216</v>
      </c>
      <c r="LU54" s="6">
        <f>日流量!LU54*24*3600/100000000</f>
        <v>2.6524800000000002</v>
      </c>
      <c r="LV54" s="6">
        <f>日流量!LV54*24*3600/100000000</f>
        <v>2.5747200000000001</v>
      </c>
      <c r="LW54" s="6">
        <f>日流量!LW54*24*3600/100000000</f>
        <v>2.5747200000000001</v>
      </c>
      <c r="LX54" s="6">
        <f>日流量!LX54*24*3600/100000000</f>
        <v>2.4969600000000001</v>
      </c>
      <c r="LY54" s="6">
        <f>日流量!LY54*24*3600/100000000</f>
        <v>2.51424</v>
      </c>
      <c r="LZ54" s="6">
        <f>日流量!LZ54*24*3600/100000000</f>
        <v>2.4278400000000002</v>
      </c>
      <c r="MA54" s="6">
        <f>日流量!MA54*24*3600/100000000</f>
        <v>2.3846400000000001</v>
      </c>
      <c r="MB54" s="6">
        <f>日流量!MB54*24*3600/100000000</f>
        <v>2.3587199999999999</v>
      </c>
      <c r="MC54" s="6">
        <f>日流量!MC54*24*3600/100000000</f>
        <v>2.3673600000000001</v>
      </c>
      <c r="MD54" s="6">
        <f>日流量!MD54*24*3600/100000000</f>
        <v>2.3500800000000002</v>
      </c>
      <c r="ME54" s="6">
        <f>日流量!ME54*24*3600/100000000</f>
        <v>2.2896000000000001</v>
      </c>
      <c r="MF54" s="6">
        <f>日流量!MF54*24*3600/100000000</f>
        <v>2.2550400000000002</v>
      </c>
      <c r="MG54" s="6">
        <f>日流量!MG54*24*3600/100000000</f>
        <v>2.2464</v>
      </c>
      <c r="MH54" s="6">
        <f>日流量!MH54*24*3600/100000000</f>
        <v>2.1859199999999999</v>
      </c>
      <c r="MI54" s="6">
        <f>日流量!MI54*24*3600/100000000</f>
        <v>2.21184</v>
      </c>
      <c r="MJ54" s="6">
        <f>日流量!MJ54*24*3600/100000000</f>
        <v>2.2377600000000002</v>
      </c>
      <c r="MK54" s="6">
        <f>日流量!MK54*24*3600/100000000</f>
        <v>2.21184</v>
      </c>
      <c r="ML54" s="6">
        <f>日流量!ML54*24*3600/100000000</f>
        <v>2.1686399999999999</v>
      </c>
      <c r="MM54" s="6">
        <f>日流量!MM54*24*3600/100000000</f>
        <v>2.1427200000000002</v>
      </c>
      <c r="MN54" s="6">
        <f>日流量!MN54*24*3600/100000000</f>
        <v>2.1772800000000001</v>
      </c>
      <c r="MO54" s="6">
        <f>日流量!MO54*24*3600/100000000</f>
        <v>2.1427200000000002</v>
      </c>
      <c r="MP54" s="6">
        <f>日流量!MP54*24*3600/100000000</f>
        <v>2.13408</v>
      </c>
      <c r="MQ54" s="6">
        <f>日流量!MQ54*24*3600/100000000</f>
        <v>2.1513599999999999</v>
      </c>
      <c r="MR54" s="6">
        <f>日流量!MR54*24*3600/100000000</f>
        <v>2.1081599999999998</v>
      </c>
      <c r="MS54" s="6">
        <f>日流量!MS54*24*3600/100000000</f>
        <v>2.1168</v>
      </c>
      <c r="MT54" s="6">
        <f>日流量!MT54*24*3600/100000000</f>
        <v>2.0735999999999999</v>
      </c>
      <c r="MU54" s="6">
        <f>日流量!MU54*24*3600/100000000</f>
        <v>2.03904</v>
      </c>
      <c r="MV54" s="6">
        <f>日流量!MV54*24*3600/100000000</f>
        <v>2.03904</v>
      </c>
      <c r="MW54" s="6">
        <f>日流量!MW54*24*3600/100000000</f>
        <v>2.0131199999999998</v>
      </c>
      <c r="MX54" s="6">
        <f>日流量!MX54*24*3600/100000000</f>
        <v>2.0131199999999998</v>
      </c>
      <c r="MY54" s="6">
        <f>日流量!MY54*24*3600/100000000</f>
        <v>1.9526399999999999</v>
      </c>
      <c r="MZ54" s="6">
        <f>日流量!MZ54*24*3600/100000000</f>
        <v>1.8835200000000001</v>
      </c>
      <c r="NA54" s="6">
        <f>日流量!NA54*24*3600/100000000</f>
        <v>1.82304</v>
      </c>
      <c r="NB54" s="6">
        <f>日流量!NB54*24*3600/100000000</f>
        <v>1.8144</v>
      </c>
      <c r="NC54" s="6"/>
      <c r="ND54" s="6">
        <f>日流量!ND54*24*3600*31/100000000</f>
        <v>53.300159999999998</v>
      </c>
      <c r="NE54" s="6">
        <f>日流量!NE54*24*3600*28/100000000</f>
        <v>48.14208</v>
      </c>
      <c r="NF54" s="6">
        <f>日流量!NF54*24*3600*31/100000000</f>
        <v>53.835839999999997</v>
      </c>
      <c r="NG54" s="6">
        <f>日流量!NG54*24*3600*30/100000000</f>
        <v>46.915199999999999</v>
      </c>
      <c r="NH54" s="6">
        <f>日流量!NH54*24*3600*31/100000000</f>
        <v>59.192639999999997</v>
      </c>
      <c r="NI54" s="6">
        <f>日流量!NI54*24*3600*30/100000000</f>
        <v>175.47839999999999</v>
      </c>
      <c r="NJ54" s="6">
        <f>日流量!NJ54*24*3600*31/100000000</f>
        <v>189.36287999999999</v>
      </c>
      <c r="NK54" s="6">
        <f>日流量!NK54*24*3600*31/100000000</f>
        <v>261.41183999999998</v>
      </c>
      <c r="NL54" s="6">
        <f>日流量!NL54*24*3600*30/100000000</f>
        <v>331.77600000000001</v>
      </c>
      <c r="NM54" s="6">
        <f>日流量!NM54*24*3600*31/100000000</f>
        <v>196.86240000000001</v>
      </c>
      <c r="NN54" s="6">
        <f>日流量!NN54*24*3600*30/100000000</f>
        <v>98.236800000000002</v>
      </c>
      <c r="NO54" s="6">
        <f>日流量!NO54*24*3600*31/100000000</f>
        <v>66.692160000000001</v>
      </c>
      <c r="NP54" s="14">
        <f t="shared" si="10"/>
        <v>1581.2064</v>
      </c>
      <c r="NQ54" s="6">
        <f>日流量!NQ54*24*3600/100000000</f>
        <v>16.502400000000002</v>
      </c>
      <c r="NR54" s="4">
        <f>日流量!NR54</f>
        <v>42618</v>
      </c>
      <c r="NS54" s="6">
        <f>日流量!NS54*24*3600/100000000</f>
        <v>1.2441599999999999</v>
      </c>
      <c r="NT54" s="4">
        <f>日流量!NT54</f>
        <v>42478</v>
      </c>
      <c r="NU54" s="7">
        <f>日流量!NP54</f>
        <v>5013.5342465753429</v>
      </c>
      <c r="NW54" s="13">
        <f t="shared" si="0"/>
        <v>1214.0841599999999</v>
      </c>
      <c r="NX54" s="12">
        <f t="shared" si="1"/>
        <v>76.782143052292213</v>
      </c>
      <c r="NY54" s="13">
        <f t="shared" si="2"/>
        <v>958.02911999999992</v>
      </c>
      <c r="NZ54" s="12">
        <f t="shared" si="3"/>
        <v>60.588492432107529</v>
      </c>
      <c r="OA54" s="13">
        <f t="shared" si="4"/>
        <v>367.12224000000015</v>
      </c>
      <c r="OB54" s="12">
        <f t="shared" si="5"/>
        <v>23.217856947707784</v>
      </c>
      <c r="OC54" s="13">
        <f t="shared" si="6"/>
        <v>331.77600000000001</v>
      </c>
      <c r="OD54" s="12">
        <f t="shared" si="7"/>
        <v>20.98245997486476</v>
      </c>
      <c r="OE54" s="12">
        <f t="shared" si="8"/>
        <v>369.44074766355141</v>
      </c>
      <c r="OF54" s="12">
        <f t="shared" si="9"/>
        <v>11.714889258737678</v>
      </c>
    </row>
    <row r="55" spans="1:396" x14ac:dyDescent="0.15">
      <c r="A55" s="2">
        <v>2002</v>
      </c>
      <c r="B55" s="6">
        <f>日流量!B55*24*3600/100000000</f>
        <v>1.7884800000000001</v>
      </c>
      <c r="C55" s="6">
        <f>日流量!C55*24*3600/100000000</f>
        <v>1.80576</v>
      </c>
      <c r="D55" s="6">
        <f>日流量!D55*24*3600/100000000</f>
        <v>1.7625599999999999</v>
      </c>
      <c r="E55" s="6">
        <f>日流量!E55*24*3600/100000000</f>
        <v>1.7798400000000001</v>
      </c>
      <c r="F55" s="6">
        <f>日流量!F55*24*3600/100000000</f>
        <v>1.8489599999999999</v>
      </c>
      <c r="G55" s="6">
        <f>日流量!G55*24*3600/100000000</f>
        <v>1.84032</v>
      </c>
      <c r="H55" s="6">
        <f>日流量!H55*24*3600/100000000</f>
        <v>1.7971200000000001</v>
      </c>
      <c r="I55" s="6">
        <f>日流量!I55*24*3600/100000000</f>
        <v>1.7971200000000001</v>
      </c>
      <c r="J55" s="6">
        <f>日流量!J55*24*3600/100000000</f>
        <v>1.83168</v>
      </c>
      <c r="K55" s="6">
        <f>日流量!K55*24*3600/100000000</f>
        <v>1.82304</v>
      </c>
      <c r="L55" s="6">
        <f>日流量!L55*24*3600/100000000</f>
        <v>1.7712000000000001</v>
      </c>
      <c r="M55" s="6">
        <f>日流量!M55*24*3600/100000000</f>
        <v>1.7539199999999999</v>
      </c>
      <c r="N55" s="6">
        <f>日流量!N55*24*3600/100000000</f>
        <v>1.7452799999999999</v>
      </c>
      <c r="O55" s="6">
        <f>日流量!O55*24*3600/100000000</f>
        <v>1.6761600000000001</v>
      </c>
      <c r="P55" s="6">
        <f>日流量!P55*24*3600/100000000</f>
        <v>1.53792</v>
      </c>
      <c r="Q55" s="6">
        <f>日流量!Q55*24*3600/100000000</f>
        <v>1.5984</v>
      </c>
      <c r="R55" s="6">
        <f>日流量!R55*24*3600/100000000</f>
        <v>1.53792</v>
      </c>
      <c r="S55" s="6">
        <f>日流量!S55*24*3600/100000000</f>
        <v>1.60704</v>
      </c>
      <c r="T55" s="6">
        <f>日流量!T55*24*3600/100000000</f>
        <v>1.6934400000000001</v>
      </c>
      <c r="U55" s="6">
        <f>日流量!U55*24*3600/100000000</f>
        <v>1.6934400000000001</v>
      </c>
      <c r="V55" s="6">
        <f>日流量!V55*24*3600/100000000</f>
        <v>1.71072</v>
      </c>
      <c r="W55" s="6">
        <f>日流量!W55*24*3600/100000000</f>
        <v>1.6588799999999999</v>
      </c>
      <c r="X55" s="6">
        <f>日流量!X55*24*3600/100000000</f>
        <v>1.6415999999999999</v>
      </c>
      <c r="Y55" s="6">
        <f>日流量!Y55*24*3600/100000000</f>
        <v>1.6588799999999999</v>
      </c>
      <c r="Z55" s="6">
        <f>日流量!Z55*24*3600/100000000</f>
        <v>1.6934400000000001</v>
      </c>
      <c r="AA55" s="6">
        <f>日流量!AA55*24*3600/100000000</f>
        <v>1.71072</v>
      </c>
      <c r="AB55" s="6">
        <f>日流量!AB55*24*3600/100000000</f>
        <v>1.6415999999999999</v>
      </c>
      <c r="AC55" s="6">
        <f>日流量!AC55*24*3600/100000000</f>
        <v>1.6415999999999999</v>
      </c>
      <c r="AD55" s="6">
        <f>日流量!AD55*24*3600/100000000</f>
        <v>1.6502399999999999</v>
      </c>
      <c r="AE55" s="6">
        <f>日流量!AE55*24*3600/100000000</f>
        <v>1.71072</v>
      </c>
      <c r="AF55" s="6">
        <f>日流量!AF55*24*3600/100000000</f>
        <v>1.6502399999999999</v>
      </c>
      <c r="AG55" s="6">
        <f>日流量!AG55*24*3600/100000000</f>
        <v>1.70208</v>
      </c>
      <c r="AH55" s="6">
        <f>日流量!AH55*24*3600/100000000</f>
        <v>1.71936</v>
      </c>
      <c r="AI55" s="6">
        <f>日流量!AI55*24*3600/100000000</f>
        <v>1.71072</v>
      </c>
      <c r="AJ55" s="6">
        <f>日流量!AJ55*24*3600/100000000</f>
        <v>1.6675199999999999</v>
      </c>
      <c r="AK55" s="6">
        <f>日流量!AK55*24*3600/100000000</f>
        <v>1.5811200000000001</v>
      </c>
      <c r="AL55" s="6">
        <f>日流量!AL55*24*3600/100000000</f>
        <v>1.4774400000000001</v>
      </c>
      <c r="AM55" s="6">
        <f>日流量!AM55*24*3600/100000000</f>
        <v>1.32192</v>
      </c>
      <c r="AN55" s="6">
        <f>日流量!AN55*24*3600/100000000</f>
        <v>1.3478399999999999</v>
      </c>
      <c r="AO55" s="6">
        <f>日流量!AO55*24*3600/100000000</f>
        <v>1.3564799999999999</v>
      </c>
      <c r="AP55" s="6">
        <f>日流量!AP55*24*3600/100000000</f>
        <v>1.2873600000000001</v>
      </c>
      <c r="AQ55" s="6">
        <f>日流量!AQ55*24*3600/100000000</f>
        <v>1.2614399999999999</v>
      </c>
      <c r="AR55" s="6">
        <f>日流量!AR55*24*3600/100000000</f>
        <v>1.22688</v>
      </c>
      <c r="AS55" s="6">
        <f>日流量!AS55*24*3600/100000000</f>
        <v>1.2441599999999999</v>
      </c>
      <c r="AT55" s="6">
        <f>日流量!AT55*24*3600/100000000</f>
        <v>1.2096</v>
      </c>
      <c r="AU55" s="6">
        <f>日流量!AU55*24*3600/100000000</f>
        <v>1.1836800000000001</v>
      </c>
      <c r="AV55" s="6">
        <f>日流量!AV55*24*3600/100000000</f>
        <v>1.21824</v>
      </c>
      <c r="AW55" s="6">
        <f>日流量!AW55*24*3600/100000000</f>
        <v>1.2787200000000001</v>
      </c>
      <c r="AX55" s="6">
        <f>日流量!AX55*24*3600/100000000</f>
        <v>1.23552</v>
      </c>
      <c r="AY55" s="6">
        <f>日流量!AY55*24*3600/100000000</f>
        <v>1.31328</v>
      </c>
      <c r="AZ55" s="6">
        <f>日流量!AZ55*24*3600/100000000</f>
        <v>1.2527999999999999</v>
      </c>
      <c r="BA55" s="6">
        <f>日流量!BA55*24*3600/100000000</f>
        <v>1.2441599999999999</v>
      </c>
      <c r="BB55" s="6">
        <f>日流量!BB55*24*3600/100000000</f>
        <v>1.2787200000000001</v>
      </c>
      <c r="BC55" s="6">
        <f>日流量!BC55*24*3600/100000000</f>
        <v>1.296</v>
      </c>
      <c r="BD55" s="6">
        <f>日流量!BD55*24*3600/100000000</f>
        <v>1.23552</v>
      </c>
      <c r="BE55" s="6">
        <f>日流量!BE55*24*3600/100000000</f>
        <v>1.23552</v>
      </c>
      <c r="BF55" s="6">
        <f>日流量!BF55*24*3600/100000000</f>
        <v>1.2787200000000001</v>
      </c>
      <c r="BG55" s="6">
        <f>日流量!BG55*24*3600/100000000</f>
        <v>1.2096</v>
      </c>
      <c r="BH55" s="6">
        <f>日流量!BH55*24*3600/100000000</f>
        <v>1.1404799999999999</v>
      </c>
      <c r="BI55" s="6"/>
      <c r="BJ55" s="6">
        <f>日流量!BJ55*24*3600/100000000</f>
        <v>1.1232</v>
      </c>
      <c r="BK55" s="6">
        <f>日流量!BK55*24*3600/100000000</f>
        <v>1.10592</v>
      </c>
      <c r="BL55" s="6">
        <f>日流量!BL55*24*3600/100000000</f>
        <v>1.10592</v>
      </c>
      <c r="BM55" s="6">
        <f>日流量!BM55*24*3600/100000000</f>
        <v>1.1836800000000001</v>
      </c>
      <c r="BN55" s="6">
        <f>日流量!BN55*24*3600/100000000</f>
        <v>1.1664000000000001</v>
      </c>
      <c r="BO55" s="6">
        <f>日流量!BO55*24*3600/100000000</f>
        <v>1.1664000000000001</v>
      </c>
      <c r="BP55" s="6">
        <f>日流量!BP55*24*3600/100000000</f>
        <v>1.1491199999999999</v>
      </c>
      <c r="BQ55" s="6">
        <f>日流量!BQ55*24*3600/100000000</f>
        <v>1.1836800000000001</v>
      </c>
      <c r="BR55" s="6">
        <f>日流量!BR55*24*3600/100000000</f>
        <v>1.30464</v>
      </c>
      <c r="BS55" s="6">
        <f>日流量!BS55*24*3600/100000000</f>
        <v>1.49472</v>
      </c>
      <c r="BT55" s="6">
        <f>日流量!BT55*24*3600/100000000</f>
        <v>1.4515199999999999</v>
      </c>
      <c r="BU55" s="6">
        <f>日流量!BU55*24*3600/100000000</f>
        <v>1.4688000000000001</v>
      </c>
      <c r="BV55" s="6">
        <f>日流量!BV55*24*3600/100000000</f>
        <v>1.5984</v>
      </c>
      <c r="BW55" s="6">
        <f>日流量!BW55*24*3600/100000000</f>
        <v>1.43424</v>
      </c>
      <c r="BX55" s="6">
        <f>日流量!BX55*24*3600/100000000</f>
        <v>1.3478399999999999</v>
      </c>
      <c r="BY55" s="6">
        <f>日流量!BY55*24*3600/100000000</f>
        <v>1.2873600000000001</v>
      </c>
      <c r="BZ55" s="6">
        <f>日流量!BZ55*24*3600/100000000</f>
        <v>1.21824</v>
      </c>
      <c r="CA55" s="6">
        <f>日流量!CA55*24*3600/100000000</f>
        <v>1.2441599999999999</v>
      </c>
      <c r="CB55" s="6">
        <f>日流量!CB55*24*3600/100000000</f>
        <v>1.2527999999999999</v>
      </c>
      <c r="CC55" s="6">
        <f>日流量!CC55*24*3600/100000000</f>
        <v>1.33056</v>
      </c>
      <c r="CD55" s="6">
        <f>日流量!CD55*24*3600/100000000</f>
        <v>1.2787200000000001</v>
      </c>
      <c r="CE55" s="6">
        <f>日流量!CE55*24*3600/100000000</f>
        <v>1.3391999999999999</v>
      </c>
      <c r="CF55" s="6">
        <f>日流量!CF55*24*3600/100000000</f>
        <v>1.3910400000000001</v>
      </c>
      <c r="CG55" s="6">
        <f>日流量!CG55*24*3600/100000000</f>
        <v>1.3824000000000001</v>
      </c>
      <c r="CH55" s="6">
        <f>日流量!CH55*24*3600/100000000</f>
        <v>1.4428799999999999</v>
      </c>
      <c r="CI55" s="6">
        <f>日流量!CI55*24*3600/100000000</f>
        <v>1.52064</v>
      </c>
      <c r="CJ55" s="6">
        <f>日流量!CJ55*24*3600/100000000</f>
        <v>1.5465599999999999</v>
      </c>
      <c r="CK55" s="6">
        <f>日流量!CK55*24*3600/100000000</f>
        <v>1.5551999999999999</v>
      </c>
      <c r="CL55" s="6">
        <f>日流量!CL55*24*3600/100000000</f>
        <v>1.4774400000000001</v>
      </c>
      <c r="CM55" s="6">
        <f>日流量!CM55*24*3600/100000000</f>
        <v>1.3651199999999999</v>
      </c>
      <c r="CN55" s="6">
        <f>日流量!CN55*24*3600/100000000</f>
        <v>1.4515199999999999</v>
      </c>
      <c r="CO55" s="6">
        <f>日流量!CO55*24*3600/100000000</f>
        <v>1.43424</v>
      </c>
      <c r="CP55" s="6">
        <f>日流量!CP55*24*3600/100000000</f>
        <v>1.4256</v>
      </c>
      <c r="CQ55" s="6">
        <f>日流量!CQ55*24*3600/100000000</f>
        <v>1.512</v>
      </c>
      <c r="CR55" s="6">
        <f>日流量!CR55*24*3600/100000000</f>
        <v>1.50336</v>
      </c>
      <c r="CS55" s="6">
        <f>日流量!CS55*24*3600/100000000</f>
        <v>1.49472</v>
      </c>
      <c r="CT55" s="6">
        <f>日流量!CT55*24*3600/100000000</f>
        <v>1.2873600000000001</v>
      </c>
      <c r="CU55" s="6">
        <f>日流量!CU55*24*3600/100000000</f>
        <v>1.1750400000000001</v>
      </c>
      <c r="CV55" s="6">
        <f>日流量!CV55*24*3600/100000000</f>
        <v>1.296</v>
      </c>
      <c r="CW55" s="6">
        <f>日流量!CW55*24*3600/100000000</f>
        <v>1.3824000000000001</v>
      </c>
      <c r="CX55" s="6">
        <f>日流量!CX55*24*3600/100000000</f>
        <v>1.3910400000000001</v>
      </c>
      <c r="CY55" s="6">
        <f>日流量!CY55*24*3600/100000000</f>
        <v>1.4515199999999999</v>
      </c>
      <c r="CZ55" s="6">
        <f>日流量!CZ55*24*3600/100000000</f>
        <v>1.39968</v>
      </c>
      <c r="DA55" s="6">
        <f>日流量!DA55*24*3600/100000000</f>
        <v>1.3478399999999999</v>
      </c>
      <c r="DB55" s="6">
        <f>日流量!DB55*24*3600/100000000</f>
        <v>1.3910400000000001</v>
      </c>
      <c r="DC55" s="6">
        <f>日流量!DC55*24*3600/100000000</f>
        <v>1.3478399999999999</v>
      </c>
      <c r="DD55" s="6">
        <f>日流量!DD55*24*3600/100000000</f>
        <v>1.39968</v>
      </c>
      <c r="DE55" s="6">
        <f>日流量!DE55*24*3600/100000000</f>
        <v>1.3910400000000001</v>
      </c>
      <c r="DF55" s="6">
        <f>日流量!DF55*24*3600/100000000</f>
        <v>1.3391999999999999</v>
      </c>
      <c r="DG55" s="6">
        <f>日流量!DG55*24*3600/100000000</f>
        <v>1.2096</v>
      </c>
      <c r="DH55" s="6">
        <f>日流量!DH55*24*3600/100000000</f>
        <v>1.2441599999999999</v>
      </c>
      <c r="DI55" s="6">
        <f>日流量!DI55*24*3600/100000000</f>
        <v>1.2700800000000001</v>
      </c>
      <c r="DJ55" s="6">
        <f>日流量!DJ55*24*3600/100000000</f>
        <v>1.3478399999999999</v>
      </c>
      <c r="DK55" s="6">
        <f>日流量!DK55*24*3600/100000000</f>
        <v>1.4601599999999999</v>
      </c>
      <c r="DL55" s="6">
        <f>日流量!DL55*24*3600/100000000</f>
        <v>1.60704</v>
      </c>
      <c r="DM55" s="6">
        <f>日流量!DM55*24*3600/100000000</f>
        <v>1.6588799999999999</v>
      </c>
      <c r="DN55" s="6">
        <f>日流量!DN55*24*3600/100000000</f>
        <v>1.5811200000000001</v>
      </c>
      <c r="DO55" s="6">
        <f>日流量!DO55*24*3600/100000000</f>
        <v>1.5897600000000001</v>
      </c>
      <c r="DP55" s="6">
        <f>日流量!DP55*24*3600/100000000</f>
        <v>1.71936</v>
      </c>
      <c r="DQ55" s="6">
        <f>日流量!DQ55*24*3600/100000000</f>
        <v>1.71072</v>
      </c>
      <c r="DR55" s="6">
        <f>日流量!DR55*24*3600/100000000</f>
        <v>1.7712000000000001</v>
      </c>
      <c r="DS55" s="6">
        <f>日流量!DS55*24*3600/100000000</f>
        <v>1.7971200000000001</v>
      </c>
      <c r="DT55" s="6">
        <f>日流量!DT55*24*3600/100000000</f>
        <v>1.71936</v>
      </c>
      <c r="DU55" s="6">
        <f>日流量!DU55*24*3600/100000000</f>
        <v>1.52928</v>
      </c>
      <c r="DV55" s="6">
        <f>日流量!DV55*24*3600/100000000</f>
        <v>1.4774400000000001</v>
      </c>
      <c r="DW55" s="6">
        <f>日流量!DW55*24*3600/100000000</f>
        <v>1.4601599999999999</v>
      </c>
      <c r="DX55" s="6">
        <f>日流量!DX55*24*3600/100000000</f>
        <v>1.41696</v>
      </c>
      <c r="DY55" s="6">
        <f>日流量!DY55*24*3600/100000000</f>
        <v>1.33056</v>
      </c>
      <c r="DZ55" s="6">
        <f>日流量!DZ55*24*3600/100000000</f>
        <v>1.41696</v>
      </c>
      <c r="EA55" s="6">
        <f>日流量!EA55*24*3600/100000000</f>
        <v>1.53792</v>
      </c>
      <c r="EB55" s="6">
        <f>日流量!EB55*24*3600/100000000</f>
        <v>1.32192</v>
      </c>
      <c r="EC55" s="6">
        <f>日流量!EC55*24*3600/100000000</f>
        <v>1.2527999999999999</v>
      </c>
      <c r="ED55" s="6">
        <f>日流量!ED55*24*3600/100000000</f>
        <v>1.5897600000000001</v>
      </c>
      <c r="EE55" s="6">
        <f>日流量!EE55*24*3600/100000000</f>
        <v>2.3673600000000001</v>
      </c>
      <c r="EF55" s="6">
        <f>日流量!EF55*24*3600/100000000</f>
        <v>2.4451200000000002</v>
      </c>
      <c r="EG55" s="6">
        <f>日流量!EG55*24*3600/100000000</f>
        <v>2.1945600000000001</v>
      </c>
      <c r="EH55" s="6">
        <f>日流量!EH55*24*3600/100000000</f>
        <v>2.1686399999999999</v>
      </c>
      <c r="EI55" s="6">
        <f>日流量!EI55*24*3600/100000000</f>
        <v>2.0735999999999999</v>
      </c>
      <c r="EJ55" s="6">
        <f>日流量!EJ55*24*3600/100000000</f>
        <v>2.02176</v>
      </c>
      <c r="EK55" s="6">
        <f>日流量!EK55*24*3600/100000000</f>
        <v>1.93536</v>
      </c>
      <c r="EL55" s="6">
        <f>日流量!EL55*24*3600/100000000</f>
        <v>1.944</v>
      </c>
      <c r="EM55" s="6">
        <f>日流量!EM55*24*3600/100000000</f>
        <v>1.91808</v>
      </c>
      <c r="EN55" s="6">
        <f>日流量!EN55*24*3600/100000000</f>
        <v>2.0908799999999998</v>
      </c>
      <c r="EO55" s="6">
        <f>日流量!EO55*24*3600/100000000</f>
        <v>2.02176</v>
      </c>
      <c r="EP55" s="6">
        <f>日流量!EP55*24*3600/100000000</f>
        <v>1.9612799999999999</v>
      </c>
      <c r="EQ55" s="6">
        <f>日流量!EQ55*24*3600/100000000</f>
        <v>1.83168</v>
      </c>
      <c r="ER55" s="6">
        <f>日流量!ER55*24*3600/100000000</f>
        <v>2.00448</v>
      </c>
      <c r="ES55" s="6">
        <f>日流量!ES55*24*3600/100000000</f>
        <v>2.13408</v>
      </c>
      <c r="ET55" s="6">
        <f>日流量!ET55*24*3600/100000000</f>
        <v>2.2464</v>
      </c>
      <c r="EU55" s="6">
        <f>日流量!EU55*24*3600/100000000</f>
        <v>2.5747200000000001</v>
      </c>
      <c r="EV55" s="6">
        <f>日流量!EV55*24*3600/100000000</f>
        <v>2.62656</v>
      </c>
      <c r="EW55" s="6">
        <f>日流量!EW55*24*3600/100000000</f>
        <v>2.7648000000000001</v>
      </c>
      <c r="EX55" s="6">
        <f>日流量!EX55*24*3600/100000000</f>
        <v>2.7820800000000001</v>
      </c>
      <c r="EY55" s="6">
        <f>日流量!EY55*24*3600/100000000</f>
        <v>2.7129599999999998</v>
      </c>
      <c r="EZ55" s="6">
        <f>日流量!EZ55*24*3600/100000000</f>
        <v>2.7475200000000002</v>
      </c>
      <c r="FA55" s="6">
        <f>日流量!FA55*24*3600/100000000</f>
        <v>2.6783999999999999</v>
      </c>
      <c r="FB55" s="6">
        <f>日流量!FB55*24*3600/100000000</f>
        <v>2.81664</v>
      </c>
      <c r="FC55" s="6">
        <f>日流量!FC55*24*3600/100000000</f>
        <v>2.7907199999999999</v>
      </c>
      <c r="FD55" s="6">
        <f>日流量!FD55*24*3600/100000000</f>
        <v>2.9203199999999998</v>
      </c>
      <c r="FE55" s="6">
        <f>日流量!FE55*24*3600/100000000</f>
        <v>2.9894400000000001</v>
      </c>
      <c r="FF55" s="6">
        <f>日流量!FF55*24*3600/100000000</f>
        <v>3.0585599999999999</v>
      </c>
      <c r="FG55" s="6">
        <f>日流量!FG55*24*3600/100000000</f>
        <v>2.9807999999999999</v>
      </c>
      <c r="FH55" s="6">
        <f>日流量!FH55*24*3600/100000000</f>
        <v>3.1536</v>
      </c>
      <c r="FI55" s="6">
        <f>日流量!FI55*24*3600/100000000</f>
        <v>3.1881599999999999</v>
      </c>
      <c r="FJ55" s="6">
        <f>日流量!FJ55*24*3600/100000000</f>
        <v>3.0931199999999999</v>
      </c>
      <c r="FK55" s="6">
        <f>日流量!FK55*24*3600/100000000</f>
        <v>3.34368</v>
      </c>
      <c r="FL55" s="6">
        <f>日流量!FL55*24*3600/100000000</f>
        <v>3.7065600000000001</v>
      </c>
      <c r="FM55" s="6">
        <f>日流量!FM55*24*3600/100000000</f>
        <v>3.6547200000000002</v>
      </c>
      <c r="FN55" s="6">
        <f>日流量!FN55*24*3600/100000000</f>
        <v>3.85344</v>
      </c>
      <c r="FO55" s="6">
        <f>日流量!FO55*24*3600/100000000</f>
        <v>3.9744000000000002</v>
      </c>
      <c r="FP55" s="6">
        <f>日流量!FP55*24*3600/100000000</f>
        <v>3.8620800000000002</v>
      </c>
      <c r="FQ55" s="6">
        <f>日流量!FQ55*24*3600/100000000</f>
        <v>4.04352</v>
      </c>
      <c r="FR55" s="6">
        <f>日流量!FR55*24*3600/100000000</f>
        <v>4.9593600000000002</v>
      </c>
      <c r="FS55" s="6">
        <f>日流量!FS55*24*3600/100000000</f>
        <v>5.8492800000000003</v>
      </c>
      <c r="FT55" s="6">
        <f>日流量!FT55*24*3600/100000000</f>
        <v>4.7347200000000003</v>
      </c>
      <c r="FU55" s="6">
        <f>日流量!FU55*24*3600/100000000</f>
        <v>3.9225599999999998</v>
      </c>
      <c r="FV55" s="6">
        <f>日流量!FV55*24*3600/100000000</f>
        <v>3.8620800000000002</v>
      </c>
      <c r="FW55" s="6">
        <f>日流量!FW55*24*3600/100000000</f>
        <v>4.9852800000000004</v>
      </c>
      <c r="FX55" s="6">
        <f>日流量!FX55*24*3600/100000000</f>
        <v>5.4345600000000003</v>
      </c>
      <c r="FY55" s="6">
        <f>日流量!FY55*24*3600/100000000</f>
        <v>5.1321599999999998</v>
      </c>
      <c r="FZ55" s="6">
        <f>日流量!FZ55*24*3600/100000000</f>
        <v>4.7519999999999998</v>
      </c>
      <c r="GA55" s="6">
        <f>日流量!GA55*24*3600/100000000</f>
        <v>4.5964799999999997</v>
      </c>
      <c r="GB55" s="6">
        <f>日流量!GB55*24*3600/100000000</f>
        <v>5.2704000000000004</v>
      </c>
      <c r="GC55" s="6">
        <f>日流量!GC55*24*3600/100000000</f>
        <v>5.7542400000000002</v>
      </c>
      <c r="GD55" s="6">
        <f>日流量!GD55*24*3600/100000000</f>
        <v>6.27264</v>
      </c>
      <c r="GE55" s="6">
        <f>日流量!GE55*24*3600/100000000</f>
        <v>6.3590400000000002</v>
      </c>
      <c r="GF55" s="6">
        <f>日流量!GF55*24*3600/100000000</f>
        <v>7.0243200000000003</v>
      </c>
      <c r="GG55" s="6">
        <f>日流量!GG55*24*3600/100000000</f>
        <v>8.08704</v>
      </c>
      <c r="GH55" s="6">
        <f>日流量!GH55*24*3600/100000000</f>
        <v>7.9574400000000001</v>
      </c>
      <c r="GI55" s="6">
        <f>日流量!GI55*24*3600/100000000</f>
        <v>8.2598400000000005</v>
      </c>
      <c r="GJ55" s="6">
        <f>日流量!GJ55*24*3600/100000000</f>
        <v>10.368</v>
      </c>
      <c r="GK55" s="6">
        <f>日流量!GK55*24*3600/100000000</f>
        <v>12.009600000000001</v>
      </c>
      <c r="GL55" s="6">
        <f>日流量!GL55*24*3600/100000000</f>
        <v>12.009600000000001</v>
      </c>
      <c r="GM55" s="6">
        <f>日流量!GM55*24*3600/100000000</f>
        <v>11.5776</v>
      </c>
      <c r="GN55" s="6">
        <f>日流量!GN55*24*3600/100000000</f>
        <v>10.540800000000001</v>
      </c>
      <c r="GO55" s="6">
        <f>日流量!GO55*24*3600/100000000</f>
        <v>9.4176000000000002</v>
      </c>
      <c r="GP55" s="6">
        <f>日流量!GP55*24*3600/100000000</f>
        <v>8.6313600000000008</v>
      </c>
      <c r="GQ55" s="6">
        <f>日流量!GQ55*24*3600/100000000</f>
        <v>7.5081600000000002</v>
      </c>
      <c r="GR55" s="6">
        <f>日流量!GR55*24*3600/100000000</f>
        <v>6.5145600000000004</v>
      </c>
      <c r="GS55" s="6">
        <f>日流量!GS55*24*3600/100000000</f>
        <v>6.048</v>
      </c>
      <c r="GT55" s="6">
        <f>日流量!GT55*24*3600/100000000</f>
        <v>5.8406399999999996</v>
      </c>
      <c r="GU55" s="6">
        <f>日流量!GU55*24*3600/100000000</f>
        <v>6.0134400000000001</v>
      </c>
      <c r="GV55" s="6">
        <f>日流量!GV55*24*3600/100000000</f>
        <v>6.0048000000000004</v>
      </c>
      <c r="GW55" s="6">
        <f>日流量!GW55*24*3600/100000000</f>
        <v>6.3763199999999998</v>
      </c>
      <c r="GX55" s="6">
        <f>日流量!GX55*24*3600/100000000</f>
        <v>7.1884800000000002</v>
      </c>
      <c r="GY55" s="6">
        <f>日流量!GY55*24*3600/100000000</f>
        <v>8.3030399999999993</v>
      </c>
      <c r="GZ55" s="6">
        <f>日流量!GZ55*24*3600/100000000</f>
        <v>10.1088</v>
      </c>
      <c r="HA55" s="6">
        <f>日流量!HA55*24*3600/100000000</f>
        <v>11.664</v>
      </c>
      <c r="HB55" s="6">
        <f>日流量!HB55*24*3600/100000000</f>
        <v>12.3552</v>
      </c>
      <c r="HC55" s="6">
        <f>日流量!HC55*24*3600/100000000</f>
        <v>12.009600000000001</v>
      </c>
      <c r="HD55" s="6">
        <f>日流量!HD55*24*3600/100000000</f>
        <v>11.4048</v>
      </c>
      <c r="HE55" s="6">
        <f>日流量!HE55*24*3600/100000000</f>
        <v>9.8496000000000006</v>
      </c>
      <c r="HF55" s="6">
        <f>日流量!HF55*24*3600/100000000</f>
        <v>8.8127999999999993</v>
      </c>
      <c r="HG55" s="6">
        <f>日流量!HG55*24*3600/100000000</f>
        <v>9.5039999999999996</v>
      </c>
      <c r="HH55" s="6">
        <f>日流量!HH55*24*3600/100000000</f>
        <v>11.059200000000001</v>
      </c>
      <c r="HI55" s="6">
        <f>日流量!HI55*24*3600/100000000</f>
        <v>11.9232</v>
      </c>
      <c r="HJ55" s="6">
        <f>日流量!HJ55*24*3600/100000000</f>
        <v>11.750400000000001</v>
      </c>
      <c r="HK55" s="6">
        <f>日流量!HK55*24*3600/100000000</f>
        <v>11.231999999999999</v>
      </c>
      <c r="HL55" s="6">
        <f>日流量!HL55*24*3600/100000000</f>
        <v>10.022399999999999</v>
      </c>
      <c r="HM55" s="6">
        <f>日流量!HM55*24*3600/100000000</f>
        <v>8.8127999999999993</v>
      </c>
      <c r="HN55" s="6">
        <f>日流量!HN55*24*3600/100000000</f>
        <v>7.8796799999999996</v>
      </c>
      <c r="HO55" s="6">
        <f>日流量!HO55*24*3600/100000000</f>
        <v>6.7305599999999997</v>
      </c>
      <c r="HP55" s="6">
        <f>日流量!HP55*24*3600/100000000</f>
        <v>7.1884800000000002</v>
      </c>
      <c r="HQ55" s="6">
        <f>日流量!HQ55*24*3600/100000000</f>
        <v>9.0719999999999992</v>
      </c>
      <c r="HR55" s="6">
        <f>日流量!HR55*24*3600/100000000</f>
        <v>9.5904000000000007</v>
      </c>
      <c r="HS55" s="6">
        <f>日流量!HS55*24*3600/100000000</f>
        <v>10.8864</v>
      </c>
      <c r="HT55" s="6">
        <f>日流量!HT55*24*3600/100000000</f>
        <v>13.219200000000001</v>
      </c>
      <c r="HU55" s="6">
        <f>日流量!HU55*24*3600/100000000</f>
        <v>15.2064</v>
      </c>
      <c r="HV55" s="6">
        <f>日流量!HV55*24*3600/100000000</f>
        <v>15.811199999999999</v>
      </c>
      <c r="HW55" s="6">
        <f>日流量!HW55*24*3600/100000000</f>
        <v>16.243200000000002</v>
      </c>
      <c r="HX55" s="6">
        <f>日流量!HX55*24*3600/100000000</f>
        <v>14.601599999999999</v>
      </c>
      <c r="HY55" s="6">
        <f>日流量!HY55*24*3600/100000000</f>
        <v>14.169600000000001</v>
      </c>
      <c r="HZ55" s="6">
        <f>日流量!HZ55*24*3600/100000000</f>
        <v>12.8736</v>
      </c>
      <c r="IA55" s="6">
        <f>日流量!IA55*24*3600/100000000</f>
        <v>10.8864</v>
      </c>
      <c r="IB55" s="6">
        <f>日流量!IB55*24*3600/100000000</f>
        <v>9.2447999999999997</v>
      </c>
      <c r="IC55" s="6">
        <f>日流量!IC55*24*3600/100000000</f>
        <v>7.76736</v>
      </c>
      <c r="ID55" s="6">
        <f>日流量!ID55*24*3600/100000000</f>
        <v>7.29216</v>
      </c>
      <c r="IE55" s="6">
        <f>日流量!IE55*24*3600/100000000</f>
        <v>7.1366399999999999</v>
      </c>
      <c r="IF55" s="6">
        <f>日流量!IF55*24*3600/100000000</f>
        <v>7.7328000000000001</v>
      </c>
      <c r="IG55" s="6">
        <f>日流量!IG55*24*3600/100000000</f>
        <v>7.992</v>
      </c>
      <c r="IH55" s="6">
        <f>日流量!IH55*24*3600/100000000</f>
        <v>7.7500799999999996</v>
      </c>
      <c r="II55" s="6">
        <f>日流量!II55*24*3600/100000000</f>
        <v>7.4476800000000001</v>
      </c>
      <c r="IJ55" s="6">
        <f>日流量!IJ55*24*3600/100000000</f>
        <v>7.06752</v>
      </c>
      <c r="IK55" s="6">
        <f>日流量!IK55*24*3600/100000000</f>
        <v>7.0070399999999999</v>
      </c>
      <c r="IL55" s="6">
        <f>日流量!IL55*24*3600/100000000</f>
        <v>6.6182400000000001</v>
      </c>
      <c r="IM55" s="6">
        <f>日流量!IM55*24*3600/100000000</f>
        <v>6.1257599999999996</v>
      </c>
      <c r="IN55" s="6">
        <f>日流量!IN55*24*3600/100000000</f>
        <v>6.0134400000000001</v>
      </c>
      <c r="IO55" s="6">
        <f>日流量!IO55*24*3600/100000000</f>
        <v>5.85792</v>
      </c>
      <c r="IP55" s="6">
        <f>日流量!IP55*24*3600/100000000</f>
        <v>5.7369599999999998</v>
      </c>
      <c r="IQ55" s="6">
        <f>日流量!IQ55*24*3600/100000000</f>
        <v>5.5036800000000001</v>
      </c>
      <c r="IR55" s="6">
        <f>日流量!IR55*24*3600/100000000</f>
        <v>5.2790400000000002</v>
      </c>
      <c r="IS55" s="6">
        <f>日流量!IS55*24*3600/100000000</f>
        <v>5.1321599999999998</v>
      </c>
      <c r="IT55" s="6">
        <f>日流量!IT55*24*3600/100000000</f>
        <v>5.0544000000000002</v>
      </c>
      <c r="IU55" s="6">
        <f>日流量!IU55*24*3600/100000000</f>
        <v>4.9593600000000002</v>
      </c>
      <c r="IV55" s="6">
        <f>日流量!IV55*24*3600/100000000</f>
        <v>4.9766399999999997</v>
      </c>
      <c r="IW55" s="6">
        <f>日流量!IW55*24*3600/100000000</f>
        <v>4.9248000000000003</v>
      </c>
      <c r="IX55" s="6">
        <f>日流量!IX55*24*3600/100000000</f>
        <v>4.8902400000000004</v>
      </c>
      <c r="IY55" s="6">
        <f>日流量!IY55*24*3600/100000000</f>
        <v>4.8815999999999997</v>
      </c>
      <c r="IZ55" s="6">
        <f>日流量!IZ55*24*3600/100000000</f>
        <v>4.8902400000000004</v>
      </c>
      <c r="JA55" s="6">
        <f>日流量!JA55*24*3600/100000000</f>
        <v>5.2704000000000004</v>
      </c>
      <c r="JB55" s="6">
        <f>日流量!JB55*24*3600/100000000</f>
        <v>5.3913599999999997</v>
      </c>
      <c r="JC55" s="6">
        <f>日流量!JC55*24*3600/100000000</f>
        <v>5.2012799999999997</v>
      </c>
      <c r="JD55" s="6">
        <f>日流量!JD55*24*3600/100000000</f>
        <v>5.1235200000000001</v>
      </c>
      <c r="JE55" s="6">
        <f>日流量!JE55*24*3600/100000000</f>
        <v>5.1062399999999997</v>
      </c>
      <c r="JF55" s="6">
        <f>日流量!JF55*24*3600/100000000</f>
        <v>5.1148800000000003</v>
      </c>
      <c r="JG55" s="6">
        <f>日流量!JG55*24*3600/100000000</f>
        <v>5.0889600000000002</v>
      </c>
      <c r="JH55" s="6">
        <f>日流量!JH55*24*3600/100000000</f>
        <v>5.2185600000000001</v>
      </c>
      <c r="JI55" s="6">
        <f>日流量!JI55*24*3600/100000000</f>
        <v>5.1926399999999999</v>
      </c>
      <c r="JJ55" s="6">
        <f>日流量!JJ55*24*3600/100000000</f>
        <v>5.2704000000000004</v>
      </c>
      <c r="JK55" s="6">
        <f>日流量!JK55*24*3600/100000000</f>
        <v>5.4172799999999999</v>
      </c>
      <c r="JL55" s="6">
        <f>日流量!JL55*24*3600/100000000</f>
        <v>5.66784</v>
      </c>
      <c r="JM55" s="6">
        <f>日流量!JM55*24*3600/100000000</f>
        <v>5.7715199999999998</v>
      </c>
      <c r="JN55" s="6">
        <f>日流量!JN55*24*3600/100000000</f>
        <v>5.5900800000000004</v>
      </c>
      <c r="JO55" s="6">
        <f>日流量!JO55*24*3600/100000000</f>
        <v>5.7023999999999999</v>
      </c>
      <c r="JP55" s="6">
        <f>日流量!JP55*24*3600/100000000</f>
        <v>5.9615999999999998</v>
      </c>
      <c r="JQ55" s="6">
        <f>日流量!JQ55*24*3600/100000000</f>
        <v>6.2812799999999998</v>
      </c>
      <c r="JR55" s="6">
        <f>日流量!JR55*24*3600/100000000</f>
        <v>5.9356799999999996</v>
      </c>
      <c r="JS55" s="6">
        <f>日流量!JS55*24*3600/100000000</f>
        <v>5.9011199999999997</v>
      </c>
      <c r="JT55" s="6">
        <f>日流量!JT55*24*3600/100000000</f>
        <v>6.3849600000000004</v>
      </c>
      <c r="JU55" s="6">
        <f>日流量!JU55*24*3600/100000000</f>
        <v>6.2121599999999999</v>
      </c>
      <c r="JV55" s="6">
        <f>日流量!JV55*24*3600/100000000</f>
        <v>5.9788800000000002</v>
      </c>
      <c r="JW55" s="6">
        <f>日流量!JW55*24*3600/100000000</f>
        <v>5.5641600000000002</v>
      </c>
      <c r="JX55" s="6">
        <f>日流量!JX55*24*3600/100000000</f>
        <v>5.3827199999999999</v>
      </c>
      <c r="JY55" s="6">
        <f>日流量!JY55*24*3600/100000000</f>
        <v>5.1667199999999998</v>
      </c>
      <c r="JZ55" s="6">
        <f>日流量!JZ55*24*3600/100000000</f>
        <v>4.968</v>
      </c>
      <c r="KA55" s="6">
        <f>日流量!KA55*24*3600/100000000</f>
        <v>4.7519999999999998</v>
      </c>
      <c r="KB55" s="6">
        <f>日流量!KB55*24*3600/100000000</f>
        <v>4.6223999999999998</v>
      </c>
      <c r="KC55" s="6">
        <f>日流量!KC55*24*3600/100000000</f>
        <v>4.5187200000000001</v>
      </c>
      <c r="KD55" s="6">
        <f>日流量!KD55*24*3600/100000000</f>
        <v>4.4150400000000003</v>
      </c>
      <c r="KE55" s="6">
        <f>日流量!KE55*24*3600/100000000</f>
        <v>4.3891200000000001</v>
      </c>
      <c r="KF55" s="6">
        <f>日流量!KF55*24*3600/100000000</f>
        <v>4.4409599999999996</v>
      </c>
      <c r="KG55" s="6">
        <f>日流量!KG55*24*3600/100000000</f>
        <v>4.2767999999999997</v>
      </c>
      <c r="KH55" s="6">
        <f>日流量!KH55*24*3600/100000000</f>
        <v>4.1644800000000002</v>
      </c>
      <c r="KI55" s="6">
        <f>日流量!KI55*24*3600/100000000</f>
        <v>3.9312</v>
      </c>
      <c r="KJ55" s="6">
        <f>日流量!KJ55*24*3600/100000000</f>
        <v>3.72384</v>
      </c>
      <c r="KK55" s="6">
        <f>日流量!KK55*24*3600/100000000</f>
        <v>3.6720000000000002</v>
      </c>
      <c r="KL55" s="6">
        <f>日流量!KL55*24*3600/100000000</f>
        <v>3.4819200000000001</v>
      </c>
      <c r="KM55" s="6">
        <f>日流量!KM55*24*3600/100000000</f>
        <v>3.3782399999999999</v>
      </c>
      <c r="KN55" s="6">
        <f>日流量!KN55*24*3600/100000000</f>
        <v>3.2831999999999999</v>
      </c>
      <c r="KO55" s="6">
        <f>日流量!KO55*24*3600/100000000</f>
        <v>3.23136</v>
      </c>
      <c r="KP55" s="6">
        <f>日流量!KP55*24*3600/100000000</f>
        <v>3.1276799999999998</v>
      </c>
      <c r="KQ55" s="6">
        <f>日流量!KQ55*24*3600/100000000</f>
        <v>3.0931199999999999</v>
      </c>
      <c r="KR55" s="6">
        <f>日流量!KR55*24*3600/100000000</f>
        <v>3.1881599999999999</v>
      </c>
      <c r="KS55" s="6">
        <f>日流量!KS55*24*3600/100000000</f>
        <v>3.1103999999999998</v>
      </c>
      <c r="KT55" s="6">
        <f>日流量!KT55*24*3600/100000000</f>
        <v>3.04128</v>
      </c>
      <c r="KU55" s="6">
        <f>日流量!KU55*24*3600/100000000</f>
        <v>2.8857599999999999</v>
      </c>
      <c r="KV55" s="6">
        <f>日流量!KV55*24*3600/100000000</f>
        <v>2.7129599999999998</v>
      </c>
      <c r="KW55" s="6">
        <f>日流量!KW55*24*3600/100000000</f>
        <v>2.5920000000000001</v>
      </c>
      <c r="KX55" s="6">
        <f>日流量!KX55*24*3600/100000000</f>
        <v>2.4883199999999999</v>
      </c>
      <c r="KY55" s="6">
        <f>日流量!KY55*24*3600/100000000</f>
        <v>2.4624000000000001</v>
      </c>
      <c r="KZ55" s="6">
        <f>日流量!KZ55*24*3600/100000000</f>
        <v>2.6611199999999999</v>
      </c>
      <c r="LA55" s="6">
        <f>日流量!LA55*24*3600/100000000</f>
        <v>2.7216</v>
      </c>
      <c r="LB55" s="6">
        <f>日流量!LB55*24*3600/100000000</f>
        <v>2.7475200000000002</v>
      </c>
      <c r="LC55" s="6">
        <f>日流量!LC55*24*3600/100000000</f>
        <v>2.7907199999999999</v>
      </c>
      <c r="LD55" s="6">
        <f>日流量!LD55*24*3600/100000000</f>
        <v>2.7907199999999999</v>
      </c>
      <c r="LE55" s="6">
        <f>日流量!LE55*24*3600/100000000</f>
        <v>2.6611199999999999</v>
      </c>
      <c r="LF55" s="6">
        <f>日流量!LF55*24*3600/100000000</f>
        <v>2.7043200000000001</v>
      </c>
      <c r="LG55" s="6">
        <f>日流量!LG55*24*3600/100000000</f>
        <v>2.6006399999999998</v>
      </c>
      <c r="LH55" s="6">
        <f>日流量!LH55*24*3600/100000000</f>
        <v>2.4105599999999998</v>
      </c>
      <c r="LI55" s="6">
        <f>日流量!LI55*24*3600/100000000</f>
        <v>2.3932799999999999</v>
      </c>
      <c r="LJ55" s="6">
        <f>日流量!LJ55*24*3600/100000000</f>
        <v>2.2377600000000002</v>
      </c>
      <c r="LK55" s="6">
        <f>日流量!LK55*24*3600/100000000</f>
        <v>2.2204799999999998</v>
      </c>
      <c r="LL55" s="6">
        <f>日流量!LL55*24*3600/100000000</f>
        <v>2.2204799999999998</v>
      </c>
      <c r="LM55" s="6">
        <f>日流量!LM55*24*3600/100000000</f>
        <v>2.1427200000000002</v>
      </c>
      <c r="LN55" s="6">
        <f>日流量!LN55*24*3600/100000000</f>
        <v>2.2550400000000002</v>
      </c>
      <c r="LO55" s="6">
        <f>日流量!LO55*24*3600/100000000</f>
        <v>2.4624000000000001</v>
      </c>
      <c r="LP55" s="6">
        <f>日流量!LP55*24*3600/100000000</f>
        <v>2.3328000000000002</v>
      </c>
      <c r="LQ55" s="6">
        <f>日流量!LQ55*24*3600/100000000</f>
        <v>2.4192</v>
      </c>
      <c r="LR55" s="6">
        <f>日流量!LR55*24*3600/100000000</f>
        <v>2.4451200000000002</v>
      </c>
      <c r="LS55" s="6">
        <f>日流量!LS55*24*3600/100000000</f>
        <v>2.4278400000000002</v>
      </c>
      <c r="LT55" s="6">
        <f>日流量!LT55*24*3600/100000000</f>
        <v>2.3759999999999999</v>
      </c>
      <c r="LU55" s="6">
        <f>日流量!LU55*24*3600/100000000</f>
        <v>2.4624000000000001</v>
      </c>
      <c r="LV55" s="6">
        <f>日流量!LV55*24*3600/100000000</f>
        <v>2.2204799999999998</v>
      </c>
      <c r="LW55" s="6">
        <f>日流量!LW55*24*3600/100000000</f>
        <v>1.82304</v>
      </c>
      <c r="LX55" s="6">
        <f>日流量!LX55*24*3600/100000000</f>
        <v>1.7798400000000001</v>
      </c>
      <c r="LY55" s="6">
        <f>日流量!LY55*24*3600/100000000</f>
        <v>1.7452799999999999</v>
      </c>
      <c r="LZ55" s="6">
        <f>日流量!LZ55*24*3600/100000000</f>
        <v>1.6415999999999999</v>
      </c>
      <c r="MA55" s="6">
        <f>日流量!MA55*24*3600/100000000</f>
        <v>1.5897600000000001</v>
      </c>
      <c r="MB55" s="6">
        <f>日流量!MB55*24*3600/100000000</f>
        <v>1.5897600000000001</v>
      </c>
      <c r="MC55" s="6">
        <f>日流量!MC55*24*3600/100000000</f>
        <v>1.60704</v>
      </c>
      <c r="MD55" s="6">
        <f>日流量!MD55*24*3600/100000000</f>
        <v>1.60704</v>
      </c>
      <c r="ME55" s="6">
        <f>日流量!ME55*24*3600/100000000</f>
        <v>1.5984</v>
      </c>
      <c r="MF55" s="6">
        <f>日流量!MF55*24*3600/100000000</f>
        <v>1.49472</v>
      </c>
      <c r="MG55" s="6">
        <f>日流量!MG55*24*3600/100000000</f>
        <v>1.4688000000000001</v>
      </c>
      <c r="MH55" s="6">
        <f>日流量!MH55*24*3600/100000000</f>
        <v>1.4515199999999999</v>
      </c>
      <c r="MI55" s="6">
        <f>日流量!MI55*24*3600/100000000</f>
        <v>1.4256</v>
      </c>
      <c r="MJ55" s="6">
        <f>日流量!MJ55*24*3600/100000000</f>
        <v>1.41696</v>
      </c>
      <c r="MK55" s="6">
        <f>日流量!MK55*24*3600/100000000</f>
        <v>1.3478399999999999</v>
      </c>
      <c r="ML55" s="6">
        <f>日流量!ML55*24*3600/100000000</f>
        <v>1.4256</v>
      </c>
      <c r="MM55" s="6">
        <f>日流量!MM55*24*3600/100000000</f>
        <v>1.4774400000000001</v>
      </c>
      <c r="MN55" s="6">
        <f>日流量!MN55*24*3600/100000000</f>
        <v>1.4601599999999999</v>
      </c>
      <c r="MO55" s="6">
        <f>日流量!MO55*24*3600/100000000</f>
        <v>1.4428799999999999</v>
      </c>
      <c r="MP55" s="6">
        <f>日流量!MP55*24*3600/100000000</f>
        <v>1.4256</v>
      </c>
      <c r="MQ55" s="6">
        <f>日流量!MQ55*24*3600/100000000</f>
        <v>1.32192</v>
      </c>
      <c r="MR55" s="6">
        <f>日流量!MR55*24*3600/100000000</f>
        <v>1.32192</v>
      </c>
      <c r="MS55" s="6">
        <f>日流量!MS55*24*3600/100000000</f>
        <v>1.31328</v>
      </c>
      <c r="MT55" s="6">
        <f>日流量!MT55*24*3600/100000000</f>
        <v>1.32192</v>
      </c>
      <c r="MU55" s="6">
        <f>日流量!MU55*24*3600/100000000</f>
        <v>1.33056</v>
      </c>
      <c r="MV55" s="6">
        <f>日流量!MV55*24*3600/100000000</f>
        <v>1.296</v>
      </c>
      <c r="MW55" s="6">
        <f>日流量!MW55*24*3600/100000000</f>
        <v>1.33056</v>
      </c>
      <c r="MX55" s="6">
        <f>日流量!MX55*24*3600/100000000</f>
        <v>1.3564799999999999</v>
      </c>
      <c r="MY55" s="6">
        <f>日流量!MY55*24*3600/100000000</f>
        <v>1.32192</v>
      </c>
      <c r="MZ55" s="6">
        <f>日流量!MZ55*24*3600/100000000</f>
        <v>1.32192</v>
      </c>
      <c r="NA55" s="6">
        <f>日流量!NA55*24*3600/100000000</f>
        <v>1.33056</v>
      </c>
      <c r="NB55" s="6">
        <f>日流量!NB55*24*3600/100000000</f>
        <v>1.3564799999999999</v>
      </c>
      <c r="NC55" s="6"/>
      <c r="ND55" s="6">
        <f>日流量!ND55*24*3600*31/100000000</f>
        <v>53.032319999999999</v>
      </c>
      <c r="NE55" s="6">
        <f>日流量!NE55*24*3600*28/100000000</f>
        <v>37.497599999999998</v>
      </c>
      <c r="NF55" s="6">
        <f>日流量!NF55*24*3600*31/100000000</f>
        <v>41.24736</v>
      </c>
      <c r="NG55" s="6">
        <f>日流量!NG55*24*3600*30/100000000</f>
        <v>43.027200000000001</v>
      </c>
      <c r="NH55" s="6">
        <f>日流量!NH55*24*3600*31/100000000</f>
        <v>59.192639999999997</v>
      </c>
      <c r="NI55" s="6">
        <f>日流量!NI55*24*3600*30/100000000</f>
        <v>112.4928</v>
      </c>
      <c r="NJ55" s="6">
        <f>日流量!NJ55*24*3600*31/100000000</f>
        <v>265.42944</v>
      </c>
      <c r="NK55" s="6">
        <f>日流量!NK55*24*3600*31/100000000</f>
        <v>316.05119999999999</v>
      </c>
      <c r="NL55" s="6">
        <f>日流量!NL55*24*3600*30/100000000</f>
        <v>160.9632</v>
      </c>
      <c r="NM55" s="6">
        <f>日流量!NM55*24*3600*31/100000000</f>
        <v>139.54463999999999</v>
      </c>
      <c r="NN55" s="6">
        <f>日流量!NN55*24*3600*30/100000000</f>
        <v>73.3536</v>
      </c>
      <c r="NO55" s="6">
        <f>日流量!NO55*24*3600*31/100000000</f>
        <v>44.461440000000003</v>
      </c>
      <c r="NP55" s="14">
        <f t="shared" si="10"/>
        <v>1346.2934399999999</v>
      </c>
      <c r="NQ55" s="6">
        <f>日流量!NQ55*24*3600/100000000</f>
        <v>16.243200000000002</v>
      </c>
      <c r="NR55" s="4">
        <f>日流量!NR55</f>
        <v>42599</v>
      </c>
      <c r="NS55" s="6">
        <f>日流量!NS55*24*3600/100000000</f>
        <v>1.10592</v>
      </c>
      <c r="NT55" s="4">
        <f>日流量!NT55</f>
        <v>42431</v>
      </c>
      <c r="NU55" s="7">
        <f>日流量!NP55</f>
        <v>4267.5616438356165</v>
      </c>
      <c r="NW55" s="13">
        <f t="shared" si="0"/>
        <v>1053.67392</v>
      </c>
      <c r="NX55" s="12">
        <f t="shared" si="1"/>
        <v>78.264803845438038</v>
      </c>
      <c r="NY55" s="13">
        <f t="shared" si="2"/>
        <v>854.93664000000001</v>
      </c>
      <c r="NZ55" s="12">
        <f t="shared" si="3"/>
        <v>63.50299381983173</v>
      </c>
      <c r="OA55" s="13">
        <f t="shared" si="4"/>
        <v>292.61951999999997</v>
      </c>
      <c r="OB55" s="12">
        <f t="shared" si="5"/>
        <v>21.735196154561965</v>
      </c>
      <c r="OC55" s="13">
        <f t="shared" si="6"/>
        <v>316.05119999999999</v>
      </c>
      <c r="OD55" s="12">
        <f t="shared" si="7"/>
        <v>23.475654757702749</v>
      </c>
      <c r="OE55" s="12">
        <f t="shared" si="8"/>
        <v>314.55454205607469</v>
      </c>
      <c r="OF55" s="12">
        <f t="shared" si="9"/>
        <v>9.9744590961464574</v>
      </c>
    </row>
    <row r="56" spans="1:396" x14ac:dyDescent="0.15">
      <c r="A56" s="2">
        <v>2003</v>
      </c>
      <c r="B56" s="6">
        <f>日流量!B56*24*3600/100000000</f>
        <v>1.0886400000000001</v>
      </c>
      <c r="C56" s="6">
        <f>日流量!C56*24*3600/100000000</f>
        <v>1.30464</v>
      </c>
      <c r="D56" s="6">
        <f>日流量!D56*24*3600/100000000</f>
        <v>1.4860800000000001</v>
      </c>
      <c r="E56" s="6">
        <f>日流量!E56*24*3600/100000000</f>
        <v>1.4860800000000001</v>
      </c>
      <c r="F56" s="6">
        <f>日流量!F56*24*3600/100000000</f>
        <v>1.512</v>
      </c>
      <c r="G56" s="6">
        <f>日流量!G56*24*3600/100000000</f>
        <v>1.5897600000000001</v>
      </c>
      <c r="H56" s="6">
        <f>日流量!H56*24*3600/100000000</f>
        <v>1.6415999999999999</v>
      </c>
      <c r="I56" s="6">
        <f>日流量!I56*24*3600/100000000</f>
        <v>1.6675199999999999</v>
      </c>
      <c r="J56" s="6">
        <f>日流量!J56*24*3600/100000000</f>
        <v>1.52064</v>
      </c>
      <c r="K56" s="6">
        <f>日流量!K56*24*3600/100000000</f>
        <v>1.52928</v>
      </c>
      <c r="L56" s="6">
        <f>日流量!L56*24*3600/100000000</f>
        <v>1.52064</v>
      </c>
      <c r="M56" s="6">
        <f>日流量!M56*24*3600/100000000</f>
        <v>1.6415999999999999</v>
      </c>
      <c r="N56" s="6">
        <f>日流量!N56*24*3600/100000000</f>
        <v>1.62432</v>
      </c>
      <c r="O56" s="6">
        <f>日流量!O56*24*3600/100000000</f>
        <v>1.5984</v>
      </c>
      <c r="P56" s="6">
        <f>日流量!P56*24*3600/100000000</f>
        <v>1.5811200000000001</v>
      </c>
      <c r="Q56" s="6">
        <f>日流量!Q56*24*3600/100000000</f>
        <v>1.5724800000000001</v>
      </c>
      <c r="R56" s="6">
        <f>日流量!R56*24*3600/100000000</f>
        <v>1.5551999999999999</v>
      </c>
      <c r="S56" s="6">
        <f>日流量!S56*24*3600/100000000</f>
        <v>1.5465599999999999</v>
      </c>
      <c r="T56" s="6">
        <f>日流量!T56*24*3600/100000000</f>
        <v>1.53792</v>
      </c>
      <c r="U56" s="6">
        <f>日流量!U56*24*3600/100000000</f>
        <v>1.4860800000000001</v>
      </c>
      <c r="V56" s="6">
        <f>日流量!V56*24*3600/100000000</f>
        <v>1.4860800000000001</v>
      </c>
      <c r="W56" s="6">
        <f>日流量!W56*24*3600/100000000</f>
        <v>1.39968</v>
      </c>
      <c r="X56" s="6">
        <f>日流量!X56*24*3600/100000000</f>
        <v>1.3737600000000001</v>
      </c>
      <c r="Y56" s="6">
        <f>日流量!Y56*24*3600/100000000</f>
        <v>1.30464</v>
      </c>
      <c r="Z56" s="6">
        <f>日流量!Z56*24*3600/100000000</f>
        <v>1.2873600000000001</v>
      </c>
      <c r="AA56" s="6">
        <f>日流量!AA56*24*3600/100000000</f>
        <v>1.2441599999999999</v>
      </c>
      <c r="AB56" s="6">
        <f>日流量!AB56*24*3600/100000000</f>
        <v>1.11456</v>
      </c>
      <c r="AC56" s="6">
        <f>日流量!AC56*24*3600/100000000</f>
        <v>1.1491199999999999</v>
      </c>
      <c r="AD56" s="6">
        <f>日流量!AD56*24*3600/100000000</f>
        <v>1.1577599999999999</v>
      </c>
      <c r="AE56" s="6">
        <f>日流量!AE56*24*3600/100000000</f>
        <v>1.1404799999999999</v>
      </c>
      <c r="AF56" s="6">
        <f>日流量!AF56*24*3600/100000000</f>
        <v>1.1232</v>
      </c>
      <c r="AG56" s="6">
        <f>日流量!AG56*24*3600/100000000</f>
        <v>1.0540799999999999</v>
      </c>
      <c r="AH56" s="6">
        <f>日流量!AH56*24*3600/100000000</f>
        <v>1.0367999999999999</v>
      </c>
      <c r="AI56" s="6">
        <f>日流量!AI56*24*3600/100000000</f>
        <v>1.0454399999999999</v>
      </c>
      <c r="AJ56" s="6">
        <f>日流量!AJ56*24*3600/100000000</f>
        <v>0.98495999999999995</v>
      </c>
      <c r="AK56" s="6">
        <f>日流量!AK56*24*3600/100000000</f>
        <v>0.96767999999999998</v>
      </c>
      <c r="AL56" s="6">
        <f>日流量!AL56*24*3600/100000000</f>
        <v>1.01952</v>
      </c>
      <c r="AM56" s="6">
        <f>日流量!AM56*24*3600/100000000</f>
        <v>1.00224</v>
      </c>
      <c r="AN56" s="6">
        <f>日流量!AN56*24*3600/100000000</f>
        <v>1.0367999999999999</v>
      </c>
      <c r="AO56" s="6">
        <f>日流量!AO56*24*3600/100000000</f>
        <v>1.0627200000000001</v>
      </c>
      <c r="AP56" s="6">
        <f>日流量!AP56*24*3600/100000000</f>
        <v>1.1491199999999999</v>
      </c>
      <c r="AQ56" s="6">
        <f>日流量!AQ56*24*3600/100000000</f>
        <v>1.22688</v>
      </c>
      <c r="AR56" s="6">
        <f>日流量!AR56*24*3600/100000000</f>
        <v>1.3737600000000001</v>
      </c>
      <c r="AS56" s="6">
        <f>日流量!AS56*24*3600/100000000</f>
        <v>1.41696</v>
      </c>
      <c r="AT56" s="6">
        <f>日流量!AT56*24*3600/100000000</f>
        <v>1.4256</v>
      </c>
      <c r="AU56" s="6">
        <f>日流量!AU56*24*3600/100000000</f>
        <v>1.3910400000000001</v>
      </c>
      <c r="AV56" s="6">
        <f>日流量!AV56*24*3600/100000000</f>
        <v>1.3824000000000001</v>
      </c>
      <c r="AW56" s="6">
        <f>日流量!AW56*24*3600/100000000</f>
        <v>1.296</v>
      </c>
      <c r="AX56" s="6">
        <f>日流量!AX56*24*3600/100000000</f>
        <v>1.3824000000000001</v>
      </c>
      <c r="AY56" s="6">
        <f>日流量!AY56*24*3600/100000000</f>
        <v>1.40832</v>
      </c>
      <c r="AZ56" s="6">
        <f>日流量!AZ56*24*3600/100000000</f>
        <v>1.30464</v>
      </c>
      <c r="BA56" s="6">
        <f>日流量!BA56*24*3600/100000000</f>
        <v>1.10592</v>
      </c>
      <c r="BB56" s="6">
        <f>日流量!BB56*24*3600/100000000</f>
        <v>1.13184</v>
      </c>
      <c r="BC56" s="6">
        <f>日流量!BC56*24*3600/100000000</f>
        <v>1.1404799999999999</v>
      </c>
      <c r="BD56" s="6">
        <f>日流量!BD56*24*3600/100000000</f>
        <v>1.1577599999999999</v>
      </c>
      <c r="BE56" s="6">
        <f>日流量!BE56*24*3600/100000000</f>
        <v>1.0713600000000001</v>
      </c>
      <c r="BF56" s="6">
        <f>日流量!BF56*24*3600/100000000</f>
        <v>1.11456</v>
      </c>
      <c r="BG56" s="6">
        <f>日流量!BG56*24*3600/100000000</f>
        <v>1.19232</v>
      </c>
      <c r="BH56" s="6">
        <f>日流量!BH56*24*3600/100000000</f>
        <v>1.1664000000000001</v>
      </c>
      <c r="BI56" s="6"/>
      <c r="BJ56" s="6">
        <f>日流量!BJ56*24*3600/100000000</f>
        <v>1.1664000000000001</v>
      </c>
      <c r="BK56" s="6">
        <f>日流量!BK56*24*3600/100000000</f>
        <v>1.22688</v>
      </c>
      <c r="BL56" s="6">
        <f>日流量!BL56*24*3600/100000000</f>
        <v>1.23552</v>
      </c>
      <c r="BM56" s="6">
        <f>日流量!BM56*24*3600/100000000</f>
        <v>1.1836800000000001</v>
      </c>
      <c r="BN56" s="6">
        <f>日流量!BN56*24*3600/100000000</f>
        <v>1.22688</v>
      </c>
      <c r="BO56" s="6">
        <f>日流量!BO56*24*3600/100000000</f>
        <v>1.23552</v>
      </c>
      <c r="BP56" s="6">
        <f>日流量!BP56*24*3600/100000000</f>
        <v>1.2527999999999999</v>
      </c>
      <c r="BQ56" s="6">
        <f>日流量!BQ56*24*3600/100000000</f>
        <v>1.1577599999999999</v>
      </c>
      <c r="BR56" s="6">
        <f>日流量!BR56*24*3600/100000000</f>
        <v>1.19232</v>
      </c>
      <c r="BS56" s="6">
        <f>日流量!BS56*24*3600/100000000</f>
        <v>1.1404799999999999</v>
      </c>
      <c r="BT56" s="6">
        <f>日流量!BT56*24*3600/100000000</f>
        <v>1.1577599999999999</v>
      </c>
      <c r="BU56" s="6">
        <f>日流量!BU56*24*3600/100000000</f>
        <v>1.23552</v>
      </c>
      <c r="BV56" s="6">
        <f>日流量!BV56*24*3600/100000000</f>
        <v>1.21824</v>
      </c>
      <c r="BW56" s="6">
        <f>日流量!BW56*24*3600/100000000</f>
        <v>1.2441599999999999</v>
      </c>
      <c r="BX56" s="6">
        <f>日流量!BX56*24*3600/100000000</f>
        <v>1.2700800000000001</v>
      </c>
      <c r="BY56" s="6">
        <f>日流量!BY56*24*3600/100000000</f>
        <v>1.2614399999999999</v>
      </c>
      <c r="BZ56" s="6">
        <f>日流量!BZ56*24*3600/100000000</f>
        <v>1.23552</v>
      </c>
      <c r="CA56" s="6">
        <f>日流量!CA56*24*3600/100000000</f>
        <v>1.2873600000000001</v>
      </c>
      <c r="CB56" s="6">
        <f>日流量!CB56*24*3600/100000000</f>
        <v>1.2096</v>
      </c>
      <c r="CC56" s="6">
        <f>日流量!CC56*24*3600/100000000</f>
        <v>1.2614399999999999</v>
      </c>
      <c r="CD56" s="6">
        <f>日流量!CD56*24*3600/100000000</f>
        <v>1.2873600000000001</v>
      </c>
      <c r="CE56" s="6">
        <f>日流量!CE56*24*3600/100000000</f>
        <v>1.19232</v>
      </c>
      <c r="CF56" s="6">
        <f>日流量!CF56*24*3600/100000000</f>
        <v>1.13184</v>
      </c>
      <c r="CG56" s="6">
        <f>日流量!CG56*24*3600/100000000</f>
        <v>1.1404799999999999</v>
      </c>
      <c r="CH56" s="6">
        <f>日流量!CH56*24*3600/100000000</f>
        <v>1.11456</v>
      </c>
      <c r="CI56" s="6">
        <f>日流量!CI56*24*3600/100000000</f>
        <v>1.1232</v>
      </c>
      <c r="CJ56" s="6">
        <f>日流量!CJ56*24*3600/100000000</f>
        <v>1.1577599999999999</v>
      </c>
      <c r="CK56" s="6">
        <f>日流量!CK56*24*3600/100000000</f>
        <v>1.1750400000000001</v>
      </c>
      <c r="CL56" s="6">
        <f>日流量!CL56*24*3600/100000000</f>
        <v>1.1664000000000001</v>
      </c>
      <c r="CM56" s="6">
        <f>日流量!CM56*24*3600/100000000</f>
        <v>1.1491199999999999</v>
      </c>
      <c r="CN56" s="6">
        <f>日流量!CN56*24*3600/100000000</f>
        <v>1.1491199999999999</v>
      </c>
      <c r="CO56" s="6">
        <f>日流量!CO56*24*3600/100000000</f>
        <v>1.1577599999999999</v>
      </c>
      <c r="CP56" s="6">
        <f>日流量!CP56*24*3600/100000000</f>
        <v>1.11456</v>
      </c>
      <c r="CQ56" s="6">
        <f>日流量!CQ56*24*3600/100000000</f>
        <v>1.1232</v>
      </c>
      <c r="CR56" s="6">
        <f>日流量!CR56*24*3600/100000000</f>
        <v>1.1577599999999999</v>
      </c>
      <c r="CS56" s="6">
        <f>日流量!CS56*24*3600/100000000</f>
        <v>1.1232</v>
      </c>
      <c r="CT56" s="6">
        <f>日流量!CT56*24*3600/100000000</f>
        <v>1.09728</v>
      </c>
      <c r="CU56" s="6">
        <f>日流量!CU56*24*3600/100000000</f>
        <v>1.1232</v>
      </c>
      <c r="CV56" s="6">
        <f>日流量!CV56*24*3600/100000000</f>
        <v>1.08</v>
      </c>
      <c r="CW56" s="6">
        <f>日流量!CW56*24*3600/100000000</f>
        <v>1.1577599999999999</v>
      </c>
      <c r="CX56" s="6">
        <f>日流量!CX56*24*3600/100000000</f>
        <v>1.2096</v>
      </c>
      <c r="CY56" s="6">
        <f>日流量!CY56*24*3600/100000000</f>
        <v>1.2873600000000001</v>
      </c>
      <c r="CZ56" s="6">
        <f>日流量!CZ56*24*3600/100000000</f>
        <v>1.2614399999999999</v>
      </c>
      <c r="DA56" s="6">
        <f>日流量!DA56*24*3600/100000000</f>
        <v>1.2614399999999999</v>
      </c>
      <c r="DB56" s="6">
        <f>日流量!DB56*24*3600/100000000</f>
        <v>1.23552</v>
      </c>
      <c r="DC56" s="6">
        <f>日流量!DC56*24*3600/100000000</f>
        <v>1.11456</v>
      </c>
      <c r="DD56" s="6">
        <f>日流量!DD56*24*3600/100000000</f>
        <v>1.10592</v>
      </c>
      <c r="DE56" s="6">
        <f>日流量!DE56*24*3600/100000000</f>
        <v>1.0454399999999999</v>
      </c>
      <c r="DF56" s="6">
        <f>日流量!DF56*24*3600/100000000</f>
        <v>1.0886400000000001</v>
      </c>
      <c r="DG56" s="6">
        <f>日流量!DG56*24*3600/100000000</f>
        <v>1.0367999999999999</v>
      </c>
      <c r="DH56" s="6">
        <f>日流量!DH56*24*3600/100000000</f>
        <v>0.93311999999999995</v>
      </c>
      <c r="DI56" s="6">
        <f>日流量!DI56*24*3600/100000000</f>
        <v>0.96767999999999998</v>
      </c>
      <c r="DJ56" s="6">
        <f>日流量!DJ56*24*3600/100000000</f>
        <v>0.98495999999999995</v>
      </c>
      <c r="DK56" s="6">
        <f>日流量!DK56*24*3600/100000000</f>
        <v>0.99360000000000004</v>
      </c>
      <c r="DL56" s="6">
        <f>日流量!DL56*24*3600/100000000</f>
        <v>0.98495999999999995</v>
      </c>
      <c r="DM56" s="6">
        <f>日流量!DM56*24*3600/100000000</f>
        <v>0.96767999999999998</v>
      </c>
      <c r="DN56" s="6">
        <f>日流量!DN56*24*3600/100000000</f>
        <v>0.98495999999999995</v>
      </c>
      <c r="DO56" s="6">
        <f>日流量!DO56*24*3600/100000000</f>
        <v>1.2441599999999999</v>
      </c>
      <c r="DP56" s="6">
        <f>日流量!DP56*24*3600/100000000</f>
        <v>1.2441599999999999</v>
      </c>
      <c r="DQ56" s="6">
        <f>日流量!DQ56*24*3600/100000000</f>
        <v>1.2700800000000001</v>
      </c>
      <c r="DR56" s="6">
        <f>日流量!DR56*24*3600/100000000</f>
        <v>1.21824</v>
      </c>
      <c r="DS56" s="6">
        <f>日流量!DS56*24*3600/100000000</f>
        <v>1.09728</v>
      </c>
      <c r="DT56" s="6">
        <f>日流量!DT56*24*3600/100000000</f>
        <v>1.10592</v>
      </c>
      <c r="DU56" s="6">
        <f>日流量!DU56*24*3600/100000000</f>
        <v>1.1664000000000001</v>
      </c>
      <c r="DV56" s="6">
        <f>日流量!DV56*24*3600/100000000</f>
        <v>1.2527999999999999</v>
      </c>
      <c r="DW56" s="6">
        <f>日流量!DW56*24*3600/100000000</f>
        <v>1.1664000000000001</v>
      </c>
      <c r="DX56" s="6">
        <f>日流量!DX56*24*3600/100000000</f>
        <v>1.1232</v>
      </c>
      <c r="DY56" s="6">
        <f>日流量!DY56*24*3600/100000000</f>
        <v>1.08</v>
      </c>
      <c r="DZ56" s="6">
        <f>日流量!DZ56*24*3600/100000000</f>
        <v>1.1232</v>
      </c>
      <c r="EA56" s="6">
        <f>日流量!EA56*24*3600/100000000</f>
        <v>1.1404799999999999</v>
      </c>
      <c r="EB56" s="6">
        <f>日流量!EB56*24*3600/100000000</f>
        <v>1.20096</v>
      </c>
      <c r="EC56" s="6">
        <f>日流量!EC56*24*3600/100000000</f>
        <v>1.1577599999999999</v>
      </c>
      <c r="ED56" s="6">
        <f>日流量!ED56*24*3600/100000000</f>
        <v>1.1491199999999999</v>
      </c>
      <c r="EE56" s="6">
        <f>日流量!EE56*24*3600/100000000</f>
        <v>1.13184</v>
      </c>
      <c r="EF56" s="6">
        <f>日流量!EF56*24*3600/100000000</f>
        <v>1.0886400000000001</v>
      </c>
      <c r="EG56" s="6">
        <f>日流量!EG56*24*3600/100000000</f>
        <v>1.0367999999999999</v>
      </c>
      <c r="EH56" s="6">
        <f>日流量!EH56*24*3600/100000000</f>
        <v>1.02816</v>
      </c>
      <c r="EI56" s="6">
        <f>日流量!EI56*24*3600/100000000</f>
        <v>0.96767999999999998</v>
      </c>
      <c r="EJ56" s="6">
        <f>日流量!EJ56*24*3600/100000000</f>
        <v>0.95040000000000002</v>
      </c>
      <c r="EK56" s="6">
        <f>日流量!EK56*24*3600/100000000</f>
        <v>0.98495999999999995</v>
      </c>
      <c r="EL56" s="6">
        <f>日流量!EL56*24*3600/100000000</f>
        <v>1.01952</v>
      </c>
      <c r="EM56" s="6">
        <f>日流量!EM56*24*3600/100000000</f>
        <v>1.33056</v>
      </c>
      <c r="EN56" s="6">
        <f>日流量!EN56*24*3600/100000000</f>
        <v>1.5638399999999999</v>
      </c>
      <c r="EO56" s="6">
        <f>日流量!EO56*24*3600/100000000</f>
        <v>1.80576</v>
      </c>
      <c r="EP56" s="6">
        <f>日流量!EP56*24*3600/100000000</f>
        <v>1.6415999999999999</v>
      </c>
      <c r="EQ56" s="6">
        <f>日流量!EQ56*24*3600/100000000</f>
        <v>1.6675199999999999</v>
      </c>
      <c r="ER56" s="6">
        <f>日流量!ER56*24*3600/100000000</f>
        <v>1.50336</v>
      </c>
      <c r="ES56" s="6">
        <f>日流量!ES56*24*3600/100000000</f>
        <v>1.4860800000000001</v>
      </c>
      <c r="ET56" s="6">
        <f>日流量!ET56*24*3600/100000000</f>
        <v>1.6415999999999999</v>
      </c>
      <c r="EU56" s="6">
        <f>日流量!EU56*24*3600/100000000</f>
        <v>1.5897600000000001</v>
      </c>
      <c r="EV56" s="6">
        <f>日流量!EV56*24*3600/100000000</f>
        <v>1.49472</v>
      </c>
      <c r="EW56" s="6">
        <f>日流量!EW56*24*3600/100000000</f>
        <v>1.80576</v>
      </c>
      <c r="EX56" s="6">
        <f>日流量!EX56*24*3600/100000000</f>
        <v>1.7625599999999999</v>
      </c>
      <c r="EY56" s="6">
        <f>日流量!EY56*24*3600/100000000</f>
        <v>1.9526399999999999</v>
      </c>
      <c r="EZ56" s="6">
        <f>日流量!EZ56*24*3600/100000000</f>
        <v>2.2636799999999999</v>
      </c>
      <c r="FA56" s="6">
        <f>日流量!FA56*24*3600/100000000</f>
        <v>2.4451200000000002</v>
      </c>
      <c r="FB56" s="6">
        <f>日流量!FB56*24*3600/100000000</f>
        <v>2.3587199999999999</v>
      </c>
      <c r="FC56" s="6">
        <f>日流量!FC56*24*3600/100000000</f>
        <v>2.8079999999999998</v>
      </c>
      <c r="FD56" s="6">
        <f>日流量!FD56*24*3600/100000000</f>
        <v>3.2918400000000001</v>
      </c>
      <c r="FE56" s="6">
        <f>日流量!FE56*24*3600/100000000</f>
        <v>3.1103999999999998</v>
      </c>
      <c r="FF56" s="6">
        <f>日流量!FF56*24*3600/100000000</f>
        <v>3.3264</v>
      </c>
      <c r="FG56" s="6">
        <f>日流量!FG56*24*3600/100000000</f>
        <v>3.6201599999999998</v>
      </c>
      <c r="FH56" s="6">
        <f>日流量!FH56*24*3600/100000000</f>
        <v>4.0953600000000003</v>
      </c>
      <c r="FI56" s="6">
        <f>日流量!FI56*24*3600/100000000</f>
        <v>4.32</v>
      </c>
      <c r="FJ56" s="6">
        <f>日流量!FJ56*24*3600/100000000</f>
        <v>4.2854400000000004</v>
      </c>
      <c r="FK56" s="6">
        <f>日流量!FK56*24*3600/100000000</f>
        <v>4.4668799999999997</v>
      </c>
      <c r="FL56" s="6">
        <f>日流量!FL56*24*3600/100000000</f>
        <v>4.4755200000000004</v>
      </c>
      <c r="FM56" s="6">
        <f>日流量!FM56*24*3600/100000000</f>
        <v>4.2076799999999999</v>
      </c>
      <c r="FN56" s="6">
        <f>日流量!FN56*24*3600/100000000</f>
        <v>4.55328</v>
      </c>
      <c r="FO56" s="6">
        <f>日流量!FO56*24*3600/100000000</f>
        <v>5.2444800000000003</v>
      </c>
      <c r="FP56" s="6">
        <f>日流量!FP56*24*3600/100000000</f>
        <v>5.5382400000000001</v>
      </c>
      <c r="FQ56" s="6">
        <f>日流量!FQ56*24*3600/100000000</f>
        <v>5.85792</v>
      </c>
      <c r="FR56" s="6">
        <f>日流量!FR56*24*3600/100000000</f>
        <v>5.8233600000000001</v>
      </c>
      <c r="FS56" s="6">
        <f>日流量!FS56*24*3600/100000000</f>
        <v>5.7455999999999996</v>
      </c>
      <c r="FT56" s="6">
        <f>日流量!FT56*24*3600/100000000</f>
        <v>5.4518399999999998</v>
      </c>
      <c r="FU56" s="6">
        <f>日流量!FU56*24*3600/100000000</f>
        <v>5.6073599999999999</v>
      </c>
      <c r="FV56" s="6">
        <f>日流量!FV56*24*3600/100000000</f>
        <v>5.7801600000000004</v>
      </c>
      <c r="FW56" s="6">
        <f>日流量!FW56*24*3600/100000000</f>
        <v>6.87744</v>
      </c>
      <c r="FX56" s="6">
        <f>日流量!FX56*24*3600/100000000</f>
        <v>6.8860799999999998</v>
      </c>
      <c r="FY56" s="6">
        <f>日流量!FY56*24*3600/100000000</f>
        <v>7.1884800000000002</v>
      </c>
      <c r="FZ56" s="6">
        <f>日流量!FZ56*24*3600/100000000</f>
        <v>6.7392000000000003</v>
      </c>
      <c r="GA56" s="6">
        <f>日流量!GA56*24*3600/100000000</f>
        <v>6.48</v>
      </c>
      <c r="GB56" s="6">
        <f>日流量!GB56*24*3600/100000000</f>
        <v>6.7046400000000004</v>
      </c>
      <c r="GC56" s="6">
        <f>日流量!GC56*24*3600/100000000</f>
        <v>6.8515199999999998</v>
      </c>
      <c r="GD56" s="6">
        <f>日流量!GD56*24*3600/100000000</f>
        <v>6.7564799999999998</v>
      </c>
      <c r="GE56" s="6">
        <f>日流量!GE56*24*3600/100000000</f>
        <v>7.3353599999999997</v>
      </c>
      <c r="GF56" s="6">
        <f>日流量!GF56*24*3600/100000000</f>
        <v>7.70688</v>
      </c>
      <c r="GG56" s="6">
        <f>日流量!GG56*24*3600/100000000</f>
        <v>8.5363199999999999</v>
      </c>
      <c r="GH56" s="6">
        <f>日流量!GH56*24*3600/100000000</f>
        <v>10.1088</v>
      </c>
      <c r="GI56" s="6">
        <f>日流量!GI56*24*3600/100000000</f>
        <v>10.281599999999999</v>
      </c>
      <c r="GJ56" s="6">
        <f>日流量!GJ56*24*3600/100000000</f>
        <v>9.6768000000000001</v>
      </c>
      <c r="GK56" s="6">
        <f>日流量!GK56*24*3600/100000000</f>
        <v>9.4176000000000002</v>
      </c>
      <c r="GL56" s="6">
        <f>日流量!GL56*24*3600/100000000</f>
        <v>9.2447999999999997</v>
      </c>
      <c r="GM56" s="6">
        <f>日流量!GM56*24*3600/100000000</f>
        <v>9.2447999999999997</v>
      </c>
      <c r="GN56" s="6">
        <f>日流量!GN56*24*3600/100000000</f>
        <v>9.0719999999999992</v>
      </c>
      <c r="GO56" s="6">
        <f>日流量!GO56*24*3600/100000000</f>
        <v>8.1388800000000003</v>
      </c>
      <c r="GP56" s="6">
        <f>日流量!GP56*24*3600/100000000</f>
        <v>7.2144000000000004</v>
      </c>
      <c r="GQ56" s="6">
        <f>日流量!GQ56*24*3600/100000000</f>
        <v>6.9119999999999999</v>
      </c>
      <c r="GR56" s="6">
        <f>日流量!GR56*24*3600/100000000</f>
        <v>6.6700799999999996</v>
      </c>
      <c r="GS56" s="6">
        <f>日流量!GS56*24*3600/100000000</f>
        <v>5.7888000000000002</v>
      </c>
      <c r="GT56" s="6">
        <f>日流量!GT56*24*3600/100000000</f>
        <v>4.9766399999999997</v>
      </c>
      <c r="GU56" s="6">
        <f>日流量!GU56*24*3600/100000000</f>
        <v>4.9593600000000002</v>
      </c>
      <c r="GV56" s="6">
        <f>日流量!GV56*24*3600/100000000</f>
        <v>5.8233600000000001</v>
      </c>
      <c r="GW56" s="6">
        <f>日流量!GW56*24*3600/100000000</f>
        <v>6.8255999999999997</v>
      </c>
      <c r="GX56" s="6">
        <f>日流量!GX56*24*3600/100000000</f>
        <v>6.9033600000000002</v>
      </c>
      <c r="GY56" s="6">
        <f>日流量!GY56*24*3600/100000000</f>
        <v>6.8860799999999998</v>
      </c>
      <c r="GZ56" s="6">
        <f>日流量!GZ56*24*3600/100000000</f>
        <v>6.7737600000000002</v>
      </c>
      <c r="HA56" s="6">
        <f>日流量!HA56*24*3600/100000000</f>
        <v>6.8428800000000001</v>
      </c>
      <c r="HB56" s="6">
        <f>日流量!HB56*24*3600/100000000</f>
        <v>7.0156799999999997</v>
      </c>
      <c r="HC56" s="6">
        <f>日流量!HC56*24*3600/100000000</f>
        <v>6.9984000000000002</v>
      </c>
      <c r="HD56" s="6">
        <f>日流量!HD56*24*3600/100000000</f>
        <v>6.6441600000000003</v>
      </c>
      <c r="HE56" s="6">
        <f>日流量!HE56*24*3600/100000000</f>
        <v>5.9443200000000003</v>
      </c>
      <c r="HF56" s="6">
        <f>日流量!HF56*24*3600/100000000</f>
        <v>7.1884800000000002</v>
      </c>
      <c r="HG56" s="6">
        <f>日流量!HG56*24*3600/100000000</f>
        <v>7.0502399999999996</v>
      </c>
      <c r="HH56" s="6">
        <f>日流量!HH56*24*3600/100000000</f>
        <v>6.8083200000000001</v>
      </c>
      <c r="HI56" s="6">
        <f>日流量!HI56*24*3600/100000000</f>
        <v>5.7023999999999999</v>
      </c>
      <c r="HJ56" s="6">
        <f>日流量!HJ56*24*3600/100000000</f>
        <v>4.6223999999999998</v>
      </c>
      <c r="HK56" s="6">
        <f>日流量!HK56*24*3600/100000000</f>
        <v>5.1667199999999998</v>
      </c>
      <c r="HL56" s="6">
        <f>日流量!HL56*24*3600/100000000</f>
        <v>5.0889600000000002</v>
      </c>
      <c r="HM56" s="6">
        <f>日流量!HM56*24*3600/100000000</f>
        <v>4.3977599999999999</v>
      </c>
      <c r="HN56" s="6">
        <f>日流量!HN56*24*3600/100000000</f>
        <v>4.4841600000000001</v>
      </c>
      <c r="HO56" s="6">
        <f>日流量!HO56*24*3600/100000000</f>
        <v>4.6742400000000002</v>
      </c>
      <c r="HP56" s="6">
        <f>日流量!HP56*24*3600/100000000</f>
        <v>5.0111999999999997</v>
      </c>
      <c r="HQ56" s="6">
        <f>日流量!HQ56*24*3600/100000000</f>
        <v>4.9939200000000001</v>
      </c>
      <c r="HR56" s="6">
        <f>日流量!HR56*24*3600/100000000</f>
        <v>5.7283200000000001</v>
      </c>
      <c r="HS56" s="6">
        <f>日流量!HS56*24*3600/100000000</f>
        <v>6.1171199999999999</v>
      </c>
      <c r="HT56" s="6">
        <f>日流量!HT56*24*3600/100000000</f>
        <v>4.7001600000000003</v>
      </c>
      <c r="HU56" s="6">
        <f>日流量!HU56*24*3600/100000000</f>
        <v>5.8838400000000002</v>
      </c>
      <c r="HV56" s="6">
        <f>日流量!HV56*24*3600/100000000</f>
        <v>6.7651199999999996</v>
      </c>
      <c r="HW56" s="6">
        <f>日流量!HW56*24*3600/100000000</f>
        <v>7.4995200000000004</v>
      </c>
      <c r="HX56" s="6">
        <f>日流量!HX56*24*3600/100000000</f>
        <v>7.6896000000000004</v>
      </c>
      <c r="HY56" s="6">
        <f>日流量!HY56*24*3600/100000000</f>
        <v>7.9488000000000003</v>
      </c>
      <c r="HZ56" s="6">
        <f>日流量!HZ56*24*3600/100000000</f>
        <v>9.5039999999999996</v>
      </c>
      <c r="IA56" s="6">
        <f>日流量!IA56*24*3600/100000000</f>
        <v>10.4544</v>
      </c>
      <c r="IB56" s="6">
        <f>日流量!IB56*24*3600/100000000</f>
        <v>10.1952</v>
      </c>
      <c r="IC56" s="6">
        <f>日流量!IC56*24*3600/100000000</f>
        <v>9.5039999999999996</v>
      </c>
      <c r="ID56" s="6">
        <f>日流量!ID56*24*3600/100000000</f>
        <v>9.1584000000000003</v>
      </c>
      <c r="IE56" s="6">
        <f>日流量!IE56*24*3600/100000000</f>
        <v>9.0719999999999992</v>
      </c>
      <c r="IF56" s="6">
        <f>日流量!IF56*24*3600/100000000</f>
        <v>8.1302400000000006</v>
      </c>
      <c r="IG56" s="6">
        <f>日流量!IG56*24*3600/100000000</f>
        <v>6.3244800000000003</v>
      </c>
      <c r="IH56" s="6">
        <f>日流量!IH56*24*3600/100000000</f>
        <v>5.95296</v>
      </c>
      <c r="II56" s="6">
        <f>日流量!II56*24*3600/100000000</f>
        <v>5.7715199999999998</v>
      </c>
      <c r="IJ56" s="6">
        <f>日流量!IJ56*24*3600/100000000</f>
        <v>5.5987200000000001</v>
      </c>
      <c r="IK56" s="6">
        <f>日流量!IK56*24*3600/100000000</f>
        <v>6.6441600000000003</v>
      </c>
      <c r="IL56" s="6">
        <f>日流量!IL56*24*3600/100000000</f>
        <v>8.5017600000000009</v>
      </c>
      <c r="IM56" s="6">
        <f>日流量!IM56*24*3600/100000000</f>
        <v>9.1584000000000003</v>
      </c>
      <c r="IN56" s="6">
        <f>日流量!IN56*24*3600/100000000</f>
        <v>9.7631999999999994</v>
      </c>
      <c r="IO56" s="6">
        <f>日流量!IO56*24*3600/100000000</f>
        <v>10.7136</v>
      </c>
      <c r="IP56" s="6">
        <f>日流量!IP56*24*3600/100000000</f>
        <v>10.8</v>
      </c>
      <c r="IQ56" s="6">
        <f>日流量!IQ56*24*3600/100000000</f>
        <v>11.059200000000001</v>
      </c>
      <c r="IR56" s="6">
        <f>日流量!IR56*24*3600/100000000</f>
        <v>11.3184</v>
      </c>
      <c r="IS56" s="6">
        <f>日流量!IS56*24*3600/100000000</f>
        <v>11.4048</v>
      </c>
      <c r="IT56" s="6">
        <f>日流量!IT56*24*3600/100000000</f>
        <v>11.491199999999999</v>
      </c>
      <c r="IU56" s="6">
        <f>日流量!IU56*24*3600/100000000</f>
        <v>12.009600000000001</v>
      </c>
      <c r="IV56" s="6">
        <f>日流量!IV56*24*3600/100000000</f>
        <v>12.6144</v>
      </c>
      <c r="IW56" s="6">
        <f>日流量!IW56*24*3600/100000000</f>
        <v>12.96</v>
      </c>
      <c r="IX56" s="6">
        <f>日流量!IX56*24*3600/100000000</f>
        <v>12.182399999999999</v>
      </c>
      <c r="IY56" s="6">
        <f>日流量!IY56*24*3600/100000000</f>
        <v>11.491199999999999</v>
      </c>
      <c r="IZ56" s="6">
        <f>日流量!IZ56*24*3600/100000000</f>
        <v>12.009600000000001</v>
      </c>
      <c r="JA56" s="6">
        <f>日流量!JA56*24*3600/100000000</f>
        <v>12.009600000000001</v>
      </c>
      <c r="JB56" s="6">
        <f>日流量!JB56*24*3600/100000000</f>
        <v>12.182399999999999</v>
      </c>
      <c r="JC56" s="6">
        <f>日流量!JC56*24*3600/100000000</f>
        <v>12.009600000000001</v>
      </c>
      <c r="JD56" s="6">
        <f>日流量!JD56*24*3600/100000000</f>
        <v>11.664</v>
      </c>
      <c r="JE56" s="6">
        <f>日流量!JE56*24*3600/100000000</f>
        <v>10.972799999999999</v>
      </c>
      <c r="JF56" s="6">
        <f>日流量!JF56*24*3600/100000000</f>
        <v>10.1952</v>
      </c>
      <c r="JG56" s="6">
        <f>日流量!JG56*24*3600/100000000</f>
        <v>10.1088</v>
      </c>
      <c r="JH56" s="6">
        <f>日流量!JH56*24*3600/100000000</f>
        <v>10.972799999999999</v>
      </c>
      <c r="JI56" s="6">
        <f>日流量!JI56*24*3600/100000000</f>
        <v>11.4048</v>
      </c>
      <c r="JJ56" s="6">
        <f>日流量!JJ56*24*3600/100000000</f>
        <v>10.8</v>
      </c>
      <c r="JK56" s="6">
        <f>日流量!JK56*24*3600/100000000</f>
        <v>9.4176000000000002</v>
      </c>
      <c r="JL56" s="6">
        <f>日流量!JL56*24*3600/100000000</f>
        <v>8.1302400000000006</v>
      </c>
      <c r="JM56" s="6">
        <f>日流量!JM56*24*3600/100000000</f>
        <v>7.6204799999999997</v>
      </c>
      <c r="JN56" s="6">
        <f>日流量!JN56*24*3600/100000000</f>
        <v>7.2748799999999996</v>
      </c>
      <c r="JO56" s="6">
        <f>日流量!JO56*24*3600/100000000</f>
        <v>7.1539200000000003</v>
      </c>
      <c r="JP56" s="6">
        <f>日流量!JP56*24*3600/100000000</f>
        <v>7.0156799999999997</v>
      </c>
      <c r="JQ56" s="6">
        <f>日流量!JQ56*24*3600/100000000</f>
        <v>6.7046400000000004</v>
      </c>
      <c r="JR56" s="6">
        <f>日流量!JR56*24*3600/100000000</f>
        <v>6.5663999999999998</v>
      </c>
      <c r="JS56" s="6">
        <f>日流量!JS56*24*3600/100000000</f>
        <v>6.4367999999999999</v>
      </c>
      <c r="JT56" s="6">
        <f>日流量!JT56*24*3600/100000000</f>
        <v>6.3590400000000002</v>
      </c>
      <c r="JU56" s="6">
        <f>日流量!JU56*24*3600/100000000</f>
        <v>6.2812799999999998</v>
      </c>
      <c r="JV56" s="6">
        <f>日流量!JV56*24*3600/100000000</f>
        <v>6.2640000000000002</v>
      </c>
      <c r="JW56" s="6">
        <f>日流量!JW56*24*3600/100000000</f>
        <v>6.27264</v>
      </c>
      <c r="JX56" s="6">
        <f>日流量!JX56*24*3600/100000000</f>
        <v>5.5814399999999997</v>
      </c>
      <c r="JY56" s="6">
        <f>日流量!JY56*24*3600/100000000</f>
        <v>4.74336</v>
      </c>
      <c r="JZ56" s="6">
        <f>日流量!JZ56*24*3600/100000000</f>
        <v>4.64832</v>
      </c>
      <c r="KA56" s="6">
        <f>日流量!KA56*24*3600/100000000</f>
        <v>4.7519999999999998</v>
      </c>
      <c r="KB56" s="6">
        <f>日流量!KB56*24*3600/100000000</f>
        <v>4.4668799999999997</v>
      </c>
      <c r="KC56" s="6">
        <f>日流量!KC56*24*3600/100000000</f>
        <v>4.5187200000000001</v>
      </c>
      <c r="KD56" s="6">
        <f>日流量!KD56*24*3600/100000000</f>
        <v>4.4236800000000001</v>
      </c>
      <c r="KE56" s="6">
        <f>日流量!KE56*24*3600/100000000</f>
        <v>4.3113599999999996</v>
      </c>
      <c r="KF56" s="6">
        <f>日流量!KF56*24*3600/100000000</f>
        <v>4.1299200000000003</v>
      </c>
      <c r="KG56" s="6">
        <f>日流量!KG56*24*3600/100000000</f>
        <v>4.04352</v>
      </c>
      <c r="KH56" s="6">
        <f>日流量!KH56*24*3600/100000000</f>
        <v>3.9139200000000001</v>
      </c>
      <c r="KI56" s="6">
        <f>日流量!KI56*24*3600/100000000</f>
        <v>3.74112</v>
      </c>
      <c r="KJ56" s="6">
        <f>日流量!KJ56*24*3600/100000000</f>
        <v>3.7324799999999998</v>
      </c>
      <c r="KK56" s="6">
        <f>日流量!KK56*24*3600/100000000</f>
        <v>3.64608</v>
      </c>
      <c r="KL56" s="6">
        <f>日流量!KL56*24*3600/100000000</f>
        <v>3.6288</v>
      </c>
      <c r="KM56" s="6">
        <f>日流量!KM56*24*3600/100000000</f>
        <v>3.55104</v>
      </c>
      <c r="KN56" s="6">
        <f>日流量!KN56*24*3600/100000000</f>
        <v>3.42144</v>
      </c>
      <c r="KO56" s="6">
        <f>日流量!KO56*24*3600/100000000</f>
        <v>3.3868800000000001</v>
      </c>
      <c r="KP56" s="6">
        <f>日流量!KP56*24*3600/100000000</f>
        <v>3.3782399999999999</v>
      </c>
      <c r="KQ56" s="6">
        <f>日流量!KQ56*24*3600/100000000</f>
        <v>3.3782399999999999</v>
      </c>
      <c r="KR56" s="6">
        <f>日流量!KR56*24*3600/100000000</f>
        <v>3.4127999999999998</v>
      </c>
      <c r="KS56" s="6">
        <f>日流量!KS56*24*3600/100000000</f>
        <v>3.42144</v>
      </c>
      <c r="KT56" s="6">
        <f>日流量!KT56*24*3600/100000000</f>
        <v>3.456</v>
      </c>
      <c r="KU56" s="6">
        <f>日流量!KU56*24*3600/100000000</f>
        <v>3.4300799999999998</v>
      </c>
      <c r="KV56" s="6">
        <f>日流量!KV56*24*3600/100000000</f>
        <v>3.3523200000000002</v>
      </c>
      <c r="KW56" s="6">
        <f>日流量!KW56*24*3600/100000000</f>
        <v>3.2831999999999999</v>
      </c>
      <c r="KX56" s="6">
        <f>日流量!KX56*24*3600/100000000</f>
        <v>3.21408</v>
      </c>
      <c r="KY56" s="6">
        <f>日流量!KY56*24*3600/100000000</f>
        <v>3.1103999999999998</v>
      </c>
      <c r="KZ56" s="6">
        <f>日流量!KZ56*24*3600/100000000</f>
        <v>2.9980799999999999</v>
      </c>
      <c r="LA56" s="6">
        <f>日流量!LA56*24*3600/100000000</f>
        <v>2.81664</v>
      </c>
      <c r="LB56" s="6">
        <f>日流量!LB56*24*3600/100000000</f>
        <v>2.7302399999999998</v>
      </c>
      <c r="LC56" s="6">
        <f>日流量!LC56*24*3600/100000000</f>
        <v>2.62656</v>
      </c>
      <c r="LD56" s="6">
        <f>日流量!LD56*24*3600/100000000</f>
        <v>2.6179199999999998</v>
      </c>
      <c r="LE56" s="6">
        <f>日流量!LE56*24*3600/100000000</f>
        <v>2.62656</v>
      </c>
      <c r="LF56" s="6">
        <f>日流量!LF56*24*3600/100000000</f>
        <v>2.5660799999999999</v>
      </c>
      <c r="LG56" s="6">
        <f>日流量!LG56*24*3600/100000000</f>
        <v>2.5488</v>
      </c>
      <c r="LH56" s="6">
        <f>日流量!LH56*24*3600/100000000</f>
        <v>2.5660799999999999</v>
      </c>
      <c r="LI56" s="6">
        <f>日流量!LI56*24*3600/100000000</f>
        <v>2.6006399999999998</v>
      </c>
      <c r="LJ56" s="6">
        <f>日流量!LJ56*24*3600/100000000</f>
        <v>2.4710399999999999</v>
      </c>
      <c r="LK56" s="6">
        <f>日流量!LK56*24*3600/100000000</f>
        <v>2.3759999999999999</v>
      </c>
      <c r="LL56" s="6">
        <f>日流量!LL56*24*3600/100000000</f>
        <v>2.3328000000000002</v>
      </c>
      <c r="LM56" s="6">
        <f>日流量!LM56*24*3600/100000000</f>
        <v>2.2464</v>
      </c>
      <c r="LN56" s="6">
        <f>日流量!LN56*24*3600/100000000</f>
        <v>2.2204799999999998</v>
      </c>
      <c r="LO56" s="6">
        <f>日流量!LO56*24*3600/100000000</f>
        <v>2.1254400000000002</v>
      </c>
      <c r="LP56" s="6">
        <f>日流量!LP56*24*3600/100000000</f>
        <v>2.0304000000000002</v>
      </c>
      <c r="LQ56" s="6">
        <f>日流量!LQ56*24*3600/100000000</f>
        <v>1.91808</v>
      </c>
      <c r="LR56" s="6">
        <f>日流量!LR56*24*3600/100000000</f>
        <v>1.9872000000000001</v>
      </c>
      <c r="LS56" s="6">
        <f>日流量!LS56*24*3600/100000000</f>
        <v>2.00448</v>
      </c>
      <c r="LT56" s="6">
        <f>日流量!LT56*24*3600/100000000</f>
        <v>1.9612799999999999</v>
      </c>
      <c r="LU56" s="6">
        <f>日流量!LU56*24*3600/100000000</f>
        <v>1.9526399999999999</v>
      </c>
      <c r="LV56" s="6">
        <f>日流量!LV56*24*3600/100000000</f>
        <v>2.0995200000000001</v>
      </c>
      <c r="LW56" s="6">
        <f>日流量!LW56*24*3600/100000000</f>
        <v>1.91808</v>
      </c>
      <c r="LX56" s="6">
        <f>日流量!LX56*24*3600/100000000</f>
        <v>1.9612799999999999</v>
      </c>
      <c r="LY56" s="6">
        <f>日流量!LY56*24*3600/100000000</f>
        <v>1.944</v>
      </c>
      <c r="LZ56" s="6">
        <f>日流量!LZ56*24*3600/100000000</f>
        <v>1.7971200000000001</v>
      </c>
      <c r="MA56" s="6">
        <f>日流量!MA56*24*3600/100000000</f>
        <v>1.8921600000000001</v>
      </c>
      <c r="MB56" s="6">
        <f>日流量!MB56*24*3600/100000000</f>
        <v>1.9008</v>
      </c>
      <c r="MC56" s="6">
        <f>日流量!MC56*24*3600/100000000</f>
        <v>1.728</v>
      </c>
      <c r="MD56" s="6">
        <f>日流量!MD56*24*3600/100000000</f>
        <v>1.7625599999999999</v>
      </c>
      <c r="ME56" s="6">
        <f>日流量!ME56*24*3600/100000000</f>
        <v>1.7452799999999999</v>
      </c>
      <c r="MF56" s="6">
        <f>日流量!MF56*24*3600/100000000</f>
        <v>1.80576</v>
      </c>
      <c r="MG56" s="6">
        <f>日流量!MG56*24*3600/100000000</f>
        <v>1.728</v>
      </c>
      <c r="MH56" s="6">
        <f>日流量!MH56*24*3600/100000000</f>
        <v>1.73664</v>
      </c>
      <c r="MI56" s="6">
        <f>日流量!MI56*24*3600/100000000</f>
        <v>1.728</v>
      </c>
      <c r="MJ56" s="6">
        <f>日流量!MJ56*24*3600/100000000</f>
        <v>1.6761600000000001</v>
      </c>
      <c r="MK56" s="6">
        <f>日流量!MK56*24*3600/100000000</f>
        <v>1.6848000000000001</v>
      </c>
      <c r="ML56" s="6">
        <f>日流量!ML56*24*3600/100000000</f>
        <v>1.6761600000000001</v>
      </c>
      <c r="MM56" s="6">
        <f>日流量!MM56*24*3600/100000000</f>
        <v>1.6675199999999999</v>
      </c>
      <c r="MN56" s="6">
        <f>日流量!MN56*24*3600/100000000</f>
        <v>1.63296</v>
      </c>
      <c r="MO56" s="6">
        <f>日流量!MO56*24*3600/100000000</f>
        <v>1.6502399999999999</v>
      </c>
      <c r="MP56" s="6">
        <f>日流量!MP56*24*3600/100000000</f>
        <v>1.6588799999999999</v>
      </c>
      <c r="MQ56" s="6">
        <f>日流量!MQ56*24*3600/100000000</f>
        <v>1.5984</v>
      </c>
      <c r="MR56" s="6">
        <f>日流量!MR56*24*3600/100000000</f>
        <v>1.52928</v>
      </c>
      <c r="MS56" s="6">
        <f>日流量!MS56*24*3600/100000000</f>
        <v>1.49472</v>
      </c>
      <c r="MT56" s="6">
        <f>日流量!MT56*24*3600/100000000</f>
        <v>1.40832</v>
      </c>
      <c r="MU56" s="6">
        <f>日流量!MU56*24*3600/100000000</f>
        <v>1.4601599999999999</v>
      </c>
      <c r="MV56" s="6">
        <f>日流量!MV56*24*3600/100000000</f>
        <v>1.4256</v>
      </c>
      <c r="MW56" s="6">
        <f>日流量!MW56*24*3600/100000000</f>
        <v>1.3391999999999999</v>
      </c>
      <c r="MX56" s="6">
        <f>日流量!MX56*24*3600/100000000</f>
        <v>1.3651199999999999</v>
      </c>
      <c r="MY56" s="6">
        <f>日流量!MY56*24*3600/100000000</f>
        <v>1.39968</v>
      </c>
      <c r="MZ56" s="6">
        <f>日流量!MZ56*24*3600/100000000</f>
        <v>1.41696</v>
      </c>
      <c r="NA56" s="6">
        <f>日流量!NA56*24*3600/100000000</f>
        <v>1.23552</v>
      </c>
      <c r="NB56" s="6">
        <f>日流量!NB56*24*3600/100000000</f>
        <v>1.33056</v>
      </c>
      <c r="NC56" s="6"/>
      <c r="ND56" s="6">
        <f>日流量!ND56*24*3600*31/100000000</f>
        <v>44.193600000000004</v>
      </c>
      <c r="NE56" s="6">
        <f>日流量!NE56*24*3600*28/100000000</f>
        <v>33.143039999999999</v>
      </c>
      <c r="NF56" s="6">
        <f>日流量!NF56*24*3600*31/100000000</f>
        <v>37.229759999999999</v>
      </c>
      <c r="NG56" s="6">
        <f>日流量!NG56*24*3600*30/100000000</f>
        <v>33.695999999999998</v>
      </c>
      <c r="NH56" s="6">
        <f>日流量!NH56*24*3600*31/100000000</f>
        <v>39.372480000000003</v>
      </c>
      <c r="NI56" s="6">
        <f>日流量!NI56*24*3600*30/100000000</f>
        <v>136.5984</v>
      </c>
      <c r="NJ56" s="6">
        <f>日流量!NJ56*24*3600*31/100000000</f>
        <v>229.53888000000001</v>
      </c>
      <c r="NK56" s="6">
        <f>日流量!NK56*24*3600*31/100000000</f>
        <v>206.77248</v>
      </c>
      <c r="NL56" s="6">
        <f>日流量!NL56*24*3600*30/100000000</f>
        <v>318.81599999999997</v>
      </c>
      <c r="NM56" s="6">
        <f>日流量!NM56*24*3600*31/100000000</f>
        <v>143.56224</v>
      </c>
      <c r="NN56" s="6">
        <f>日流量!NN56*24*3600*30/100000000</f>
        <v>74.649600000000007</v>
      </c>
      <c r="NO56" s="6">
        <f>日流量!NO56*24*3600*31/100000000</f>
        <v>49.818240000000003</v>
      </c>
      <c r="NP56" s="14">
        <f t="shared" si="10"/>
        <v>1347.3907199999999</v>
      </c>
      <c r="NQ56" s="6">
        <f>日流量!NQ56*24*3600/100000000</f>
        <v>12.96</v>
      </c>
      <c r="NR56" s="4">
        <f>日流量!NR56</f>
        <v>42625</v>
      </c>
      <c r="NS56" s="6">
        <f>日流量!NS56*24*3600/100000000</f>
        <v>0.93311999999999995</v>
      </c>
      <c r="NT56" s="4">
        <f>日流量!NT56</f>
        <v>42480</v>
      </c>
      <c r="NU56" s="7">
        <f>日流量!NP56</f>
        <v>4273.5342465753429</v>
      </c>
      <c r="NW56" s="13">
        <f t="shared" si="0"/>
        <v>1074.66048</v>
      </c>
      <c r="NX56" s="12">
        <f t="shared" si="1"/>
        <v>79.758637494549475</v>
      </c>
      <c r="NY56" s="13">
        <f t="shared" si="2"/>
        <v>891.72576000000004</v>
      </c>
      <c r="NZ56" s="12">
        <f t="shared" si="3"/>
        <v>66.181675943263159</v>
      </c>
      <c r="OA56" s="13">
        <f t="shared" si="4"/>
        <v>272.73023999999987</v>
      </c>
      <c r="OB56" s="12">
        <f t="shared" si="5"/>
        <v>20.241362505450528</v>
      </c>
      <c r="OC56" s="13">
        <f t="shared" si="6"/>
        <v>318.81599999999997</v>
      </c>
      <c r="OD56" s="12">
        <f t="shared" si="7"/>
        <v>23.661733398312258</v>
      </c>
      <c r="OE56" s="12">
        <f t="shared" si="8"/>
        <v>314.81091588785046</v>
      </c>
      <c r="OF56" s="12">
        <f t="shared" si="9"/>
        <v>9.9825886570221467</v>
      </c>
    </row>
    <row r="57" spans="1:396" x14ac:dyDescent="0.15">
      <c r="A57" s="2">
        <v>2004</v>
      </c>
      <c r="B57" s="6">
        <f>日流量!B57*24*3600/100000000</f>
        <v>1.3910400000000001</v>
      </c>
      <c r="C57" s="6">
        <f>日流量!C57*24*3600/100000000</f>
        <v>1.512</v>
      </c>
      <c r="D57" s="6">
        <f>日流量!D57*24*3600/100000000</f>
        <v>1.50336</v>
      </c>
      <c r="E57" s="6">
        <f>日流量!E57*24*3600/100000000</f>
        <v>1.5465599999999999</v>
      </c>
      <c r="F57" s="6">
        <f>日流量!F57*24*3600/100000000</f>
        <v>1.5638399999999999</v>
      </c>
      <c r="G57" s="6">
        <f>日流量!G57*24*3600/100000000</f>
        <v>1.49472</v>
      </c>
      <c r="H57" s="6">
        <f>日流量!H57*24*3600/100000000</f>
        <v>1.4688000000000001</v>
      </c>
      <c r="I57" s="6">
        <f>日流量!I57*24*3600/100000000</f>
        <v>1.3824000000000001</v>
      </c>
      <c r="J57" s="6">
        <f>日流量!J57*24*3600/100000000</f>
        <v>1.3910400000000001</v>
      </c>
      <c r="K57" s="6">
        <f>日流量!K57*24*3600/100000000</f>
        <v>1.4515199999999999</v>
      </c>
      <c r="L57" s="6">
        <f>日流量!L57*24*3600/100000000</f>
        <v>1.4428799999999999</v>
      </c>
      <c r="M57" s="6">
        <f>日流量!M57*24*3600/100000000</f>
        <v>1.41696</v>
      </c>
      <c r="N57" s="6">
        <f>日流量!N57*24*3600/100000000</f>
        <v>1.3391999999999999</v>
      </c>
      <c r="O57" s="6">
        <f>日流量!O57*24*3600/100000000</f>
        <v>1.3651199999999999</v>
      </c>
      <c r="P57" s="6">
        <f>日流量!P57*24*3600/100000000</f>
        <v>1.3391999999999999</v>
      </c>
      <c r="Q57" s="6">
        <f>日流量!Q57*24*3600/100000000</f>
        <v>1.31328</v>
      </c>
      <c r="R57" s="6">
        <f>日流量!R57*24*3600/100000000</f>
        <v>1.31328</v>
      </c>
      <c r="S57" s="6">
        <f>日流量!S57*24*3600/100000000</f>
        <v>1.2614399999999999</v>
      </c>
      <c r="T57" s="6">
        <f>日流量!T57*24*3600/100000000</f>
        <v>1.22688</v>
      </c>
      <c r="U57" s="6">
        <f>日流量!U57*24*3600/100000000</f>
        <v>1.19232</v>
      </c>
      <c r="V57" s="6">
        <f>日流量!V57*24*3600/100000000</f>
        <v>1.19232</v>
      </c>
      <c r="W57" s="6">
        <f>日流量!W57*24*3600/100000000</f>
        <v>1.0886400000000001</v>
      </c>
      <c r="X57" s="6">
        <f>日流量!X57*24*3600/100000000</f>
        <v>1.0367999999999999</v>
      </c>
      <c r="Y57" s="6">
        <f>日流量!Y57*24*3600/100000000</f>
        <v>0.96767999999999998</v>
      </c>
      <c r="Z57" s="6">
        <f>日流量!Z57*24*3600/100000000</f>
        <v>0.97631999999999997</v>
      </c>
      <c r="AA57" s="6">
        <f>日流量!AA57*24*3600/100000000</f>
        <v>1.09728</v>
      </c>
      <c r="AB57" s="6">
        <f>日流量!AB57*24*3600/100000000</f>
        <v>1.1404799999999999</v>
      </c>
      <c r="AC57" s="6">
        <f>日流量!AC57*24*3600/100000000</f>
        <v>1.2096</v>
      </c>
      <c r="AD57" s="6">
        <f>日流量!AD57*24*3600/100000000</f>
        <v>1.2873600000000001</v>
      </c>
      <c r="AE57" s="6">
        <f>日流量!AE57*24*3600/100000000</f>
        <v>1.2787200000000001</v>
      </c>
      <c r="AF57" s="6">
        <f>日流量!AF57*24*3600/100000000</f>
        <v>1.2787200000000001</v>
      </c>
      <c r="AG57" s="6">
        <f>日流量!AG57*24*3600/100000000</f>
        <v>1.2441599999999999</v>
      </c>
      <c r="AH57" s="6">
        <f>日流量!AH57*24*3600/100000000</f>
        <v>1.2614399999999999</v>
      </c>
      <c r="AI57" s="6">
        <f>日流量!AI57*24*3600/100000000</f>
        <v>1.2873600000000001</v>
      </c>
      <c r="AJ57" s="6">
        <f>日流量!AJ57*24*3600/100000000</f>
        <v>1.32192</v>
      </c>
      <c r="AK57" s="6">
        <f>日流量!AK57*24*3600/100000000</f>
        <v>1.32192</v>
      </c>
      <c r="AL57" s="6">
        <f>日流量!AL57*24*3600/100000000</f>
        <v>1.32192</v>
      </c>
      <c r="AM57" s="6">
        <f>日流量!AM57*24*3600/100000000</f>
        <v>1.3391999999999999</v>
      </c>
      <c r="AN57" s="6">
        <f>日流量!AN57*24*3600/100000000</f>
        <v>1.3478399999999999</v>
      </c>
      <c r="AO57" s="6">
        <f>日流量!AO57*24*3600/100000000</f>
        <v>1.3564799999999999</v>
      </c>
      <c r="AP57" s="6">
        <f>日流量!AP57*24*3600/100000000</f>
        <v>1.3910400000000001</v>
      </c>
      <c r="AQ57" s="6">
        <f>日流量!AQ57*24*3600/100000000</f>
        <v>1.3824000000000001</v>
      </c>
      <c r="AR57" s="6">
        <f>日流量!AR57*24*3600/100000000</f>
        <v>1.296</v>
      </c>
      <c r="AS57" s="6">
        <f>日流量!AS57*24*3600/100000000</f>
        <v>1.2614399999999999</v>
      </c>
      <c r="AT57" s="6">
        <f>日流量!AT57*24*3600/100000000</f>
        <v>1.31328</v>
      </c>
      <c r="AU57" s="6">
        <f>日流量!AU57*24*3600/100000000</f>
        <v>1.31328</v>
      </c>
      <c r="AV57" s="6">
        <f>日流量!AV57*24*3600/100000000</f>
        <v>1.30464</v>
      </c>
      <c r="AW57" s="6">
        <f>日流量!AW57*24*3600/100000000</f>
        <v>1.296</v>
      </c>
      <c r="AX57" s="6">
        <f>日流量!AX57*24*3600/100000000</f>
        <v>1.32192</v>
      </c>
      <c r="AY57" s="6">
        <f>日流量!AY57*24*3600/100000000</f>
        <v>1.2441599999999999</v>
      </c>
      <c r="AZ57" s="6">
        <f>日流量!AZ57*24*3600/100000000</f>
        <v>1.2096</v>
      </c>
      <c r="BA57" s="6">
        <f>日流量!BA57*24*3600/100000000</f>
        <v>1.23552</v>
      </c>
      <c r="BB57" s="6">
        <f>日流量!BB57*24*3600/100000000</f>
        <v>1.21824</v>
      </c>
      <c r="BC57" s="6">
        <f>日流量!BC57*24*3600/100000000</f>
        <v>1.21824</v>
      </c>
      <c r="BD57" s="6">
        <f>日流量!BD57*24*3600/100000000</f>
        <v>1.1491199999999999</v>
      </c>
      <c r="BE57" s="6">
        <f>日流量!BE57*24*3600/100000000</f>
        <v>1.2527999999999999</v>
      </c>
      <c r="BF57" s="6">
        <f>日流量!BF57*24*3600/100000000</f>
        <v>1.2787200000000001</v>
      </c>
      <c r="BG57" s="6">
        <f>日流量!BG57*24*3600/100000000</f>
        <v>1.2614399999999999</v>
      </c>
      <c r="BH57" s="6">
        <f>日流量!BH57*24*3600/100000000</f>
        <v>1.22688</v>
      </c>
      <c r="BI57" s="6">
        <f>日流量!BI57*24*3600/100000000</f>
        <v>1.2441599999999999</v>
      </c>
      <c r="BJ57" s="6">
        <f>日流量!BJ57*24*3600/100000000</f>
        <v>1.2527999999999999</v>
      </c>
      <c r="BK57" s="6">
        <f>日流量!BK57*24*3600/100000000</f>
        <v>1.22688</v>
      </c>
      <c r="BL57" s="6">
        <f>日流量!BL57*24*3600/100000000</f>
        <v>1.2441599999999999</v>
      </c>
      <c r="BM57" s="6">
        <f>日流量!BM57*24*3600/100000000</f>
        <v>1.2441599999999999</v>
      </c>
      <c r="BN57" s="6">
        <f>日流量!BN57*24*3600/100000000</f>
        <v>1.2527999999999999</v>
      </c>
      <c r="BO57" s="6">
        <f>日流量!BO57*24*3600/100000000</f>
        <v>1.2527999999999999</v>
      </c>
      <c r="BP57" s="6">
        <f>日流量!BP57*24*3600/100000000</f>
        <v>1.3478399999999999</v>
      </c>
      <c r="BQ57" s="6">
        <f>日流量!BQ57*24*3600/100000000</f>
        <v>1.512</v>
      </c>
      <c r="BR57" s="6">
        <f>日流量!BR57*24*3600/100000000</f>
        <v>1.5897600000000001</v>
      </c>
      <c r="BS57" s="6">
        <f>日流量!BS57*24*3600/100000000</f>
        <v>1.5638399999999999</v>
      </c>
      <c r="BT57" s="6">
        <f>日流量!BT57*24*3600/100000000</f>
        <v>1.5897600000000001</v>
      </c>
      <c r="BU57" s="6">
        <f>日流量!BU57*24*3600/100000000</f>
        <v>1.5638399999999999</v>
      </c>
      <c r="BV57" s="6">
        <f>日流量!BV57*24*3600/100000000</f>
        <v>1.5638399999999999</v>
      </c>
      <c r="BW57" s="6">
        <f>日流量!BW57*24*3600/100000000</f>
        <v>1.3910400000000001</v>
      </c>
      <c r="BX57" s="6">
        <f>日流量!BX57*24*3600/100000000</f>
        <v>1.21824</v>
      </c>
      <c r="BY57" s="6">
        <f>日流量!BY57*24*3600/100000000</f>
        <v>1.1577599999999999</v>
      </c>
      <c r="BZ57" s="6">
        <f>日流量!BZ57*24*3600/100000000</f>
        <v>1.19232</v>
      </c>
      <c r="CA57" s="6">
        <f>日流量!CA57*24*3600/100000000</f>
        <v>1.1750400000000001</v>
      </c>
      <c r="CB57" s="6">
        <f>日流量!CB57*24*3600/100000000</f>
        <v>1.1491199999999999</v>
      </c>
      <c r="CC57" s="6">
        <f>日流量!CC57*24*3600/100000000</f>
        <v>1.1664000000000001</v>
      </c>
      <c r="CD57" s="6">
        <f>日流量!CD57*24*3600/100000000</f>
        <v>1.0886400000000001</v>
      </c>
      <c r="CE57" s="6">
        <f>日流量!CE57*24*3600/100000000</f>
        <v>1.0627200000000001</v>
      </c>
      <c r="CF57" s="6">
        <f>日流量!CF57*24*3600/100000000</f>
        <v>1.02816</v>
      </c>
      <c r="CG57" s="6">
        <f>日流量!CG57*24*3600/100000000</f>
        <v>1.10592</v>
      </c>
      <c r="CH57" s="6">
        <f>日流量!CH57*24*3600/100000000</f>
        <v>1.1836800000000001</v>
      </c>
      <c r="CI57" s="6">
        <f>日流量!CI57*24*3600/100000000</f>
        <v>1.2614399999999999</v>
      </c>
      <c r="CJ57" s="6">
        <f>日流量!CJ57*24*3600/100000000</f>
        <v>1.2787200000000001</v>
      </c>
      <c r="CK57" s="6">
        <f>日流量!CK57*24*3600/100000000</f>
        <v>1.2614399999999999</v>
      </c>
      <c r="CL57" s="6">
        <f>日流量!CL57*24*3600/100000000</f>
        <v>1.30464</v>
      </c>
      <c r="CM57" s="6">
        <f>日流量!CM57*24*3600/100000000</f>
        <v>1.3824000000000001</v>
      </c>
      <c r="CN57" s="6">
        <f>日流量!CN57*24*3600/100000000</f>
        <v>1.41696</v>
      </c>
      <c r="CO57" s="6">
        <f>日流量!CO57*24*3600/100000000</f>
        <v>1.4601599999999999</v>
      </c>
      <c r="CP57" s="6">
        <f>日流量!CP57*24*3600/100000000</f>
        <v>1.4774400000000001</v>
      </c>
      <c r="CQ57" s="6">
        <f>日流量!CQ57*24*3600/100000000</f>
        <v>1.52064</v>
      </c>
      <c r="CR57" s="6">
        <f>日流量!CR57*24*3600/100000000</f>
        <v>1.53792</v>
      </c>
      <c r="CS57" s="6">
        <f>日流量!CS57*24*3600/100000000</f>
        <v>1.5551999999999999</v>
      </c>
      <c r="CT57" s="6">
        <f>日流量!CT57*24*3600/100000000</f>
        <v>1.6588799999999999</v>
      </c>
      <c r="CU57" s="6">
        <f>日流量!CU57*24*3600/100000000</f>
        <v>1.6588799999999999</v>
      </c>
      <c r="CV57" s="6">
        <f>日流量!CV57*24*3600/100000000</f>
        <v>1.6415999999999999</v>
      </c>
      <c r="CW57" s="6">
        <f>日流量!CW57*24*3600/100000000</f>
        <v>1.70208</v>
      </c>
      <c r="CX57" s="6">
        <f>日流量!CX57*24*3600/100000000</f>
        <v>1.71072</v>
      </c>
      <c r="CY57" s="6">
        <f>日流量!CY57*24*3600/100000000</f>
        <v>1.70208</v>
      </c>
      <c r="CZ57" s="6">
        <f>日流量!CZ57*24*3600/100000000</f>
        <v>1.728</v>
      </c>
      <c r="DA57" s="6">
        <f>日流量!DA57*24*3600/100000000</f>
        <v>1.5638399999999999</v>
      </c>
      <c r="DB57" s="6">
        <f>日流量!DB57*24*3600/100000000</f>
        <v>1.4774400000000001</v>
      </c>
      <c r="DC57" s="6">
        <f>日流量!DC57*24*3600/100000000</f>
        <v>1.2873600000000001</v>
      </c>
      <c r="DD57" s="6">
        <f>日流量!DD57*24*3600/100000000</f>
        <v>1.1750400000000001</v>
      </c>
      <c r="DE57" s="6">
        <f>日流量!DE57*24*3600/100000000</f>
        <v>1.3391999999999999</v>
      </c>
      <c r="DF57" s="6">
        <f>日流量!DF57*24*3600/100000000</f>
        <v>1.7971200000000001</v>
      </c>
      <c r="DG57" s="6">
        <f>日流量!DG57*24*3600/100000000</f>
        <v>1.9612799999999999</v>
      </c>
      <c r="DH57" s="6">
        <f>日流量!DH57*24*3600/100000000</f>
        <v>2.1081599999999998</v>
      </c>
      <c r="DI57" s="6">
        <f>日流量!DI57*24*3600/100000000</f>
        <v>2.0735999999999999</v>
      </c>
      <c r="DJ57" s="6">
        <f>日流量!DJ57*24*3600/100000000</f>
        <v>2.0476800000000002</v>
      </c>
      <c r="DK57" s="6">
        <f>日流量!DK57*24*3600/100000000</f>
        <v>2.16</v>
      </c>
      <c r="DL57" s="6">
        <f>日流量!DL57*24*3600/100000000</f>
        <v>1.93536</v>
      </c>
      <c r="DM57" s="6">
        <f>日流量!DM57*24*3600/100000000</f>
        <v>1.73664</v>
      </c>
      <c r="DN57" s="6">
        <f>日流量!DN57*24*3600/100000000</f>
        <v>1.9872000000000001</v>
      </c>
      <c r="DO57" s="6">
        <f>日流量!DO57*24*3600/100000000</f>
        <v>2.1254400000000002</v>
      </c>
      <c r="DP57" s="6">
        <f>日流量!DP57*24*3600/100000000</f>
        <v>2.30688</v>
      </c>
      <c r="DQ57" s="6">
        <f>日流量!DQ57*24*3600/100000000</f>
        <v>2.3673600000000001</v>
      </c>
      <c r="DR57" s="6">
        <f>日流量!DR57*24*3600/100000000</f>
        <v>2.3846400000000001</v>
      </c>
      <c r="DS57" s="6">
        <f>日流量!DS57*24*3600/100000000</f>
        <v>2.2896000000000001</v>
      </c>
      <c r="DT57" s="6">
        <f>日流量!DT57*24*3600/100000000</f>
        <v>1.944</v>
      </c>
      <c r="DU57" s="6">
        <f>日流量!DU57*24*3600/100000000</f>
        <v>1.52928</v>
      </c>
      <c r="DV57" s="6">
        <f>日流量!DV57*24*3600/100000000</f>
        <v>1.30464</v>
      </c>
      <c r="DW57" s="6">
        <f>日流量!DW57*24*3600/100000000</f>
        <v>1.19232</v>
      </c>
      <c r="DX57" s="6">
        <f>日流量!DX57*24*3600/100000000</f>
        <v>1.2787200000000001</v>
      </c>
      <c r="DY57" s="6">
        <f>日流量!DY57*24*3600/100000000</f>
        <v>1.4860800000000001</v>
      </c>
      <c r="DZ57" s="6">
        <f>日流量!DZ57*24*3600/100000000</f>
        <v>1.90944</v>
      </c>
      <c r="EA57" s="6">
        <f>日流量!EA57*24*3600/100000000</f>
        <v>2.00448</v>
      </c>
      <c r="EB57" s="6">
        <f>日流量!EB57*24*3600/100000000</f>
        <v>2.0995200000000001</v>
      </c>
      <c r="EC57" s="6">
        <f>日流量!EC57*24*3600/100000000</f>
        <v>1.9785600000000001</v>
      </c>
      <c r="ED57" s="6">
        <f>日流量!ED57*24*3600/100000000</f>
        <v>1.39968</v>
      </c>
      <c r="EE57" s="6">
        <f>日流量!EE57*24*3600/100000000</f>
        <v>1.2614399999999999</v>
      </c>
      <c r="EF57" s="6">
        <f>日流量!EF57*24*3600/100000000</f>
        <v>1.2441599999999999</v>
      </c>
      <c r="EG57" s="6">
        <f>日流量!EG57*24*3600/100000000</f>
        <v>1.23552</v>
      </c>
      <c r="EH57" s="6">
        <f>日流量!EH57*24*3600/100000000</f>
        <v>1.4515199999999999</v>
      </c>
      <c r="EI57" s="6">
        <f>日流量!EI57*24*3600/100000000</f>
        <v>1.50336</v>
      </c>
      <c r="EJ57" s="6">
        <f>日流量!EJ57*24*3600/100000000</f>
        <v>1.5724800000000001</v>
      </c>
      <c r="EK57" s="6">
        <f>日流量!EK57*24*3600/100000000</f>
        <v>2.02176</v>
      </c>
      <c r="EL57" s="6">
        <f>日流量!EL57*24*3600/100000000</f>
        <v>2.1945600000000001</v>
      </c>
      <c r="EM57" s="6">
        <f>日流量!EM57*24*3600/100000000</f>
        <v>2.5660799999999999</v>
      </c>
      <c r="EN57" s="6">
        <f>日流量!EN57*24*3600/100000000</f>
        <v>2.81664</v>
      </c>
      <c r="EO57" s="6">
        <f>日流量!EO57*24*3600/100000000</f>
        <v>2.8684799999999999</v>
      </c>
      <c r="EP57" s="6">
        <f>日流量!EP57*24*3600/100000000</f>
        <v>2.6956799999999999</v>
      </c>
      <c r="EQ57" s="6">
        <f>日流量!EQ57*24*3600/100000000</f>
        <v>2.4537599999999999</v>
      </c>
      <c r="ER57" s="6">
        <f>日流量!ER57*24*3600/100000000</f>
        <v>2.3155199999999998</v>
      </c>
      <c r="ES57" s="6">
        <f>日流量!ES57*24*3600/100000000</f>
        <v>2.2031999999999998</v>
      </c>
      <c r="ET57" s="6">
        <f>日流量!ET57*24*3600/100000000</f>
        <v>2.2982399999999998</v>
      </c>
      <c r="EU57" s="6">
        <f>日流量!EU57*24*3600/100000000</f>
        <v>2.4537599999999999</v>
      </c>
      <c r="EV57" s="6">
        <f>日流量!EV57*24*3600/100000000</f>
        <v>2.4019200000000001</v>
      </c>
      <c r="EW57" s="6">
        <f>日流量!EW57*24*3600/100000000</f>
        <v>2.2982399999999998</v>
      </c>
      <c r="EX57" s="6">
        <f>日流量!EX57*24*3600/100000000</f>
        <v>2.3759999999999999</v>
      </c>
      <c r="EY57" s="6">
        <f>日流量!EY57*24*3600/100000000</f>
        <v>2.6783999999999999</v>
      </c>
      <c r="EZ57" s="6">
        <f>日流量!EZ57*24*3600/100000000</f>
        <v>2.64384</v>
      </c>
      <c r="FA57" s="6">
        <f>日流量!FA57*24*3600/100000000</f>
        <v>2.5055999999999998</v>
      </c>
      <c r="FB57" s="6">
        <f>日流量!FB57*24*3600/100000000</f>
        <v>2.4451200000000002</v>
      </c>
      <c r="FC57" s="6">
        <f>日流量!FC57*24*3600/100000000</f>
        <v>2.4883199999999999</v>
      </c>
      <c r="FD57" s="6">
        <f>日流量!FD57*24*3600/100000000</f>
        <v>2.4883199999999999</v>
      </c>
      <c r="FE57" s="6">
        <f>日流量!FE57*24*3600/100000000</f>
        <v>2.7734399999999999</v>
      </c>
      <c r="FF57" s="6">
        <f>日流量!FF57*24*3600/100000000</f>
        <v>2.9030399999999998</v>
      </c>
      <c r="FG57" s="6">
        <f>日流量!FG57*24*3600/100000000</f>
        <v>3.1103999999999998</v>
      </c>
      <c r="FH57" s="6">
        <f>日流量!FH57*24*3600/100000000</f>
        <v>3.1968000000000001</v>
      </c>
      <c r="FI57" s="6">
        <f>日流量!FI57*24*3600/100000000</f>
        <v>3.4732799999999999</v>
      </c>
      <c r="FJ57" s="6">
        <f>日流量!FJ57*24*3600/100000000</f>
        <v>3.2831999999999999</v>
      </c>
      <c r="FK57" s="6">
        <f>日流量!FK57*24*3600/100000000</f>
        <v>3.0499200000000002</v>
      </c>
      <c r="FL57" s="6">
        <f>日流量!FL57*24*3600/100000000</f>
        <v>2.9376000000000002</v>
      </c>
      <c r="FM57" s="6">
        <f>日流量!FM57*24*3600/100000000</f>
        <v>2.9894400000000001</v>
      </c>
      <c r="FN57" s="6">
        <f>日流量!FN57*24*3600/100000000</f>
        <v>3.1103999999999998</v>
      </c>
      <c r="FO57" s="6">
        <f>日流量!FO57*24*3600/100000000</f>
        <v>3.0585599999999999</v>
      </c>
      <c r="FP57" s="6">
        <f>日流量!FP57*24*3600/100000000</f>
        <v>3.3696000000000002</v>
      </c>
      <c r="FQ57" s="6">
        <f>日流量!FQ57*24*3600/100000000</f>
        <v>3.7324799999999998</v>
      </c>
      <c r="FR57" s="6">
        <f>日流量!FR57*24*3600/100000000</f>
        <v>3.85344</v>
      </c>
      <c r="FS57" s="6">
        <f>日流量!FS57*24*3600/100000000</f>
        <v>4.2595200000000002</v>
      </c>
      <c r="FT57" s="6">
        <f>日流量!FT57*24*3600/100000000</f>
        <v>4.6828799999999999</v>
      </c>
      <c r="FU57" s="6">
        <f>日流量!FU57*24*3600/100000000</f>
        <v>4.8211199999999996</v>
      </c>
      <c r="FV57" s="6">
        <f>日流量!FV57*24*3600/100000000</f>
        <v>4.8297600000000003</v>
      </c>
      <c r="FW57" s="6">
        <f>日流量!FW57*24*3600/100000000</f>
        <v>4.7692800000000002</v>
      </c>
      <c r="FX57" s="6">
        <f>日流量!FX57*24*3600/100000000</f>
        <v>4.7088000000000001</v>
      </c>
      <c r="FY57" s="6">
        <f>日流量!FY57*24*3600/100000000</f>
        <v>5.2617599999999998</v>
      </c>
      <c r="FZ57" s="6">
        <f>日流量!FZ57*24*3600/100000000</f>
        <v>6.4454399999999996</v>
      </c>
      <c r="GA57" s="6">
        <f>日流量!GA57*24*3600/100000000</f>
        <v>6.4108799999999997</v>
      </c>
      <c r="GB57" s="6">
        <f>日流量!GB57*24*3600/100000000</f>
        <v>6.46272</v>
      </c>
      <c r="GC57" s="6">
        <f>日流量!GC57*24*3600/100000000</f>
        <v>6.9465599999999998</v>
      </c>
      <c r="GD57" s="6">
        <f>日流量!GD57*24*3600/100000000</f>
        <v>7.1452799999999996</v>
      </c>
      <c r="GE57" s="6">
        <f>日流量!GE57*24*3600/100000000</f>
        <v>6.9811199999999998</v>
      </c>
      <c r="GF57" s="6">
        <f>日流量!GF57*24*3600/100000000</f>
        <v>6.7651199999999996</v>
      </c>
      <c r="GG57" s="6">
        <f>日流量!GG57*24*3600/100000000</f>
        <v>6.97248</v>
      </c>
      <c r="GH57" s="6">
        <f>日流量!GH57*24*3600/100000000</f>
        <v>7.29216</v>
      </c>
      <c r="GI57" s="6">
        <f>日流量!GI57*24*3600/100000000</f>
        <v>7.8192000000000004</v>
      </c>
      <c r="GJ57" s="6">
        <f>日流量!GJ57*24*3600/100000000</f>
        <v>8.4585600000000003</v>
      </c>
      <c r="GK57" s="6">
        <f>日流量!GK57*24*3600/100000000</f>
        <v>8.8992000000000004</v>
      </c>
      <c r="GL57" s="6">
        <f>日流量!GL57*24*3600/100000000</f>
        <v>9.6768000000000001</v>
      </c>
      <c r="GM57" s="6">
        <f>日流量!GM57*24*3600/100000000</f>
        <v>10.281599999999999</v>
      </c>
      <c r="GN57" s="6">
        <f>日流量!GN57*24*3600/100000000</f>
        <v>10.4544</v>
      </c>
      <c r="GO57" s="6">
        <f>日流量!GO57*24*3600/100000000</f>
        <v>8.7263999999999999</v>
      </c>
      <c r="GP57" s="6">
        <f>日流量!GP57*24*3600/100000000</f>
        <v>7.2316799999999999</v>
      </c>
      <c r="GQ57" s="6">
        <f>日流量!GQ57*24*3600/100000000</f>
        <v>7.8364799999999999</v>
      </c>
      <c r="GR57" s="6">
        <f>日流量!GR57*24*3600/100000000</f>
        <v>8.64</v>
      </c>
      <c r="GS57" s="6">
        <f>日流量!GS57*24*3600/100000000</f>
        <v>8.64</v>
      </c>
      <c r="GT57" s="6">
        <f>日流量!GT57*24*3600/100000000</f>
        <v>8.9855999999999998</v>
      </c>
      <c r="GU57" s="6">
        <f>日流量!GU57*24*3600/100000000</f>
        <v>8.8992000000000004</v>
      </c>
      <c r="GV57" s="6">
        <f>日流量!GV57*24*3600/100000000</f>
        <v>8.7263999999999999</v>
      </c>
      <c r="GW57" s="6">
        <f>日流量!GW57*24*3600/100000000</f>
        <v>8.7263999999999999</v>
      </c>
      <c r="GX57" s="6">
        <f>日流量!GX57*24*3600/100000000</f>
        <v>8.2425599999999992</v>
      </c>
      <c r="GY57" s="6">
        <f>日流量!GY57*24*3600/100000000</f>
        <v>7.9833600000000002</v>
      </c>
      <c r="GZ57" s="6">
        <f>日流量!GZ57*24*3600/100000000</f>
        <v>7.7241600000000004</v>
      </c>
      <c r="HA57" s="6">
        <f>日流量!HA57*24*3600/100000000</f>
        <v>7.4908799999999998</v>
      </c>
      <c r="HB57" s="6">
        <f>日流量!HB57*24*3600/100000000</f>
        <v>7.5427200000000001</v>
      </c>
      <c r="HC57" s="6">
        <f>日流量!HC57*24*3600/100000000</f>
        <v>7.57728</v>
      </c>
      <c r="HD57" s="6">
        <f>日流量!HD57*24*3600/100000000</f>
        <v>7.3440000000000003</v>
      </c>
      <c r="HE57" s="6">
        <f>日流量!HE57*24*3600/100000000</f>
        <v>7.0502399999999996</v>
      </c>
      <c r="HF57" s="6">
        <f>日流量!HF57*24*3600/100000000</f>
        <v>6.9638400000000003</v>
      </c>
      <c r="HG57" s="6">
        <f>日流量!HG57*24*3600/100000000</f>
        <v>7.48224</v>
      </c>
      <c r="HH57" s="6">
        <f>日流量!HH57*24*3600/100000000</f>
        <v>7.6291200000000003</v>
      </c>
      <c r="HI57" s="6">
        <f>日流量!HI57*24*3600/100000000</f>
        <v>7.6377600000000001</v>
      </c>
      <c r="HJ57" s="6">
        <f>日流量!HJ57*24*3600/100000000</f>
        <v>7.9833600000000002</v>
      </c>
      <c r="HK57" s="6">
        <f>日流量!HK57*24*3600/100000000</f>
        <v>9.1584000000000003</v>
      </c>
      <c r="HL57" s="6">
        <f>日流量!HL57*24*3600/100000000</f>
        <v>9.9359999999999999</v>
      </c>
      <c r="HM57" s="6">
        <f>日流量!HM57*24*3600/100000000</f>
        <v>9.4176000000000002</v>
      </c>
      <c r="HN57" s="6">
        <f>日流量!HN57*24*3600/100000000</f>
        <v>9.0719999999999992</v>
      </c>
      <c r="HO57" s="6">
        <f>日流量!HO57*24*3600/100000000</f>
        <v>8.1561599999999999</v>
      </c>
      <c r="HP57" s="6">
        <f>日流量!HP57*24*3600/100000000</f>
        <v>7.3353599999999997</v>
      </c>
      <c r="HQ57" s="6">
        <f>日流量!HQ57*24*3600/100000000</f>
        <v>7.0329600000000001</v>
      </c>
      <c r="HR57" s="6">
        <f>日流量!HR57*24*3600/100000000</f>
        <v>6.5232000000000001</v>
      </c>
      <c r="HS57" s="6">
        <f>日流量!HS57*24*3600/100000000</f>
        <v>6.0566399999999998</v>
      </c>
      <c r="HT57" s="6">
        <f>日流量!HT57*24*3600/100000000</f>
        <v>5.85792</v>
      </c>
      <c r="HU57" s="6">
        <f>日流量!HU57*24*3600/100000000</f>
        <v>5.7888000000000002</v>
      </c>
      <c r="HV57" s="6">
        <f>日流量!HV57*24*3600/100000000</f>
        <v>5.6592000000000002</v>
      </c>
      <c r="HW57" s="6">
        <f>日流量!HW57*24*3600/100000000</f>
        <v>5.7715199999999998</v>
      </c>
      <c r="HX57" s="6">
        <f>日流量!HX57*24*3600/100000000</f>
        <v>5.8233600000000001</v>
      </c>
      <c r="HY57" s="6">
        <f>日流量!HY57*24*3600/100000000</f>
        <v>5.9961599999999997</v>
      </c>
      <c r="HZ57" s="6">
        <f>日流量!HZ57*24*3600/100000000</f>
        <v>6.0998400000000004</v>
      </c>
      <c r="IA57" s="6">
        <f>日流量!IA57*24*3600/100000000</f>
        <v>6.2380800000000001</v>
      </c>
      <c r="IB57" s="6">
        <f>日流量!IB57*24*3600/100000000</f>
        <v>6.1603199999999996</v>
      </c>
      <c r="IC57" s="6">
        <f>日流量!IC57*24*3600/100000000</f>
        <v>6.0652799999999996</v>
      </c>
      <c r="ID57" s="6">
        <f>日流量!ID57*24*3600/100000000</f>
        <v>6.2467199999999998</v>
      </c>
      <c r="IE57" s="6">
        <f>日流量!IE57*24*3600/100000000</f>
        <v>6.9638400000000003</v>
      </c>
      <c r="IF57" s="6">
        <f>日流量!IF57*24*3600/100000000</f>
        <v>8.0179200000000002</v>
      </c>
      <c r="IG57" s="6">
        <f>日流量!IG57*24*3600/100000000</f>
        <v>8.3116800000000008</v>
      </c>
      <c r="IH57" s="6">
        <f>日流量!IH57*24*3600/100000000</f>
        <v>8.1993600000000004</v>
      </c>
      <c r="II57" s="6">
        <f>日流量!II57*24*3600/100000000</f>
        <v>8.1647999999999996</v>
      </c>
      <c r="IJ57" s="6">
        <f>日流量!IJ57*24*3600/100000000</f>
        <v>8.3548799999999996</v>
      </c>
      <c r="IK57" s="6">
        <f>日流量!IK57*24*3600/100000000</f>
        <v>8.6313600000000008</v>
      </c>
      <c r="IL57" s="6">
        <f>日流量!IL57*24*3600/100000000</f>
        <v>9.2447999999999997</v>
      </c>
      <c r="IM57" s="6">
        <f>日流量!IM57*24*3600/100000000</f>
        <v>9.5039999999999996</v>
      </c>
      <c r="IN57" s="6">
        <f>日流量!IN57*24*3600/100000000</f>
        <v>10.540800000000001</v>
      </c>
      <c r="IO57" s="6">
        <f>日流量!IO57*24*3600/100000000</f>
        <v>10.7136</v>
      </c>
      <c r="IP57" s="6">
        <f>日流量!IP57*24*3600/100000000</f>
        <v>10.4544</v>
      </c>
      <c r="IQ57" s="6">
        <f>日流量!IQ57*24*3600/100000000</f>
        <v>11.059200000000001</v>
      </c>
      <c r="IR57" s="6">
        <f>日流量!IR57*24*3600/100000000</f>
        <v>11.491199999999999</v>
      </c>
      <c r="IS57" s="6">
        <f>日流量!IS57*24*3600/100000000</f>
        <v>11.5776</v>
      </c>
      <c r="IT57" s="6">
        <f>日流量!IT57*24*3600/100000000</f>
        <v>10.7136</v>
      </c>
      <c r="IU57" s="6">
        <f>日流量!IU57*24*3600/100000000</f>
        <v>11.059200000000001</v>
      </c>
      <c r="IV57" s="6">
        <f>日流量!IV57*24*3600/100000000</f>
        <v>11.8368</v>
      </c>
      <c r="IW57" s="6">
        <f>日流量!IW57*24*3600/100000000</f>
        <v>10.8</v>
      </c>
      <c r="IX57" s="6">
        <f>日流量!IX57*24*3600/100000000</f>
        <v>9.1584000000000003</v>
      </c>
      <c r="IY57" s="6">
        <f>日流量!IY57*24*3600/100000000</f>
        <v>9.5904000000000007</v>
      </c>
      <c r="IZ57" s="6">
        <f>日流量!IZ57*24*3600/100000000</f>
        <v>8.8127999999999993</v>
      </c>
      <c r="JA57" s="6">
        <f>日流量!JA57*24*3600/100000000</f>
        <v>8.3203200000000006</v>
      </c>
      <c r="JB57" s="6">
        <f>日流量!JB57*24*3600/100000000</f>
        <v>7.9315199999999999</v>
      </c>
      <c r="JC57" s="6">
        <f>日流量!JC57*24*3600/100000000</f>
        <v>7.1020799999999999</v>
      </c>
      <c r="JD57" s="6">
        <f>日流量!JD57*24*3600/100000000</f>
        <v>6.4540800000000003</v>
      </c>
      <c r="JE57" s="6">
        <f>日流量!JE57*24*3600/100000000</f>
        <v>6.2380800000000001</v>
      </c>
      <c r="JF57" s="6">
        <f>日流量!JF57*24*3600/100000000</f>
        <v>6.1084800000000001</v>
      </c>
      <c r="JG57" s="6">
        <f>日流量!JG57*24*3600/100000000</f>
        <v>6.6959999999999997</v>
      </c>
      <c r="JH57" s="6">
        <f>日流量!JH57*24*3600/100000000</f>
        <v>7.2748799999999996</v>
      </c>
      <c r="JI57" s="6">
        <f>日流量!JI57*24*3600/100000000</f>
        <v>7.0415999999999999</v>
      </c>
      <c r="JJ57" s="6">
        <f>日流量!JJ57*24*3600/100000000</f>
        <v>6.6787200000000002</v>
      </c>
      <c r="JK57" s="6">
        <f>日流量!JK57*24*3600/100000000</f>
        <v>6.6009599999999997</v>
      </c>
      <c r="JL57" s="6">
        <f>日流量!JL57*24*3600/100000000</f>
        <v>6.8688000000000002</v>
      </c>
      <c r="JM57" s="6">
        <f>日流量!JM57*24*3600/100000000</f>
        <v>6.7478400000000001</v>
      </c>
      <c r="JN57" s="6">
        <f>日流量!JN57*24*3600/100000000</f>
        <v>7.1452799999999996</v>
      </c>
      <c r="JO57" s="6">
        <f>日流量!JO57*24*3600/100000000</f>
        <v>6.87744</v>
      </c>
      <c r="JP57" s="6">
        <f>日流量!JP57*24*3600/100000000</f>
        <v>6.6268799999999999</v>
      </c>
      <c r="JQ57" s="6">
        <f>日流量!JQ57*24*3600/100000000</f>
        <v>6.9119999999999999</v>
      </c>
      <c r="JR57" s="6">
        <f>日流量!JR57*24*3600/100000000</f>
        <v>7.4649599999999996</v>
      </c>
      <c r="JS57" s="6">
        <f>日流量!JS57*24*3600/100000000</f>
        <v>7.3612799999999998</v>
      </c>
      <c r="JT57" s="6">
        <f>日流量!JT57*24*3600/100000000</f>
        <v>7.1711999999999998</v>
      </c>
      <c r="JU57" s="6">
        <f>日流量!JU57*24*3600/100000000</f>
        <v>7.1366399999999999</v>
      </c>
      <c r="JV57" s="6">
        <f>日流量!JV57*24*3600/100000000</f>
        <v>7.06752</v>
      </c>
      <c r="JW57" s="6">
        <f>日流量!JW57*24*3600/100000000</f>
        <v>7.1280000000000001</v>
      </c>
      <c r="JX57" s="6">
        <f>日流量!JX57*24*3600/100000000</f>
        <v>7.1798400000000004</v>
      </c>
      <c r="JY57" s="6">
        <f>日流量!JY57*24*3600/100000000</f>
        <v>7.1366399999999999</v>
      </c>
      <c r="JZ57" s="6">
        <f>日流量!JZ57*24*3600/100000000</f>
        <v>6.7219199999999999</v>
      </c>
      <c r="KA57" s="6">
        <f>日流量!KA57*24*3600/100000000</f>
        <v>6.1084800000000001</v>
      </c>
      <c r="KB57" s="6">
        <f>日流量!KB57*24*3600/100000000</f>
        <v>6.4886400000000002</v>
      </c>
      <c r="KC57" s="6">
        <f>日流量!KC57*24*3600/100000000</f>
        <v>6.08256</v>
      </c>
      <c r="KD57" s="6">
        <f>日流量!KD57*24*3600/100000000</f>
        <v>5.66784</v>
      </c>
      <c r="KE57" s="6">
        <f>日流量!KE57*24*3600/100000000</f>
        <v>5.5900800000000004</v>
      </c>
      <c r="KF57" s="6">
        <f>日流量!KF57*24*3600/100000000</f>
        <v>5.5036800000000001</v>
      </c>
      <c r="KG57" s="6">
        <f>日流量!KG57*24*3600/100000000</f>
        <v>5.4</v>
      </c>
      <c r="KH57" s="6">
        <f>日流量!KH57*24*3600/100000000</f>
        <v>5.3136000000000001</v>
      </c>
      <c r="KI57" s="6">
        <f>日流量!KI57*24*3600/100000000</f>
        <v>5.1321599999999998</v>
      </c>
      <c r="KJ57" s="6">
        <f>日流量!KJ57*24*3600/100000000</f>
        <v>5.0198400000000003</v>
      </c>
      <c r="KK57" s="6">
        <f>日流量!KK57*24*3600/100000000</f>
        <v>4.7692800000000002</v>
      </c>
      <c r="KL57" s="6">
        <f>日流量!KL57*24*3600/100000000</f>
        <v>4.2508800000000004</v>
      </c>
      <c r="KM57" s="6">
        <f>日流量!KM57*24*3600/100000000</f>
        <v>4.3545600000000002</v>
      </c>
      <c r="KN57" s="6">
        <f>日流量!KN57*24*3600/100000000</f>
        <v>4.2595200000000002</v>
      </c>
      <c r="KO57" s="6">
        <f>日流量!KO57*24*3600/100000000</f>
        <v>4.1904000000000003</v>
      </c>
      <c r="KP57" s="6">
        <f>日流量!KP57*24*3600/100000000</f>
        <v>4.1731199999999999</v>
      </c>
      <c r="KQ57" s="6">
        <f>日流量!KQ57*24*3600/100000000</f>
        <v>4.04352</v>
      </c>
      <c r="KR57" s="6">
        <f>日流量!KR57*24*3600/100000000</f>
        <v>3.7584</v>
      </c>
      <c r="KS57" s="6">
        <f>日流量!KS57*24*3600/100000000</f>
        <v>3.6979199999999999</v>
      </c>
      <c r="KT57" s="6">
        <f>日流量!KT57*24*3600/100000000</f>
        <v>3.6115200000000001</v>
      </c>
      <c r="KU57" s="6">
        <f>日流量!KU57*24*3600/100000000</f>
        <v>3.4905599999999999</v>
      </c>
      <c r="KV57" s="6">
        <f>日流量!KV57*24*3600/100000000</f>
        <v>3.42144</v>
      </c>
      <c r="KW57" s="6">
        <f>日流量!KW57*24*3600/100000000</f>
        <v>3.3523200000000002</v>
      </c>
      <c r="KX57" s="6">
        <f>日流量!KX57*24*3600/100000000</f>
        <v>3.3004799999999999</v>
      </c>
      <c r="KY57" s="6">
        <f>日流量!KY57*24*3600/100000000</f>
        <v>3.24864</v>
      </c>
      <c r="KZ57" s="6">
        <f>日流量!KZ57*24*3600/100000000</f>
        <v>3.1708799999999999</v>
      </c>
      <c r="LA57" s="6">
        <f>日流量!LA57*24*3600/100000000</f>
        <v>3.11904</v>
      </c>
      <c r="LB57" s="6">
        <f>日流量!LB57*24*3600/100000000</f>
        <v>2.9894400000000001</v>
      </c>
      <c r="LC57" s="6">
        <f>日流量!LC57*24*3600/100000000</f>
        <v>2.9894400000000001</v>
      </c>
      <c r="LD57" s="6">
        <f>日流量!LD57*24*3600/100000000</f>
        <v>2.8079999999999998</v>
      </c>
      <c r="LE57" s="6">
        <f>日流量!LE57*24*3600/100000000</f>
        <v>2.7302399999999998</v>
      </c>
      <c r="LF57" s="6">
        <f>日流量!LF57*24*3600/100000000</f>
        <v>2.7993600000000001</v>
      </c>
      <c r="LG57" s="6">
        <f>日流量!LG57*24*3600/100000000</f>
        <v>2.7043200000000001</v>
      </c>
      <c r="LH57" s="6">
        <f>日流量!LH57*24*3600/100000000</f>
        <v>2.7129599999999998</v>
      </c>
      <c r="LI57" s="6">
        <f>日流量!LI57*24*3600/100000000</f>
        <v>2.6783999999999999</v>
      </c>
      <c r="LJ57" s="6">
        <f>日流量!LJ57*24*3600/100000000</f>
        <v>2.5833599999999999</v>
      </c>
      <c r="LK57" s="6">
        <f>日流量!LK57*24*3600/100000000</f>
        <v>2.53152</v>
      </c>
      <c r="LL57" s="6">
        <f>日流量!LL57*24*3600/100000000</f>
        <v>2.43648</v>
      </c>
      <c r="LM57" s="6">
        <f>日流量!LM57*24*3600/100000000</f>
        <v>2.3759999999999999</v>
      </c>
      <c r="LN57" s="6">
        <f>日流量!LN57*24*3600/100000000</f>
        <v>2.4192</v>
      </c>
      <c r="LO57" s="6">
        <f>日流量!LO57*24*3600/100000000</f>
        <v>2.3155199999999998</v>
      </c>
      <c r="LP57" s="6">
        <f>日流量!LP57*24*3600/100000000</f>
        <v>2.2982399999999998</v>
      </c>
      <c r="LQ57" s="6">
        <f>日流量!LQ57*24*3600/100000000</f>
        <v>2.2896000000000001</v>
      </c>
      <c r="LR57" s="6">
        <f>日流量!LR57*24*3600/100000000</f>
        <v>2.2896000000000001</v>
      </c>
      <c r="LS57" s="6">
        <f>日流量!LS57*24*3600/100000000</f>
        <v>2.2636799999999999</v>
      </c>
      <c r="LT57" s="6">
        <f>日流量!LT57*24*3600/100000000</f>
        <v>2.2636799999999999</v>
      </c>
      <c r="LU57" s="6">
        <f>日流量!LU57*24*3600/100000000</f>
        <v>2.1513599999999999</v>
      </c>
      <c r="LV57" s="6">
        <f>日流量!LV57*24*3600/100000000</f>
        <v>2.1945600000000001</v>
      </c>
      <c r="LW57" s="6">
        <f>日流量!LW57*24*3600/100000000</f>
        <v>2.1772800000000001</v>
      </c>
      <c r="LX57" s="6">
        <f>日流量!LX57*24*3600/100000000</f>
        <v>2.1081599999999998</v>
      </c>
      <c r="LY57" s="6">
        <f>日流量!LY57*24*3600/100000000</f>
        <v>2.1427200000000002</v>
      </c>
      <c r="LZ57" s="6">
        <f>日流量!LZ57*24*3600/100000000</f>
        <v>2.0131199999999998</v>
      </c>
      <c r="MA57" s="6">
        <f>日流量!MA57*24*3600/100000000</f>
        <v>1.93536</v>
      </c>
      <c r="MB57" s="6">
        <f>日流量!MB57*24*3600/100000000</f>
        <v>1.93536</v>
      </c>
      <c r="MC57" s="6">
        <f>日流量!MC57*24*3600/100000000</f>
        <v>1.91808</v>
      </c>
      <c r="MD57" s="6">
        <f>日流量!MD57*24*3600/100000000</f>
        <v>1.9008</v>
      </c>
      <c r="ME57" s="6">
        <f>日流量!ME57*24*3600/100000000</f>
        <v>1.8748800000000001</v>
      </c>
      <c r="MF57" s="6">
        <f>日流量!MF57*24*3600/100000000</f>
        <v>1.8662399999999999</v>
      </c>
      <c r="MG57" s="6">
        <f>日流量!MG57*24*3600/100000000</f>
        <v>1.8662399999999999</v>
      </c>
      <c r="MH57" s="6">
        <f>日流量!MH57*24*3600/100000000</f>
        <v>1.8662399999999999</v>
      </c>
      <c r="MI57" s="6">
        <f>日流量!MI57*24*3600/100000000</f>
        <v>1.8835200000000001</v>
      </c>
      <c r="MJ57" s="6">
        <f>日流量!MJ57*24*3600/100000000</f>
        <v>1.8835200000000001</v>
      </c>
      <c r="MK57" s="6">
        <f>日流量!MK57*24*3600/100000000</f>
        <v>1.80576</v>
      </c>
      <c r="ML57" s="6">
        <f>日流量!ML57*24*3600/100000000</f>
        <v>1.71936</v>
      </c>
      <c r="MM57" s="6">
        <f>日流量!MM57*24*3600/100000000</f>
        <v>1.7625599999999999</v>
      </c>
      <c r="MN57" s="6">
        <f>日流量!MN57*24*3600/100000000</f>
        <v>1.6588799999999999</v>
      </c>
      <c r="MO57" s="6">
        <f>日流量!MO57*24*3600/100000000</f>
        <v>1.5897600000000001</v>
      </c>
      <c r="MP57" s="6">
        <f>日流量!MP57*24*3600/100000000</f>
        <v>1.4860800000000001</v>
      </c>
      <c r="MQ57" s="6">
        <f>日流量!MQ57*24*3600/100000000</f>
        <v>1.5984</v>
      </c>
      <c r="MR57" s="6">
        <f>日流量!MR57*24*3600/100000000</f>
        <v>1.70208</v>
      </c>
      <c r="MS57" s="6">
        <f>日流量!MS57*24*3600/100000000</f>
        <v>1.60704</v>
      </c>
      <c r="MT57" s="6">
        <f>日流量!MT57*24*3600/100000000</f>
        <v>1.6415999999999999</v>
      </c>
      <c r="MU57" s="6">
        <f>日流量!MU57*24*3600/100000000</f>
        <v>1.5984</v>
      </c>
      <c r="MV57" s="6">
        <f>日流量!MV57*24*3600/100000000</f>
        <v>1.5724800000000001</v>
      </c>
      <c r="MW57" s="6">
        <f>日流量!MW57*24*3600/100000000</f>
        <v>1.50336</v>
      </c>
      <c r="MX57" s="6">
        <f>日流量!MX57*24*3600/100000000</f>
        <v>1.5724800000000001</v>
      </c>
      <c r="MY57" s="6">
        <f>日流量!MY57*24*3600/100000000</f>
        <v>1.5638399999999999</v>
      </c>
      <c r="MZ57" s="6">
        <f>日流量!MZ57*24*3600/100000000</f>
        <v>1.43424</v>
      </c>
      <c r="NA57" s="6">
        <f>日流量!NA57*24*3600/100000000</f>
        <v>1.52064</v>
      </c>
      <c r="NB57" s="6">
        <f>日流量!NB57*24*3600/100000000</f>
        <v>1.4515199999999999</v>
      </c>
      <c r="NC57" s="6">
        <f>日流量!NC57*24*3600/100000000</f>
        <v>1.4515199999999999</v>
      </c>
      <c r="ND57" s="6">
        <f>日流量!ND57*24*3600*31/100000000</f>
        <v>40.443840000000002</v>
      </c>
      <c r="NE57" s="6">
        <f>日流量!NE57*24*3600*29/100000000</f>
        <v>37.333440000000003</v>
      </c>
      <c r="NF57" s="6">
        <f>日流量!NF57*24*3600*31/100000000</f>
        <v>39.908160000000002</v>
      </c>
      <c r="NG57" s="6">
        <f>日流量!NG57*24*3600*30/100000000</f>
        <v>53.136000000000003</v>
      </c>
      <c r="NH57" s="6">
        <f>日流量!NH57*24*3600*31/100000000</f>
        <v>60.264000000000003</v>
      </c>
      <c r="NI57" s="6">
        <f>日流量!NI57*24*3600*30/100000000</f>
        <v>108.6048</v>
      </c>
      <c r="NJ57" s="6">
        <f>日流量!NJ57*24*3600*31/100000000</f>
        <v>248.55552</v>
      </c>
      <c r="NK57" s="6">
        <f>日流量!NK57*24*3600*31/100000000</f>
        <v>225.78912</v>
      </c>
      <c r="NL57" s="6">
        <f>日流量!NL57*24*3600*30/100000000</f>
        <v>261.79199999999997</v>
      </c>
      <c r="NM57" s="6">
        <f>日流量!NM57*24*3600*31/100000000</f>
        <v>175.43520000000001</v>
      </c>
      <c r="NN57" s="6">
        <f>日流量!NN57*24*3600*30/100000000</f>
        <v>80.092799999999997</v>
      </c>
      <c r="NO57" s="6">
        <f>日流量!NO57*24*3600*31/100000000</f>
        <v>53.300159999999998</v>
      </c>
      <c r="NP57" s="14">
        <f t="shared" si="10"/>
        <v>1384.6550399999999</v>
      </c>
      <c r="NQ57" s="6">
        <f>日流量!NQ57*24*3600/100000000</f>
        <v>11.8368</v>
      </c>
      <c r="NR57" s="4">
        <f>日流量!NR57</f>
        <v>42624</v>
      </c>
      <c r="NS57" s="6">
        <f>日流量!NS57*24*3600/100000000</f>
        <v>0.96767999999999998</v>
      </c>
      <c r="NT57" s="4">
        <f>日流量!NT57</f>
        <v>42393</v>
      </c>
      <c r="NU57" s="7">
        <f>日流量!NP57</f>
        <v>4375.3825136612022</v>
      </c>
      <c r="NW57" s="13">
        <f t="shared" si="0"/>
        <v>1080.4406399999998</v>
      </c>
      <c r="NX57" s="12">
        <f t="shared" si="1"/>
        <v>78.029589232564362</v>
      </c>
      <c r="NY57" s="13">
        <f t="shared" si="2"/>
        <v>844.74144000000001</v>
      </c>
      <c r="NZ57" s="12">
        <f t="shared" si="3"/>
        <v>61.007356749302708</v>
      </c>
      <c r="OA57" s="13">
        <f t="shared" si="4"/>
        <v>304.21440000000007</v>
      </c>
      <c r="OB57" s="12">
        <f t="shared" si="5"/>
        <v>21.970410767435627</v>
      </c>
      <c r="OC57" s="13">
        <f t="shared" si="6"/>
        <v>261.79199999999997</v>
      </c>
      <c r="OD57" s="12">
        <f t="shared" si="7"/>
        <v>18.906658513300179</v>
      </c>
      <c r="OE57" s="12">
        <f t="shared" si="8"/>
        <v>323.51753271028036</v>
      </c>
      <c r="OF57" s="12">
        <f t="shared" si="9"/>
        <v>10.258673665343746</v>
      </c>
    </row>
    <row r="58" spans="1:396" x14ac:dyDescent="0.15">
      <c r="A58" s="2">
        <v>2005</v>
      </c>
      <c r="B58" s="6">
        <f>日流量!B58*24*3600/100000000</f>
        <v>1.3824000000000001</v>
      </c>
      <c r="C58" s="6">
        <f>日流量!C58*24*3600/100000000</f>
        <v>1.5811200000000001</v>
      </c>
      <c r="D58" s="6">
        <f>日流量!D58*24*3600/100000000</f>
        <v>1.62432</v>
      </c>
      <c r="E58" s="6">
        <f>日流量!E58*24*3600/100000000</f>
        <v>1.5897600000000001</v>
      </c>
      <c r="F58" s="6">
        <f>日流量!F58*24*3600/100000000</f>
        <v>1.7625599999999999</v>
      </c>
      <c r="G58" s="6">
        <f>日流量!G58*24*3600/100000000</f>
        <v>1.6588799999999999</v>
      </c>
      <c r="H58" s="6">
        <f>日流量!H58*24*3600/100000000</f>
        <v>1.63296</v>
      </c>
      <c r="I58" s="6">
        <f>日流量!I58*24*3600/100000000</f>
        <v>1.5897600000000001</v>
      </c>
      <c r="J58" s="6">
        <f>日流量!J58*24*3600/100000000</f>
        <v>1.6675199999999999</v>
      </c>
      <c r="K58" s="6">
        <f>日流量!K58*24*3600/100000000</f>
        <v>1.6502399999999999</v>
      </c>
      <c r="L58" s="6">
        <f>日流量!L58*24*3600/100000000</f>
        <v>1.5897600000000001</v>
      </c>
      <c r="M58" s="6">
        <f>日流量!M58*24*3600/100000000</f>
        <v>1.5897600000000001</v>
      </c>
      <c r="N58" s="6">
        <f>日流量!N58*24*3600/100000000</f>
        <v>1.61568</v>
      </c>
      <c r="O58" s="6">
        <f>日流量!O58*24*3600/100000000</f>
        <v>1.5897600000000001</v>
      </c>
      <c r="P58" s="6">
        <f>日流量!P58*24*3600/100000000</f>
        <v>1.5984</v>
      </c>
      <c r="Q58" s="6">
        <f>日流量!Q58*24*3600/100000000</f>
        <v>1.61568</v>
      </c>
      <c r="R58" s="6">
        <f>日流量!R58*24*3600/100000000</f>
        <v>1.5811200000000001</v>
      </c>
      <c r="S58" s="6">
        <f>日流量!S58*24*3600/100000000</f>
        <v>1.5811200000000001</v>
      </c>
      <c r="T58" s="6">
        <f>日流量!T58*24*3600/100000000</f>
        <v>1.5724800000000001</v>
      </c>
      <c r="U58" s="6">
        <f>日流量!U58*24*3600/100000000</f>
        <v>1.5897600000000001</v>
      </c>
      <c r="V58" s="6">
        <f>日流量!V58*24*3600/100000000</f>
        <v>1.5897600000000001</v>
      </c>
      <c r="W58" s="6">
        <f>日流量!W58*24*3600/100000000</f>
        <v>1.5724800000000001</v>
      </c>
      <c r="X58" s="6">
        <f>日流量!X58*24*3600/100000000</f>
        <v>1.5465599999999999</v>
      </c>
      <c r="Y58" s="6">
        <f>日流量!Y58*24*3600/100000000</f>
        <v>1.5465599999999999</v>
      </c>
      <c r="Z58" s="6">
        <f>日流量!Z58*24*3600/100000000</f>
        <v>1.53792</v>
      </c>
      <c r="AA58" s="6">
        <f>日流量!AA58*24*3600/100000000</f>
        <v>1.512</v>
      </c>
      <c r="AB58" s="6">
        <f>日流量!AB58*24*3600/100000000</f>
        <v>1.52064</v>
      </c>
      <c r="AC58" s="6">
        <f>日流量!AC58*24*3600/100000000</f>
        <v>1.512</v>
      </c>
      <c r="AD58" s="6">
        <f>日流量!AD58*24*3600/100000000</f>
        <v>1.4774400000000001</v>
      </c>
      <c r="AE58" s="6">
        <f>日流量!AE58*24*3600/100000000</f>
        <v>1.4428799999999999</v>
      </c>
      <c r="AF58" s="6">
        <f>日流量!AF58*24*3600/100000000</f>
        <v>1.40832</v>
      </c>
      <c r="AG58" s="6">
        <f>日流量!AG58*24*3600/100000000</f>
        <v>1.4688000000000001</v>
      </c>
      <c r="AH58" s="6">
        <f>日流量!AH58*24*3600/100000000</f>
        <v>1.43424</v>
      </c>
      <c r="AI58" s="6">
        <f>日流量!AI58*24*3600/100000000</f>
        <v>1.4601599999999999</v>
      </c>
      <c r="AJ58" s="6">
        <f>日流量!AJ58*24*3600/100000000</f>
        <v>1.4515199999999999</v>
      </c>
      <c r="AK58" s="6">
        <f>日流量!AK58*24*3600/100000000</f>
        <v>1.41696</v>
      </c>
      <c r="AL58" s="6">
        <f>日流量!AL58*24*3600/100000000</f>
        <v>1.43424</v>
      </c>
      <c r="AM58" s="6">
        <f>日流量!AM58*24*3600/100000000</f>
        <v>1.43424</v>
      </c>
      <c r="AN58" s="6">
        <f>日流量!AN58*24*3600/100000000</f>
        <v>1.3478399999999999</v>
      </c>
      <c r="AO58" s="6">
        <f>日流量!AO58*24*3600/100000000</f>
        <v>1.32192</v>
      </c>
      <c r="AP58" s="6">
        <f>日流量!AP58*24*3600/100000000</f>
        <v>1.4688000000000001</v>
      </c>
      <c r="AQ58" s="6">
        <f>日流量!AQ58*24*3600/100000000</f>
        <v>1.50336</v>
      </c>
      <c r="AR58" s="6">
        <f>日流量!AR58*24*3600/100000000</f>
        <v>1.4860800000000001</v>
      </c>
      <c r="AS58" s="6">
        <f>日流量!AS58*24*3600/100000000</f>
        <v>1.53792</v>
      </c>
      <c r="AT58" s="6">
        <f>日流量!AT58*24*3600/100000000</f>
        <v>1.512</v>
      </c>
      <c r="AU58" s="6">
        <f>日流量!AU58*24*3600/100000000</f>
        <v>1.4515199999999999</v>
      </c>
      <c r="AV58" s="6">
        <f>日流量!AV58*24*3600/100000000</f>
        <v>1.40832</v>
      </c>
      <c r="AW58" s="6">
        <f>日流量!AW58*24*3600/100000000</f>
        <v>1.50336</v>
      </c>
      <c r="AX58" s="6">
        <f>日流量!AX58*24*3600/100000000</f>
        <v>1.512</v>
      </c>
      <c r="AY58" s="6">
        <f>日流量!AY58*24*3600/100000000</f>
        <v>1.512</v>
      </c>
      <c r="AZ58" s="6">
        <f>日流量!AZ58*24*3600/100000000</f>
        <v>1.52064</v>
      </c>
      <c r="BA58" s="6">
        <f>日流量!BA58*24*3600/100000000</f>
        <v>1.49472</v>
      </c>
      <c r="BB58" s="6">
        <f>日流量!BB58*24*3600/100000000</f>
        <v>1.3910400000000001</v>
      </c>
      <c r="BC58" s="6">
        <f>日流量!BC58*24*3600/100000000</f>
        <v>1.3824000000000001</v>
      </c>
      <c r="BD58" s="6">
        <f>日流量!BD58*24*3600/100000000</f>
        <v>1.33056</v>
      </c>
      <c r="BE58" s="6">
        <f>日流量!BE58*24*3600/100000000</f>
        <v>1.32192</v>
      </c>
      <c r="BF58" s="6">
        <f>日流量!BF58*24*3600/100000000</f>
        <v>1.4256</v>
      </c>
      <c r="BG58" s="6">
        <f>日流量!BG58*24*3600/100000000</f>
        <v>1.4428799999999999</v>
      </c>
      <c r="BH58" s="6">
        <f>日流量!BH58*24*3600/100000000</f>
        <v>1.4428799999999999</v>
      </c>
      <c r="BI58" s="6"/>
      <c r="BJ58" s="6">
        <f>日流量!BJ58*24*3600/100000000</f>
        <v>1.4688000000000001</v>
      </c>
      <c r="BK58" s="6">
        <f>日流量!BK58*24*3600/100000000</f>
        <v>1.512</v>
      </c>
      <c r="BL58" s="6">
        <f>日流量!BL58*24*3600/100000000</f>
        <v>1.52064</v>
      </c>
      <c r="BM58" s="6">
        <f>日流量!BM58*24*3600/100000000</f>
        <v>1.52064</v>
      </c>
      <c r="BN58" s="6">
        <f>日流量!BN58*24*3600/100000000</f>
        <v>1.4860800000000001</v>
      </c>
      <c r="BO58" s="6">
        <f>日流量!BO58*24*3600/100000000</f>
        <v>1.3824000000000001</v>
      </c>
      <c r="BP58" s="6">
        <f>日流量!BP58*24*3600/100000000</f>
        <v>1.39968</v>
      </c>
      <c r="BQ58" s="6">
        <f>日流量!BQ58*24*3600/100000000</f>
        <v>1.4860800000000001</v>
      </c>
      <c r="BR58" s="6">
        <f>日流量!BR58*24*3600/100000000</f>
        <v>1.4860800000000001</v>
      </c>
      <c r="BS58" s="6">
        <f>日流量!BS58*24*3600/100000000</f>
        <v>1.4515199999999999</v>
      </c>
      <c r="BT58" s="6">
        <f>日流量!BT58*24*3600/100000000</f>
        <v>1.40832</v>
      </c>
      <c r="BU58" s="6">
        <f>日流量!BU58*24*3600/100000000</f>
        <v>1.39968</v>
      </c>
      <c r="BV58" s="6">
        <f>日流量!BV58*24*3600/100000000</f>
        <v>1.4688000000000001</v>
      </c>
      <c r="BW58" s="6">
        <f>日流量!BW58*24*3600/100000000</f>
        <v>1.4860800000000001</v>
      </c>
      <c r="BX58" s="6">
        <f>日流量!BX58*24*3600/100000000</f>
        <v>1.43424</v>
      </c>
      <c r="BY58" s="6">
        <f>日流量!BY58*24*3600/100000000</f>
        <v>1.40832</v>
      </c>
      <c r="BZ58" s="6">
        <f>日流量!BZ58*24*3600/100000000</f>
        <v>1.4688000000000001</v>
      </c>
      <c r="CA58" s="6">
        <f>日流量!CA58*24*3600/100000000</f>
        <v>1.4688000000000001</v>
      </c>
      <c r="CB58" s="6">
        <f>日流量!CB58*24*3600/100000000</f>
        <v>1.3910400000000001</v>
      </c>
      <c r="CC58" s="6">
        <f>日流量!CC58*24*3600/100000000</f>
        <v>1.31328</v>
      </c>
      <c r="CD58" s="6">
        <f>日流量!CD58*24*3600/100000000</f>
        <v>1.2527999999999999</v>
      </c>
      <c r="CE58" s="6">
        <f>日流量!CE58*24*3600/100000000</f>
        <v>1.3391999999999999</v>
      </c>
      <c r="CF58" s="6">
        <f>日流量!CF58*24*3600/100000000</f>
        <v>1.40832</v>
      </c>
      <c r="CG58" s="6">
        <f>日流量!CG58*24*3600/100000000</f>
        <v>1.3824000000000001</v>
      </c>
      <c r="CH58" s="6">
        <f>日流量!CH58*24*3600/100000000</f>
        <v>1.4515199999999999</v>
      </c>
      <c r="CI58" s="6">
        <f>日流量!CI58*24*3600/100000000</f>
        <v>1.5984</v>
      </c>
      <c r="CJ58" s="6">
        <f>日流量!CJ58*24*3600/100000000</f>
        <v>1.62432</v>
      </c>
      <c r="CK58" s="6">
        <f>日流量!CK58*24*3600/100000000</f>
        <v>1.6502399999999999</v>
      </c>
      <c r="CL58" s="6">
        <f>日流量!CL58*24*3600/100000000</f>
        <v>1.60704</v>
      </c>
      <c r="CM58" s="6">
        <f>日流量!CM58*24*3600/100000000</f>
        <v>1.5551999999999999</v>
      </c>
      <c r="CN58" s="6">
        <f>日流量!CN58*24*3600/100000000</f>
        <v>1.5897600000000001</v>
      </c>
      <c r="CO58" s="6">
        <f>日流量!CO58*24*3600/100000000</f>
        <v>1.4601599999999999</v>
      </c>
      <c r="CP58" s="6">
        <f>日流量!CP58*24*3600/100000000</f>
        <v>1.4774400000000001</v>
      </c>
      <c r="CQ58" s="6">
        <f>日流量!CQ58*24*3600/100000000</f>
        <v>1.4688000000000001</v>
      </c>
      <c r="CR58" s="6">
        <f>日流量!CR58*24*3600/100000000</f>
        <v>1.4860800000000001</v>
      </c>
      <c r="CS58" s="6">
        <f>日流量!CS58*24*3600/100000000</f>
        <v>1.4428799999999999</v>
      </c>
      <c r="CT58" s="6">
        <f>日流量!CT58*24*3600/100000000</f>
        <v>1.512</v>
      </c>
      <c r="CU58" s="6">
        <f>日流量!CU58*24*3600/100000000</f>
        <v>1.5551999999999999</v>
      </c>
      <c r="CV58" s="6">
        <f>日流量!CV58*24*3600/100000000</f>
        <v>1.53792</v>
      </c>
      <c r="CW58" s="6">
        <f>日流量!CW58*24*3600/100000000</f>
        <v>1.3824000000000001</v>
      </c>
      <c r="CX58" s="6">
        <f>日流量!CX58*24*3600/100000000</f>
        <v>1.2527999999999999</v>
      </c>
      <c r="CY58" s="6">
        <f>日流量!CY58*24*3600/100000000</f>
        <v>1.32192</v>
      </c>
      <c r="CZ58" s="6">
        <f>日流量!CZ58*24*3600/100000000</f>
        <v>1.4256</v>
      </c>
      <c r="DA58" s="6">
        <f>日流量!DA58*24*3600/100000000</f>
        <v>1.41696</v>
      </c>
      <c r="DB58" s="6">
        <f>日流量!DB58*24*3600/100000000</f>
        <v>1.43424</v>
      </c>
      <c r="DC58" s="6">
        <f>日流量!DC58*24*3600/100000000</f>
        <v>1.40832</v>
      </c>
      <c r="DD58" s="6">
        <f>日流量!DD58*24*3600/100000000</f>
        <v>1.3737600000000001</v>
      </c>
      <c r="DE58" s="6">
        <f>日流量!DE58*24*3600/100000000</f>
        <v>1.296</v>
      </c>
      <c r="DF58" s="6">
        <f>日流量!DF58*24*3600/100000000</f>
        <v>1.2527999999999999</v>
      </c>
      <c r="DG58" s="6">
        <f>日流量!DG58*24*3600/100000000</f>
        <v>1.19232</v>
      </c>
      <c r="DH58" s="6">
        <f>日流量!DH58*24*3600/100000000</f>
        <v>1.1836800000000001</v>
      </c>
      <c r="DI58" s="6">
        <f>日流量!DI58*24*3600/100000000</f>
        <v>1.23552</v>
      </c>
      <c r="DJ58" s="6">
        <f>日流量!DJ58*24*3600/100000000</f>
        <v>1.22688</v>
      </c>
      <c r="DK58" s="6">
        <f>日流量!DK58*24*3600/100000000</f>
        <v>1.2096</v>
      </c>
      <c r="DL58" s="6">
        <f>日流量!DL58*24*3600/100000000</f>
        <v>1.3391999999999999</v>
      </c>
      <c r="DM58" s="6">
        <f>日流量!DM58*24*3600/100000000</f>
        <v>1.3651199999999999</v>
      </c>
      <c r="DN58" s="6">
        <f>日流量!DN58*24*3600/100000000</f>
        <v>1.22688</v>
      </c>
      <c r="DO58" s="6">
        <f>日流量!DO58*24*3600/100000000</f>
        <v>1.296</v>
      </c>
      <c r="DP58" s="6">
        <f>日流量!DP58*24*3600/100000000</f>
        <v>1.4601599999999999</v>
      </c>
      <c r="DQ58" s="6">
        <f>日流量!DQ58*24*3600/100000000</f>
        <v>1.4860800000000001</v>
      </c>
      <c r="DR58" s="6">
        <f>日流量!DR58*24*3600/100000000</f>
        <v>1.5465599999999999</v>
      </c>
      <c r="DS58" s="6">
        <f>日流量!DS58*24*3600/100000000</f>
        <v>1.61568</v>
      </c>
      <c r="DT58" s="6">
        <f>日流量!DT58*24*3600/100000000</f>
        <v>1.7625599999999999</v>
      </c>
      <c r="DU58" s="6">
        <f>日流量!DU58*24*3600/100000000</f>
        <v>1.8662399999999999</v>
      </c>
      <c r="DV58" s="6">
        <f>日流量!DV58*24*3600/100000000</f>
        <v>2.1081599999999998</v>
      </c>
      <c r="DW58" s="6">
        <f>日流量!DW58*24*3600/100000000</f>
        <v>2.2723200000000001</v>
      </c>
      <c r="DX58" s="6">
        <f>日流量!DX58*24*3600/100000000</f>
        <v>2.3673600000000001</v>
      </c>
      <c r="DY58" s="6">
        <f>日流量!DY58*24*3600/100000000</f>
        <v>2.4192</v>
      </c>
      <c r="DZ58" s="6">
        <f>日流量!DZ58*24*3600/100000000</f>
        <v>2.5055999999999998</v>
      </c>
      <c r="EA58" s="6">
        <f>日流量!EA58*24*3600/100000000</f>
        <v>2.51424</v>
      </c>
      <c r="EB58" s="6">
        <f>日流量!EB58*24*3600/100000000</f>
        <v>2.5920000000000001</v>
      </c>
      <c r="EC58" s="6">
        <f>日流量!EC58*24*3600/100000000</f>
        <v>2.6697600000000001</v>
      </c>
      <c r="ED58" s="6">
        <f>日流量!ED58*24*3600/100000000</f>
        <v>2.64384</v>
      </c>
      <c r="EE58" s="6">
        <f>日流量!EE58*24*3600/100000000</f>
        <v>2.8425600000000002</v>
      </c>
      <c r="EF58" s="6">
        <f>日流量!EF58*24*3600/100000000</f>
        <v>2.9807999999999999</v>
      </c>
      <c r="EG58" s="6">
        <f>日流量!EG58*24*3600/100000000</f>
        <v>2.81664</v>
      </c>
      <c r="EH58" s="6">
        <f>日流量!EH58*24*3600/100000000</f>
        <v>2.7043200000000001</v>
      </c>
      <c r="EI58" s="6">
        <f>日流量!EI58*24*3600/100000000</f>
        <v>2.6524800000000002</v>
      </c>
      <c r="EJ58" s="6">
        <f>日流量!EJ58*24*3600/100000000</f>
        <v>2.6956799999999999</v>
      </c>
      <c r="EK58" s="6">
        <f>日流量!EK58*24*3600/100000000</f>
        <v>2.5747200000000001</v>
      </c>
      <c r="EL58" s="6">
        <f>日流量!EL58*24*3600/100000000</f>
        <v>2.4105599999999998</v>
      </c>
      <c r="EM58" s="6">
        <f>日流量!EM58*24*3600/100000000</f>
        <v>2.2809599999999999</v>
      </c>
      <c r="EN58" s="6">
        <f>日流量!EN58*24*3600/100000000</f>
        <v>2.0304000000000002</v>
      </c>
      <c r="EO58" s="6">
        <f>日流量!EO58*24*3600/100000000</f>
        <v>1.9699199999999999</v>
      </c>
      <c r="EP58" s="6">
        <f>日流量!EP58*24*3600/100000000</f>
        <v>1.8575999999999999</v>
      </c>
      <c r="EQ58" s="6">
        <f>日流量!EQ58*24*3600/100000000</f>
        <v>1.7452799999999999</v>
      </c>
      <c r="ER58" s="6">
        <f>日流量!ER58*24*3600/100000000</f>
        <v>1.62432</v>
      </c>
      <c r="ES58" s="6">
        <f>日流量!ES58*24*3600/100000000</f>
        <v>1.5724800000000001</v>
      </c>
      <c r="ET58" s="6">
        <f>日流量!ET58*24*3600/100000000</f>
        <v>1.60704</v>
      </c>
      <c r="EU58" s="6">
        <f>日流量!EU58*24*3600/100000000</f>
        <v>1.6588799999999999</v>
      </c>
      <c r="EV58" s="6">
        <f>日流量!EV58*24*3600/100000000</f>
        <v>1.5984</v>
      </c>
      <c r="EW58" s="6">
        <f>日流量!EW58*24*3600/100000000</f>
        <v>1.6761600000000001</v>
      </c>
      <c r="EX58" s="6">
        <f>日流量!EX58*24*3600/100000000</f>
        <v>1.73664</v>
      </c>
      <c r="EY58" s="6">
        <f>日流量!EY58*24*3600/100000000</f>
        <v>2.0476800000000002</v>
      </c>
      <c r="EZ58" s="6">
        <f>日流量!EZ58*24*3600/100000000</f>
        <v>2.2464</v>
      </c>
      <c r="FA58" s="6">
        <f>日流量!FA58*24*3600/100000000</f>
        <v>2.43648</v>
      </c>
      <c r="FB58" s="6">
        <f>日流量!FB58*24*3600/100000000</f>
        <v>2.5488</v>
      </c>
      <c r="FC58" s="6">
        <f>日流量!FC58*24*3600/100000000</f>
        <v>2.5228799999999998</v>
      </c>
      <c r="FD58" s="6">
        <f>日流量!FD58*24*3600/100000000</f>
        <v>2.4883199999999999</v>
      </c>
      <c r="FE58" s="6">
        <f>日流量!FE58*24*3600/100000000</f>
        <v>2.7043200000000001</v>
      </c>
      <c r="FF58" s="6">
        <f>日流量!FF58*24*3600/100000000</f>
        <v>2.7993600000000001</v>
      </c>
      <c r="FG58" s="6">
        <f>日流量!FG58*24*3600/100000000</f>
        <v>2.7216</v>
      </c>
      <c r="FH58" s="6">
        <f>日流量!FH58*24*3600/100000000</f>
        <v>2.5920000000000001</v>
      </c>
      <c r="FI58" s="6">
        <f>日流量!FI58*24*3600/100000000</f>
        <v>2.6352000000000002</v>
      </c>
      <c r="FJ58" s="6">
        <f>日流量!FJ58*24*3600/100000000</f>
        <v>2.64384</v>
      </c>
      <c r="FK58" s="6">
        <f>日流量!FK58*24*3600/100000000</f>
        <v>2.83392</v>
      </c>
      <c r="FL58" s="6">
        <f>日流量!FL58*24*3600/100000000</f>
        <v>3.11904</v>
      </c>
      <c r="FM58" s="6">
        <f>日流量!FM58*24*3600/100000000</f>
        <v>3.0844800000000001</v>
      </c>
      <c r="FN58" s="6">
        <f>日流量!FN58*24*3600/100000000</f>
        <v>3.13632</v>
      </c>
      <c r="FO58" s="6">
        <f>日流量!FO58*24*3600/100000000</f>
        <v>3.13632</v>
      </c>
      <c r="FP58" s="6">
        <f>日流量!FP58*24*3600/100000000</f>
        <v>3.6201599999999998</v>
      </c>
      <c r="FQ58" s="6">
        <f>日流量!FQ58*24*3600/100000000</f>
        <v>3.9139200000000001</v>
      </c>
      <c r="FR58" s="6">
        <f>日流量!FR58*24*3600/100000000</f>
        <v>3.94848</v>
      </c>
      <c r="FS58" s="6">
        <f>日流量!FS58*24*3600/100000000</f>
        <v>3.9571200000000002</v>
      </c>
      <c r="FT58" s="6">
        <f>日流量!FT58*24*3600/100000000</f>
        <v>3.9571200000000002</v>
      </c>
      <c r="FU58" s="6">
        <f>日流量!FU58*24*3600/100000000</f>
        <v>4.0608000000000004</v>
      </c>
      <c r="FV58" s="6">
        <f>日流量!FV58*24*3600/100000000</f>
        <v>4.4236800000000001</v>
      </c>
      <c r="FW58" s="6">
        <f>日流量!FW58*24*3600/100000000</f>
        <v>4.5100800000000003</v>
      </c>
      <c r="FX58" s="6">
        <f>日流量!FX58*24*3600/100000000</f>
        <v>4.6915199999999997</v>
      </c>
      <c r="FY58" s="6">
        <f>日流量!FY58*24*3600/100000000</f>
        <v>5.5987200000000001</v>
      </c>
      <c r="FZ58" s="6">
        <f>日流量!FZ58*24*3600/100000000</f>
        <v>6.6096000000000004</v>
      </c>
      <c r="GA58" s="6">
        <f>日流量!GA58*24*3600/100000000</f>
        <v>6.7824</v>
      </c>
      <c r="GB58" s="6">
        <f>日流量!GB58*24*3600/100000000</f>
        <v>5.8406399999999996</v>
      </c>
      <c r="GC58" s="6">
        <f>日流量!GC58*24*3600/100000000</f>
        <v>4.7001600000000003</v>
      </c>
      <c r="GD58" s="6">
        <f>日流量!GD58*24*3600/100000000</f>
        <v>4.4496000000000002</v>
      </c>
      <c r="GE58" s="6">
        <f>日流量!GE58*24*3600/100000000</f>
        <v>4.2163199999999996</v>
      </c>
      <c r="GF58" s="6">
        <f>日流量!GF58*24*3600/100000000</f>
        <v>4.0953600000000003</v>
      </c>
      <c r="GG58" s="6">
        <f>日流量!GG58*24*3600/100000000</f>
        <v>4.1040000000000001</v>
      </c>
      <c r="GH58" s="6">
        <f>日流量!GH58*24*3600/100000000</f>
        <v>3.94848</v>
      </c>
      <c r="GI58" s="6">
        <f>日流量!GI58*24*3600/100000000</f>
        <v>3.85344</v>
      </c>
      <c r="GJ58" s="6">
        <f>日流量!GJ58*24*3600/100000000</f>
        <v>4.7519999999999998</v>
      </c>
      <c r="GK58" s="6">
        <f>日流量!GK58*24*3600/100000000</f>
        <v>6.4713599999999998</v>
      </c>
      <c r="GL58" s="6">
        <f>日流量!GL58*24*3600/100000000</f>
        <v>7.0415999999999999</v>
      </c>
      <c r="GM58" s="6">
        <f>日流量!GM58*24*3600/100000000</f>
        <v>7.2144000000000004</v>
      </c>
      <c r="GN58" s="6">
        <f>日流量!GN58*24*3600/100000000</f>
        <v>7.6204799999999997</v>
      </c>
      <c r="GO58" s="6">
        <f>日流量!GO58*24*3600/100000000</f>
        <v>8.8127999999999993</v>
      </c>
      <c r="GP58" s="6">
        <f>日流量!GP58*24*3600/100000000</f>
        <v>9.0719999999999992</v>
      </c>
      <c r="GQ58" s="6">
        <f>日流量!GQ58*24*3600/100000000</f>
        <v>8.4844799999999996</v>
      </c>
      <c r="GR58" s="6">
        <f>日流量!GR58*24*3600/100000000</f>
        <v>8.1993600000000004</v>
      </c>
      <c r="GS58" s="6">
        <f>日流量!GS58*24*3600/100000000</f>
        <v>8.3635199999999994</v>
      </c>
      <c r="GT58" s="6">
        <f>日流量!GT58*24*3600/100000000</f>
        <v>9.5039999999999996</v>
      </c>
      <c r="GU58" s="6">
        <f>日流量!GU58*24*3600/100000000</f>
        <v>9.9359999999999999</v>
      </c>
      <c r="GV58" s="6">
        <f>日流量!GV58*24*3600/100000000</f>
        <v>8.8992000000000004</v>
      </c>
      <c r="GW58" s="6">
        <f>日流量!GW58*24*3600/100000000</f>
        <v>8.0697600000000005</v>
      </c>
      <c r="GX58" s="6">
        <f>日流量!GX58*24*3600/100000000</f>
        <v>7.3699199999999996</v>
      </c>
      <c r="GY58" s="6">
        <f>日流量!GY58*24*3600/100000000</f>
        <v>7.8192000000000004</v>
      </c>
      <c r="GZ58" s="6">
        <f>日流量!GZ58*24*3600/100000000</f>
        <v>8.5795200000000005</v>
      </c>
      <c r="HA58" s="6">
        <f>日流量!HA58*24*3600/100000000</f>
        <v>8.8992000000000004</v>
      </c>
      <c r="HB58" s="6">
        <f>日流量!HB58*24*3600/100000000</f>
        <v>9.2447999999999997</v>
      </c>
      <c r="HC58" s="6">
        <f>日流量!HC58*24*3600/100000000</f>
        <v>9.0719999999999992</v>
      </c>
      <c r="HD58" s="6">
        <f>日流量!HD58*24*3600/100000000</f>
        <v>8.5449599999999997</v>
      </c>
      <c r="HE58" s="6">
        <f>日流量!HE58*24*3600/100000000</f>
        <v>7.9142400000000004</v>
      </c>
      <c r="HF58" s="6">
        <f>日流量!HF58*24*3600/100000000</f>
        <v>7.7328000000000001</v>
      </c>
      <c r="HG58" s="6">
        <f>日流量!HG58*24*3600/100000000</f>
        <v>7.4649599999999996</v>
      </c>
      <c r="HH58" s="6">
        <f>日流量!HH58*24*3600/100000000</f>
        <v>7.29216</v>
      </c>
      <c r="HI58" s="6">
        <f>日流量!HI58*24*3600/100000000</f>
        <v>7.3180800000000001</v>
      </c>
      <c r="HJ58" s="6">
        <f>日流量!HJ58*24*3600/100000000</f>
        <v>7.7328000000000001</v>
      </c>
      <c r="HK58" s="6">
        <f>日流量!HK58*24*3600/100000000</f>
        <v>8.08704</v>
      </c>
      <c r="HL58" s="6">
        <f>日流量!HL58*24*3600/100000000</f>
        <v>8.1820799999999991</v>
      </c>
      <c r="HM58" s="6">
        <f>日流量!HM58*24*3600/100000000</f>
        <v>8.8992000000000004</v>
      </c>
      <c r="HN58" s="6">
        <f>日流量!HN58*24*3600/100000000</f>
        <v>9.9359999999999999</v>
      </c>
      <c r="HO58" s="6">
        <f>日流量!HO58*24*3600/100000000</f>
        <v>10.8864</v>
      </c>
      <c r="HP58" s="6">
        <f>日流量!HP58*24*3600/100000000</f>
        <v>13.1328</v>
      </c>
      <c r="HQ58" s="6">
        <f>日流量!HQ58*24*3600/100000000</f>
        <v>15.2064</v>
      </c>
      <c r="HR58" s="6">
        <f>日流量!HR58*24*3600/100000000</f>
        <v>16.416</v>
      </c>
      <c r="HS58" s="6">
        <f>日流量!HS58*24*3600/100000000</f>
        <v>15.638400000000001</v>
      </c>
      <c r="HT58" s="6">
        <f>日流量!HT58*24*3600/100000000</f>
        <v>15.4656</v>
      </c>
      <c r="HU58" s="6">
        <f>日流量!HU58*24*3600/100000000</f>
        <v>14.428800000000001</v>
      </c>
      <c r="HV58" s="6">
        <f>日流量!HV58*24*3600/100000000</f>
        <v>13.3056</v>
      </c>
      <c r="HW58" s="6">
        <f>日流量!HW58*24*3600/100000000</f>
        <v>12.182399999999999</v>
      </c>
      <c r="HX58" s="6">
        <f>日流量!HX58*24*3600/100000000</f>
        <v>11.1456</v>
      </c>
      <c r="HY58" s="6">
        <f>日流量!HY58*24*3600/100000000</f>
        <v>10.1088</v>
      </c>
      <c r="HZ58" s="6">
        <f>日流量!HZ58*24*3600/100000000</f>
        <v>8.7263999999999999</v>
      </c>
      <c r="IA58" s="6">
        <f>日流量!IA58*24*3600/100000000</f>
        <v>9.5904000000000007</v>
      </c>
      <c r="IB58" s="6">
        <f>日流量!IB58*24*3600/100000000</f>
        <v>9.3312000000000008</v>
      </c>
      <c r="IC58" s="6">
        <f>日流量!IC58*24*3600/100000000</f>
        <v>9.1584000000000003</v>
      </c>
      <c r="ID58" s="6">
        <f>日流量!ID58*24*3600/100000000</f>
        <v>10.368</v>
      </c>
      <c r="IE58" s="6">
        <f>日流量!IE58*24*3600/100000000</f>
        <v>11.8368</v>
      </c>
      <c r="IF58" s="6">
        <f>日流量!IF58*24*3600/100000000</f>
        <v>12.268800000000001</v>
      </c>
      <c r="IG58" s="6">
        <f>日流量!IG58*24*3600/100000000</f>
        <v>12.441599999999999</v>
      </c>
      <c r="IH58" s="6">
        <f>日流量!IH58*24*3600/100000000</f>
        <v>12.528</v>
      </c>
      <c r="II58" s="6">
        <f>日流量!II58*24*3600/100000000</f>
        <v>12.6144</v>
      </c>
      <c r="IJ58" s="6">
        <f>日流量!IJ58*24*3600/100000000</f>
        <v>13.3056</v>
      </c>
      <c r="IK58" s="6">
        <f>日流量!IK58*24*3600/100000000</f>
        <v>13.5648</v>
      </c>
      <c r="IL58" s="6">
        <f>日流量!IL58*24*3600/100000000</f>
        <v>13.1328</v>
      </c>
      <c r="IM58" s="6">
        <f>日流量!IM58*24*3600/100000000</f>
        <v>11.750400000000001</v>
      </c>
      <c r="IN58" s="6">
        <f>日流量!IN58*24*3600/100000000</f>
        <v>10.281599999999999</v>
      </c>
      <c r="IO58" s="6">
        <f>日流量!IO58*24*3600/100000000</f>
        <v>9.6768000000000001</v>
      </c>
      <c r="IP58" s="6">
        <f>日流量!IP58*24*3600/100000000</f>
        <v>9.9359999999999999</v>
      </c>
      <c r="IQ58" s="6">
        <f>日流量!IQ58*24*3600/100000000</f>
        <v>10.4544</v>
      </c>
      <c r="IR58" s="6">
        <f>日流量!IR58*24*3600/100000000</f>
        <v>10.7136</v>
      </c>
      <c r="IS58" s="6">
        <f>日流量!IS58*24*3600/100000000</f>
        <v>11.8368</v>
      </c>
      <c r="IT58" s="6">
        <f>日流量!IT58*24*3600/100000000</f>
        <v>11.664</v>
      </c>
      <c r="IU58" s="6">
        <f>日流量!IU58*24*3600/100000000</f>
        <v>10.4544</v>
      </c>
      <c r="IV58" s="6">
        <f>日流量!IV58*24*3600/100000000</f>
        <v>10.1088</v>
      </c>
      <c r="IW58" s="6">
        <f>日流量!IW58*24*3600/100000000</f>
        <v>9.6768000000000001</v>
      </c>
      <c r="IX58" s="6">
        <f>日流量!IX58*24*3600/100000000</f>
        <v>8.8992000000000004</v>
      </c>
      <c r="IY58" s="6">
        <f>日流量!IY58*24*3600/100000000</f>
        <v>8.1561599999999999</v>
      </c>
      <c r="IZ58" s="6">
        <f>日流量!IZ58*24*3600/100000000</f>
        <v>7.4303999999999997</v>
      </c>
      <c r="JA58" s="6">
        <f>日流量!JA58*24*3600/100000000</f>
        <v>6.1344000000000003</v>
      </c>
      <c r="JB58" s="6">
        <f>日流量!JB58*24*3600/100000000</f>
        <v>6.2985600000000002</v>
      </c>
      <c r="JC58" s="6">
        <f>日流量!JC58*24*3600/100000000</f>
        <v>7.0588800000000003</v>
      </c>
      <c r="JD58" s="6">
        <f>日流量!JD58*24*3600/100000000</f>
        <v>6.87744</v>
      </c>
      <c r="JE58" s="6">
        <f>日流量!JE58*24*3600/100000000</f>
        <v>6.2553599999999996</v>
      </c>
      <c r="JF58" s="6">
        <f>日流量!JF58*24*3600/100000000</f>
        <v>5.7715199999999998</v>
      </c>
      <c r="JG58" s="6">
        <f>日流量!JG58*24*3600/100000000</f>
        <v>5.8492800000000003</v>
      </c>
      <c r="JH58" s="6">
        <f>日流量!JH58*24*3600/100000000</f>
        <v>6.59232</v>
      </c>
      <c r="JI58" s="6">
        <f>日流量!JI58*24*3600/100000000</f>
        <v>6.7910399999999997</v>
      </c>
      <c r="JJ58" s="6">
        <f>日流量!JJ58*24*3600/100000000</f>
        <v>7.8624000000000001</v>
      </c>
      <c r="JK58" s="6">
        <f>日流量!JK58*24*3600/100000000</f>
        <v>7.9660799999999998</v>
      </c>
      <c r="JL58" s="6">
        <f>日流量!JL58*24*3600/100000000</f>
        <v>7.9574400000000001</v>
      </c>
      <c r="JM58" s="6">
        <f>日流量!JM58*24*3600/100000000</f>
        <v>7.7932800000000002</v>
      </c>
      <c r="JN58" s="6">
        <f>日流量!JN58*24*3600/100000000</f>
        <v>7.5254399999999997</v>
      </c>
      <c r="JO58" s="6">
        <f>日流量!JO58*24*3600/100000000</f>
        <v>7.0934400000000002</v>
      </c>
      <c r="JP58" s="6">
        <f>日流量!JP58*24*3600/100000000</f>
        <v>6.7737600000000002</v>
      </c>
      <c r="JQ58" s="6">
        <f>日流量!JQ58*24*3600/100000000</f>
        <v>6.5750400000000004</v>
      </c>
      <c r="JR58" s="6">
        <f>日流量!JR58*24*3600/100000000</f>
        <v>6.68736</v>
      </c>
      <c r="JS58" s="6">
        <f>日流量!JS58*24*3600/100000000</f>
        <v>6.9811199999999998</v>
      </c>
      <c r="JT58" s="6">
        <f>日流量!JT58*24*3600/100000000</f>
        <v>7.6982400000000002</v>
      </c>
      <c r="JU58" s="6">
        <f>日流量!JU58*24*3600/100000000</f>
        <v>7.8364799999999999</v>
      </c>
      <c r="JV58" s="6">
        <f>日流量!JV58*24*3600/100000000</f>
        <v>7.5686400000000003</v>
      </c>
      <c r="JW58" s="6">
        <f>日流量!JW58*24*3600/100000000</f>
        <v>7.6636800000000003</v>
      </c>
      <c r="JX58" s="6">
        <f>日流量!JX58*24*3600/100000000</f>
        <v>7.3872</v>
      </c>
      <c r="JY58" s="6">
        <f>日流量!JY58*24*3600/100000000</f>
        <v>7.0588800000000003</v>
      </c>
      <c r="JZ58" s="6">
        <f>日流量!JZ58*24*3600/100000000</f>
        <v>6.6009599999999997</v>
      </c>
      <c r="KA58" s="6">
        <f>日流量!KA58*24*3600/100000000</f>
        <v>6.0739200000000002</v>
      </c>
      <c r="KB58" s="6">
        <f>日流量!KB58*24*3600/100000000</f>
        <v>6.0393600000000003</v>
      </c>
      <c r="KC58" s="6">
        <f>日流量!KC58*24*3600/100000000</f>
        <v>6.0307199999999996</v>
      </c>
      <c r="KD58" s="6">
        <f>日流量!KD58*24*3600/100000000</f>
        <v>5.6246400000000003</v>
      </c>
      <c r="KE58" s="6">
        <f>日流量!KE58*24*3600/100000000</f>
        <v>5.2099200000000003</v>
      </c>
      <c r="KF58" s="6">
        <f>日流量!KF58*24*3600/100000000</f>
        <v>5.0284800000000001</v>
      </c>
      <c r="KG58" s="6">
        <f>日流量!KG58*24*3600/100000000</f>
        <v>4.968</v>
      </c>
      <c r="KH58" s="6">
        <f>日流量!KH58*24*3600/100000000</f>
        <v>4.8988800000000001</v>
      </c>
      <c r="KI58" s="6">
        <f>日流量!KI58*24*3600/100000000</f>
        <v>4.7779199999999999</v>
      </c>
      <c r="KJ58" s="6">
        <f>日流量!KJ58*24*3600/100000000</f>
        <v>4.55328</v>
      </c>
      <c r="KK58" s="6">
        <f>日流量!KK58*24*3600/100000000</f>
        <v>4.5273599999999998</v>
      </c>
      <c r="KL58" s="6">
        <f>日流量!KL58*24*3600/100000000</f>
        <v>4.5359999999999996</v>
      </c>
      <c r="KM58" s="6">
        <f>日流量!KM58*24*3600/100000000</f>
        <v>4.5878399999999999</v>
      </c>
      <c r="KN58" s="6">
        <f>日流量!KN58*24*3600/100000000</f>
        <v>4.9852800000000004</v>
      </c>
      <c r="KO58" s="6">
        <f>日流量!KO58*24*3600/100000000</f>
        <v>4.9766399999999997</v>
      </c>
      <c r="KP58" s="6">
        <f>日流量!KP58*24*3600/100000000</f>
        <v>4.7779199999999999</v>
      </c>
      <c r="KQ58" s="6">
        <f>日流量!KQ58*24*3600/100000000</f>
        <v>4.55328</v>
      </c>
      <c r="KR58" s="6">
        <f>日流量!KR58*24*3600/100000000</f>
        <v>4.2940800000000001</v>
      </c>
      <c r="KS58" s="6">
        <f>日流量!KS58*24*3600/100000000</f>
        <v>4.0608000000000004</v>
      </c>
      <c r="KT58" s="6">
        <f>日流量!KT58*24*3600/100000000</f>
        <v>4.04352</v>
      </c>
      <c r="KU58" s="6">
        <f>日流量!KU58*24*3600/100000000</f>
        <v>3.85344</v>
      </c>
      <c r="KV58" s="6">
        <f>日流量!KV58*24*3600/100000000</f>
        <v>3.8879999999999999</v>
      </c>
      <c r="KW58" s="6">
        <f>日流量!KW58*24*3600/100000000</f>
        <v>3.7929599999999999</v>
      </c>
      <c r="KX58" s="6">
        <f>日流量!KX58*24*3600/100000000</f>
        <v>3.6633599999999999</v>
      </c>
      <c r="KY58" s="6">
        <f>日流量!KY58*24*3600/100000000</f>
        <v>3.6633599999999999</v>
      </c>
      <c r="KZ58" s="6">
        <f>日流量!KZ58*24*3600/100000000</f>
        <v>3.4646400000000002</v>
      </c>
      <c r="LA58" s="6">
        <f>日流量!LA58*24*3600/100000000</f>
        <v>3.3955199999999999</v>
      </c>
      <c r="LB58" s="6">
        <f>日流量!LB58*24*3600/100000000</f>
        <v>3.24</v>
      </c>
      <c r="LC58" s="6">
        <f>日流量!LC58*24*3600/100000000</f>
        <v>3.1276799999999998</v>
      </c>
      <c r="LD58" s="6">
        <f>日流量!LD58*24*3600/100000000</f>
        <v>3.1017600000000001</v>
      </c>
      <c r="LE58" s="6">
        <f>日流量!LE58*24*3600/100000000</f>
        <v>3.0499200000000002</v>
      </c>
      <c r="LF58" s="6">
        <f>日流量!LF58*24*3600/100000000</f>
        <v>2.9376000000000002</v>
      </c>
      <c r="LG58" s="6">
        <f>日流量!LG58*24*3600/100000000</f>
        <v>2.9980799999999999</v>
      </c>
      <c r="LH58" s="6">
        <f>日流量!LH58*24*3600/100000000</f>
        <v>2.9376000000000002</v>
      </c>
      <c r="LI58" s="6">
        <f>日流量!LI58*24*3600/100000000</f>
        <v>2.8079999999999998</v>
      </c>
      <c r="LJ58" s="6">
        <f>日流量!LJ58*24*3600/100000000</f>
        <v>2.8079999999999998</v>
      </c>
      <c r="LK58" s="6">
        <f>日流量!LK58*24*3600/100000000</f>
        <v>2.8857599999999999</v>
      </c>
      <c r="LL58" s="6">
        <f>日流量!LL58*24*3600/100000000</f>
        <v>2.7820800000000001</v>
      </c>
      <c r="LM58" s="6">
        <f>日流量!LM58*24*3600/100000000</f>
        <v>2.60928</v>
      </c>
      <c r="LN58" s="6">
        <f>日流量!LN58*24*3600/100000000</f>
        <v>2.53152</v>
      </c>
      <c r="LO58" s="6">
        <f>日流量!LO58*24*3600/100000000</f>
        <v>2.5574400000000002</v>
      </c>
      <c r="LP58" s="6">
        <f>日流量!LP58*24*3600/100000000</f>
        <v>2.3587199999999999</v>
      </c>
      <c r="LQ58" s="6">
        <f>日流量!LQ58*24*3600/100000000</f>
        <v>2.3846400000000001</v>
      </c>
      <c r="LR58" s="6">
        <f>日流量!LR58*24*3600/100000000</f>
        <v>2.5228799999999998</v>
      </c>
      <c r="LS58" s="6">
        <f>日流量!LS58*24*3600/100000000</f>
        <v>2.1772800000000001</v>
      </c>
      <c r="LT58" s="6">
        <f>日流量!LT58*24*3600/100000000</f>
        <v>2.03904</v>
      </c>
      <c r="LU58" s="6">
        <f>日流量!LU58*24*3600/100000000</f>
        <v>2.1513599999999999</v>
      </c>
      <c r="LV58" s="6">
        <f>日流量!LV58*24*3600/100000000</f>
        <v>2.2031999999999998</v>
      </c>
      <c r="LW58" s="6">
        <f>日流量!LW58*24*3600/100000000</f>
        <v>2.32416</v>
      </c>
      <c r="LX58" s="6">
        <f>日流量!LX58*24*3600/100000000</f>
        <v>2.2464</v>
      </c>
      <c r="LY58" s="6">
        <f>日流量!LY58*24*3600/100000000</f>
        <v>2.0908799999999998</v>
      </c>
      <c r="LZ58" s="6">
        <f>日流量!LZ58*24*3600/100000000</f>
        <v>2.00448</v>
      </c>
      <c r="MA58" s="6">
        <f>日流量!MA58*24*3600/100000000</f>
        <v>2.0131199999999998</v>
      </c>
      <c r="MB58" s="6">
        <f>日流量!MB58*24*3600/100000000</f>
        <v>1.9872000000000001</v>
      </c>
      <c r="MC58" s="6">
        <f>日流量!MC58*24*3600/100000000</f>
        <v>1.9526399999999999</v>
      </c>
      <c r="MD58" s="6">
        <f>日流量!MD58*24*3600/100000000</f>
        <v>1.8144</v>
      </c>
      <c r="ME58" s="6">
        <f>日流量!ME58*24*3600/100000000</f>
        <v>1.8489599999999999</v>
      </c>
      <c r="MF58" s="6">
        <f>日流量!MF58*24*3600/100000000</f>
        <v>1.92672</v>
      </c>
      <c r="MG58" s="6">
        <f>日流量!MG58*24*3600/100000000</f>
        <v>1.90944</v>
      </c>
      <c r="MH58" s="6">
        <f>日流量!MH58*24*3600/100000000</f>
        <v>1.83168</v>
      </c>
      <c r="MI58" s="6">
        <f>日流量!MI58*24*3600/100000000</f>
        <v>1.9699199999999999</v>
      </c>
      <c r="MJ58" s="6">
        <f>日流量!MJ58*24*3600/100000000</f>
        <v>1.8921600000000001</v>
      </c>
      <c r="MK58" s="6">
        <f>日流量!MK58*24*3600/100000000</f>
        <v>1.8748800000000001</v>
      </c>
      <c r="ML58" s="6">
        <f>日流量!ML58*24*3600/100000000</f>
        <v>1.80576</v>
      </c>
      <c r="MM58" s="6">
        <f>日流量!MM58*24*3600/100000000</f>
        <v>1.7971200000000001</v>
      </c>
      <c r="MN58" s="6">
        <f>日流量!MN58*24*3600/100000000</f>
        <v>1.73664</v>
      </c>
      <c r="MO58" s="6">
        <f>日流量!MO58*24*3600/100000000</f>
        <v>1.5984</v>
      </c>
      <c r="MP58" s="6">
        <f>日流量!MP58*24*3600/100000000</f>
        <v>1.5465599999999999</v>
      </c>
      <c r="MQ58" s="6">
        <f>日流量!MQ58*24*3600/100000000</f>
        <v>1.52064</v>
      </c>
      <c r="MR58" s="6">
        <f>日流量!MR58*24*3600/100000000</f>
        <v>1.52064</v>
      </c>
      <c r="MS58" s="6">
        <f>日流量!MS58*24*3600/100000000</f>
        <v>1.5724800000000001</v>
      </c>
      <c r="MT58" s="6">
        <f>日流量!MT58*24*3600/100000000</f>
        <v>1.5551999999999999</v>
      </c>
      <c r="MU58" s="6">
        <f>日流量!MU58*24*3600/100000000</f>
        <v>1.61568</v>
      </c>
      <c r="MV58" s="6">
        <f>日流量!MV58*24*3600/100000000</f>
        <v>1.62432</v>
      </c>
      <c r="MW58" s="6">
        <f>日流量!MW58*24*3600/100000000</f>
        <v>1.4860800000000001</v>
      </c>
      <c r="MX58" s="6">
        <f>日流量!MX58*24*3600/100000000</f>
        <v>1.3910400000000001</v>
      </c>
      <c r="MY58" s="6">
        <f>日流量!MY58*24*3600/100000000</f>
        <v>1.3478399999999999</v>
      </c>
      <c r="MZ58" s="6">
        <f>日流量!MZ58*24*3600/100000000</f>
        <v>1.52064</v>
      </c>
      <c r="NA58" s="6">
        <f>日流量!NA58*24*3600/100000000</f>
        <v>1.52928</v>
      </c>
      <c r="NB58" s="6">
        <f>日流量!NB58*24*3600/100000000</f>
        <v>1.4774400000000001</v>
      </c>
      <c r="NC58" s="6"/>
      <c r="ND58" s="6">
        <f>日流量!ND58*24*3600*31/100000000</f>
        <v>48.746879999999997</v>
      </c>
      <c r="NE58" s="6">
        <f>日流量!NE58*24*3600*28/100000000</f>
        <v>40.400640000000003</v>
      </c>
      <c r="NF58" s="6">
        <f>日流量!NF58*24*3600*31/100000000</f>
        <v>45.532800000000002</v>
      </c>
      <c r="NG58" s="6">
        <f>日流量!NG58*24*3600*30/100000000</f>
        <v>41.212800000000001</v>
      </c>
      <c r="NH58" s="6">
        <f>日流量!NH58*24*3600*31/100000000</f>
        <v>68.567040000000006</v>
      </c>
      <c r="NI58" s="6">
        <f>日流量!NI58*24*3600*30/100000000</f>
        <v>103.4208</v>
      </c>
      <c r="NJ58" s="6">
        <f>日流量!NJ58*24*3600*31/100000000</f>
        <v>222.84288000000001</v>
      </c>
      <c r="NK58" s="6">
        <f>日流量!NK58*24*3600*31/100000000</f>
        <v>348.19200000000001</v>
      </c>
      <c r="NL58" s="6">
        <f>日流量!NL58*24*3600*30/100000000</f>
        <v>257.904</v>
      </c>
      <c r="NM58" s="6">
        <f>日流量!NM58*24*3600*31/100000000</f>
        <v>177.31008</v>
      </c>
      <c r="NN58" s="6">
        <f>日流量!NN58*24*3600*30/100000000</f>
        <v>86.572800000000001</v>
      </c>
      <c r="NO58" s="6">
        <f>日流量!NO58*24*3600*31/100000000</f>
        <v>53.300159999999998</v>
      </c>
      <c r="NP58" s="14">
        <f t="shared" si="10"/>
        <v>1494.00288</v>
      </c>
      <c r="NQ58" s="6">
        <f>日流量!NQ58*24*3600/100000000</f>
        <v>16.416</v>
      </c>
      <c r="NR58" s="4">
        <f>日流量!NR58</f>
        <v>42594</v>
      </c>
      <c r="NS58" s="6">
        <f>日流量!NS58*24*3600/100000000</f>
        <v>1.1836800000000001</v>
      </c>
      <c r="NT58" s="4">
        <f>日流量!NT58</f>
        <v>42480</v>
      </c>
      <c r="NU58" s="7">
        <f>日流量!NP58</f>
        <v>4739.1232876712329</v>
      </c>
      <c r="NW58" s="13">
        <f t="shared" si="0"/>
        <v>1178.2368000000001</v>
      </c>
      <c r="NX58" s="12">
        <f t="shared" si="1"/>
        <v>78.864426285443315</v>
      </c>
      <c r="NY58" s="13">
        <f t="shared" si="2"/>
        <v>932.35968000000003</v>
      </c>
      <c r="NZ58" s="12">
        <f t="shared" si="3"/>
        <v>62.406819456733572</v>
      </c>
      <c r="OA58" s="13">
        <f t="shared" si="4"/>
        <v>315.76607999999987</v>
      </c>
      <c r="OB58" s="12">
        <f t="shared" si="5"/>
        <v>21.135573714556685</v>
      </c>
      <c r="OC58" s="13">
        <f t="shared" si="6"/>
        <v>348.19200000000001</v>
      </c>
      <c r="OD58" s="12">
        <f t="shared" si="7"/>
        <v>23.305979169196782</v>
      </c>
      <c r="OE58" s="12">
        <f t="shared" si="8"/>
        <v>349.06609345794391</v>
      </c>
      <c r="OF58" s="12">
        <f t="shared" si="9"/>
        <v>11.06881321213673</v>
      </c>
    </row>
    <row r="59" spans="1:396" x14ac:dyDescent="0.15">
      <c r="A59" s="2">
        <v>2006</v>
      </c>
      <c r="B59" s="6">
        <f>日流量!B59*24*3600/100000000</f>
        <v>1.4256</v>
      </c>
      <c r="C59" s="6">
        <f>日流量!C59*24*3600/100000000</f>
        <v>1.4860800000000001</v>
      </c>
      <c r="D59" s="6">
        <f>日流量!D59*24*3600/100000000</f>
        <v>1.5811200000000001</v>
      </c>
      <c r="E59" s="6">
        <f>日流量!E59*24*3600/100000000</f>
        <v>1.62432</v>
      </c>
      <c r="F59" s="6">
        <f>日流量!F59*24*3600/100000000</f>
        <v>1.6588799999999999</v>
      </c>
      <c r="G59" s="6">
        <f>日流量!G59*24*3600/100000000</f>
        <v>1.6502399999999999</v>
      </c>
      <c r="H59" s="6">
        <f>日流量!H59*24*3600/100000000</f>
        <v>1.6415999999999999</v>
      </c>
      <c r="I59" s="6">
        <f>日流量!I59*24*3600/100000000</f>
        <v>1.6415999999999999</v>
      </c>
      <c r="J59" s="6">
        <f>日流量!J59*24*3600/100000000</f>
        <v>1.5897600000000001</v>
      </c>
      <c r="K59" s="6">
        <f>日流量!K59*24*3600/100000000</f>
        <v>1.62432</v>
      </c>
      <c r="L59" s="6">
        <f>日流量!L59*24*3600/100000000</f>
        <v>1.70208</v>
      </c>
      <c r="M59" s="6">
        <f>日流量!M59*24*3600/100000000</f>
        <v>1.71072</v>
      </c>
      <c r="N59" s="6">
        <f>日流量!N59*24*3600/100000000</f>
        <v>1.6934400000000001</v>
      </c>
      <c r="O59" s="6">
        <f>日流量!O59*24*3600/100000000</f>
        <v>1.6588799999999999</v>
      </c>
      <c r="P59" s="6">
        <f>日流量!P59*24*3600/100000000</f>
        <v>1.62432</v>
      </c>
      <c r="Q59" s="6">
        <f>日流量!Q59*24*3600/100000000</f>
        <v>1.5897600000000001</v>
      </c>
      <c r="R59" s="6">
        <f>日流量!R59*24*3600/100000000</f>
        <v>1.5897600000000001</v>
      </c>
      <c r="S59" s="6">
        <f>日流量!S59*24*3600/100000000</f>
        <v>1.63296</v>
      </c>
      <c r="T59" s="6">
        <f>日流量!T59*24*3600/100000000</f>
        <v>1.6675199999999999</v>
      </c>
      <c r="U59" s="6">
        <f>日流量!U59*24*3600/100000000</f>
        <v>1.7625599999999999</v>
      </c>
      <c r="V59" s="6">
        <f>日流量!V59*24*3600/100000000</f>
        <v>1.83168</v>
      </c>
      <c r="W59" s="6">
        <f>日流量!W59*24*3600/100000000</f>
        <v>1.80576</v>
      </c>
      <c r="X59" s="6">
        <f>日流量!X59*24*3600/100000000</f>
        <v>1.7798400000000001</v>
      </c>
      <c r="Y59" s="6">
        <f>日流量!Y59*24*3600/100000000</f>
        <v>1.82304</v>
      </c>
      <c r="Z59" s="6">
        <f>日流量!Z59*24*3600/100000000</f>
        <v>1.8835200000000001</v>
      </c>
      <c r="AA59" s="6">
        <f>日流量!AA59*24*3600/100000000</f>
        <v>1.7712000000000001</v>
      </c>
      <c r="AB59" s="6">
        <f>日流量!AB59*24*3600/100000000</f>
        <v>1.71936</v>
      </c>
      <c r="AC59" s="6">
        <f>日流量!AC59*24*3600/100000000</f>
        <v>1.7884800000000001</v>
      </c>
      <c r="AD59" s="6">
        <f>日流量!AD59*24*3600/100000000</f>
        <v>1.62432</v>
      </c>
      <c r="AE59" s="6">
        <f>日流量!AE59*24*3600/100000000</f>
        <v>1.5465599999999999</v>
      </c>
      <c r="AF59" s="6">
        <f>日流量!AF59*24*3600/100000000</f>
        <v>1.4774400000000001</v>
      </c>
      <c r="AG59" s="6">
        <f>日流量!AG59*24*3600/100000000</f>
        <v>1.53792</v>
      </c>
      <c r="AH59" s="6">
        <f>日流量!AH59*24*3600/100000000</f>
        <v>1.63296</v>
      </c>
      <c r="AI59" s="6">
        <f>日流量!AI59*24*3600/100000000</f>
        <v>1.7452799999999999</v>
      </c>
      <c r="AJ59" s="6">
        <f>日流量!AJ59*24*3600/100000000</f>
        <v>1.71072</v>
      </c>
      <c r="AK59" s="6">
        <f>日流量!AK59*24*3600/100000000</f>
        <v>1.5811200000000001</v>
      </c>
      <c r="AL59" s="6">
        <f>日流量!AL59*24*3600/100000000</f>
        <v>1.5811200000000001</v>
      </c>
      <c r="AM59" s="6">
        <f>日流量!AM59*24*3600/100000000</f>
        <v>1.6502399999999999</v>
      </c>
      <c r="AN59" s="6">
        <f>日流量!AN59*24*3600/100000000</f>
        <v>1.7971200000000001</v>
      </c>
      <c r="AO59" s="6">
        <f>日流量!AO59*24*3600/100000000</f>
        <v>1.5984</v>
      </c>
      <c r="AP59" s="6">
        <f>日流量!AP59*24*3600/100000000</f>
        <v>1.5724800000000001</v>
      </c>
      <c r="AQ59" s="6">
        <f>日流量!AQ59*24*3600/100000000</f>
        <v>1.5638399999999999</v>
      </c>
      <c r="AR59" s="6">
        <f>日流量!AR59*24*3600/100000000</f>
        <v>1.52064</v>
      </c>
      <c r="AS59" s="6">
        <f>日流量!AS59*24*3600/100000000</f>
        <v>1.3651199999999999</v>
      </c>
      <c r="AT59" s="6">
        <f>日流量!AT59*24*3600/100000000</f>
        <v>1.2527999999999999</v>
      </c>
      <c r="AU59" s="6">
        <f>日流量!AU59*24*3600/100000000</f>
        <v>1.30464</v>
      </c>
      <c r="AV59" s="6">
        <f>日流量!AV59*24*3600/100000000</f>
        <v>1.3651199999999999</v>
      </c>
      <c r="AW59" s="6">
        <f>日流量!AW59*24*3600/100000000</f>
        <v>1.3651199999999999</v>
      </c>
      <c r="AX59" s="6">
        <f>日流量!AX59*24*3600/100000000</f>
        <v>1.3564799999999999</v>
      </c>
      <c r="AY59" s="6">
        <f>日流量!AY59*24*3600/100000000</f>
        <v>1.512</v>
      </c>
      <c r="AZ59" s="6">
        <f>日流量!AZ59*24*3600/100000000</f>
        <v>1.49472</v>
      </c>
      <c r="BA59" s="6">
        <f>日流量!BA59*24*3600/100000000</f>
        <v>1.4860800000000001</v>
      </c>
      <c r="BB59" s="6">
        <f>日流量!BB59*24*3600/100000000</f>
        <v>1.4256</v>
      </c>
      <c r="BC59" s="6">
        <f>日流量!BC59*24*3600/100000000</f>
        <v>1.3478399999999999</v>
      </c>
      <c r="BD59" s="6">
        <f>日流量!BD59*24*3600/100000000</f>
        <v>1.4256</v>
      </c>
      <c r="BE59" s="6">
        <f>日流量!BE59*24*3600/100000000</f>
        <v>1.3910400000000001</v>
      </c>
      <c r="BF59" s="6">
        <f>日流量!BF59*24*3600/100000000</f>
        <v>1.4601599999999999</v>
      </c>
      <c r="BG59" s="6">
        <f>日流量!BG59*24*3600/100000000</f>
        <v>1.4688000000000001</v>
      </c>
      <c r="BH59" s="6">
        <f>日流量!BH59*24*3600/100000000</f>
        <v>1.4860800000000001</v>
      </c>
      <c r="BI59" s="6"/>
      <c r="BJ59" s="6">
        <f>日流量!BJ59*24*3600/100000000</f>
        <v>1.3737600000000001</v>
      </c>
      <c r="BK59" s="6">
        <f>日流量!BK59*24*3600/100000000</f>
        <v>1.32192</v>
      </c>
      <c r="BL59" s="6">
        <f>日流量!BL59*24*3600/100000000</f>
        <v>1.3478399999999999</v>
      </c>
      <c r="BM59" s="6">
        <f>日流量!BM59*24*3600/100000000</f>
        <v>1.40832</v>
      </c>
      <c r="BN59" s="6">
        <f>日流量!BN59*24*3600/100000000</f>
        <v>1.4256</v>
      </c>
      <c r="BO59" s="6">
        <f>日流量!BO59*24*3600/100000000</f>
        <v>1.3824000000000001</v>
      </c>
      <c r="BP59" s="6">
        <f>日流量!BP59*24*3600/100000000</f>
        <v>1.3478399999999999</v>
      </c>
      <c r="BQ59" s="6">
        <f>日流量!BQ59*24*3600/100000000</f>
        <v>1.2700800000000001</v>
      </c>
      <c r="BR59" s="6">
        <f>日流量!BR59*24*3600/100000000</f>
        <v>1.4515199999999999</v>
      </c>
      <c r="BS59" s="6">
        <f>日流量!BS59*24*3600/100000000</f>
        <v>1.40832</v>
      </c>
      <c r="BT59" s="6">
        <f>日流量!BT59*24*3600/100000000</f>
        <v>1.4601599999999999</v>
      </c>
      <c r="BU59" s="6">
        <f>日流量!BU59*24*3600/100000000</f>
        <v>1.4860800000000001</v>
      </c>
      <c r="BV59" s="6">
        <f>日流量!BV59*24*3600/100000000</f>
        <v>1.4515199999999999</v>
      </c>
      <c r="BW59" s="6">
        <f>日流量!BW59*24*3600/100000000</f>
        <v>1.2441599999999999</v>
      </c>
      <c r="BX59" s="6">
        <f>日流量!BX59*24*3600/100000000</f>
        <v>1.41696</v>
      </c>
      <c r="BY59" s="6">
        <f>日流量!BY59*24*3600/100000000</f>
        <v>1.3824000000000001</v>
      </c>
      <c r="BZ59" s="6">
        <f>日流量!BZ59*24*3600/100000000</f>
        <v>1.40832</v>
      </c>
      <c r="CA59" s="6">
        <f>日流量!CA59*24*3600/100000000</f>
        <v>1.3737600000000001</v>
      </c>
      <c r="CB59" s="6">
        <f>日流量!CB59*24*3600/100000000</f>
        <v>1.3651199999999999</v>
      </c>
      <c r="CC59" s="6">
        <f>日流量!CC59*24*3600/100000000</f>
        <v>1.39968</v>
      </c>
      <c r="CD59" s="6">
        <f>日流量!CD59*24*3600/100000000</f>
        <v>1.3910400000000001</v>
      </c>
      <c r="CE59" s="6">
        <f>日流量!CE59*24*3600/100000000</f>
        <v>1.3564799999999999</v>
      </c>
      <c r="CF59" s="6">
        <f>日流量!CF59*24*3600/100000000</f>
        <v>1.3478399999999999</v>
      </c>
      <c r="CG59" s="6">
        <f>日流量!CG59*24*3600/100000000</f>
        <v>1.2787200000000001</v>
      </c>
      <c r="CH59" s="6">
        <f>日流量!CH59*24*3600/100000000</f>
        <v>1.23552</v>
      </c>
      <c r="CI59" s="6">
        <f>日流量!CI59*24*3600/100000000</f>
        <v>1.3391999999999999</v>
      </c>
      <c r="CJ59" s="6">
        <f>日流量!CJ59*24*3600/100000000</f>
        <v>1.19232</v>
      </c>
      <c r="CK59" s="6">
        <f>日流量!CK59*24*3600/100000000</f>
        <v>1.19232</v>
      </c>
      <c r="CL59" s="6">
        <f>日流量!CL59*24*3600/100000000</f>
        <v>1.1750400000000001</v>
      </c>
      <c r="CM59" s="6">
        <f>日流量!CM59*24*3600/100000000</f>
        <v>1.2096</v>
      </c>
      <c r="CN59" s="6">
        <f>日流量!CN59*24*3600/100000000</f>
        <v>1.2787200000000001</v>
      </c>
      <c r="CO59" s="6">
        <f>日流量!CO59*24*3600/100000000</f>
        <v>1.3910400000000001</v>
      </c>
      <c r="CP59" s="6">
        <f>日流量!CP59*24*3600/100000000</f>
        <v>1.3824000000000001</v>
      </c>
      <c r="CQ59" s="6">
        <f>日流量!CQ59*24*3600/100000000</f>
        <v>1.30464</v>
      </c>
      <c r="CR59" s="6">
        <f>日流量!CR59*24*3600/100000000</f>
        <v>1.3391999999999999</v>
      </c>
      <c r="CS59" s="6">
        <f>日流量!CS59*24*3600/100000000</f>
        <v>1.2700800000000001</v>
      </c>
      <c r="CT59" s="6">
        <f>日流量!CT59*24*3600/100000000</f>
        <v>1.2096</v>
      </c>
      <c r="CU59" s="6">
        <f>日流量!CU59*24*3600/100000000</f>
        <v>1.3910400000000001</v>
      </c>
      <c r="CV59" s="6">
        <f>日流量!CV59*24*3600/100000000</f>
        <v>1.512</v>
      </c>
      <c r="CW59" s="6">
        <f>日流量!CW59*24*3600/100000000</f>
        <v>1.49472</v>
      </c>
      <c r="CX59" s="6">
        <f>日流量!CX59*24*3600/100000000</f>
        <v>1.3651199999999999</v>
      </c>
      <c r="CY59" s="6">
        <f>日流量!CY59*24*3600/100000000</f>
        <v>1.32192</v>
      </c>
      <c r="CZ59" s="6">
        <f>日流量!CZ59*24*3600/100000000</f>
        <v>1.41696</v>
      </c>
      <c r="DA59" s="6">
        <f>日流量!DA59*24*3600/100000000</f>
        <v>1.3564799999999999</v>
      </c>
      <c r="DB59" s="6">
        <f>日流量!DB59*24*3600/100000000</f>
        <v>1.33056</v>
      </c>
      <c r="DC59" s="6">
        <f>日流量!DC59*24*3600/100000000</f>
        <v>1.2614399999999999</v>
      </c>
      <c r="DD59" s="6">
        <f>日流量!DD59*24*3600/100000000</f>
        <v>1.20096</v>
      </c>
      <c r="DE59" s="6">
        <f>日流量!DE59*24*3600/100000000</f>
        <v>1.21824</v>
      </c>
      <c r="DF59" s="6">
        <f>日流量!DF59*24*3600/100000000</f>
        <v>1.19232</v>
      </c>
      <c r="DG59" s="6">
        <f>日流量!DG59*24*3600/100000000</f>
        <v>1.296</v>
      </c>
      <c r="DH59" s="6">
        <f>日流量!DH59*24*3600/100000000</f>
        <v>1.2787200000000001</v>
      </c>
      <c r="DI59" s="6">
        <f>日流量!DI59*24*3600/100000000</f>
        <v>1.19232</v>
      </c>
      <c r="DJ59" s="6">
        <f>日流量!DJ59*24*3600/100000000</f>
        <v>1.1750400000000001</v>
      </c>
      <c r="DK59" s="6">
        <f>日流量!DK59*24*3600/100000000</f>
        <v>1.2787200000000001</v>
      </c>
      <c r="DL59" s="6">
        <f>日流量!DL59*24*3600/100000000</f>
        <v>1.2096</v>
      </c>
      <c r="DM59" s="6">
        <f>日流量!DM59*24*3600/100000000</f>
        <v>1.21824</v>
      </c>
      <c r="DN59" s="6">
        <f>日流量!DN59*24*3600/100000000</f>
        <v>1.3824000000000001</v>
      </c>
      <c r="DO59" s="6">
        <f>日流量!DO59*24*3600/100000000</f>
        <v>1.4774400000000001</v>
      </c>
      <c r="DP59" s="6">
        <f>日流量!DP59*24*3600/100000000</f>
        <v>1.4688000000000001</v>
      </c>
      <c r="DQ59" s="6">
        <f>日流量!DQ59*24*3600/100000000</f>
        <v>1.4774400000000001</v>
      </c>
      <c r="DR59" s="6">
        <f>日流量!DR59*24*3600/100000000</f>
        <v>1.50336</v>
      </c>
      <c r="DS59" s="6">
        <f>日流量!DS59*24*3600/100000000</f>
        <v>1.5465599999999999</v>
      </c>
      <c r="DT59" s="6">
        <f>日流量!DT59*24*3600/100000000</f>
        <v>1.6415999999999999</v>
      </c>
      <c r="DU59" s="6">
        <f>日流量!DU59*24*3600/100000000</f>
        <v>1.71072</v>
      </c>
      <c r="DV59" s="6">
        <f>日流量!DV59*24*3600/100000000</f>
        <v>1.5551999999999999</v>
      </c>
      <c r="DW59" s="6">
        <f>日流量!DW59*24*3600/100000000</f>
        <v>1.62432</v>
      </c>
      <c r="DX59" s="6">
        <f>日流量!DX59*24*3600/100000000</f>
        <v>1.43424</v>
      </c>
      <c r="DY59" s="6">
        <f>日流量!DY59*24*3600/100000000</f>
        <v>1.3824000000000001</v>
      </c>
      <c r="DZ59" s="6">
        <f>日流量!DZ59*24*3600/100000000</f>
        <v>1.4256</v>
      </c>
      <c r="EA59" s="6">
        <f>日流量!EA59*24*3600/100000000</f>
        <v>1.60704</v>
      </c>
      <c r="EB59" s="6">
        <f>日流量!EB59*24*3600/100000000</f>
        <v>1.93536</v>
      </c>
      <c r="EC59" s="6">
        <f>日流量!EC59*24*3600/100000000</f>
        <v>2.0822400000000001</v>
      </c>
      <c r="ED59" s="6">
        <f>日流量!ED59*24*3600/100000000</f>
        <v>2.03904</v>
      </c>
      <c r="EE59" s="6">
        <f>日流量!EE59*24*3600/100000000</f>
        <v>1.93536</v>
      </c>
      <c r="EF59" s="6">
        <f>日流量!EF59*24*3600/100000000</f>
        <v>1.9785600000000001</v>
      </c>
      <c r="EG59" s="6">
        <f>日流量!EG59*24*3600/100000000</f>
        <v>2.1686399999999999</v>
      </c>
      <c r="EH59" s="6">
        <f>日流量!EH59*24*3600/100000000</f>
        <v>2.3759999999999999</v>
      </c>
      <c r="EI59" s="6">
        <f>日流量!EI59*24*3600/100000000</f>
        <v>2.7907199999999999</v>
      </c>
      <c r="EJ59" s="6">
        <f>日流量!EJ59*24*3600/100000000</f>
        <v>2.7734399999999999</v>
      </c>
      <c r="EK59" s="6">
        <f>日流量!EK59*24*3600/100000000</f>
        <v>2.00448</v>
      </c>
      <c r="EL59" s="6">
        <f>日流量!EL59*24*3600/100000000</f>
        <v>1.7539199999999999</v>
      </c>
      <c r="EM59" s="6">
        <f>日流量!EM59*24*3600/100000000</f>
        <v>1.5551999999999999</v>
      </c>
      <c r="EN59" s="6">
        <f>日流量!EN59*24*3600/100000000</f>
        <v>1.33056</v>
      </c>
      <c r="EO59" s="6">
        <f>日流量!EO59*24*3600/100000000</f>
        <v>1.3737600000000001</v>
      </c>
      <c r="EP59" s="6">
        <f>日流量!EP59*24*3600/100000000</f>
        <v>1.52928</v>
      </c>
      <c r="EQ59" s="6">
        <f>日流量!EQ59*24*3600/100000000</f>
        <v>1.6415999999999999</v>
      </c>
      <c r="ER59" s="6">
        <f>日流量!ER59*24*3600/100000000</f>
        <v>1.6848000000000001</v>
      </c>
      <c r="ES59" s="6">
        <f>日流量!ES59*24*3600/100000000</f>
        <v>1.71936</v>
      </c>
      <c r="ET59" s="6">
        <f>日流量!ET59*24*3600/100000000</f>
        <v>1.90944</v>
      </c>
      <c r="EU59" s="6">
        <f>日流量!EU59*24*3600/100000000</f>
        <v>1.90944</v>
      </c>
      <c r="EV59" s="6">
        <f>日流量!EV59*24*3600/100000000</f>
        <v>2.0735999999999999</v>
      </c>
      <c r="EW59" s="6">
        <f>日流量!EW59*24*3600/100000000</f>
        <v>2.1859199999999999</v>
      </c>
      <c r="EX59" s="6">
        <f>日流量!EX59*24*3600/100000000</f>
        <v>2.3846400000000001</v>
      </c>
      <c r="EY59" s="6">
        <f>日流量!EY59*24*3600/100000000</f>
        <v>2.7820800000000001</v>
      </c>
      <c r="EZ59" s="6">
        <f>日流量!EZ59*24*3600/100000000</f>
        <v>3.1708799999999999</v>
      </c>
      <c r="FA59" s="6">
        <f>日流量!FA59*24*3600/100000000</f>
        <v>3.0067200000000001</v>
      </c>
      <c r="FB59" s="6">
        <f>日流量!FB59*24*3600/100000000</f>
        <v>3.04128</v>
      </c>
      <c r="FC59" s="6">
        <f>日流量!FC59*24*3600/100000000</f>
        <v>3.04128</v>
      </c>
      <c r="FD59" s="6">
        <f>日流量!FD59*24*3600/100000000</f>
        <v>2.9030399999999998</v>
      </c>
      <c r="FE59" s="6">
        <f>日流量!FE59*24*3600/100000000</f>
        <v>3.1881599999999999</v>
      </c>
      <c r="FF59" s="6">
        <f>日流量!FF59*24*3600/100000000</f>
        <v>3.7324799999999998</v>
      </c>
      <c r="FG59" s="6">
        <f>日流量!FG59*24*3600/100000000</f>
        <v>3.6633599999999999</v>
      </c>
      <c r="FH59" s="6">
        <f>日流量!FH59*24*3600/100000000</f>
        <v>3.6720000000000002</v>
      </c>
      <c r="FI59" s="6">
        <f>日流量!FI59*24*3600/100000000</f>
        <v>3.6115200000000001</v>
      </c>
      <c r="FJ59" s="6">
        <f>日流量!FJ59*24*3600/100000000</f>
        <v>3.6806399999999999</v>
      </c>
      <c r="FK59" s="6">
        <f>日流量!FK59*24*3600/100000000</f>
        <v>3.9916800000000001</v>
      </c>
      <c r="FL59" s="6">
        <f>日流量!FL59*24*3600/100000000</f>
        <v>4.2076799999999999</v>
      </c>
      <c r="FM59" s="6">
        <f>日流量!FM59*24*3600/100000000</f>
        <v>4.2422399999999998</v>
      </c>
      <c r="FN59" s="6">
        <f>日流量!FN59*24*3600/100000000</f>
        <v>4.1644800000000002</v>
      </c>
      <c r="FO59" s="6">
        <f>日流量!FO59*24*3600/100000000</f>
        <v>4.7952000000000004</v>
      </c>
      <c r="FP59" s="6">
        <f>日流量!FP59*24*3600/100000000</f>
        <v>5.7369599999999998</v>
      </c>
      <c r="FQ59" s="6">
        <f>日流量!FQ59*24*3600/100000000</f>
        <v>5.8492800000000003</v>
      </c>
      <c r="FR59" s="6">
        <f>日流量!FR59*24*3600/100000000</f>
        <v>5.8665599999999998</v>
      </c>
      <c r="FS59" s="6">
        <f>日流量!FS59*24*3600/100000000</f>
        <v>5.7110399999999997</v>
      </c>
      <c r="FT59" s="6">
        <f>日流量!FT59*24*3600/100000000</f>
        <v>5.6937600000000002</v>
      </c>
      <c r="FU59" s="6">
        <f>日流量!FU59*24*3600/100000000</f>
        <v>6.3763199999999998</v>
      </c>
      <c r="FV59" s="6">
        <f>日流量!FV59*24*3600/100000000</f>
        <v>6.2985600000000002</v>
      </c>
      <c r="FW59" s="6">
        <f>日流量!FW59*24*3600/100000000</f>
        <v>5.9184000000000001</v>
      </c>
      <c r="FX59" s="6">
        <f>日流量!FX59*24*3600/100000000</f>
        <v>5.7974399999999999</v>
      </c>
      <c r="FY59" s="6">
        <f>日流量!FY59*24*3600/100000000</f>
        <v>5.5209599999999996</v>
      </c>
      <c r="FZ59" s="6">
        <f>日流量!FZ59*24*3600/100000000</f>
        <v>4.7519999999999998</v>
      </c>
      <c r="GA59" s="6">
        <f>日流量!GA59*24*3600/100000000</f>
        <v>4.4496000000000002</v>
      </c>
      <c r="GB59" s="6">
        <f>日流量!GB59*24*3600/100000000</f>
        <v>4.6051200000000003</v>
      </c>
      <c r="GC59" s="6">
        <f>日流量!GC59*24*3600/100000000</f>
        <v>4.7174399999999999</v>
      </c>
      <c r="GD59" s="6">
        <f>日流量!GD59*24*3600/100000000</f>
        <v>4.4150400000000003</v>
      </c>
      <c r="GE59" s="6">
        <f>日流量!GE59*24*3600/100000000</f>
        <v>4.5359999999999996</v>
      </c>
      <c r="GF59" s="6">
        <f>日流量!GF59*24*3600/100000000</f>
        <v>5.2185600000000001</v>
      </c>
      <c r="GG59" s="6">
        <f>日流量!GG59*24*3600/100000000</f>
        <v>5.4518399999999998</v>
      </c>
      <c r="GH59" s="6">
        <f>日流量!GH59*24*3600/100000000</f>
        <v>5.34816</v>
      </c>
      <c r="GI59" s="6">
        <f>日流量!GI59*24*3600/100000000</f>
        <v>6.1948800000000004</v>
      </c>
      <c r="GJ59" s="6">
        <f>日流量!GJ59*24*3600/100000000</f>
        <v>7.9315199999999999</v>
      </c>
      <c r="GK59" s="6">
        <f>日流量!GK59*24*3600/100000000</f>
        <v>7.7155199999999997</v>
      </c>
      <c r="GL59" s="6">
        <f>日流量!GL59*24*3600/100000000</f>
        <v>7.5254399999999997</v>
      </c>
      <c r="GM59" s="6">
        <f>日流量!GM59*24*3600/100000000</f>
        <v>7.4649599999999996</v>
      </c>
      <c r="GN59" s="6">
        <f>日流量!GN59*24*3600/100000000</f>
        <v>7.6032000000000002</v>
      </c>
      <c r="GO59" s="6">
        <f>日流量!GO59*24*3600/100000000</f>
        <v>7.0848000000000004</v>
      </c>
      <c r="GP59" s="6">
        <f>日流量!GP59*24*3600/100000000</f>
        <v>6.3936000000000002</v>
      </c>
      <c r="GQ59" s="6">
        <f>日流量!GQ59*24*3600/100000000</f>
        <v>6.3331200000000001</v>
      </c>
      <c r="GR59" s="6">
        <f>日流量!GR59*24*3600/100000000</f>
        <v>6.3503999999999996</v>
      </c>
      <c r="GS59" s="6">
        <f>日流量!GS59*24*3600/100000000</f>
        <v>6.3763199999999998</v>
      </c>
      <c r="GT59" s="6">
        <f>日流量!GT59*24*3600/100000000</f>
        <v>5.9443200000000003</v>
      </c>
      <c r="GU59" s="6">
        <f>日流量!GU59*24*3600/100000000</f>
        <v>4.9852800000000004</v>
      </c>
      <c r="GV59" s="6">
        <f>日流量!GV59*24*3600/100000000</f>
        <v>4.8124799999999999</v>
      </c>
      <c r="GW59" s="6">
        <f>日流量!GW59*24*3600/100000000</f>
        <v>4.5619199999999998</v>
      </c>
      <c r="GX59" s="6">
        <f>日流量!GX59*24*3600/100000000</f>
        <v>4.1904000000000003</v>
      </c>
      <c r="GY59" s="6">
        <f>日流量!GY59*24*3600/100000000</f>
        <v>4.0867199999999997</v>
      </c>
      <c r="GZ59" s="6">
        <f>日流量!GZ59*24*3600/100000000</f>
        <v>4.1644800000000002</v>
      </c>
      <c r="HA59" s="6">
        <f>日流量!HA59*24*3600/100000000</f>
        <v>4.4927999999999999</v>
      </c>
      <c r="HB59" s="6">
        <f>日流量!HB59*24*3600/100000000</f>
        <v>4.8556800000000004</v>
      </c>
      <c r="HC59" s="6">
        <f>日流量!HC59*24*3600/100000000</f>
        <v>4.87296</v>
      </c>
      <c r="HD59" s="6">
        <f>日流量!HD59*24*3600/100000000</f>
        <v>4.6310399999999996</v>
      </c>
      <c r="HE59" s="6">
        <f>日流量!HE59*24*3600/100000000</f>
        <v>4.4236800000000001</v>
      </c>
      <c r="HF59" s="6">
        <f>日流量!HF59*24*3600/100000000</f>
        <v>4.2422399999999998</v>
      </c>
      <c r="HG59" s="6">
        <f>日流量!HG59*24*3600/100000000</f>
        <v>4.13856</v>
      </c>
      <c r="HH59" s="6">
        <f>日流量!HH59*24*3600/100000000</f>
        <v>4.0089600000000001</v>
      </c>
      <c r="HI59" s="6">
        <f>日流量!HI59*24*3600/100000000</f>
        <v>4.0003200000000003</v>
      </c>
      <c r="HJ59" s="6">
        <f>日流量!HJ59*24*3600/100000000</f>
        <v>3.8879999999999999</v>
      </c>
      <c r="HK59" s="6">
        <f>日流量!HK59*24*3600/100000000</f>
        <v>3.8102399999999998</v>
      </c>
      <c r="HL59" s="6">
        <f>日流量!HL59*24*3600/100000000</f>
        <v>3.6720000000000002</v>
      </c>
      <c r="HM59" s="6">
        <f>日流量!HM59*24*3600/100000000</f>
        <v>3.6806399999999999</v>
      </c>
      <c r="HN59" s="6">
        <f>日流量!HN59*24*3600/100000000</f>
        <v>3.6806399999999999</v>
      </c>
      <c r="HO59" s="6">
        <f>日流量!HO59*24*3600/100000000</f>
        <v>3.6288</v>
      </c>
      <c r="HP59" s="6">
        <f>日流量!HP59*24*3600/100000000</f>
        <v>3.5769600000000001</v>
      </c>
      <c r="HQ59" s="6">
        <f>日流量!HQ59*24*3600/100000000</f>
        <v>3.456</v>
      </c>
      <c r="HR59" s="6">
        <f>日流量!HR59*24*3600/100000000</f>
        <v>3.3782399999999999</v>
      </c>
      <c r="HS59" s="6">
        <f>日流量!HS59*24*3600/100000000</f>
        <v>3.3523200000000002</v>
      </c>
      <c r="HT59" s="6">
        <f>日流量!HT59*24*3600/100000000</f>
        <v>3.4646400000000002</v>
      </c>
      <c r="HU59" s="6">
        <f>日流量!HU59*24*3600/100000000</f>
        <v>3.4127999999999998</v>
      </c>
      <c r="HV59" s="6">
        <f>日流量!HV59*24*3600/100000000</f>
        <v>3.3004799999999999</v>
      </c>
      <c r="HW59" s="6">
        <f>日流量!HW59*24*3600/100000000</f>
        <v>3.3091200000000001</v>
      </c>
      <c r="HX59" s="6">
        <f>日流量!HX59*24*3600/100000000</f>
        <v>3.1622400000000002</v>
      </c>
      <c r="HY59" s="6">
        <f>日流量!HY59*24*3600/100000000</f>
        <v>3.0758399999999999</v>
      </c>
      <c r="HZ59" s="6">
        <f>日流量!HZ59*24*3600/100000000</f>
        <v>3.1017600000000001</v>
      </c>
      <c r="IA59" s="6">
        <f>日流量!IA59*24*3600/100000000</f>
        <v>2.9980799999999999</v>
      </c>
      <c r="IB59" s="6">
        <f>日流量!IB59*24*3600/100000000</f>
        <v>2.6611199999999999</v>
      </c>
      <c r="IC59" s="6">
        <f>日流量!IC59*24*3600/100000000</f>
        <v>2.6524800000000002</v>
      </c>
      <c r="ID59" s="6">
        <f>日流量!ID59*24*3600/100000000</f>
        <v>2.8684799999999999</v>
      </c>
      <c r="IE59" s="6">
        <f>日流量!IE59*24*3600/100000000</f>
        <v>3.4732799999999999</v>
      </c>
      <c r="IF59" s="6">
        <f>日流量!IF59*24*3600/100000000</f>
        <v>4.4236800000000001</v>
      </c>
      <c r="IG59" s="6">
        <f>日流量!IG59*24*3600/100000000</f>
        <v>4.2508800000000004</v>
      </c>
      <c r="IH59" s="6">
        <f>日流量!IH59*24*3600/100000000</f>
        <v>4.26816</v>
      </c>
      <c r="II59" s="6">
        <f>日流量!II59*24*3600/100000000</f>
        <v>4.2595200000000002</v>
      </c>
      <c r="IJ59" s="6">
        <f>日流量!IJ59*24*3600/100000000</f>
        <v>4.0608000000000004</v>
      </c>
      <c r="IK59" s="6">
        <f>日流量!IK59*24*3600/100000000</f>
        <v>3.8016000000000001</v>
      </c>
      <c r="IL59" s="6">
        <f>日流量!IL59*24*3600/100000000</f>
        <v>3.8275199999999998</v>
      </c>
      <c r="IM59" s="6">
        <f>日流量!IM59*24*3600/100000000</f>
        <v>3.7584</v>
      </c>
      <c r="IN59" s="6">
        <f>日流量!IN59*24*3600/100000000</f>
        <v>3.4646400000000002</v>
      </c>
      <c r="IO59" s="6">
        <f>日流量!IO59*24*3600/100000000</f>
        <v>3.3696000000000002</v>
      </c>
      <c r="IP59" s="6">
        <f>日流量!IP59*24*3600/100000000</f>
        <v>3.1795200000000001</v>
      </c>
      <c r="IQ59" s="6">
        <f>日流量!IQ59*24*3600/100000000</f>
        <v>2.8512</v>
      </c>
      <c r="IR59" s="6">
        <f>日流量!IR59*24*3600/100000000</f>
        <v>2.81664</v>
      </c>
      <c r="IS59" s="6">
        <f>日流量!IS59*24*3600/100000000</f>
        <v>2.8857599999999999</v>
      </c>
      <c r="IT59" s="6">
        <f>日流量!IT59*24*3600/100000000</f>
        <v>3.3004799999999999</v>
      </c>
      <c r="IU59" s="6">
        <f>日流量!IU59*24*3600/100000000</f>
        <v>3.42144</v>
      </c>
      <c r="IV59" s="6">
        <f>日流量!IV59*24*3600/100000000</f>
        <v>3.1276799999999998</v>
      </c>
      <c r="IW59" s="6">
        <f>日流量!IW59*24*3600/100000000</f>
        <v>3.1795200000000001</v>
      </c>
      <c r="IX59" s="6">
        <f>日流量!IX59*24*3600/100000000</f>
        <v>3.5855999999999999</v>
      </c>
      <c r="IY59" s="6">
        <f>日流量!IY59*24*3600/100000000</f>
        <v>3.8275199999999998</v>
      </c>
      <c r="IZ59" s="6">
        <f>日流量!IZ59*24*3600/100000000</f>
        <v>4.0089600000000001</v>
      </c>
      <c r="JA59" s="6">
        <f>日流量!JA59*24*3600/100000000</f>
        <v>4.32864</v>
      </c>
      <c r="JB59" s="6">
        <f>日流量!JB59*24*3600/100000000</f>
        <v>4.4236800000000001</v>
      </c>
      <c r="JC59" s="6">
        <f>日流量!JC59*24*3600/100000000</f>
        <v>4.7779199999999999</v>
      </c>
      <c r="JD59" s="6">
        <f>日流量!JD59*24*3600/100000000</f>
        <v>5.1407999999999996</v>
      </c>
      <c r="JE59" s="6">
        <f>日流量!JE59*24*3600/100000000</f>
        <v>5.0889600000000002</v>
      </c>
      <c r="JF59" s="6">
        <f>日流量!JF59*24*3600/100000000</f>
        <v>4.6396800000000002</v>
      </c>
      <c r="JG59" s="6">
        <f>日流量!JG59*24*3600/100000000</f>
        <v>4.4236800000000001</v>
      </c>
      <c r="JH59" s="6">
        <f>日流量!JH59*24*3600/100000000</f>
        <v>4.2249600000000003</v>
      </c>
      <c r="JI59" s="6">
        <f>日流量!JI59*24*3600/100000000</f>
        <v>4.0003200000000003</v>
      </c>
      <c r="JJ59" s="6">
        <f>日流量!JJ59*24*3600/100000000</f>
        <v>3.8102399999999998</v>
      </c>
      <c r="JK59" s="6">
        <f>日流量!JK59*24*3600/100000000</f>
        <v>3.72384</v>
      </c>
      <c r="JL59" s="6">
        <f>日流量!JL59*24*3600/100000000</f>
        <v>3.6201599999999998</v>
      </c>
      <c r="JM59" s="6">
        <f>日流量!JM59*24*3600/100000000</f>
        <v>3.5424000000000002</v>
      </c>
      <c r="JN59" s="6">
        <f>日流量!JN59*24*3600/100000000</f>
        <v>3.4732799999999999</v>
      </c>
      <c r="JO59" s="6">
        <f>日流量!JO59*24*3600/100000000</f>
        <v>3.4732799999999999</v>
      </c>
      <c r="JP59" s="6">
        <f>日流量!JP59*24*3600/100000000</f>
        <v>3.7065600000000001</v>
      </c>
      <c r="JQ59" s="6">
        <f>日流量!JQ59*24*3600/100000000</f>
        <v>3.74112</v>
      </c>
      <c r="JR59" s="6">
        <f>日流量!JR59*24*3600/100000000</f>
        <v>4.26816</v>
      </c>
      <c r="JS59" s="6">
        <f>日流量!JS59*24*3600/100000000</f>
        <v>4.13856</v>
      </c>
      <c r="JT59" s="6">
        <f>日流量!JT59*24*3600/100000000</f>
        <v>5.1840000000000002</v>
      </c>
      <c r="JU59" s="6">
        <f>日流量!JU59*24*3600/100000000</f>
        <v>5.8233600000000001</v>
      </c>
      <c r="JV59" s="6">
        <f>日流量!JV59*24*3600/100000000</f>
        <v>5.9615999999999998</v>
      </c>
      <c r="JW59" s="6">
        <f>日流量!JW59*24*3600/100000000</f>
        <v>6.7737600000000002</v>
      </c>
      <c r="JX59" s="6">
        <f>日流量!JX59*24*3600/100000000</f>
        <v>5.9961599999999997</v>
      </c>
      <c r="JY59" s="6">
        <f>日流量!JY59*24*3600/100000000</f>
        <v>5.5209599999999996</v>
      </c>
      <c r="JZ59" s="6">
        <f>日流量!JZ59*24*3600/100000000</f>
        <v>5.1753600000000004</v>
      </c>
      <c r="KA59" s="6">
        <f>日流量!KA59*24*3600/100000000</f>
        <v>4.55328</v>
      </c>
      <c r="KB59" s="6">
        <f>日流量!KB59*24*3600/100000000</f>
        <v>4.4755200000000004</v>
      </c>
      <c r="KC59" s="6">
        <f>日流量!KC59*24*3600/100000000</f>
        <v>4.1904000000000003</v>
      </c>
      <c r="KD59" s="6">
        <f>日流量!KD59*24*3600/100000000</f>
        <v>4.1558400000000004</v>
      </c>
      <c r="KE59" s="6">
        <f>日流量!KE59*24*3600/100000000</f>
        <v>3.9312</v>
      </c>
      <c r="KF59" s="6">
        <f>日流量!KF59*24*3600/100000000</f>
        <v>3.6979199999999999</v>
      </c>
      <c r="KG59" s="6">
        <f>日流量!KG59*24*3600/100000000</f>
        <v>3.6201599999999998</v>
      </c>
      <c r="KH59" s="6">
        <f>日流量!KH59*24*3600/100000000</f>
        <v>3.4646400000000002</v>
      </c>
      <c r="KI59" s="6">
        <f>日流量!KI59*24*3600/100000000</f>
        <v>3.34368</v>
      </c>
      <c r="KJ59" s="6">
        <f>日流量!KJ59*24*3600/100000000</f>
        <v>3.24</v>
      </c>
      <c r="KK59" s="6">
        <f>日流量!KK59*24*3600/100000000</f>
        <v>3.1536</v>
      </c>
      <c r="KL59" s="6">
        <f>日流量!KL59*24*3600/100000000</f>
        <v>3.024</v>
      </c>
      <c r="KM59" s="6">
        <f>日流量!KM59*24*3600/100000000</f>
        <v>2.91168</v>
      </c>
      <c r="KN59" s="6">
        <f>日流量!KN59*24*3600/100000000</f>
        <v>2.7907199999999999</v>
      </c>
      <c r="KO59" s="6">
        <f>日流量!KO59*24*3600/100000000</f>
        <v>2.4710399999999999</v>
      </c>
      <c r="KP59" s="6">
        <f>日流量!KP59*24*3600/100000000</f>
        <v>2.3759999999999999</v>
      </c>
      <c r="KQ59" s="6">
        <f>日流量!KQ59*24*3600/100000000</f>
        <v>2.5228799999999998</v>
      </c>
      <c r="KR59" s="6">
        <f>日流量!KR59*24*3600/100000000</f>
        <v>2.43648</v>
      </c>
      <c r="KS59" s="6">
        <f>日流量!KS59*24*3600/100000000</f>
        <v>2.30688</v>
      </c>
      <c r="KT59" s="6">
        <f>日流量!KT59*24*3600/100000000</f>
        <v>2.2636799999999999</v>
      </c>
      <c r="KU59" s="6">
        <f>日流量!KU59*24*3600/100000000</f>
        <v>2.2896000000000001</v>
      </c>
      <c r="KV59" s="6">
        <f>日流量!KV59*24*3600/100000000</f>
        <v>2.30688</v>
      </c>
      <c r="KW59" s="6">
        <f>日流量!KW59*24*3600/100000000</f>
        <v>2.1859199999999999</v>
      </c>
      <c r="KX59" s="6">
        <f>日流量!KX59*24*3600/100000000</f>
        <v>2.2204799999999998</v>
      </c>
      <c r="KY59" s="6">
        <f>日流量!KY59*24*3600/100000000</f>
        <v>2.1081599999999998</v>
      </c>
      <c r="KZ59" s="6">
        <f>日流量!KZ59*24*3600/100000000</f>
        <v>1.9958400000000001</v>
      </c>
      <c r="LA59" s="6">
        <f>日流量!LA59*24*3600/100000000</f>
        <v>1.9785600000000001</v>
      </c>
      <c r="LB59" s="6">
        <f>日流量!LB59*24*3600/100000000</f>
        <v>2.03904</v>
      </c>
      <c r="LC59" s="6">
        <f>日流量!LC59*24*3600/100000000</f>
        <v>2.0735999999999999</v>
      </c>
      <c r="LD59" s="6">
        <f>日流量!LD59*24*3600/100000000</f>
        <v>2.0304000000000002</v>
      </c>
      <c r="LE59" s="6">
        <f>日流量!LE59*24*3600/100000000</f>
        <v>1.9699199999999999</v>
      </c>
      <c r="LF59" s="6">
        <f>日流量!LF59*24*3600/100000000</f>
        <v>1.944</v>
      </c>
      <c r="LG59" s="6">
        <f>日流量!LG59*24*3600/100000000</f>
        <v>1.91808</v>
      </c>
      <c r="LH59" s="6">
        <f>日流量!LH59*24*3600/100000000</f>
        <v>1.91808</v>
      </c>
      <c r="LI59" s="6">
        <f>日流量!LI59*24*3600/100000000</f>
        <v>1.9526399999999999</v>
      </c>
      <c r="LJ59" s="6">
        <f>日流量!LJ59*24*3600/100000000</f>
        <v>1.8835200000000001</v>
      </c>
      <c r="LK59" s="6">
        <f>日流量!LK59*24*3600/100000000</f>
        <v>1.8575999999999999</v>
      </c>
      <c r="LL59" s="6">
        <f>日流量!LL59*24*3600/100000000</f>
        <v>1.8575999999999999</v>
      </c>
      <c r="LM59" s="6">
        <f>日流量!LM59*24*3600/100000000</f>
        <v>1.8662399999999999</v>
      </c>
      <c r="LN59" s="6">
        <f>日流量!LN59*24*3600/100000000</f>
        <v>1.6848000000000001</v>
      </c>
      <c r="LO59" s="6">
        <f>日流量!LO59*24*3600/100000000</f>
        <v>1.6675199999999999</v>
      </c>
      <c r="LP59" s="6">
        <f>日流量!LP59*24*3600/100000000</f>
        <v>1.61568</v>
      </c>
      <c r="LQ59" s="6">
        <f>日流量!LQ59*24*3600/100000000</f>
        <v>1.60704</v>
      </c>
      <c r="LR59" s="6">
        <f>日流量!LR59*24*3600/100000000</f>
        <v>1.8144</v>
      </c>
      <c r="LS59" s="6">
        <f>日流量!LS59*24*3600/100000000</f>
        <v>1.7625599999999999</v>
      </c>
      <c r="LT59" s="6">
        <f>日流量!LT59*24*3600/100000000</f>
        <v>1.6502399999999999</v>
      </c>
      <c r="LU59" s="6">
        <f>日流量!LU59*24*3600/100000000</f>
        <v>1.5638399999999999</v>
      </c>
      <c r="LV59" s="6">
        <f>日流量!LV59*24*3600/100000000</f>
        <v>1.6415999999999999</v>
      </c>
      <c r="LW59" s="6">
        <f>日流量!LW59*24*3600/100000000</f>
        <v>1.61568</v>
      </c>
      <c r="LX59" s="6">
        <f>日流量!LX59*24*3600/100000000</f>
        <v>1.50336</v>
      </c>
      <c r="LY59" s="6">
        <f>日流量!LY59*24*3600/100000000</f>
        <v>1.4860800000000001</v>
      </c>
      <c r="LZ59" s="6">
        <f>日流量!LZ59*24*3600/100000000</f>
        <v>1.60704</v>
      </c>
      <c r="MA59" s="6">
        <f>日流量!MA59*24*3600/100000000</f>
        <v>1.63296</v>
      </c>
      <c r="MB59" s="6">
        <f>日流量!MB59*24*3600/100000000</f>
        <v>1.50336</v>
      </c>
      <c r="MC59" s="6">
        <f>日流量!MC59*24*3600/100000000</f>
        <v>1.40832</v>
      </c>
      <c r="MD59" s="6">
        <f>日流量!MD59*24*3600/100000000</f>
        <v>1.3824000000000001</v>
      </c>
      <c r="ME59" s="6">
        <f>日流量!ME59*24*3600/100000000</f>
        <v>1.4428799999999999</v>
      </c>
      <c r="MF59" s="6">
        <f>日流量!MF59*24*3600/100000000</f>
        <v>1.3824000000000001</v>
      </c>
      <c r="MG59" s="6">
        <f>日流量!MG59*24*3600/100000000</f>
        <v>1.41696</v>
      </c>
      <c r="MH59" s="6">
        <f>日流量!MH59*24*3600/100000000</f>
        <v>1.3478399999999999</v>
      </c>
      <c r="MI59" s="6">
        <f>日流量!MI59*24*3600/100000000</f>
        <v>1.296</v>
      </c>
      <c r="MJ59" s="6">
        <f>日流量!MJ59*24*3600/100000000</f>
        <v>1.30464</v>
      </c>
      <c r="MK59" s="6">
        <f>日流量!MK59*24*3600/100000000</f>
        <v>1.3737600000000001</v>
      </c>
      <c r="ML59" s="6">
        <f>日流量!ML59*24*3600/100000000</f>
        <v>1.30464</v>
      </c>
      <c r="MM59" s="6">
        <f>日流量!MM59*24*3600/100000000</f>
        <v>1.40832</v>
      </c>
      <c r="MN59" s="6">
        <f>日流量!MN59*24*3600/100000000</f>
        <v>1.3910400000000001</v>
      </c>
      <c r="MO59" s="6">
        <f>日流量!MO59*24*3600/100000000</f>
        <v>1.40832</v>
      </c>
      <c r="MP59" s="6">
        <f>日流量!MP59*24*3600/100000000</f>
        <v>1.3651199999999999</v>
      </c>
      <c r="MQ59" s="6">
        <f>日流量!MQ59*24*3600/100000000</f>
        <v>1.40832</v>
      </c>
      <c r="MR59" s="6">
        <f>日流量!MR59*24*3600/100000000</f>
        <v>1.4601599999999999</v>
      </c>
      <c r="MS59" s="6">
        <f>日流量!MS59*24*3600/100000000</f>
        <v>1.4256</v>
      </c>
      <c r="MT59" s="6">
        <f>日流量!MT59*24*3600/100000000</f>
        <v>1.3564799999999999</v>
      </c>
      <c r="MU59" s="6">
        <f>日流量!MU59*24*3600/100000000</f>
        <v>1.33056</v>
      </c>
      <c r="MV59" s="6">
        <f>日流量!MV59*24*3600/100000000</f>
        <v>1.22688</v>
      </c>
      <c r="MW59" s="6">
        <f>日流量!MW59*24*3600/100000000</f>
        <v>1.1664000000000001</v>
      </c>
      <c r="MX59" s="6">
        <f>日流量!MX59*24*3600/100000000</f>
        <v>1.1491199999999999</v>
      </c>
      <c r="MY59" s="6">
        <f>日流量!MY59*24*3600/100000000</f>
        <v>1.1577599999999999</v>
      </c>
      <c r="MZ59" s="6">
        <f>日流量!MZ59*24*3600/100000000</f>
        <v>1.1577599999999999</v>
      </c>
      <c r="NA59" s="6">
        <f>日流量!NA59*24*3600/100000000</f>
        <v>1.1836800000000001</v>
      </c>
      <c r="NB59" s="6">
        <f>日流量!NB59*24*3600/100000000</f>
        <v>1.22688</v>
      </c>
      <c r="NC59" s="6"/>
      <c r="ND59" s="6">
        <f>日流量!ND59*24*3600*31/100000000</f>
        <v>51.69312</v>
      </c>
      <c r="NE59" s="6">
        <f>日流量!NE59*24*3600*28/100000000</f>
        <v>42.094079999999998</v>
      </c>
      <c r="NF59" s="6">
        <f>日流量!NF59*24*3600*31/100000000</f>
        <v>41.78304</v>
      </c>
      <c r="NG59" s="6">
        <f>日流量!NG59*24*3600*30/100000000</f>
        <v>39.916800000000002</v>
      </c>
      <c r="NH59" s="6">
        <f>日流量!NH59*24*3600*31/100000000</f>
        <v>56.782080000000001</v>
      </c>
      <c r="NI59" s="6">
        <f>日流量!NI59*24*3600*30/100000000</f>
        <v>131.15520000000001</v>
      </c>
      <c r="NJ59" s="6">
        <f>日流量!NJ59*24*3600*31/100000000</f>
        <v>171.41759999999999</v>
      </c>
      <c r="NK59" s="6">
        <f>日流量!NK59*24*3600*31/100000000</f>
        <v>110.88576</v>
      </c>
      <c r="NL59" s="6">
        <f>日流量!NL59*24*3600*30/100000000</f>
        <v>113.2704</v>
      </c>
      <c r="NM59" s="6">
        <f>日流量!NM59*24*3600*31/100000000</f>
        <v>121.33152</v>
      </c>
      <c r="NN59" s="6">
        <f>日流量!NN59*24*3600*30/100000000</f>
        <v>56.505600000000001</v>
      </c>
      <c r="NO59" s="6">
        <f>日流量!NO59*24*3600*31/100000000</f>
        <v>42.050879999999999</v>
      </c>
      <c r="NP59" s="14">
        <f t="shared" si="10"/>
        <v>978.88607999999999</v>
      </c>
      <c r="NQ59" s="6">
        <f>日流量!NQ59*24*3600/100000000</f>
        <v>7.9315199999999999</v>
      </c>
      <c r="NR59" s="4">
        <f>日流量!NR59</f>
        <v>42560</v>
      </c>
      <c r="NS59" s="6">
        <f>日流量!NS59*24*3600/100000000</f>
        <v>1.1491199999999999</v>
      </c>
      <c r="NT59" s="4">
        <f>日流量!NT59</f>
        <v>42730</v>
      </c>
      <c r="NU59" s="7">
        <f>日流量!NP59</f>
        <v>3102.9863013698632</v>
      </c>
      <c r="NW59" s="13">
        <f t="shared" si="0"/>
        <v>704.84255999999993</v>
      </c>
      <c r="NX59" s="12">
        <f t="shared" si="1"/>
        <v>72.004554401263931</v>
      </c>
      <c r="NY59" s="13">
        <f t="shared" si="2"/>
        <v>526.72896000000003</v>
      </c>
      <c r="NZ59" s="12">
        <f t="shared" si="3"/>
        <v>53.809015243122062</v>
      </c>
      <c r="OA59" s="13">
        <f t="shared" si="4"/>
        <v>274.04352000000006</v>
      </c>
      <c r="OB59" s="12">
        <f t="shared" si="5"/>
        <v>27.995445598736072</v>
      </c>
      <c r="OC59" s="13">
        <f t="shared" si="6"/>
        <v>171.41759999999999</v>
      </c>
      <c r="OD59" s="12">
        <f t="shared" si="7"/>
        <v>17.51149633264782</v>
      </c>
      <c r="OE59" s="12">
        <f t="shared" si="8"/>
        <v>228.71170093457945</v>
      </c>
      <c r="OF59" s="12">
        <f t="shared" si="9"/>
        <v>7.2524004608884916</v>
      </c>
    </row>
    <row r="60" spans="1:396" x14ac:dyDescent="0.15">
      <c r="A60" s="2">
        <v>2007</v>
      </c>
      <c r="B60" s="6">
        <f>日流量!B60*24*3600/100000000</f>
        <v>1.2873600000000001</v>
      </c>
      <c r="C60" s="6">
        <f>日流量!C60*24*3600/100000000</f>
        <v>1.41696</v>
      </c>
      <c r="D60" s="6">
        <f>日流量!D60*24*3600/100000000</f>
        <v>1.61568</v>
      </c>
      <c r="E60" s="6">
        <f>日流量!E60*24*3600/100000000</f>
        <v>1.6761600000000001</v>
      </c>
      <c r="F60" s="6">
        <f>日流量!F60*24*3600/100000000</f>
        <v>1.63296</v>
      </c>
      <c r="G60" s="6">
        <f>日流量!G60*24*3600/100000000</f>
        <v>1.4860800000000001</v>
      </c>
      <c r="H60" s="6">
        <f>日流量!H60*24*3600/100000000</f>
        <v>1.4601599999999999</v>
      </c>
      <c r="I60" s="6">
        <f>日流量!I60*24*3600/100000000</f>
        <v>1.53792</v>
      </c>
      <c r="J60" s="6">
        <f>日流量!J60*24*3600/100000000</f>
        <v>1.5811200000000001</v>
      </c>
      <c r="K60" s="6">
        <f>日流量!K60*24*3600/100000000</f>
        <v>1.5724800000000001</v>
      </c>
      <c r="L60" s="6">
        <f>日流量!L60*24*3600/100000000</f>
        <v>1.40832</v>
      </c>
      <c r="M60" s="6">
        <f>日流量!M60*24*3600/100000000</f>
        <v>1.296</v>
      </c>
      <c r="N60" s="6">
        <f>日流量!N60*24*3600/100000000</f>
        <v>1.3651199999999999</v>
      </c>
      <c r="O60" s="6">
        <f>日流量!O60*24*3600/100000000</f>
        <v>1.3564799999999999</v>
      </c>
      <c r="P60" s="6">
        <f>日流量!P60*24*3600/100000000</f>
        <v>1.22688</v>
      </c>
      <c r="Q60" s="6">
        <f>日流量!Q60*24*3600/100000000</f>
        <v>1.2096</v>
      </c>
      <c r="R60" s="6">
        <f>日流量!R60*24*3600/100000000</f>
        <v>1.22688</v>
      </c>
      <c r="S60" s="6">
        <f>日流量!S60*24*3600/100000000</f>
        <v>1.1836800000000001</v>
      </c>
      <c r="T60" s="6">
        <f>日流量!T60*24*3600/100000000</f>
        <v>1.20096</v>
      </c>
      <c r="U60" s="6">
        <f>日流量!U60*24*3600/100000000</f>
        <v>1.40832</v>
      </c>
      <c r="V60" s="6">
        <f>日流量!V60*24*3600/100000000</f>
        <v>1.296</v>
      </c>
      <c r="W60" s="6">
        <f>日流量!W60*24*3600/100000000</f>
        <v>1.1750400000000001</v>
      </c>
      <c r="X60" s="6">
        <f>日流量!X60*24*3600/100000000</f>
        <v>1.2873600000000001</v>
      </c>
      <c r="Y60" s="6">
        <f>日流量!Y60*24*3600/100000000</f>
        <v>1.43424</v>
      </c>
      <c r="Z60" s="6">
        <f>日流量!Z60*24*3600/100000000</f>
        <v>1.3910400000000001</v>
      </c>
      <c r="AA60" s="6">
        <f>日流量!AA60*24*3600/100000000</f>
        <v>1.3824000000000001</v>
      </c>
      <c r="AB60" s="6">
        <f>日流量!AB60*24*3600/100000000</f>
        <v>1.41696</v>
      </c>
      <c r="AC60" s="6">
        <f>日流量!AC60*24*3600/100000000</f>
        <v>1.3391999999999999</v>
      </c>
      <c r="AD60" s="6">
        <f>日流量!AD60*24*3600/100000000</f>
        <v>1.4256</v>
      </c>
      <c r="AE60" s="6">
        <f>日流量!AE60*24*3600/100000000</f>
        <v>1.43424</v>
      </c>
      <c r="AF60" s="6">
        <f>日流量!AF60*24*3600/100000000</f>
        <v>1.4774400000000001</v>
      </c>
      <c r="AG60" s="6">
        <f>日流量!AG60*24*3600/100000000</f>
        <v>1.40832</v>
      </c>
      <c r="AH60" s="6">
        <f>日流量!AH60*24*3600/100000000</f>
        <v>1.4256</v>
      </c>
      <c r="AI60" s="6">
        <f>日流量!AI60*24*3600/100000000</f>
        <v>1.39968</v>
      </c>
      <c r="AJ60" s="6">
        <f>日流量!AJ60*24*3600/100000000</f>
        <v>1.296</v>
      </c>
      <c r="AK60" s="6">
        <f>日流量!AK60*24*3600/100000000</f>
        <v>1.296</v>
      </c>
      <c r="AL60" s="6">
        <f>日流量!AL60*24*3600/100000000</f>
        <v>1.2441599999999999</v>
      </c>
      <c r="AM60" s="6">
        <f>日流量!AM60*24*3600/100000000</f>
        <v>1.2787200000000001</v>
      </c>
      <c r="AN60" s="6">
        <f>日流量!AN60*24*3600/100000000</f>
        <v>1.39968</v>
      </c>
      <c r="AO60" s="6">
        <f>日流量!AO60*24*3600/100000000</f>
        <v>1.23552</v>
      </c>
      <c r="AP60" s="6">
        <f>日流量!AP60*24*3600/100000000</f>
        <v>1.20096</v>
      </c>
      <c r="AQ60" s="6">
        <f>日流量!AQ60*24*3600/100000000</f>
        <v>1.23552</v>
      </c>
      <c r="AR60" s="6">
        <f>日流量!AR60*24*3600/100000000</f>
        <v>1.21824</v>
      </c>
      <c r="AS60" s="6">
        <f>日流量!AS60*24*3600/100000000</f>
        <v>1.2096</v>
      </c>
      <c r="AT60" s="6">
        <f>日流量!AT60*24*3600/100000000</f>
        <v>1.1577599999999999</v>
      </c>
      <c r="AU60" s="6">
        <f>日流量!AU60*24*3600/100000000</f>
        <v>1.1836800000000001</v>
      </c>
      <c r="AV60" s="6">
        <f>日流量!AV60*24*3600/100000000</f>
        <v>1.1836800000000001</v>
      </c>
      <c r="AW60" s="6">
        <f>日流量!AW60*24*3600/100000000</f>
        <v>1.1664000000000001</v>
      </c>
      <c r="AX60" s="6">
        <f>日流量!AX60*24*3600/100000000</f>
        <v>1.13184</v>
      </c>
      <c r="AY60" s="6">
        <f>日流量!AY60*24*3600/100000000</f>
        <v>1.10592</v>
      </c>
      <c r="AZ60" s="6">
        <f>日流量!AZ60*24*3600/100000000</f>
        <v>1.0367999999999999</v>
      </c>
      <c r="BA60" s="6">
        <f>日流量!BA60*24*3600/100000000</f>
        <v>1.0627200000000001</v>
      </c>
      <c r="BB60" s="6">
        <f>日流量!BB60*24*3600/100000000</f>
        <v>1.0540799999999999</v>
      </c>
      <c r="BC60" s="6">
        <f>日流量!BC60*24*3600/100000000</f>
        <v>0.95904</v>
      </c>
      <c r="BD60" s="6">
        <f>日流量!BD60*24*3600/100000000</f>
        <v>0.90720000000000001</v>
      </c>
      <c r="BE60" s="6">
        <f>日流量!BE60*24*3600/100000000</f>
        <v>0.98495999999999995</v>
      </c>
      <c r="BF60" s="6">
        <f>日流量!BF60*24*3600/100000000</f>
        <v>1.00224</v>
      </c>
      <c r="BG60" s="6">
        <f>日流量!BG60*24*3600/100000000</f>
        <v>1.0627200000000001</v>
      </c>
      <c r="BH60" s="6">
        <f>日流量!BH60*24*3600/100000000</f>
        <v>1.08</v>
      </c>
      <c r="BI60" s="6"/>
      <c r="BJ60" s="6">
        <f>日流量!BJ60*24*3600/100000000</f>
        <v>1.10592</v>
      </c>
      <c r="BK60" s="6">
        <f>日流量!BK60*24*3600/100000000</f>
        <v>1.1664000000000001</v>
      </c>
      <c r="BL60" s="6">
        <f>日流量!BL60*24*3600/100000000</f>
        <v>1.1232</v>
      </c>
      <c r="BM60" s="6">
        <f>日流量!BM60*24*3600/100000000</f>
        <v>0.99360000000000004</v>
      </c>
      <c r="BN60" s="6">
        <f>日流量!BN60*24*3600/100000000</f>
        <v>1.01952</v>
      </c>
      <c r="BO60" s="6">
        <f>日流量!BO60*24*3600/100000000</f>
        <v>1.01088</v>
      </c>
      <c r="BP60" s="6">
        <f>日流量!BP60*24*3600/100000000</f>
        <v>1.1664000000000001</v>
      </c>
      <c r="BQ60" s="6">
        <f>日流量!BQ60*24*3600/100000000</f>
        <v>1.1232</v>
      </c>
      <c r="BR60" s="6">
        <f>日流量!BR60*24*3600/100000000</f>
        <v>1.20096</v>
      </c>
      <c r="BS60" s="6">
        <f>日流量!BS60*24*3600/100000000</f>
        <v>1.1750400000000001</v>
      </c>
      <c r="BT60" s="6">
        <f>日流量!BT60*24*3600/100000000</f>
        <v>1.2441599999999999</v>
      </c>
      <c r="BU60" s="6">
        <f>日流量!BU60*24*3600/100000000</f>
        <v>1.1491199999999999</v>
      </c>
      <c r="BV60" s="6">
        <f>日流量!BV60*24*3600/100000000</f>
        <v>1.13184</v>
      </c>
      <c r="BW60" s="6">
        <f>日流量!BW60*24*3600/100000000</f>
        <v>1.10592</v>
      </c>
      <c r="BX60" s="6">
        <f>日流量!BX60*24*3600/100000000</f>
        <v>1.11456</v>
      </c>
      <c r="BY60" s="6">
        <f>日流量!BY60*24*3600/100000000</f>
        <v>1.1664000000000001</v>
      </c>
      <c r="BZ60" s="6">
        <f>日流量!BZ60*24*3600/100000000</f>
        <v>1.2441599999999999</v>
      </c>
      <c r="CA60" s="6">
        <f>日流量!CA60*24*3600/100000000</f>
        <v>1.1750400000000001</v>
      </c>
      <c r="CB60" s="6">
        <f>日流量!CB60*24*3600/100000000</f>
        <v>1.1577599999999999</v>
      </c>
      <c r="CC60" s="6">
        <f>日流量!CC60*24*3600/100000000</f>
        <v>1.1232</v>
      </c>
      <c r="CD60" s="6">
        <f>日流量!CD60*24*3600/100000000</f>
        <v>1.1750400000000001</v>
      </c>
      <c r="CE60" s="6">
        <f>日流量!CE60*24*3600/100000000</f>
        <v>1.2096</v>
      </c>
      <c r="CF60" s="6">
        <f>日流量!CF60*24*3600/100000000</f>
        <v>1.11456</v>
      </c>
      <c r="CG60" s="6">
        <f>日流量!CG60*24*3600/100000000</f>
        <v>1.0886400000000001</v>
      </c>
      <c r="CH60" s="6">
        <f>日流量!CH60*24*3600/100000000</f>
        <v>1.10592</v>
      </c>
      <c r="CI60" s="6">
        <f>日流量!CI60*24*3600/100000000</f>
        <v>1.13184</v>
      </c>
      <c r="CJ60" s="6">
        <f>日流量!CJ60*24*3600/100000000</f>
        <v>1.1836800000000001</v>
      </c>
      <c r="CK60" s="6">
        <f>日流量!CK60*24*3600/100000000</f>
        <v>1.0627200000000001</v>
      </c>
      <c r="CL60" s="6">
        <f>日流量!CL60*24*3600/100000000</f>
        <v>0.98495999999999995</v>
      </c>
      <c r="CM60" s="6">
        <f>日流量!CM60*24*3600/100000000</f>
        <v>0.97631999999999997</v>
      </c>
      <c r="CN60" s="6">
        <f>日流量!CN60*24*3600/100000000</f>
        <v>1.0454399999999999</v>
      </c>
      <c r="CO60" s="6">
        <f>日流量!CO60*24*3600/100000000</f>
        <v>1.0540799999999999</v>
      </c>
      <c r="CP60" s="6">
        <f>日流量!CP60*24*3600/100000000</f>
        <v>1.0540799999999999</v>
      </c>
      <c r="CQ60" s="6">
        <f>日流量!CQ60*24*3600/100000000</f>
        <v>1.10592</v>
      </c>
      <c r="CR60" s="6">
        <f>日流量!CR60*24*3600/100000000</f>
        <v>1.2787200000000001</v>
      </c>
      <c r="CS60" s="6">
        <f>日流量!CS60*24*3600/100000000</f>
        <v>1.3478399999999999</v>
      </c>
      <c r="CT60" s="6">
        <f>日流量!CT60*24*3600/100000000</f>
        <v>1.49472</v>
      </c>
      <c r="CU60" s="6">
        <f>日流量!CU60*24*3600/100000000</f>
        <v>1.4515199999999999</v>
      </c>
      <c r="CV60" s="6">
        <f>日流量!CV60*24*3600/100000000</f>
        <v>1.21824</v>
      </c>
      <c r="CW60" s="6">
        <f>日流量!CW60*24*3600/100000000</f>
        <v>1.1664000000000001</v>
      </c>
      <c r="CX60" s="6">
        <f>日流量!CX60*24*3600/100000000</f>
        <v>1.1750400000000001</v>
      </c>
      <c r="CY60" s="6">
        <f>日流量!CY60*24*3600/100000000</f>
        <v>1.13184</v>
      </c>
      <c r="CZ60" s="6">
        <f>日流量!CZ60*24*3600/100000000</f>
        <v>1.0886400000000001</v>
      </c>
      <c r="DA60" s="6">
        <f>日流量!DA60*24*3600/100000000</f>
        <v>1.08</v>
      </c>
      <c r="DB60" s="6">
        <f>日流量!DB60*24*3600/100000000</f>
        <v>1.1836800000000001</v>
      </c>
      <c r="DC60" s="6">
        <f>日流量!DC60*24*3600/100000000</f>
        <v>1.22688</v>
      </c>
      <c r="DD60" s="6">
        <f>日流量!DD60*24*3600/100000000</f>
        <v>1.2614399999999999</v>
      </c>
      <c r="DE60" s="6">
        <f>日流量!DE60*24*3600/100000000</f>
        <v>1.19232</v>
      </c>
      <c r="DF60" s="6">
        <f>日流量!DF60*24*3600/100000000</f>
        <v>1.1750400000000001</v>
      </c>
      <c r="DG60" s="6">
        <f>日流量!DG60*24*3600/100000000</f>
        <v>1.20096</v>
      </c>
      <c r="DH60" s="6">
        <f>日流量!DH60*24*3600/100000000</f>
        <v>1.19232</v>
      </c>
      <c r="DI60" s="6">
        <f>日流量!DI60*24*3600/100000000</f>
        <v>1.1404799999999999</v>
      </c>
      <c r="DJ60" s="6">
        <f>日流量!DJ60*24*3600/100000000</f>
        <v>1.10592</v>
      </c>
      <c r="DK60" s="6">
        <f>日流量!DK60*24*3600/100000000</f>
        <v>1.00224</v>
      </c>
      <c r="DL60" s="6">
        <f>日流量!DL60*24*3600/100000000</f>
        <v>1.00224</v>
      </c>
      <c r="DM60" s="6">
        <f>日流量!DM60*24*3600/100000000</f>
        <v>0.95040000000000002</v>
      </c>
      <c r="DN60" s="6">
        <f>日流量!DN60*24*3600/100000000</f>
        <v>0.93311999999999995</v>
      </c>
      <c r="DO60" s="6">
        <f>日流量!DO60*24*3600/100000000</f>
        <v>1.11456</v>
      </c>
      <c r="DP60" s="6">
        <f>日流量!DP60*24*3600/100000000</f>
        <v>1.21824</v>
      </c>
      <c r="DQ60" s="6">
        <f>日流量!DQ60*24*3600/100000000</f>
        <v>1.22688</v>
      </c>
      <c r="DR60" s="6">
        <f>日流量!DR60*24*3600/100000000</f>
        <v>1.32192</v>
      </c>
      <c r="DS60" s="6">
        <f>日流量!DS60*24*3600/100000000</f>
        <v>1.22688</v>
      </c>
      <c r="DT60" s="6">
        <f>日流量!DT60*24*3600/100000000</f>
        <v>1.2614399999999999</v>
      </c>
      <c r="DU60" s="6">
        <f>日流量!DU60*24*3600/100000000</f>
        <v>1.3391999999999999</v>
      </c>
      <c r="DV60" s="6">
        <f>日流量!DV60*24*3600/100000000</f>
        <v>1.4774400000000001</v>
      </c>
      <c r="DW60" s="6">
        <f>日流量!DW60*24*3600/100000000</f>
        <v>1.2096</v>
      </c>
      <c r="DX60" s="6">
        <f>日流量!DX60*24*3600/100000000</f>
        <v>1.6588799999999999</v>
      </c>
      <c r="DY60" s="6">
        <f>日流量!DY60*24*3600/100000000</f>
        <v>1.80576</v>
      </c>
      <c r="DZ60" s="6">
        <f>日流量!DZ60*24*3600/100000000</f>
        <v>1.7452799999999999</v>
      </c>
      <c r="EA60" s="6">
        <f>日流量!EA60*24*3600/100000000</f>
        <v>1.9526399999999999</v>
      </c>
      <c r="EB60" s="6">
        <f>日流量!EB60*24*3600/100000000</f>
        <v>1.7539199999999999</v>
      </c>
      <c r="EC60" s="6">
        <f>日流量!EC60*24*3600/100000000</f>
        <v>1.53792</v>
      </c>
      <c r="ED60" s="6">
        <f>日流量!ED60*24*3600/100000000</f>
        <v>1.3391999999999999</v>
      </c>
      <c r="EE60" s="6">
        <f>日流量!EE60*24*3600/100000000</f>
        <v>1.1836800000000001</v>
      </c>
      <c r="EF60" s="6">
        <f>日流量!EF60*24*3600/100000000</f>
        <v>1.3737600000000001</v>
      </c>
      <c r="EG60" s="6">
        <f>日流量!EG60*24*3600/100000000</f>
        <v>1.82304</v>
      </c>
      <c r="EH60" s="6">
        <f>日流量!EH60*24*3600/100000000</f>
        <v>1.8575999999999999</v>
      </c>
      <c r="EI60" s="6">
        <f>日流量!EI60*24*3600/100000000</f>
        <v>2.0735999999999999</v>
      </c>
      <c r="EJ60" s="6">
        <f>日流量!EJ60*24*3600/100000000</f>
        <v>2.73888</v>
      </c>
      <c r="EK60" s="6">
        <f>日流量!EK60*24*3600/100000000</f>
        <v>3.1103999999999998</v>
      </c>
      <c r="EL60" s="6">
        <f>日流量!EL60*24*3600/100000000</f>
        <v>3.4905599999999999</v>
      </c>
      <c r="EM60" s="6">
        <f>日流量!EM60*24*3600/100000000</f>
        <v>3.024</v>
      </c>
      <c r="EN60" s="6">
        <f>日流量!EN60*24*3600/100000000</f>
        <v>2.8771200000000001</v>
      </c>
      <c r="EO60" s="6">
        <f>日流量!EO60*24*3600/100000000</f>
        <v>2.73888</v>
      </c>
      <c r="EP60" s="6">
        <f>日流量!EP60*24*3600/100000000</f>
        <v>2.5055999999999998</v>
      </c>
      <c r="EQ60" s="6">
        <f>日流量!EQ60*24*3600/100000000</f>
        <v>2.4537599999999999</v>
      </c>
      <c r="ER60" s="6">
        <f>日流量!ER60*24*3600/100000000</f>
        <v>2.60928</v>
      </c>
      <c r="ES60" s="6">
        <f>日流量!ES60*24*3600/100000000</f>
        <v>2.5488</v>
      </c>
      <c r="ET60" s="6">
        <f>日流量!ET60*24*3600/100000000</f>
        <v>2.7302399999999998</v>
      </c>
      <c r="EU60" s="6">
        <f>日流量!EU60*24*3600/100000000</f>
        <v>2.81664</v>
      </c>
      <c r="EV60" s="6">
        <f>日流量!EV60*24*3600/100000000</f>
        <v>2.7734399999999999</v>
      </c>
      <c r="EW60" s="6">
        <f>日流量!EW60*24*3600/100000000</f>
        <v>2.7043200000000001</v>
      </c>
      <c r="EX60" s="6">
        <f>日流量!EX60*24*3600/100000000</f>
        <v>2.6179199999999998</v>
      </c>
      <c r="EY60" s="6">
        <f>日流量!EY60*24*3600/100000000</f>
        <v>2.5574400000000002</v>
      </c>
      <c r="EZ60" s="6">
        <f>日流量!EZ60*24*3600/100000000</f>
        <v>2.3328000000000002</v>
      </c>
      <c r="FA60" s="6">
        <f>日流量!FA60*24*3600/100000000</f>
        <v>2.2031999999999998</v>
      </c>
      <c r="FB60" s="6">
        <f>日流量!FB60*24*3600/100000000</f>
        <v>2.0476800000000002</v>
      </c>
      <c r="FC60" s="6">
        <f>日流量!FC60*24*3600/100000000</f>
        <v>2.1686399999999999</v>
      </c>
      <c r="FD60" s="6">
        <f>日流量!FD60*24*3600/100000000</f>
        <v>2.1686399999999999</v>
      </c>
      <c r="FE60" s="6">
        <f>日流量!FE60*24*3600/100000000</f>
        <v>2.16</v>
      </c>
      <c r="FF60" s="6">
        <f>日流量!FF60*24*3600/100000000</f>
        <v>2.02176</v>
      </c>
      <c r="FG60" s="6">
        <f>日流量!FG60*24*3600/100000000</f>
        <v>1.9699199999999999</v>
      </c>
      <c r="FH60" s="6">
        <f>日流量!FH60*24*3600/100000000</f>
        <v>1.9872000000000001</v>
      </c>
      <c r="FI60" s="6">
        <f>日流量!FI60*24*3600/100000000</f>
        <v>2.02176</v>
      </c>
      <c r="FJ60" s="6">
        <f>日流量!FJ60*24*3600/100000000</f>
        <v>2.3587199999999999</v>
      </c>
      <c r="FK60" s="6">
        <f>日流量!FK60*24*3600/100000000</f>
        <v>2.5488</v>
      </c>
      <c r="FL60" s="6">
        <f>日流量!FL60*24*3600/100000000</f>
        <v>2.5488</v>
      </c>
      <c r="FM60" s="6">
        <f>日流量!FM60*24*3600/100000000</f>
        <v>2.5833599999999999</v>
      </c>
      <c r="FN60" s="6">
        <f>日流量!FN60*24*3600/100000000</f>
        <v>2.3932799999999999</v>
      </c>
      <c r="FO60" s="6">
        <f>日流量!FO60*24*3600/100000000</f>
        <v>2.0649600000000001</v>
      </c>
      <c r="FP60" s="6">
        <f>日流量!FP60*24*3600/100000000</f>
        <v>2.02176</v>
      </c>
      <c r="FQ60" s="6">
        <f>日流量!FQ60*24*3600/100000000</f>
        <v>1.92672</v>
      </c>
      <c r="FR60" s="6">
        <f>日流量!FR60*24*3600/100000000</f>
        <v>1.8835200000000001</v>
      </c>
      <c r="FS60" s="6">
        <f>日流量!FS60*24*3600/100000000</f>
        <v>2.1081599999999998</v>
      </c>
      <c r="FT60" s="6">
        <f>日流量!FT60*24*3600/100000000</f>
        <v>2.21184</v>
      </c>
      <c r="FU60" s="6">
        <f>日流量!FU60*24*3600/100000000</f>
        <v>2.2896000000000001</v>
      </c>
      <c r="FV60" s="6">
        <f>日流量!FV60*24*3600/100000000</f>
        <v>2.5747200000000001</v>
      </c>
      <c r="FW60" s="6">
        <f>日流量!FW60*24*3600/100000000</f>
        <v>3.4992000000000001</v>
      </c>
      <c r="FX60" s="6">
        <f>日流量!FX60*24*3600/100000000</f>
        <v>3.9312</v>
      </c>
      <c r="FY60" s="6">
        <f>日流量!FY60*24*3600/100000000</f>
        <v>4.0521599999999998</v>
      </c>
      <c r="FZ60" s="6">
        <f>日流量!FZ60*24*3600/100000000</f>
        <v>3.9139200000000001</v>
      </c>
      <c r="GA60" s="6">
        <f>日流量!GA60*24*3600/100000000</f>
        <v>3.6115200000000001</v>
      </c>
      <c r="GB60" s="6">
        <f>日流量!GB60*24*3600/100000000</f>
        <v>3.6201599999999998</v>
      </c>
      <c r="GC60" s="6">
        <f>日流量!GC60*24*3600/100000000</f>
        <v>3.5942400000000001</v>
      </c>
      <c r="GD60" s="6">
        <f>日流量!GD60*24*3600/100000000</f>
        <v>3.2572800000000002</v>
      </c>
      <c r="GE60" s="6">
        <f>日流量!GE60*24*3600/100000000</f>
        <v>2.8684799999999999</v>
      </c>
      <c r="GF60" s="6">
        <f>日流量!GF60*24*3600/100000000</f>
        <v>2.94624</v>
      </c>
      <c r="GG60" s="6">
        <f>日流量!GG60*24*3600/100000000</f>
        <v>2.92896</v>
      </c>
      <c r="GH60" s="6">
        <f>日流量!GH60*24*3600/100000000</f>
        <v>3.0326399999999998</v>
      </c>
      <c r="GI60" s="6">
        <f>日流量!GI60*24*3600/100000000</f>
        <v>3.1708799999999999</v>
      </c>
      <c r="GJ60" s="6">
        <f>日流量!GJ60*24*3600/100000000</f>
        <v>3.21408</v>
      </c>
      <c r="GK60" s="6">
        <f>日流量!GK60*24*3600/100000000</f>
        <v>3.3350399999999998</v>
      </c>
      <c r="GL60" s="6">
        <f>日流量!GL60*24*3600/100000000</f>
        <v>3.6288</v>
      </c>
      <c r="GM60" s="6">
        <f>日流量!GM60*24*3600/100000000</f>
        <v>4.0089600000000001</v>
      </c>
      <c r="GN60" s="6">
        <f>日流量!GN60*24*3600/100000000</f>
        <v>4.1040000000000001</v>
      </c>
      <c r="GO60" s="6">
        <f>日流量!GO60*24*3600/100000000</f>
        <v>4.32</v>
      </c>
      <c r="GP60" s="6">
        <f>日流量!GP60*24*3600/100000000</f>
        <v>4.7347200000000003</v>
      </c>
      <c r="GQ60" s="6">
        <f>日流量!GQ60*24*3600/100000000</f>
        <v>4.8124799999999999</v>
      </c>
      <c r="GR60" s="6">
        <f>日流量!GR60*24*3600/100000000</f>
        <v>4.6137600000000001</v>
      </c>
      <c r="GS60" s="6">
        <f>日流量!GS60*24*3600/100000000</f>
        <v>4.4063999999999997</v>
      </c>
      <c r="GT60" s="6">
        <f>日流量!GT60*24*3600/100000000</f>
        <v>4.55328</v>
      </c>
      <c r="GU60" s="6">
        <f>日流量!GU60*24*3600/100000000</f>
        <v>4.8902400000000004</v>
      </c>
      <c r="GV60" s="6">
        <f>日流量!GV60*24*3600/100000000</f>
        <v>5.7715199999999998</v>
      </c>
      <c r="GW60" s="6">
        <f>日流量!GW60*24*3600/100000000</f>
        <v>5.9615999999999998</v>
      </c>
      <c r="GX60" s="6">
        <f>日流量!GX60*24*3600/100000000</f>
        <v>6.8428800000000001</v>
      </c>
      <c r="GY60" s="6">
        <f>日流量!GY60*24*3600/100000000</f>
        <v>10.8</v>
      </c>
      <c r="GZ60" s="6">
        <f>日流量!GZ60*24*3600/100000000</f>
        <v>13.219200000000001</v>
      </c>
      <c r="HA60" s="6">
        <f>日流量!HA60*24*3600/100000000</f>
        <v>13.5648</v>
      </c>
      <c r="HB60" s="6">
        <f>日流量!HB60*24*3600/100000000</f>
        <v>12.009600000000001</v>
      </c>
      <c r="HC60" s="6">
        <f>日流量!HC60*24*3600/100000000</f>
        <v>9.9359999999999999</v>
      </c>
      <c r="HD60" s="6">
        <f>日流量!HD60*24*3600/100000000</f>
        <v>7.7932800000000002</v>
      </c>
      <c r="HE60" s="6">
        <f>日流量!HE60*24*3600/100000000</f>
        <v>7.0761599999999998</v>
      </c>
      <c r="HF60" s="6">
        <f>日流量!HF60*24*3600/100000000</f>
        <v>6.8169599999999999</v>
      </c>
      <c r="HG60" s="6">
        <f>日流量!HG60*24*3600/100000000</f>
        <v>6.7219199999999999</v>
      </c>
      <c r="HH60" s="6">
        <f>日流量!HH60*24*3600/100000000</f>
        <v>7.6204799999999997</v>
      </c>
      <c r="HI60" s="6">
        <f>日流量!HI60*24*3600/100000000</f>
        <v>9.3312000000000008</v>
      </c>
      <c r="HJ60" s="6">
        <f>日流量!HJ60*24*3600/100000000</f>
        <v>8.8992000000000004</v>
      </c>
      <c r="HK60" s="6">
        <f>日流量!HK60*24*3600/100000000</f>
        <v>8.08704</v>
      </c>
      <c r="HL60" s="6">
        <f>日流量!HL60*24*3600/100000000</f>
        <v>7.2316799999999999</v>
      </c>
      <c r="HM60" s="6">
        <f>日流量!HM60*24*3600/100000000</f>
        <v>6.2380800000000001</v>
      </c>
      <c r="HN60" s="6">
        <f>日流量!HN60*24*3600/100000000</f>
        <v>4.9766399999999997</v>
      </c>
      <c r="HO60" s="6">
        <f>日流量!HO60*24*3600/100000000</f>
        <v>4.8384</v>
      </c>
      <c r="HP60" s="6">
        <f>日流量!HP60*24*3600/100000000</f>
        <v>4.93344</v>
      </c>
      <c r="HQ60" s="6">
        <f>日流量!HQ60*24*3600/100000000</f>
        <v>5.5036800000000001</v>
      </c>
      <c r="HR60" s="6">
        <f>日流量!HR60*24*3600/100000000</f>
        <v>5.3395200000000003</v>
      </c>
      <c r="HS60" s="6">
        <f>日流量!HS60*24*3600/100000000</f>
        <v>5.4950400000000004</v>
      </c>
      <c r="HT60" s="6">
        <f>日流量!HT60*24*3600/100000000</f>
        <v>5.7888000000000002</v>
      </c>
      <c r="HU60" s="6">
        <f>日流量!HU60*24*3600/100000000</f>
        <v>6.3417599999999998</v>
      </c>
      <c r="HV60" s="6">
        <f>日流量!HV60*24*3600/100000000</f>
        <v>6.4108799999999997</v>
      </c>
      <c r="HW60" s="6">
        <f>日流量!HW60*24*3600/100000000</f>
        <v>6.1430400000000001</v>
      </c>
      <c r="HX60" s="6">
        <f>日流量!HX60*24*3600/100000000</f>
        <v>6.2294400000000003</v>
      </c>
      <c r="HY60" s="6">
        <f>日流量!HY60*24*3600/100000000</f>
        <v>6.2121599999999999</v>
      </c>
      <c r="HZ60" s="6">
        <f>日流量!HZ60*24*3600/100000000</f>
        <v>5.8752000000000004</v>
      </c>
      <c r="IA60" s="6">
        <f>日流量!IA60*24*3600/100000000</f>
        <v>5.6246400000000003</v>
      </c>
      <c r="IB60" s="6">
        <f>日流量!IB60*24*3600/100000000</f>
        <v>5.4950400000000004</v>
      </c>
      <c r="IC60" s="6">
        <f>日流量!IC60*24*3600/100000000</f>
        <v>5.5814399999999997</v>
      </c>
      <c r="ID60" s="6">
        <f>日流量!ID60*24*3600/100000000</f>
        <v>5.4863999999999997</v>
      </c>
      <c r="IE60" s="6">
        <f>日流量!IE60*24*3600/100000000</f>
        <v>5.3913599999999997</v>
      </c>
      <c r="IF60" s="6">
        <f>日流量!IF60*24*3600/100000000</f>
        <v>5.4863999999999997</v>
      </c>
      <c r="IG60" s="6">
        <f>日流量!IG60*24*3600/100000000</f>
        <v>5.8752000000000004</v>
      </c>
      <c r="IH60" s="6">
        <f>日流量!IH60*24*3600/100000000</f>
        <v>6.1084800000000001</v>
      </c>
      <c r="II60" s="6">
        <f>日流量!II60*24*3600/100000000</f>
        <v>6.2640000000000002</v>
      </c>
      <c r="IJ60" s="6">
        <f>日流量!IJ60*24*3600/100000000</f>
        <v>6.1862399999999997</v>
      </c>
      <c r="IK60" s="6">
        <f>日流量!IK60*24*3600/100000000</f>
        <v>5.9184000000000001</v>
      </c>
      <c r="IL60" s="6">
        <f>日流量!IL60*24*3600/100000000</f>
        <v>5.5468799999999998</v>
      </c>
      <c r="IM60" s="6">
        <f>日流量!IM60*24*3600/100000000</f>
        <v>6.1948800000000004</v>
      </c>
      <c r="IN60" s="6">
        <f>日流量!IN60*24*3600/100000000</f>
        <v>6.6355199999999996</v>
      </c>
      <c r="IO60" s="6">
        <f>日流量!IO60*24*3600/100000000</f>
        <v>7.70688</v>
      </c>
      <c r="IP60" s="6">
        <f>日流量!IP60*24*3600/100000000</f>
        <v>8.27712</v>
      </c>
      <c r="IQ60" s="6">
        <f>日流量!IQ60*24*3600/100000000</f>
        <v>9.0719999999999992</v>
      </c>
      <c r="IR60" s="6">
        <f>日流量!IR60*24*3600/100000000</f>
        <v>9.1584000000000003</v>
      </c>
      <c r="IS60" s="6">
        <f>日流量!IS60*24*3600/100000000</f>
        <v>8.8127999999999993</v>
      </c>
      <c r="IT60" s="6">
        <f>日流量!IT60*24*3600/100000000</f>
        <v>8.3808000000000007</v>
      </c>
      <c r="IU60" s="6">
        <f>日流量!IU60*24*3600/100000000</f>
        <v>7.8105599999999997</v>
      </c>
      <c r="IV60" s="6">
        <f>日流量!IV60*24*3600/100000000</f>
        <v>7.5686400000000003</v>
      </c>
      <c r="IW60" s="6">
        <f>日流量!IW60*24*3600/100000000</f>
        <v>8.8127999999999993</v>
      </c>
      <c r="IX60" s="6">
        <f>日流量!IX60*24*3600/100000000</f>
        <v>9.6768000000000001</v>
      </c>
      <c r="IY60" s="6">
        <f>日流量!IY60*24*3600/100000000</f>
        <v>11.1456</v>
      </c>
      <c r="IZ60" s="6">
        <f>日流量!IZ60*24*3600/100000000</f>
        <v>13.1328</v>
      </c>
      <c r="JA60" s="6">
        <f>日流量!JA60*24*3600/100000000</f>
        <v>12.6144</v>
      </c>
      <c r="JB60" s="6">
        <f>日流量!JB60*24*3600/100000000</f>
        <v>12.182399999999999</v>
      </c>
      <c r="JC60" s="6">
        <f>日流量!JC60*24*3600/100000000</f>
        <v>11.8368</v>
      </c>
      <c r="JD60" s="6">
        <f>日流量!JD60*24*3600/100000000</f>
        <v>9.9359999999999999</v>
      </c>
      <c r="JE60" s="6">
        <f>日流量!JE60*24*3600/100000000</f>
        <v>8.8127999999999993</v>
      </c>
      <c r="JF60" s="6">
        <f>日流量!JF60*24*3600/100000000</f>
        <v>8.3030399999999993</v>
      </c>
      <c r="JG60" s="6">
        <f>日流量!JG60*24*3600/100000000</f>
        <v>7.7759999999999998</v>
      </c>
      <c r="JH60" s="6">
        <f>日流量!JH60*24*3600/100000000</f>
        <v>6.8342400000000003</v>
      </c>
      <c r="JI60" s="6">
        <f>日流量!JI60*24*3600/100000000</f>
        <v>6.1084800000000001</v>
      </c>
      <c r="JJ60" s="6">
        <f>日流量!JJ60*24*3600/100000000</f>
        <v>6.2294400000000003</v>
      </c>
      <c r="JK60" s="6">
        <f>日流量!JK60*24*3600/100000000</f>
        <v>6.1257599999999996</v>
      </c>
      <c r="JL60" s="6">
        <f>日流量!JL60*24*3600/100000000</f>
        <v>5.4432</v>
      </c>
      <c r="JM60" s="6">
        <f>日流量!JM60*24*3600/100000000</f>
        <v>4.968</v>
      </c>
      <c r="JN60" s="6">
        <f>日流量!JN60*24*3600/100000000</f>
        <v>4.968</v>
      </c>
      <c r="JO60" s="6">
        <f>日流量!JO60*24*3600/100000000</f>
        <v>4.9075199999999999</v>
      </c>
      <c r="JP60" s="6">
        <f>日流量!JP60*24*3600/100000000</f>
        <v>4.7174399999999999</v>
      </c>
      <c r="JQ60" s="6">
        <f>日流量!JQ60*24*3600/100000000</f>
        <v>4.6656000000000004</v>
      </c>
      <c r="JR60" s="6">
        <f>日流量!JR60*24*3600/100000000</f>
        <v>4.5705600000000004</v>
      </c>
      <c r="JS60" s="6">
        <f>日流量!JS60*24*3600/100000000</f>
        <v>4.6137600000000001</v>
      </c>
      <c r="JT60" s="6">
        <f>日流量!JT60*24*3600/100000000</f>
        <v>4.6396800000000002</v>
      </c>
      <c r="JU60" s="6">
        <f>日流量!JU60*24*3600/100000000</f>
        <v>4.5187200000000001</v>
      </c>
      <c r="JV60" s="6">
        <f>日流量!JV60*24*3600/100000000</f>
        <v>4.4496000000000002</v>
      </c>
      <c r="JW60" s="6">
        <f>日流量!JW60*24*3600/100000000</f>
        <v>4.3545600000000002</v>
      </c>
      <c r="JX60" s="6">
        <f>日流量!JX60*24*3600/100000000</f>
        <v>4.2595200000000002</v>
      </c>
      <c r="JY60" s="6">
        <f>日流量!JY60*24*3600/100000000</f>
        <v>4.2422399999999998</v>
      </c>
      <c r="JZ60" s="6">
        <f>日流量!JZ60*24*3600/100000000</f>
        <v>4.32</v>
      </c>
      <c r="KA60" s="6">
        <f>日流量!KA60*24*3600/100000000</f>
        <v>4.3459199999999996</v>
      </c>
      <c r="KB60" s="6">
        <f>日流量!KB60*24*3600/100000000</f>
        <v>4.4927999999999999</v>
      </c>
      <c r="KC60" s="6">
        <f>日流量!KC60*24*3600/100000000</f>
        <v>4.4755200000000004</v>
      </c>
      <c r="KD60" s="6">
        <f>日流量!KD60*24*3600/100000000</f>
        <v>4.4063999999999997</v>
      </c>
      <c r="KE60" s="6">
        <f>日流量!KE60*24*3600/100000000</f>
        <v>4.3545600000000002</v>
      </c>
      <c r="KF60" s="6">
        <f>日流量!KF60*24*3600/100000000</f>
        <v>4.3459199999999996</v>
      </c>
      <c r="KG60" s="6">
        <f>日流量!KG60*24*3600/100000000</f>
        <v>4.3804800000000004</v>
      </c>
      <c r="KH60" s="6">
        <f>日流量!KH60*24*3600/100000000</f>
        <v>4.4150400000000003</v>
      </c>
      <c r="KI60" s="6">
        <f>日流量!KI60*24*3600/100000000</f>
        <v>4.4323199999999998</v>
      </c>
      <c r="KJ60" s="6">
        <f>日流量!KJ60*24*3600/100000000</f>
        <v>4.1904000000000003</v>
      </c>
      <c r="KK60" s="6">
        <f>日流量!KK60*24*3600/100000000</f>
        <v>4.2163199999999996</v>
      </c>
      <c r="KL60" s="6">
        <f>日流量!KL60*24*3600/100000000</f>
        <v>4.26816</v>
      </c>
      <c r="KM60" s="6">
        <f>日流量!KM60*24*3600/100000000</f>
        <v>4.2249600000000003</v>
      </c>
      <c r="KN60" s="6">
        <f>日流量!KN60*24*3600/100000000</f>
        <v>4.0780799999999999</v>
      </c>
      <c r="KO60" s="6">
        <f>日流量!KO60*24*3600/100000000</f>
        <v>3.9398399999999998</v>
      </c>
      <c r="KP60" s="6">
        <f>日流量!KP60*24*3600/100000000</f>
        <v>3.6806399999999999</v>
      </c>
      <c r="KQ60" s="6">
        <f>日流量!KQ60*24*3600/100000000</f>
        <v>3.6115200000000001</v>
      </c>
      <c r="KR60" s="6">
        <f>日流量!KR60*24*3600/100000000</f>
        <v>3.3264</v>
      </c>
      <c r="KS60" s="6">
        <f>日流量!KS60*24*3600/100000000</f>
        <v>3.0672000000000001</v>
      </c>
      <c r="KT60" s="6">
        <f>日流量!KT60*24*3600/100000000</f>
        <v>2.8771200000000001</v>
      </c>
      <c r="KU60" s="6">
        <f>日流量!KU60*24*3600/100000000</f>
        <v>2.83392</v>
      </c>
      <c r="KV60" s="6">
        <f>日流量!KV60*24*3600/100000000</f>
        <v>2.6179199999999998</v>
      </c>
      <c r="KW60" s="6">
        <f>日流量!KW60*24*3600/100000000</f>
        <v>2.5747200000000001</v>
      </c>
      <c r="KX60" s="6">
        <f>日流量!KX60*24*3600/100000000</f>
        <v>2.7216</v>
      </c>
      <c r="KY60" s="6">
        <f>日流量!KY60*24*3600/100000000</f>
        <v>2.6783999999999999</v>
      </c>
      <c r="KZ60" s="6">
        <f>日流量!KZ60*24*3600/100000000</f>
        <v>2.7216</v>
      </c>
      <c r="LA60" s="6">
        <f>日流量!LA60*24*3600/100000000</f>
        <v>2.73888</v>
      </c>
      <c r="LB60" s="6">
        <f>日流量!LB60*24*3600/100000000</f>
        <v>2.64384</v>
      </c>
      <c r="LC60" s="6">
        <f>日流量!LC60*24*3600/100000000</f>
        <v>2.4969600000000001</v>
      </c>
      <c r="LD60" s="6">
        <f>日流量!LD60*24*3600/100000000</f>
        <v>2.6006399999999998</v>
      </c>
      <c r="LE60" s="6">
        <f>日流量!LE60*24*3600/100000000</f>
        <v>2.64384</v>
      </c>
      <c r="LF60" s="6">
        <f>日流量!LF60*24*3600/100000000</f>
        <v>2.64384</v>
      </c>
      <c r="LG60" s="6">
        <f>日流量!LG60*24*3600/100000000</f>
        <v>2.5228799999999998</v>
      </c>
      <c r="LH60" s="6">
        <f>日流量!LH60*24*3600/100000000</f>
        <v>2.5747200000000001</v>
      </c>
      <c r="LI60" s="6">
        <f>日流量!LI60*24*3600/100000000</f>
        <v>2.6179199999999998</v>
      </c>
      <c r="LJ60" s="6">
        <f>日流量!LJ60*24*3600/100000000</f>
        <v>2.5747200000000001</v>
      </c>
      <c r="LK60" s="6">
        <f>日流量!LK60*24*3600/100000000</f>
        <v>2.30688</v>
      </c>
      <c r="LL60" s="6">
        <f>日流量!LL60*24*3600/100000000</f>
        <v>2.2982399999999998</v>
      </c>
      <c r="LM60" s="6">
        <f>日流量!LM60*24*3600/100000000</f>
        <v>2.3155199999999998</v>
      </c>
      <c r="LN60" s="6">
        <f>日流量!LN60*24*3600/100000000</f>
        <v>2.4105599999999998</v>
      </c>
      <c r="LO60" s="6">
        <f>日流量!LO60*24*3600/100000000</f>
        <v>2.34144</v>
      </c>
      <c r="LP60" s="6">
        <f>日流量!LP60*24*3600/100000000</f>
        <v>2.30688</v>
      </c>
      <c r="LQ60" s="6">
        <f>日流量!LQ60*24*3600/100000000</f>
        <v>2.21184</v>
      </c>
      <c r="LR60" s="6">
        <f>日流量!LR60*24*3600/100000000</f>
        <v>2.1686399999999999</v>
      </c>
      <c r="LS60" s="6">
        <f>日流量!LS60*24*3600/100000000</f>
        <v>2.0649600000000001</v>
      </c>
      <c r="LT60" s="6">
        <f>日流量!LT60*24*3600/100000000</f>
        <v>1.9958400000000001</v>
      </c>
      <c r="LU60" s="6">
        <f>日流量!LU60*24*3600/100000000</f>
        <v>1.8921600000000001</v>
      </c>
      <c r="LV60" s="6">
        <f>日流量!LV60*24*3600/100000000</f>
        <v>1.83168</v>
      </c>
      <c r="LW60" s="6">
        <f>日流量!LW60*24*3600/100000000</f>
        <v>1.84032</v>
      </c>
      <c r="LX60" s="6">
        <f>日流量!LX60*24*3600/100000000</f>
        <v>2.0304000000000002</v>
      </c>
      <c r="LY60" s="6">
        <f>日流量!LY60*24*3600/100000000</f>
        <v>1.8748800000000001</v>
      </c>
      <c r="LZ60" s="6">
        <f>日流量!LZ60*24*3600/100000000</f>
        <v>1.8662399999999999</v>
      </c>
      <c r="MA60" s="6">
        <f>日流量!MA60*24*3600/100000000</f>
        <v>1.7452799999999999</v>
      </c>
      <c r="MB60" s="6">
        <f>日流量!MB60*24*3600/100000000</f>
        <v>1.8835200000000001</v>
      </c>
      <c r="MC60" s="6">
        <f>日流量!MC60*24*3600/100000000</f>
        <v>1.9008</v>
      </c>
      <c r="MD60" s="6">
        <f>日流量!MD60*24*3600/100000000</f>
        <v>1.7971200000000001</v>
      </c>
      <c r="ME60" s="6">
        <f>日流量!ME60*24*3600/100000000</f>
        <v>1.61568</v>
      </c>
      <c r="MF60" s="6">
        <f>日流量!MF60*24*3600/100000000</f>
        <v>1.70208</v>
      </c>
      <c r="MG60" s="6">
        <f>日流量!MG60*24*3600/100000000</f>
        <v>1.6848000000000001</v>
      </c>
      <c r="MH60" s="6">
        <f>日流量!MH60*24*3600/100000000</f>
        <v>1.63296</v>
      </c>
      <c r="MI60" s="6">
        <f>日流量!MI60*24*3600/100000000</f>
        <v>1.62432</v>
      </c>
      <c r="MJ60" s="6">
        <f>日流量!MJ60*24*3600/100000000</f>
        <v>1.71072</v>
      </c>
      <c r="MK60" s="6">
        <f>日流量!MK60*24*3600/100000000</f>
        <v>1.6848000000000001</v>
      </c>
      <c r="ML60" s="6">
        <f>日流量!ML60*24*3600/100000000</f>
        <v>1.7798400000000001</v>
      </c>
      <c r="MM60" s="6">
        <f>日流量!MM60*24*3600/100000000</f>
        <v>1.7625599999999999</v>
      </c>
      <c r="MN60" s="6">
        <f>日流量!MN60*24*3600/100000000</f>
        <v>1.7884800000000001</v>
      </c>
      <c r="MO60" s="6">
        <f>日流量!MO60*24*3600/100000000</f>
        <v>1.70208</v>
      </c>
      <c r="MP60" s="6">
        <f>日流量!MP60*24*3600/100000000</f>
        <v>1.4860800000000001</v>
      </c>
      <c r="MQ60" s="6">
        <f>日流量!MQ60*24*3600/100000000</f>
        <v>1.4688000000000001</v>
      </c>
      <c r="MR60" s="6">
        <f>日流量!MR60*24*3600/100000000</f>
        <v>1.512</v>
      </c>
      <c r="MS60" s="6">
        <f>日流量!MS60*24*3600/100000000</f>
        <v>1.4601599999999999</v>
      </c>
      <c r="MT60" s="6">
        <f>日流量!MT60*24*3600/100000000</f>
        <v>1.41696</v>
      </c>
      <c r="MU60" s="6">
        <f>日流量!MU60*24*3600/100000000</f>
        <v>1.4860800000000001</v>
      </c>
      <c r="MV60" s="6">
        <f>日流量!MV60*24*3600/100000000</f>
        <v>1.4688000000000001</v>
      </c>
      <c r="MW60" s="6">
        <f>日流量!MW60*24*3600/100000000</f>
        <v>1.5638399999999999</v>
      </c>
      <c r="MX60" s="6">
        <f>日流量!MX60*24*3600/100000000</f>
        <v>1.5465599999999999</v>
      </c>
      <c r="MY60" s="6">
        <f>日流量!MY60*24*3600/100000000</f>
        <v>1.4256</v>
      </c>
      <c r="MZ60" s="6">
        <f>日流量!MZ60*24*3600/100000000</f>
        <v>1.32192</v>
      </c>
      <c r="NA60" s="6">
        <f>日流量!NA60*24*3600/100000000</f>
        <v>1.32192</v>
      </c>
      <c r="NB60" s="6">
        <f>日流量!NB60*24*3600/100000000</f>
        <v>1.2787200000000001</v>
      </c>
      <c r="NC60" s="6"/>
      <c r="ND60" s="6">
        <f>日流量!ND60*24*3600*31/100000000</f>
        <v>43.122239999999998</v>
      </c>
      <c r="NE60" s="6">
        <f>日流量!NE60*24*3600*28/100000000</f>
        <v>32.901119999999999</v>
      </c>
      <c r="NF60" s="6">
        <f>日流量!NF60*24*3600*31/100000000</f>
        <v>34.819200000000002</v>
      </c>
      <c r="NG60" s="6">
        <f>日流量!NG60*24*3600*30/100000000</f>
        <v>34.991999999999997</v>
      </c>
      <c r="NH60" s="6">
        <f>日流量!NH60*24*3600*31/100000000</f>
        <v>65.620800000000003</v>
      </c>
      <c r="NI60" s="6">
        <f>日流量!NI60*24*3600*30/100000000</f>
        <v>74.649600000000007</v>
      </c>
      <c r="NJ60" s="6">
        <f>日流量!NJ60*24*3600*31/100000000</f>
        <v>175.70303999999999</v>
      </c>
      <c r="NK60" s="6">
        <f>日流量!NK60*24*3600*31/100000000</f>
        <v>191.50559999999999</v>
      </c>
      <c r="NL60" s="6">
        <f>日流量!NL60*24*3600*30/100000000</f>
        <v>244.94399999999999</v>
      </c>
      <c r="NM60" s="6">
        <f>日流量!NM60*24*3600*31/100000000</f>
        <v>130.43808000000001</v>
      </c>
      <c r="NN60" s="6">
        <f>日流量!NN60*24*3600*30/100000000</f>
        <v>72.316800000000001</v>
      </c>
      <c r="NO60" s="6">
        <f>日流量!NO60*24*3600*31/100000000</f>
        <v>49.818240000000003</v>
      </c>
      <c r="NP60" s="14">
        <f t="shared" si="10"/>
        <v>1150.8307199999999</v>
      </c>
      <c r="NQ60" s="6">
        <f>日流量!NQ60*24*3600/100000000</f>
        <v>13.5648</v>
      </c>
      <c r="NR60" s="4">
        <f>日流量!NR60</f>
        <v>42577</v>
      </c>
      <c r="NS60" s="6">
        <f>日流量!NS60*24*3600/100000000</f>
        <v>0.90720000000000001</v>
      </c>
      <c r="NT60" s="4">
        <f>日流量!NT60</f>
        <v>42424</v>
      </c>
      <c r="NU60" s="7">
        <f>日流量!NP60</f>
        <v>3651.7808219178082</v>
      </c>
      <c r="NW60" s="13">
        <f t="shared" si="0"/>
        <v>882.86111999999991</v>
      </c>
      <c r="NX60" s="12">
        <f t="shared" si="1"/>
        <v>76.715115842580218</v>
      </c>
      <c r="NY60" s="13">
        <f t="shared" si="2"/>
        <v>686.80223999999998</v>
      </c>
      <c r="NZ60" s="12">
        <f t="shared" si="3"/>
        <v>59.678824006366462</v>
      </c>
      <c r="OA60" s="13">
        <f t="shared" si="4"/>
        <v>267.96960000000001</v>
      </c>
      <c r="OB60" s="12">
        <f t="shared" si="5"/>
        <v>23.284884157419782</v>
      </c>
      <c r="OC60" s="13">
        <f t="shared" si="6"/>
        <v>244.94399999999999</v>
      </c>
      <c r="OD60" s="12">
        <f t="shared" si="7"/>
        <v>21.284103364915389</v>
      </c>
      <c r="OE60" s="12">
        <f t="shared" si="8"/>
        <v>268.88568224299064</v>
      </c>
      <c r="OF60" s="12">
        <f t="shared" si="9"/>
        <v>8.5263090513378561</v>
      </c>
    </row>
    <row r="61" spans="1:396" x14ac:dyDescent="0.15">
      <c r="A61" s="2">
        <v>2008</v>
      </c>
      <c r="B61" s="6">
        <f>日流量!B61*24*3600/100000000</f>
        <v>1.52928</v>
      </c>
      <c r="C61" s="6">
        <f>日流量!C61*24*3600/100000000</f>
        <v>1.6415999999999999</v>
      </c>
      <c r="D61" s="6">
        <f>日流量!D61*24*3600/100000000</f>
        <v>1.6588799999999999</v>
      </c>
      <c r="E61" s="6">
        <f>日流量!E61*24*3600/100000000</f>
        <v>1.7884800000000001</v>
      </c>
      <c r="F61" s="6">
        <f>日流量!F61*24*3600/100000000</f>
        <v>1.71072</v>
      </c>
      <c r="G61" s="6">
        <f>日流量!G61*24*3600/100000000</f>
        <v>1.71072</v>
      </c>
      <c r="H61" s="6">
        <f>日流量!H61*24*3600/100000000</f>
        <v>1.5897600000000001</v>
      </c>
      <c r="I61" s="6">
        <f>日流量!I61*24*3600/100000000</f>
        <v>1.6415999999999999</v>
      </c>
      <c r="J61" s="6">
        <f>日流量!J61*24*3600/100000000</f>
        <v>1.5811200000000001</v>
      </c>
      <c r="K61" s="6">
        <f>日流量!K61*24*3600/100000000</f>
        <v>1.5638399999999999</v>
      </c>
      <c r="L61" s="6">
        <f>日流量!L61*24*3600/100000000</f>
        <v>1.5638399999999999</v>
      </c>
      <c r="M61" s="6">
        <f>日流量!M61*24*3600/100000000</f>
        <v>1.53792</v>
      </c>
      <c r="N61" s="6">
        <f>日流量!N61*24*3600/100000000</f>
        <v>1.3564799999999999</v>
      </c>
      <c r="O61" s="6">
        <f>日流量!O61*24*3600/100000000</f>
        <v>1.3564799999999999</v>
      </c>
      <c r="P61" s="6">
        <f>日流量!P61*24*3600/100000000</f>
        <v>1.3651199999999999</v>
      </c>
      <c r="Q61" s="6">
        <f>日流量!Q61*24*3600/100000000</f>
        <v>1.2700800000000001</v>
      </c>
      <c r="R61" s="6">
        <f>日流量!R61*24*3600/100000000</f>
        <v>1.32192</v>
      </c>
      <c r="S61" s="6">
        <f>日流量!S61*24*3600/100000000</f>
        <v>1.4774400000000001</v>
      </c>
      <c r="T61" s="6">
        <f>日流量!T61*24*3600/100000000</f>
        <v>1.49472</v>
      </c>
      <c r="U61" s="6">
        <f>日流量!U61*24*3600/100000000</f>
        <v>1.52064</v>
      </c>
      <c r="V61" s="6">
        <f>日流量!V61*24*3600/100000000</f>
        <v>1.5724800000000001</v>
      </c>
      <c r="W61" s="6">
        <f>日流量!W61*24*3600/100000000</f>
        <v>1.4601599999999999</v>
      </c>
      <c r="X61" s="6">
        <f>日流量!X61*24*3600/100000000</f>
        <v>1.4256</v>
      </c>
      <c r="Y61" s="6">
        <f>日流量!Y61*24*3600/100000000</f>
        <v>1.3910400000000001</v>
      </c>
      <c r="Z61" s="6">
        <f>日流量!Z61*24*3600/100000000</f>
        <v>1.3824000000000001</v>
      </c>
      <c r="AA61" s="6">
        <f>日流量!AA61*24*3600/100000000</f>
        <v>1.43424</v>
      </c>
      <c r="AB61" s="6">
        <f>日流量!AB61*24*3600/100000000</f>
        <v>1.40832</v>
      </c>
      <c r="AC61" s="6">
        <f>日流量!AC61*24*3600/100000000</f>
        <v>1.20096</v>
      </c>
      <c r="AD61" s="6">
        <f>日流量!AD61*24*3600/100000000</f>
        <v>1.00224</v>
      </c>
      <c r="AE61" s="6">
        <f>日流量!AE61*24*3600/100000000</f>
        <v>1.01952</v>
      </c>
      <c r="AF61" s="6">
        <f>日流量!AF61*24*3600/100000000</f>
        <v>1.00224</v>
      </c>
      <c r="AG61" s="6">
        <f>日流量!AG61*24*3600/100000000</f>
        <v>1.19232</v>
      </c>
      <c r="AH61" s="6">
        <f>日流量!AH61*24*3600/100000000</f>
        <v>1.2527999999999999</v>
      </c>
      <c r="AI61" s="6">
        <f>日流量!AI61*24*3600/100000000</f>
        <v>1.2441599999999999</v>
      </c>
      <c r="AJ61" s="6">
        <f>日流量!AJ61*24*3600/100000000</f>
        <v>1.30464</v>
      </c>
      <c r="AK61" s="6">
        <f>日流量!AK61*24*3600/100000000</f>
        <v>1.2787200000000001</v>
      </c>
      <c r="AL61" s="6">
        <f>日流量!AL61*24*3600/100000000</f>
        <v>1.2614399999999999</v>
      </c>
      <c r="AM61" s="6">
        <f>日流量!AM61*24*3600/100000000</f>
        <v>1.2700800000000001</v>
      </c>
      <c r="AN61" s="6">
        <f>日流量!AN61*24*3600/100000000</f>
        <v>1.2787200000000001</v>
      </c>
      <c r="AO61" s="6">
        <f>日流量!AO61*24*3600/100000000</f>
        <v>1.2787200000000001</v>
      </c>
      <c r="AP61" s="6">
        <f>日流量!AP61*24*3600/100000000</f>
        <v>1.2787200000000001</v>
      </c>
      <c r="AQ61" s="6">
        <f>日流量!AQ61*24*3600/100000000</f>
        <v>1.2700800000000001</v>
      </c>
      <c r="AR61" s="6">
        <f>日流量!AR61*24*3600/100000000</f>
        <v>1.2614399999999999</v>
      </c>
      <c r="AS61" s="6">
        <f>日流量!AS61*24*3600/100000000</f>
        <v>1.2527999999999999</v>
      </c>
      <c r="AT61" s="6">
        <f>日流量!AT61*24*3600/100000000</f>
        <v>1.2873600000000001</v>
      </c>
      <c r="AU61" s="6">
        <f>日流量!AU61*24*3600/100000000</f>
        <v>1.32192</v>
      </c>
      <c r="AV61" s="6">
        <f>日流量!AV61*24*3600/100000000</f>
        <v>1.31328</v>
      </c>
      <c r="AW61" s="6">
        <f>日流量!AW61*24*3600/100000000</f>
        <v>1.296</v>
      </c>
      <c r="AX61" s="6">
        <f>日流量!AX61*24*3600/100000000</f>
        <v>1.2873600000000001</v>
      </c>
      <c r="AY61" s="6">
        <f>日流量!AY61*24*3600/100000000</f>
        <v>1.2787200000000001</v>
      </c>
      <c r="AZ61" s="6">
        <f>日流量!AZ61*24*3600/100000000</f>
        <v>1.3564799999999999</v>
      </c>
      <c r="BA61" s="6">
        <f>日流量!BA61*24*3600/100000000</f>
        <v>1.3910400000000001</v>
      </c>
      <c r="BB61" s="6">
        <f>日流量!BB61*24*3600/100000000</f>
        <v>1.512</v>
      </c>
      <c r="BC61" s="6">
        <f>日流量!BC61*24*3600/100000000</f>
        <v>1.4601599999999999</v>
      </c>
      <c r="BD61" s="6">
        <f>日流量!BD61*24*3600/100000000</f>
        <v>1.4601599999999999</v>
      </c>
      <c r="BE61" s="6">
        <f>日流量!BE61*24*3600/100000000</f>
        <v>1.4774400000000001</v>
      </c>
      <c r="BF61" s="6">
        <f>日流量!BF61*24*3600/100000000</f>
        <v>1.33056</v>
      </c>
      <c r="BG61" s="6">
        <f>日流量!BG61*24*3600/100000000</f>
        <v>1.22688</v>
      </c>
      <c r="BH61" s="6">
        <f>日流量!BH61*24*3600/100000000</f>
        <v>1.296</v>
      </c>
      <c r="BI61" s="6">
        <f>日流量!BI61*24*3600/100000000</f>
        <v>1.2441599999999999</v>
      </c>
      <c r="BJ61" s="6">
        <f>日流量!BJ61*24*3600/100000000</f>
        <v>1.41696</v>
      </c>
      <c r="BK61" s="6">
        <f>日流量!BK61*24*3600/100000000</f>
        <v>1.50336</v>
      </c>
      <c r="BL61" s="6">
        <f>日流量!BL61*24*3600/100000000</f>
        <v>1.33056</v>
      </c>
      <c r="BM61" s="6">
        <f>日流量!BM61*24*3600/100000000</f>
        <v>1.1836800000000001</v>
      </c>
      <c r="BN61" s="6">
        <f>日流量!BN61*24*3600/100000000</f>
        <v>1.2096</v>
      </c>
      <c r="BO61" s="6">
        <f>日流量!BO61*24*3600/100000000</f>
        <v>1.2441599999999999</v>
      </c>
      <c r="BP61" s="6">
        <f>日流量!BP61*24*3600/100000000</f>
        <v>1.4601599999999999</v>
      </c>
      <c r="BQ61" s="6">
        <f>日流量!BQ61*24*3600/100000000</f>
        <v>1.4688000000000001</v>
      </c>
      <c r="BR61" s="6">
        <f>日流量!BR61*24*3600/100000000</f>
        <v>1.41696</v>
      </c>
      <c r="BS61" s="6">
        <f>日流量!BS61*24*3600/100000000</f>
        <v>1.3824000000000001</v>
      </c>
      <c r="BT61" s="6">
        <f>日流量!BT61*24*3600/100000000</f>
        <v>1.39968</v>
      </c>
      <c r="BU61" s="6">
        <f>日流量!BU61*24*3600/100000000</f>
        <v>1.40832</v>
      </c>
      <c r="BV61" s="6">
        <f>日流量!BV61*24*3600/100000000</f>
        <v>1.3737600000000001</v>
      </c>
      <c r="BW61" s="6">
        <f>日流量!BW61*24*3600/100000000</f>
        <v>1.31328</v>
      </c>
      <c r="BX61" s="6">
        <f>日流量!BX61*24*3600/100000000</f>
        <v>1.2700800000000001</v>
      </c>
      <c r="BY61" s="6">
        <f>日流量!BY61*24*3600/100000000</f>
        <v>1.296</v>
      </c>
      <c r="BZ61" s="6">
        <f>日流量!BZ61*24*3600/100000000</f>
        <v>1.21824</v>
      </c>
      <c r="CA61" s="6">
        <f>日流量!CA61*24*3600/100000000</f>
        <v>1.2527999999999999</v>
      </c>
      <c r="CB61" s="6">
        <f>日流量!CB61*24*3600/100000000</f>
        <v>1.296</v>
      </c>
      <c r="CC61" s="6">
        <f>日流量!CC61*24*3600/100000000</f>
        <v>1.32192</v>
      </c>
      <c r="CD61" s="6">
        <f>日流量!CD61*24*3600/100000000</f>
        <v>1.33056</v>
      </c>
      <c r="CE61" s="6">
        <f>日流量!CE61*24*3600/100000000</f>
        <v>1.20096</v>
      </c>
      <c r="CF61" s="6">
        <f>日流量!CF61*24*3600/100000000</f>
        <v>1.1232</v>
      </c>
      <c r="CG61" s="6">
        <f>日流量!CG61*24*3600/100000000</f>
        <v>1.19232</v>
      </c>
      <c r="CH61" s="6">
        <f>日流量!CH61*24*3600/100000000</f>
        <v>1.32192</v>
      </c>
      <c r="CI61" s="6">
        <f>日流量!CI61*24*3600/100000000</f>
        <v>1.33056</v>
      </c>
      <c r="CJ61" s="6">
        <f>日流量!CJ61*24*3600/100000000</f>
        <v>1.19232</v>
      </c>
      <c r="CK61" s="6">
        <f>日流量!CK61*24*3600/100000000</f>
        <v>1.2096</v>
      </c>
      <c r="CL61" s="6">
        <f>日流量!CL61*24*3600/100000000</f>
        <v>1.3564799999999999</v>
      </c>
      <c r="CM61" s="6">
        <f>日流量!CM61*24*3600/100000000</f>
        <v>1.2787200000000001</v>
      </c>
      <c r="CN61" s="6">
        <f>日流量!CN61*24*3600/100000000</f>
        <v>1.22688</v>
      </c>
      <c r="CO61" s="6">
        <f>日流量!CO61*24*3600/100000000</f>
        <v>1.20096</v>
      </c>
      <c r="CP61" s="6">
        <f>日流量!CP61*24*3600/100000000</f>
        <v>1.33056</v>
      </c>
      <c r="CQ61" s="6">
        <f>日流量!CQ61*24*3600/100000000</f>
        <v>1.2614399999999999</v>
      </c>
      <c r="CR61" s="6">
        <f>日流量!CR61*24*3600/100000000</f>
        <v>1.2787200000000001</v>
      </c>
      <c r="CS61" s="6">
        <f>日流量!CS61*24*3600/100000000</f>
        <v>1.2873600000000001</v>
      </c>
      <c r="CT61" s="6">
        <f>日流量!CT61*24*3600/100000000</f>
        <v>1.1750400000000001</v>
      </c>
      <c r="CU61" s="6">
        <f>日流量!CU61*24*3600/100000000</f>
        <v>1.13184</v>
      </c>
      <c r="CV61" s="6">
        <f>日流量!CV61*24*3600/100000000</f>
        <v>1.0540799999999999</v>
      </c>
      <c r="CW61" s="6">
        <f>日流量!CW61*24*3600/100000000</f>
        <v>1.1232</v>
      </c>
      <c r="CX61" s="6">
        <f>日流量!CX61*24*3600/100000000</f>
        <v>1.1577599999999999</v>
      </c>
      <c r="CY61" s="6">
        <f>日流量!CY61*24*3600/100000000</f>
        <v>1.19232</v>
      </c>
      <c r="CZ61" s="6">
        <f>日流量!CZ61*24*3600/100000000</f>
        <v>1.10592</v>
      </c>
      <c r="DA61" s="6">
        <f>日流量!DA61*24*3600/100000000</f>
        <v>1.19232</v>
      </c>
      <c r="DB61" s="6">
        <f>日流量!DB61*24*3600/100000000</f>
        <v>1.1232</v>
      </c>
      <c r="DC61" s="6">
        <f>日流量!DC61*24*3600/100000000</f>
        <v>1.1577599999999999</v>
      </c>
      <c r="DD61" s="6">
        <f>日流量!DD61*24*3600/100000000</f>
        <v>1.3478399999999999</v>
      </c>
      <c r="DE61" s="6">
        <f>日流量!DE61*24*3600/100000000</f>
        <v>1.2700800000000001</v>
      </c>
      <c r="DF61" s="6">
        <f>日流量!DF61*24*3600/100000000</f>
        <v>1.2614399999999999</v>
      </c>
      <c r="DG61" s="6">
        <f>日流量!DG61*24*3600/100000000</f>
        <v>1.2527999999999999</v>
      </c>
      <c r="DH61" s="6">
        <f>日流量!DH61*24*3600/100000000</f>
        <v>1.2096</v>
      </c>
      <c r="DI61" s="6">
        <f>日流量!DI61*24*3600/100000000</f>
        <v>1.1750400000000001</v>
      </c>
      <c r="DJ61" s="6">
        <f>日流量!DJ61*24*3600/100000000</f>
        <v>1.11456</v>
      </c>
      <c r="DK61" s="6">
        <f>日流量!DK61*24*3600/100000000</f>
        <v>1.1232</v>
      </c>
      <c r="DL61" s="6">
        <f>日流量!DL61*24*3600/100000000</f>
        <v>1.13184</v>
      </c>
      <c r="DM61" s="6">
        <f>日流量!DM61*24*3600/100000000</f>
        <v>1.23552</v>
      </c>
      <c r="DN61" s="6">
        <f>日流量!DN61*24*3600/100000000</f>
        <v>1.41696</v>
      </c>
      <c r="DO61" s="6">
        <f>日流量!DO61*24*3600/100000000</f>
        <v>1.70208</v>
      </c>
      <c r="DP61" s="6">
        <f>日流量!DP61*24*3600/100000000</f>
        <v>1.6934400000000001</v>
      </c>
      <c r="DQ61" s="6">
        <f>日流量!DQ61*24*3600/100000000</f>
        <v>1.52064</v>
      </c>
      <c r="DR61" s="6">
        <f>日流量!DR61*24*3600/100000000</f>
        <v>1.7539199999999999</v>
      </c>
      <c r="DS61" s="6">
        <f>日流量!DS61*24*3600/100000000</f>
        <v>2.0735999999999999</v>
      </c>
      <c r="DT61" s="6">
        <f>日流量!DT61*24*3600/100000000</f>
        <v>2.2550400000000002</v>
      </c>
      <c r="DU61" s="6">
        <f>日流量!DU61*24*3600/100000000</f>
        <v>2.51424</v>
      </c>
      <c r="DV61" s="6">
        <f>日流量!DV61*24*3600/100000000</f>
        <v>2.1513599999999999</v>
      </c>
      <c r="DW61" s="6">
        <f>日流量!DW61*24*3600/100000000</f>
        <v>1.4774400000000001</v>
      </c>
      <c r="DX61" s="6">
        <f>日流量!DX61*24*3600/100000000</f>
        <v>1.4515199999999999</v>
      </c>
      <c r="DY61" s="6">
        <f>日流量!DY61*24*3600/100000000</f>
        <v>1.5551999999999999</v>
      </c>
      <c r="DZ61" s="6">
        <f>日流量!DZ61*24*3600/100000000</f>
        <v>1.6675199999999999</v>
      </c>
      <c r="EA61" s="6">
        <f>日流量!EA61*24*3600/100000000</f>
        <v>1.6848000000000001</v>
      </c>
      <c r="EB61" s="6">
        <f>日流量!EB61*24*3600/100000000</f>
        <v>1.7539199999999999</v>
      </c>
      <c r="EC61" s="6">
        <f>日流量!EC61*24*3600/100000000</f>
        <v>1.9526399999999999</v>
      </c>
      <c r="ED61" s="6">
        <f>日流量!ED61*24*3600/100000000</f>
        <v>2.1686399999999999</v>
      </c>
      <c r="EE61" s="6">
        <f>日流量!EE61*24*3600/100000000</f>
        <v>2.2464</v>
      </c>
      <c r="EF61" s="6">
        <f>日流量!EF61*24*3600/100000000</f>
        <v>1.9699199999999999</v>
      </c>
      <c r="EG61" s="6">
        <f>日流量!EG61*24*3600/100000000</f>
        <v>1.9612799999999999</v>
      </c>
      <c r="EH61" s="6">
        <f>日流量!EH61*24*3600/100000000</f>
        <v>1.93536</v>
      </c>
      <c r="EI61" s="6">
        <f>日流量!EI61*24*3600/100000000</f>
        <v>2.2723200000000001</v>
      </c>
      <c r="EJ61" s="6">
        <f>日流量!EJ61*24*3600/100000000</f>
        <v>2.4883199999999999</v>
      </c>
      <c r="EK61" s="6">
        <f>日流量!EK61*24*3600/100000000</f>
        <v>2.43648</v>
      </c>
      <c r="EL61" s="6">
        <f>日流量!EL61*24*3600/100000000</f>
        <v>2.4710399999999999</v>
      </c>
      <c r="EM61" s="6">
        <f>日流量!EM61*24*3600/100000000</f>
        <v>2.4969600000000001</v>
      </c>
      <c r="EN61" s="6">
        <f>日流量!EN61*24*3600/100000000</f>
        <v>2.62656</v>
      </c>
      <c r="EO61" s="6">
        <f>日流量!EO61*24*3600/100000000</f>
        <v>2.83392</v>
      </c>
      <c r="EP61" s="6">
        <f>日流量!EP61*24*3600/100000000</f>
        <v>2.8512</v>
      </c>
      <c r="EQ61" s="6">
        <f>日流量!EQ61*24*3600/100000000</f>
        <v>2.6611199999999999</v>
      </c>
      <c r="ER61" s="6">
        <f>日流量!ER61*24*3600/100000000</f>
        <v>2.6783999999999999</v>
      </c>
      <c r="ES61" s="6">
        <f>日流量!ES61*24*3600/100000000</f>
        <v>2.7302399999999998</v>
      </c>
      <c r="ET61" s="6">
        <f>日流量!ET61*24*3600/100000000</f>
        <v>2.7734399999999999</v>
      </c>
      <c r="EU61" s="6">
        <f>日流量!EU61*24*3600/100000000</f>
        <v>2.5920000000000001</v>
      </c>
      <c r="EV61" s="6">
        <f>日流量!EV61*24*3600/100000000</f>
        <v>2.64384</v>
      </c>
      <c r="EW61" s="6">
        <f>日流量!EW61*24*3600/100000000</f>
        <v>2.6697600000000001</v>
      </c>
      <c r="EX61" s="6">
        <f>日流量!EX61*24*3600/100000000</f>
        <v>2.7129599999999998</v>
      </c>
      <c r="EY61" s="6">
        <f>日流量!EY61*24*3600/100000000</f>
        <v>2.73888</v>
      </c>
      <c r="EZ61" s="6">
        <f>日流量!EZ61*24*3600/100000000</f>
        <v>2.9376000000000002</v>
      </c>
      <c r="FA61" s="6">
        <f>日流量!FA61*24*3600/100000000</f>
        <v>3.0758399999999999</v>
      </c>
      <c r="FB61" s="6">
        <f>日流量!FB61*24*3600/100000000</f>
        <v>3.24864</v>
      </c>
      <c r="FC61" s="6">
        <f>日流量!FC61*24*3600/100000000</f>
        <v>3.3004799999999999</v>
      </c>
      <c r="FD61" s="6">
        <f>日流量!FD61*24*3600/100000000</f>
        <v>3.4732799999999999</v>
      </c>
      <c r="FE61" s="6">
        <f>日流量!FE61*24*3600/100000000</f>
        <v>3.0585599999999999</v>
      </c>
      <c r="FF61" s="6">
        <f>日流量!FF61*24*3600/100000000</f>
        <v>2.9980799999999999</v>
      </c>
      <c r="FG61" s="6">
        <f>日流量!FG61*24*3600/100000000</f>
        <v>3.1449600000000002</v>
      </c>
      <c r="FH61" s="6">
        <f>日流量!FH61*24*3600/100000000</f>
        <v>3.55104</v>
      </c>
      <c r="FI61" s="6">
        <f>日流量!FI61*24*3600/100000000</f>
        <v>3.6201599999999998</v>
      </c>
      <c r="FJ61" s="6">
        <f>日流量!FJ61*24*3600/100000000</f>
        <v>3.9744000000000002</v>
      </c>
      <c r="FK61" s="6">
        <f>日流量!FK61*24*3600/100000000</f>
        <v>3.7065600000000001</v>
      </c>
      <c r="FL61" s="6">
        <f>日流量!FL61*24*3600/100000000</f>
        <v>3.6633599999999999</v>
      </c>
      <c r="FM61" s="6">
        <f>日流量!FM61*24*3600/100000000</f>
        <v>3.4819200000000001</v>
      </c>
      <c r="FN61" s="6">
        <f>日流量!FN61*24*3600/100000000</f>
        <v>4.1471999999999998</v>
      </c>
      <c r="FO61" s="6">
        <f>日流量!FO61*24*3600/100000000</f>
        <v>4.3632</v>
      </c>
      <c r="FP61" s="6">
        <f>日流量!FP61*24*3600/100000000</f>
        <v>4.32864</v>
      </c>
      <c r="FQ61" s="6">
        <f>日流量!FQ61*24*3600/100000000</f>
        <v>4.1126399999999999</v>
      </c>
      <c r="FR61" s="6">
        <f>日流量!FR61*24*3600/100000000</f>
        <v>3.7929599999999999</v>
      </c>
      <c r="FS61" s="6">
        <f>日流量!FS61*24*3600/100000000</f>
        <v>3.6806399999999999</v>
      </c>
      <c r="FT61" s="6">
        <f>日流量!FT61*24*3600/100000000</f>
        <v>3.7843200000000001</v>
      </c>
      <c r="FU61" s="6">
        <f>日流量!FU61*24*3600/100000000</f>
        <v>3.9830399999999999</v>
      </c>
      <c r="FV61" s="6">
        <f>日流量!FV61*24*3600/100000000</f>
        <v>4.0953600000000003</v>
      </c>
      <c r="FW61" s="6">
        <f>日流量!FW61*24*3600/100000000</f>
        <v>4.5446400000000002</v>
      </c>
      <c r="FX61" s="6">
        <f>日流量!FX61*24*3600/100000000</f>
        <v>5.0371199999999998</v>
      </c>
      <c r="FY61" s="6">
        <f>日流量!FY61*24*3600/100000000</f>
        <v>5.2185600000000001</v>
      </c>
      <c r="FZ61" s="6">
        <f>日流量!FZ61*24*3600/100000000</f>
        <v>5.1321599999999998</v>
      </c>
      <c r="GA61" s="6">
        <f>日流量!GA61*24*3600/100000000</f>
        <v>4.8211199999999996</v>
      </c>
      <c r="GB61" s="6">
        <f>日流量!GB61*24*3600/100000000</f>
        <v>4.7347200000000003</v>
      </c>
      <c r="GC61" s="6">
        <f>日流量!GC61*24*3600/100000000</f>
        <v>4.8988800000000001</v>
      </c>
      <c r="GD61" s="6">
        <f>日流量!GD61*24*3600/100000000</f>
        <v>5.5036800000000001</v>
      </c>
      <c r="GE61" s="6">
        <f>日流量!GE61*24*3600/100000000</f>
        <v>5.4086400000000001</v>
      </c>
      <c r="GF61" s="6">
        <f>日流量!GF61*24*3600/100000000</f>
        <v>6.3590400000000002</v>
      </c>
      <c r="GG61" s="6">
        <f>日流量!GG61*24*3600/100000000</f>
        <v>7.7500799999999996</v>
      </c>
      <c r="GH61" s="6">
        <f>日流量!GH61*24*3600/100000000</f>
        <v>7.2144000000000004</v>
      </c>
      <c r="GI61" s="6">
        <f>日流量!GI61*24*3600/100000000</f>
        <v>7.4563199999999998</v>
      </c>
      <c r="GJ61" s="6">
        <f>日流量!GJ61*24*3600/100000000</f>
        <v>7.57728</v>
      </c>
      <c r="GK61" s="6">
        <f>日流量!GK61*24*3600/100000000</f>
        <v>6.9811199999999998</v>
      </c>
      <c r="GL61" s="6">
        <f>日流量!GL61*24*3600/100000000</f>
        <v>5.8492800000000003</v>
      </c>
      <c r="GM61" s="6">
        <f>日流量!GM61*24*3600/100000000</f>
        <v>5.4259199999999996</v>
      </c>
      <c r="GN61" s="6">
        <f>日流量!GN61*24*3600/100000000</f>
        <v>5.6246400000000003</v>
      </c>
      <c r="GO61" s="6">
        <f>日流量!GO61*24*3600/100000000</f>
        <v>6.6614399999999998</v>
      </c>
      <c r="GP61" s="6">
        <f>日流量!GP61*24*3600/100000000</f>
        <v>6.6528</v>
      </c>
      <c r="GQ61" s="6">
        <f>日流量!GQ61*24*3600/100000000</f>
        <v>6.6959999999999997</v>
      </c>
      <c r="GR61" s="6">
        <f>日流量!GR61*24*3600/100000000</f>
        <v>7.2316799999999999</v>
      </c>
      <c r="GS61" s="6">
        <f>日流量!GS61*24*3600/100000000</f>
        <v>7.3267199999999999</v>
      </c>
      <c r="GT61" s="6">
        <f>日流量!GT61*24*3600/100000000</f>
        <v>7.6032000000000002</v>
      </c>
      <c r="GU61" s="6">
        <f>日流量!GU61*24*3600/100000000</f>
        <v>8.0092800000000004</v>
      </c>
      <c r="GV61" s="6">
        <f>日流量!GV61*24*3600/100000000</f>
        <v>7.8278400000000001</v>
      </c>
      <c r="GW61" s="6">
        <f>日流量!GW61*24*3600/100000000</f>
        <v>7.7155199999999997</v>
      </c>
      <c r="GX61" s="6">
        <f>日流量!GX61*24*3600/100000000</f>
        <v>7.3699199999999996</v>
      </c>
      <c r="GY61" s="6">
        <f>日流量!GY61*24*3600/100000000</f>
        <v>6.7392000000000003</v>
      </c>
      <c r="GZ61" s="6">
        <f>日流量!GZ61*24*3600/100000000</f>
        <v>6.6528</v>
      </c>
      <c r="HA61" s="6">
        <f>日流量!HA61*24*3600/100000000</f>
        <v>6.5145600000000004</v>
      </c>
      <c r="HB61" s="6">
        <f>日流量!HB61*24*3600/100000000</f>
        <v>6.0220799999999999</v>
      </c>
      <c r="HC61" s="6">
        <f>日流量!HC61*24*3600/100000000</f>
        <v>5.9184000000000001</v>
      </c>
      <c r="HD61" s="6">
        <f>日流量!HD61*24*3600/100000000</f>
        <v>5.9961599999999997</v>
      </c>
      <c r="HE61" s="6">
        <f>日流量!HE61*24*3600/100000000</f>
        <v>6.0393600000000003</v>
      </c>
      <c r="HF61" s="6">
        <f>日流量!HF61*24*3600/100000000</f>
        <v>5.7542400000000002</v>
      </c>
      <c r="HG61" s="6">
        <f>日流量!HG61*24*3600/100000000</f>
        <v>5.5728</v>
      </c>
      <c r="HH61" s="6">
        <f>日流量!HH61*24*3600/100000000</f>
        <v>5.3308799999999996</v>
      </c>
      <c r="HI61" s="6">
        <f>日流量!HI61*24*3600/100000000</f>
        <v>5.4518399999999998</v>
      </c>
      <c r="HJ61" s="6">
        <f>日流量!HJ61*24*3600/100000000</f>
        <v>5.5296000000000003</v>
      </c>
      <c r="HK61" s="6">
        <f>日流量!HK61*24*3600/100000000</f>
        <v>6.4540800000000003</v>
      </c>
      <c r="HL61" s="6">
        <f>日流量!HL61*24*3600/100000000</f>
        <v>7.8105599999999997</v>
      </c>
      <c r="HM61" s="6">
        <f>日流量!HM61*24*3600/100000000</f>
        <v>9.2447999999999997</v>
      </c>
      <c r="HN61" s="6">
        <f>日流量!HN61*24*3600/100000000</f>
        <v>9.6768000000000001</v>
      </c>
      <c r="HO61" s="6">
        <f>日流量!HO61*24*3600/100000000</f>
        <v>9.6768000000000001</v>
      </c>
      <c r="HP61" s="6">
        <f>日流量!HP61*24*3600/100000000</f>
        <v>9.5904000000000007</v>
      </c>
      <c r="HQ61" s="6">
        <f>日流量!HQ61*24*3600/100000000</f>
        <v>9.5039999999999996</v>
      </c>
      <c r="HR61" s="6">
        <f>日流量!HR61*24*3600/100000000</f>
        <v>9.5039999999999996</v>
      </c>
      <c r="HS61" s="6">
        <f>日流量!HS61*24*3600/100000000</f>
        <v>10.022399999999999</v>
      </c>
      <c r="HT61" s="6">
        <f>日流量!HT61*24*3600/100000000</f>
        <v>10.281599999999999</v>
      </c>
      <c r="HU61" s="6">
        <f>日流量!HU61*24*3600/100000000</f>
        <v>9.4176000000000002</v>
      </c>
      <c r="HV61" s="6">
        <f>日流量!HV61*24*3600/100000000</f>
        <v>9.1584000000000003</v>
      </c>
      <c r="HW61" s="6">
        <f>日流量!HW61*24*3600/100000000</f>
        <v>9.6768000000000001</v>
      </c>
      <c r="HX61" s="6">
        <f>日流量!HX61*24*3600/100000000</f>
        <v>10.281599999999999</v>
      </c>
      <c r="HY61" s="6">
        <f>日流量!HY61*24*3600/100000000</f>
        <v>10.972799999999999</v>
      </c>
      <c r="HZ61" s="6">
        <f>日流量!HZ61*24*3600/100000000</f>
        <v>11.231999999999999</v>
      </c>
      <c r="IA61" s="6">
        <f>日流量!IA61*24*3600/100000000</f>
        <v>10.8</v>
      </c>
      <c r="IB61" s="6">
        <f>日流量!IB61*24*3600/100000000</f>
        <v>9.9359999999999999</v>
      </c>
      <c r="IC61" s="6">
        <f>日流量!IC61*24*3600/100000000</f>
        <v>8.9855999999999998</v>
      </c>
      <c r="ID61" s="6">
        <f>日流量!ID61*24*3600/100000000</f>
        <v>7.9228800000000001</v>
      </c>
      <c r="IE61" s="6">
        <f>日流量!IE61*24*3600/100000000</f>
        <v>7.5081600000000002</v>
      </c>
      <c r="IF61" s="6">
        <f>日流量!IF61*24*3600/100000000</f>
        <v>8.1561599999999999</v>
      </c>
      <c r="IG61" s="6">
        <f>日流量!IG61*24*3600/100000000</f>
        <v>9.9359999999999999</v>
      </c>
      <c r="IH61" s="6">
        <f>日流量!IH61*24*3600/100000000</f>
        <v>10.281599999999999</v>
      </c>
      <c r="II61" s="6">
        <f>日流量!II61*24*3600/100000000</f>
        <v>11.1456</v>
      </c>
      <c r="IJ61" s="6">
        <f>日流量!IJ61*24*3600/100000000</f>
        <v>11.059200000000001</v>
      </c>
      <c r="IK61" s="6">
        <f>日流量!IK61*24*3600/100000000</f>
        <v>11.4048</v>
      </c>
      <c r="IL61" s="6">
        <f>日流量!IL61*24*3600/100000000</f>
        <v>12.6144</v>
      </c>
      <c r="IM61" s="6">
        <f>日流量!IM61*24*3600/100000000</f>
        <v>12.182399999999999</v>
      </c>
      <c r="IN61" s="6">
        <f>日流量!IN61*24*3600/100000000</f>
        <v>12.268800000000001</v>
      </c>
      <c r="IO61" s="6">
        <f>日流量!IO61*24*3600/100000000</f>
        <v>12.182399999999999</v>
      </c>
      <c r="IP61" s="6">
        <f>日流量!IP61*24*3600/100000000</f>
        <v>11.4048</v>
      </c>
      <c r="IQ61" s="6">
        <f>日流量!IQ61*24*3600/100000000</f>
        <v>10.4544</v>
      </c>
      <c r="IR61" s="6">
        <f>日流量!IR61*24*3600/100000000</f>
        <v>10.368</v>
      </c>
      <c r="IS61" s="6">
        <f>日流量!IS61*24*3600/100000000</f>
        <v>10.1088</v>
      </c>
      <c r="IT61" s="6">
        <f>日流量!IT61*24*3600/100000000</f>
        <v>9.8496000000000006</v>
      </c>
      <c r="IU61" s="6">
        <f>日流量!IU61*24*3600/100000000</f>
        <v>8.8127999999999993</v>
      </c>
      <c r="IV61" s="6">
        <f>日流量!IV61*24*3600/100000000</f>
        <v>7.8105599999999997</v>
      </c>
      <c r="IW61" s="6">
        <f>日流量!IW61*24*3600/100000000</f>
        <v>7.7759999999999998</v>
      </c>
      <c r="IX61" s="6">
        <f>日流量!IX61*24*3600/100000000</f>
        <v>7.9488000000000003</v>
      </c>
      <c r="IY61" s="6">
        <f>日流量!IY61*24*3600/100000000</f>
        <v>7.48224</v>
      </c>
      <c r="IZ61" s="6">
        <f>日流量!IZ61*24*3600/100000000</f>
        <v>7.6377600000000001</v>
      </c>
      <c r="JA61" s="6">
        <f>日流量!JA61*24*3600/100000000</f>
        <v>7.9315199999999999</v>
      </c>
      <c r="JB61" s="6">
        <f>日流量!JB61*24*3600/100000000</f>
        <v>7.9574400000000001</v>
      </c>
      <c r="JC61" s="6">
        <f>日流量!JC61*24*3600/100000000</f>
        <v>7.8278400000000001</v>
      </c>
      <c r="JD61" s="6">
        <f>日流量!JD61*24*3600/100000000</f>
        <v>7.7759999999999998</v>
      </c>
      <c r="JE61" s="6">
        <f>日流量!JE61*24*3600/100000000</f>
        <v>7.48224</v>
      </c>
      <c r="JF61" s="6">
        <f>日流量!JF61*24*3600/100000000</f>
        <v>7.2316799999999999</v>
      </c>
      <c r="JG61" s="6">
        <f>日流量!JG61*24*3600/100000000</f>
        <v>6.9897600000000004</v>
      </c>
      <c r="JH61" s="6">
        <f>日流量!JH61*24*3600/100000000</f>
        <v>6.8601599999999996</v>
      </c>
      <c r="JI61" s="6">
        <f>日流量!JI61*24*3600/100000000</f>
        <v>6.5750400000000004</v>
      </c>
      <c r="JJ61" s="6">
        <f>日流量!JJ61*24*3600/100000000</f>
        <v>5.8838400000000002</v>
      </c>
      <c r="JK61" s="6">
        <f>日流量!JK61*24*3600/100000000</f>
        <v>5.5987200000000001</v>
      </c>
      <c r="JL61" s="6">
        <f>日流量!JL61*24*3600/100000000</f>
        <v>5.85792</v>
      </c>
      <c r="JM61" s="6">
        <f>日流量!JM61*24*3600/100000000</f>
        <v>5.8147200000000003</v>
      </c>
      <c r="JN61" s="6">
        <f>日流量!JN61*24*3600/100000000</f>
        <v>5.7283200000000001</v>
      </c>
      <c r="JO61" s="6">
        <f>日流量!JO61*24*3600/100000000</f>
        <v>5.5555199999999996</v>
      </c>
      <c r="JP61" s="6">
        <f>日流量!JP61*24*3600/100000000</f>
        <v>5.5900800000000004</v>
      </c>
      <c r="JQ61" s="6">
        <f>日流量!JQ61*24*3600/100000000</f>
        <v>6.0998400000000004</v>
      </c>
      <c r="JR61" s="6">
        <f>日流量!JR61*24*3600/100000000</f>
        <v>5.8319999999999999</v>
      </c>
      <c r="JS61" s="6">
        <f>日流量!JS61*24*3600/100000000</f>
        <v>5.5468799999999998</v>
      </c>
      <c r="JT61" s="6">
        <f>日流量!JT61*24*3600/100000000</f>
        <v>5.9097600000000003</v>
      </c>
      <c r="JU61" s="6">
        <f>日流量!JU61*24*3600/100000000</f>
        <v>5.7715199999999998</v>
      </c>
      <c r="JV61" s="6">
        <f>日流量!JV61*24*3600/100000000</f>
        <v>5.2704000000000004</v>
      </c>
      <c r="JW61" s="6">
        <f>日流量!JW61*24*3600/100000000</f>
        <v>5.4</v>
      </c>
      <c r="JX61" s="6">
        <f>日流量!JX61*24*3600/100000000</f>
        <v>5.1407999999999996</v>
      </c>
      <c r="JY61" s="6">
        <f>日流量!JY61*24*3600/100000000</f>
        <v>5.0975999999999999</v>
      </c>
      <c r="JZ61" s="6">
        <f>日流量!JZ61*24*3600/100000000</f>
        <v>4.8988800000000001</v>
      </c>
      <c r="KA61" s="6">
        <f>日流量!KA61*24*3600/100000000</f>
        <v>4.8038400000000001</v>
      </c>
      <c r="KB61" s="6">
        <f>日流量!KB61*24*3600/100000000</f>
        <v>4.9248000000000003</v>
      </c>
      <c r="KC61" s="6">
        <f>日流量!KC61*24*3600/100000000</f>
        <v>4.8124799999999999</v>
      </c>
      <c r="KD61" s="6">
        <f>日流量!KD61*24*3600/100000000</f>
        <v>4.5446400000000002</v>
      </c>
      <c r="KE61" s="6">
        <f>日流量!KE61*24*3600/100000000</f>
        <v>4.4150400000000003</v>
      </c>
      <c r="KF61" s="6">
        <f>日流量!KF61*24*3600/100000000</f>
        <v>4.2940800000000001</v>
      </c>
      <c r="KG61" s="6">
        <f>日流量!KG61*24*3600/100000000</f>
        <v>4.2163199999999996</v>
      </c>
      <c r="KH61" s="6">
        <f>日流量!KH61*24*3600/100000000</f>
        <v>4.0867199999999997</v>
      </c>
      <c r="KI61" s="6">
        <f>日流量!KI61*24*3600/100000000</f>
        <v>3.8188800000000001</v>
      </c>
      <c r="KJ61" s="6">
        <f>日流量!KJ61*24*3600/100000000</f>
        <v>3.6633599999999999</v>
      </c>
      <c r="KK61" s="6">
        <f>日流量!KK61*24*3600/100000000</f>
        <v>3.5596800000000002</v>
      </c>
      <c r="KL61" s="6">
        <f>日流量!KL61*24*3600/100000000</f>
        <v>3.4819200000000001</v>
      </c>
      <c r="KM61" s="6">
        <f>日流量!KM61*24*3600/100000000</f>
        <v>3.3264</v>
      </c>
      <c r="KN61" s="6">
        <f>日流量!KN61*24*3600/100000000</f>
        <v>3.3004799999999999</v>
      </c>
      <c r="KO61" s="6">
        <f>日流量!KO61*24*3600/100000000</f>
        <v>3.43872</v>
      </c>
      <c r="KP61" s="6">
        <f>日流量!KP61*24*3600/100000000</f>
        <v>3.4646400000000002</v>
      </c>
      <c r="KQ61" s="6">
        <f>日流量!KQ61*24*3600/100000000</f>
        <v>3.42144</v>
      </c>
      <c r="KR61" s="6">
        <f>日流量!KR61*24*3600/100000000</f>
        <v>3.4819200000000001</v>
      </c>
      <c r="KS61" s="6">
        <f>日流量!KS61*24*3600/100000000</f>
        <v>4.1212799999999996</v>
      </c>
      <c r="KT61" s="6">
        <f>日流量!KT61*24*3600/100000000</f>
        <v>5.06304</v>
      </c>
      <c r="KU61" s="6">
        <f>日流量!KU61*24*3600/100000000</f>
        <v>5.6073599999999999</v>
      </c>
      <c r="KV61" s="6">
        <f>日流量!KV61*24*3600/100000000</f>
        <v>6.0048000000000004</v>
      </c>
      <c r="KW61" s="6">
        <f>日流量!KW61*24*3600/100000000</f>
        <v>6.0048000000000004</v>
      </c>
      <c r="KX61" s="6">
        <f>日流量!KX61*24*3600/100000000</f>
        <v>5.1148800000000003</v>
      </c>
      <c r="KY61" s="6">
        <f>日流量!KY61*24*3600/100000000</f>
        <v>4.4150400000000003</v>
      </c>
      <c r="KZ61" s="6">
        <f>日流量!KZ61*24*3600/100000000</f>
        <v>4.2076799999999999</v>
      </c>
      <c r="LA61" s="6">
        <f>日流量!LA61*24*3600/100000000</f>
        <v>4.2163199999999996</v>
      </c>
      <c r="LB61" s="6">
        <f>日流量!LB61*24*3600/100000000</f>
        <v>3.9916800000000001</v>
      </c>
      <c r="LC61" s="6">
        <f>日流量!LC61*24*3600/100000000</f>
        <v>3.53376</v>
      </c>
      <c r="LD61" s="6">
        <f>日流量!LD61*24*3600/100000000</f>
        <v>3.3782399999999999</v>
      </c>
      <c r="LE61" s="6">
        <f>日流量!LE61*24*3600/100000000</f>
        <v>3.2572800000000002</v>
      </c>
      <c r="LF61" s="6">
        <f>日流量!LF61*24*3600/100000000</f>
        <v>3.23136</v>
      </c>
      <c r="LG61" s="6">
        <f>日流量!LG61*24*3600/100000000</f>
        <v>3.0844800000000001</v>
      </c>
      <c r="LH61" s="6">
        <f>日流量!LH61*24*3600/100000000</f>
        <v>3.0067200000000001</v>
      </c>
      <c r="LI61" s="6">
        <f>日流量!LI61*24*3600/100000000</f>
        <v>2.9635199999999999</v>
      </c>
      <c r="LJ61" s="6">
        <f>日流量!LJ61*24*3600/100000000</f>
        <v>2.8252799999999998</v>
      </c>
      <c r="LK61" s="6">
        <f>日流量!LK61*24*3600/100000000</f>
        <v>2.7129599999999998</v>
      </c>
      <c r="LL61" s="6">
        <f>日流量!LL61*24*3600/100000000</f>
        <v>2.5920000000000001</v>
      </c>
      <c r="LM61" s="6">
        <f>日流量!LM61*24*3600/100000000</f>
        <v>2.5574400000000002</v>
      </c>
      <c r="LN61" s="6">
        <f>日流量!LN61*24*3600/100000000</f>
        <v>2.3673600000000001</v>
      </c>
      <c r="LO61" s="6">
        <f>日流量!LO61*24*3600/100000000</f>
        <v>2.4019200000000001</v>
      </c>
      <c r="LP61" s="6">
        <f>日流量!LP61*24*3600/100000000</f>
        <v>2.4019200000000001</v>
      </c>
      <c r="LQ61" s="6">
        <f>日流量!LQ61*24*3600/100000000</f>
        <v>2.4537599999999999</v>
      </c>
      <c r="LR61" s="6">
        <f>日流量!LR61*24*3600/100000000</f>
        <v>2.5055999999999998</v>
      </c>
      <c r="LS61" s="6">
        <f>日流量!LS61*24*3600/100000000</f>
        <v>2.43648</v>
      </c>
      <c r="LT61" s="6">
        <f>日流量!LT61*24*3600/100000000</f>
        <v>2.32416</v>
      </c>
      <c r="LU61" s="6">
        <f>日流量!LU61*24*3600/100000000</f>
        <v>2.3500800000000002</v>
      </c>
      <c r="LV61" s="6">
        <f>日流量!LV61*24*3600/100000000</f>
        <v>2.1254400000000002</v>
      </c>
      <c r="LW61" s="6">
        <f>日流量!LW61*24*3600/100000000</f>
        <v>2.0563199999999999</v>
      </c>
      <c r="LX61" s="6">
        <f>日流量!LX61*24*3600/100000000</f>
        <v>2.0735999999999999</v>
      </c>
      <c r="LY61" s="6">
        <f>日流量!LY61*24*3600/100000000</f>
        <v>1.9958400000000001</v>
      </c>
      <c r="LZ61" s="6">
        <f>日流量!LZ61*24*3600/100000000</f>
        <v>2.0649600000000001</v>
      </c>
      <c r="MA61" s="6">
        <f>日流量!MA61*24*3600/100000000</f>
        <v>2.0563199999999999</v>
      </c>
      <c r="MB61" s="6">
        <f>日流量!MB61*24*3600/100000000</f>
        <v>2.0735999999999999</v>
      </c>
      <c r="MC61" s="6">
        <f>日流量!MC61*24*3600/100000000</f>
        <v>2.0995200000000001</v>
      </c>
      <c r="MD61" s="6">
        <f>日流量!MD61*24*3600/100000000</f>
        <v>2.03904</v>
      </c>
      <c r="ME61" s="6">
        <f>日流量!ME61*24*3600/100000000</f>
        <v>2.0131199999999998</v>
      </c>
      <c r="MF61" s="6">
        <f>日流量!MF61*24*3600/100000000</f>
        <v>2.02176</v>
      </c>
      <c r="MG61" s="6">
        <f>日流量!MG61*24*3600/100000000</f>
        <v>2.0563199999999999</v>
      </c>
      <c r="MH61" s="6">
        <f>日流量!MH61*24*3600/100000000</f>
        <v>1.9785600000000001</v>
      </c>
      <c r="MI61" s="6">
        <f>日流量!MI61*24*3600/100000000</f>
        <v>1.7884800000000001</v>
      </c>
      <c r="MJ61" s="6">
        <f>日流量!MJ61*24*3600/100000000</f>
        <v>1.70208</v>
      </c>
      <c r="MK61" s="6">
        <f>日流量!MK61*24*3600/100000000</f>
        <v>1.6675199999999999</v>
      </c>
      <c r="ML61" s="6">
        <f>日流量!ML61*24*3600/100000000</f>
        <v>1.60704</v>
      </c>
      <c r="MM61" s="6">
        <f>日流量!MM61*24*3600/100000000</f>
        <v>1.5638399999999999</v>
      </c>
      <c r="MN61" s="6">
        <f>日流量!MN61*24*3600/100000000</f>
        <v>1.6588799999999999</v>
      </c>
      <c r="MO61" s="6">
        <f>日流量!MO61*24*3600/100000000</f>
        <v>1.7971200000000001</v>
      </c>
      <c r="MP61" s="6">
        <f>日流量!MP61*24*3600/100000000</f>
        <v>1.7798400000000001</v>
      </c>
      <c r="MQ61" s="6">
        <f>日流量!MQ61*24*3600/100000000</f>
        <v>1.84032</v>
      </c>
      <c r="MR61" s="6">
        <f>日流量!MR61*24*3600/100000000</f>
        <v>1.7798400000000001</v>
      </c>
      <c r="MS61" s="6">
        <f>日流量!MS61*24*3600/100000000</f>
        <v>1.70208</v>
      </c>
      <c r="MT61" s="6">
        <f>日流量!MT61*24*3600/100000000</f>
        <v>1.6415999999999999</v>
      </c>
      <c r="MU61" s="6">
        <f>日流量!MU61*24*3600/100000000</f>
        <v>1.6848000000000001</v>
      </c>
      <c r="MV61" s="6">
        <f>日流量!MV61*24*3600/100000000</f>
        <v>1.6415999999999999</v>
      </c>
      <c r="MW61" s="6">
        <f>日流量!MW61*24*3600/100000000</f>
        <v>1.60704</v>
      </c>
      <c r="MX61" s="6">
        <f>日流量!MX61*24*3600/100000000</f>
        <v>1.5811200000000001</v>
      </c>
      <c r="MY61" s="6">
        <f>日流量!MY61*24*3600/100000000</f>
        <v>1.5724800000000001</v>
      </c>
      <c r="MZ61" s="6">
        <f>日流量!MZ61*24*3600/100000000</f>
        <v>1.61568</v>
      </c>
      <c r="NA61" s="6">
        <f>日流量!NA61*24*3600/100000000</f>
        <v>1.5551999999999999</v>
      </c>
      <c r="NB61" s="6">
        <f>日流量!NB61*24*3600/100000000</f>
        <v>1.62432</v>
      </c>
      <c r="NC61" s="6">
        <f>日流量!NC61*24*3600/100000000</f>
        <v>1.6675199999999999</v>
      </c>
      <c r="ND61" s="6">
        <f>日流量!ND61*24*3600*31/100000000</f>
        <v>44.997120000000002</v>
      </c>
      <c r="NE61" s="6">
        <f>日流量!NE61*24*3600*29/100000000</f>
        <v>38.085120000000003</v>
      </c>
      <c r="NF61" s="6">
        <f>日流量!NF61*24*3600*31/100000000</f>
        <v>40.443840000000002</v>
      </c>
      <c r="NG61" s="6">
        <f>日流量!NG61*24*3600*30/100000000</f>
        <v>38.102400000000003</v>
      </c>
      <c r="NH61" s="6">
        <f>日流量!NH61*24*3600*31/100000000</f>
        <v>70.174080000000004</v>
      </c>
      <c r="NI61" s="6">
        <f>日流量!NI61*24*3600*30/100000000</f>
        <v>113.78879999999999</v>
      </c>
      <c r="NJ61" s="6">
        <f>日流量!NJ61*24*3600*31/100000000</f>
        <v>203.55840000000001</v>
      </c>
      <c r="NK61" s="6">
        <f>日流量!NK61*24*3600*31/100000000</f>
        <v>281.23200000000003</v>
      </c>
      <c r="NL61" s="6">
        <f>日流量!NL61*24*3600*30/100000000</f>
        <v>249.86879999999999</v>
      </c>
      <c r="NM61" s="6">
        <f>日流量!NM61*24*3600*31/100000000</f>
        <v>140.88383999999999</v>
      </c>
      <c r="NN61" s="6">
        <f>日流量!NN61*24*3600*30/100000000</f>
        <v>98.236800000000002</v>
      </c>
      <c r="NO61" s="6">
        <f>日流量!NO61*24*3600*31/100000000</f>
        <v>55.442880000000002</v>
      </c>
      <c r="NP61" s="14">
        <f t="shared" si="10"/>
        <v>1374.8140799999999</v>
      </c>
      <c r="NQ61" s="6">
        <f>日流量!NQ61*24*3600/100000000</f>
        <v>12.6144</v>
      </c>
      <c r="NR61" s="4">
        <f>日流量!NR61</f>
        <v>42614</v>
      </c>
      <c r="NS61" s="6">
        <f>日流量!NS61*24*3600/100000000</f>
        <v>1.00224</v>
      </c>
      <c r="NT61" s="4">
        <f>日流量!NT61</f>
        <v>42398</v>
      </c>
      <c r="NU61" s="7">
        <f>日流量!NP61</f>
        <v>4347.2950819672133</v>
      </c>
      <c r="NW61" s="13">
        <f t="shared" si="0"/>
        <v>1059.5059200000001</v>
      </c>
      <c r="NX61" s="12">
        <f t="shared" si="1"/>
        <v>77.065396362539445</v>
      </c>
      <c r="NY61" s="13">
        <f t="shared" si="2"/>
        <v>848.44799999999998</v>
      </c>
      <c r="NZ61" s="12">
        <f t="shared" si="3"/>
        <v>61.713653674539039</v>
      </c>
      <c r="OA61" s="13">
        <f t="shared" si="4"/>
        <v>315.30815999999982</v>
      </c>
      <c r="OB61" s="12">
        <f t="shared" si="5"/>
        <v>22.934603637460555</v>
      </c>
      <c r="OC61" s="13">
        <f t="shared" si="6"/>
        <v>281.23200000000003</v>
      </c>
      <c r="OD61" s="12">
        <f t="shared" si="7"/>
        <v>20.456002312690895</v>
      </c>
      <c r="OE61" s="12">
        <f t="shared" si="8"/>
        <v>321.21824299065423</v>
      </c>
      <c r="OF61" s="12">
        <f t="shared" si="9"/>
        <v>10.185763666623993</v>
      </c>
    </row>
    <row r="62" spans="1:396" x14ac:dyDescent="0.15">
      <c r="A62" s="2">
        <v>2009</v>
      </c>
      <c r="B62" s="6">
        <f>日流量!B62*24*3600/100000000</f>
        <v>1.5724800000000001</v>
      </c>
      <c r="C62" s="6">
        <f>日流量!C62*24*3600/100000000</f>
        <v>1.71072</v>
      </c>
      <c r="D62" s="6">
        <f>日流量!D62*24*3600/100000000</f>
        <v>1.7712000000000001</v>
      </c>
      <c r="E62" s="6">
        <f>日流量!E62*24*3600/100000000</f>
        <v>1.8575999999999999</v>
      </c>
      <c r="F62" s="6">
        <f>日流量!F62*24*3600/100000000</f>
        <v>1.8489599999999999</v>
      </c>
      <c r="G62" s="6">
        <f>日流量!G62*24*3600/100000000</f>
        <v>1.7798400000000001</v>
      </c>
      <c r="H62" s="6">
        <f>日流量!H62*24*3600/100000000</f>
        <v>1.6675199999999999</v>
      </c>
      <c r="I62" s="6">
        <f>日流量!I62*24*3600/100000000</f>
        <v>1.7798400000000001</v>
      </c>
      <c r="J62" s="6">
        <f>日流量!J62*24*3600/100000000</f>
        <v>1.8144</v>
      </c>
      <c r="K62" s="6">
        <f>日流量!K62*24*3600/100000000</f>
        <v>1.7452799999999999</v>
      </c>
      <c r="L62" s="6">
        <f>日流量!L62*24*3600/100000000</f>
        <v>1.70208</v>
      </c>
      <c r="M62" s="6">
        <f>日流量!M62*24*3600/100000000</f>
        <v>1.6848000000000001</v>
      </c>
      <c r="N62" s="6">
        <f>日流量!N62*24*3600/100000000</f>
        <v>1.7798400000000001</v>
      </c>
      <c r="O62" s="6">
        <f>日流量!O62*24*3600/100000000</f>
        <v>1.70208</v>
      </c>
      <c r="P62" s="6">
        <f>日流量!P62*24*3600/100000000</f>
        <v>1.62432</v>
      </c>
      <c r="Q62" s="6">
        <f>日流量!Q62*24*3600/100000000</f>
        <v>1.6502399999999999</v>
      </c>
      <c r="R62" s="6">
        <f>日流量!R62*24*3600/100000000</f>
        <v>1.6588799999999999</v>
      </c>
      <c r="S62" s="6">
        <f>日流量!S62*24*3600/100000000</f>
        <v>1.70208</v>
      </c>
      <c r="T62" s="6">
        <f>日流量!T62*24*3600/100000000</f>
        <v>1.61568</v>
      </c>
      <c r="U62" s="6">
        <f>日流量!U62*24*3600/100000000</f>
        <v>1.63296</v>
      </c>
      <c r="V62" s="6">
        <f>日流量!V62*24*3600/100000000</f>
        <v>1.5897600000000001</v>
      </c>
      <c r="W62" s="6">
        <f>日流量!W62*24*3600/100000000</f>
        <v>1.5551999999999999</v>
      </c>
      <c r="X62" s="6">
        <f>日流量!X62*24*3600/100000000</f>
        <v>1.5724800000000001</v>
      </c>
      <c r="Y62" s="6">
        <f>日流量!Y62*24*3600/100000000</f>
        <v>1.49472</v>
      </c>
      <c r="Z62" s="6">
        <f>日流量!Z62*24*3600/100000000</f>
        <v>1.50336</v>
      </c>
      <c r="AA62" s="6">
        <f>日流量!AA62*24*3600/100000000</f>
        <v>1.512</v>
      </c>
      <c r="AB62" s="6">
        <f>日流量!AB62*24*3600/100000000</f>
        <v>1.5638399999999999</v>
      </c>
      <c r="AC62" s="6">
        <f>日流量!AC62*24*3600/100000000</f>
        <v>1.4515199999999999</v>
      </c>
      <c r="AD62" s="6">
        <f>日流量!AD62*24*3600/100000000</f>
        <v>1.43424</v>
      </c>
      <c r="AE62" s="6">
        <f>日流量!AE62*24*3600/100000000</f>
        <v>1.43424</v>
      </c>
      <c r="AF62" s="6">
        <f>日流量!AF62*24*3600/100000000</f>
        <v>1.3910400000000001</v>
      </c>
      <c r="AG62" s="6">
        <f>日流量!AG62*24*3600/100000000</f>
        <v>1.43424</v>
      </c>
      <c r="AH62" s="6">
        <f>日流量!AH62*24*3600/100000000</f>
        <v>1.4860800000000001</v>
      </c>
      <c r="AI62" s="6">
        <f>日流量!AI62*24*3600/100000000</f>
        <v>1.41696</v>
      </c>
      <c r="AJ62" s="6">
        <f>日流量!AJ62*24*3600/100000000</f>
        <v>1.4860800000000001</v>
      </c>
      <c r="AK62" s="6">
        <f>日流量!AK62*24*3600/100000000</f>
        <v>1.5724800000000001</v>
      </c>
      <c r="AL62" s="6">
        <f>日流量!AL62*24*3600/100000000</f>
        <v>1.6848000000000001</v>
      </c>
      <c r="AM62" s="6">
        <f>日流量!AM62*24*3600/100000000</f>
        <v>1.7452799999999999</v>
      </c>
      <c r="AN62" s="6">
        <f>日流量!AN62*24*3600/100000000</f>
        <v>1.70208</v>
      </c>
      <c r="AO62" s="6">
        <f>日流量!AO62*24*3600/100000000</f>
        <v>1.5984</v>
      </c>
      <c r="AP62" s="6">
        <f>日流量!AP62*24*3600/100000000</f>
        <v>1.4688000000000001</v>
      </c>
      <c r="AQ62" s="6">
        <f>日流量!AQ62*24*3600/100000000</f>
        <v>1.4860800000000001</v>
      </c>
      <c r="AR62" s="6">
        <f>日流量!AR62*24*3600/100000000</f>
        <v>1.53792</v>
      </c>
      <c r="AS62" s="6">
        <f>日流量!AS62*24*3600/100000000</f>
        <v>1.5465599999999999</v>
      </c>
      <c r="AT62" s="6">
        <f>日流量!AT62*24*3600/100000000</f>
        <v>1.5551999999999999</v>
      </c>
      <c r="AU62" s="6">
        <f>日流量!AU62*24*3600/100000000</f>
        <v>1.5551999999999999</v>
      </c>
      <c r="AV62" s="6">
        <f>日流量!AV62*24*3600/100000000</f>
        <v>1.5724800000000001</v>
      </c>
      <c r="AW62" s="6">
        <f>日流量!AW62*24*3600/100000000</f>
        <v>1.5897600000000001</v>
      </c>
      <c r="AX62" s="6">
        <f>日流量!AX62*24*3600/100000000</f>
        <v>1.5724800000000001</v>
      </c>
      <c r="AY62" s="6">
        <f>日流量!AY62*24*3600/100000000</f>
        <v>1.5551999999999999</v>
      </c>
      <c r="AZ62" s="6">
        <f>日流量!AZ62*24*3600/100000000</f>
        <v>1.50336</v>
      </c>
      <c r="BA62" s="6">
        <f>日流量!BA62*24*3600/100000000</f>
        <v>1.4688000000000001</v>
      </c>
      <c r="BB62" s="6">
        <f>日流量!BB62*24*3600/100000000</f>
        <v>1.4774400000000001</v>
      </c>
      <c r="BC62" s="6">
        <f>日流量!BC62*24*3600/100000000</f>
        <v>1.4256</v>
      </c>
      <c r="BD62" s="6">
        <f>日流量!BD62*24*3600/100000000</f>
        <v>1.3478399999999999</v>
      </c>
      <c r="BE62" s="6">
        <f>日流量!BE62*24*3600/100000000</f>
        <v>1.4428799999999999</v>
      </c>
      <c r="BF62" s="6">
        <f>日流量!BF62*24*3600/100000000</f>
        <v>1.4428799999999999</v>
      </c>
      <c r="BG62" s="6">
        <f>日流量!BG62*24*3600/100000000</f>
        <v>1.41696</v>
      </c>
      <c r="BH62" s="6">
        <f>日流量!BH62*24*3600/100000000</f>
        <v>1.39968</v>
      </c>
      <c r="BI62" s="6"/>
      <c r="BJ62" s="6">
        <f>日流量!BJ62*24*3600/100000000</f>
        <v>1.39968</v>
      </c>
      <c r="BK62" s="6">
        <f>日流量!BK62*24*3600/100000000</f>
        <v>1.4688000000000001</v>
      </c>
      <c r="BL62" s="6">
        <f>日流量!BL62*24*3600/100000000</f>
        <v>1.4601599999999999</v>
      </c>
      <c r="BM62" s="6">
        <f>日流量!BM62*24*3600/100000000</f>
        <v>1.43424</v>
      </c>
      <c r="BN62" s="6">
        <f>日流量!BN62*24*3600/100000000</f>
        <v>1.4774400000000001</v>
      </c>
      <c r="BO62" s="6">
        <f>日流量!BO62*24*3600/100000000</f>
        <v>1.52928</v>
      </c>
      <c r="BP62" s="6">
        <f>日流量!BP62*24*3600/100000000</f>
        <v>1.50336</v>
      </c>
      <c r="BQ62" s="6">
        <f>日流量!BQ62*24*3600/100000000</f>
        <v>1.4774400000000001</v>
      </c>
      <c r="BR62" s="6">
        <f>日流量!BR62*24*3600/100000000</f>
        <v>1.49472</v>
      </c>
      <c r="BS62" s="6">
        <f>日流量!BS62*24*3600/100000000</f>
        <v>1.3651199999999999</v>
      </c>
      <c r="BT62" s="6">
        <f>日流量!BT62*24*3600/100000000</f>
        <v>1.43424</v>
      </c>
      <c r="BU62" s="6">
        <f>日流量!BU62*24*3600/100000000</f>
        <v>1.40832</v>
      </c>
      <c r="BV62" s="6">
        <f>日流量!BV62*24*3600/100000000</f>
        <v>1.40832</v>
      </c>
      <c r="BW62" s="6">
        <f>日流量!BW62*24*3600/100000000</f>
        <v>1.3910400000000001</v>
      </c>
      <c r="BX62" s="6">
        <f>日流量!BX62*24*3600/100000000</f>
        <v>1.2527999999999999</v>
      </c>
      <c r="BY62" s="6">
        <f>日流量!BY62*24*3600/100000000</f>
        <v>1.3391999999999999</v>
      </c>
      <c r="BZ62" s="6">
        <f>日流量!BZ62*24*3600/100000000</f>
        <v>1.3391999999999999</v>
      </c>
      <c r="CA62" s="6">
        <f>日流量!CA62*24*3600/100000000</f>
        <v>1.1664000000000001</v>
      </c>
      <c r="CB62" s="6">
        <f>日流量!CB62*24*3600/100000000</f>
        <v>1.0713600000000001</v>
      </c>
      <c r="CC62" s="6">
        <f>日流量!CC62*24*3600/100000000</f>
        <v>1.08</v>
      </c>
      <c r="CD62" s="6">
        <f>日流量!CD62*24*3600/100000000</f>
        <v>1.08</v>
      </c>
      <c r="CE62" s="6">
        <f>日流量!CE62*24*3600/100000000</f>
        <v>1.20096</v>
      </c>
      <c r="CF62" s="6">
        <f>日流量!CF62*24*3600/100000000</f>
        <v>1.2787200000000001</v>
      </c>
      <c r="CG62" s="6">
        <f>日流量!CG62*24*3600/100000000</f>
        <v>1.19232</v>
      </c>
      <c r="CH62" s="6">
        <f>日流量!CH62*24*3600/100000000</f>
        <v>1.11456</v>
      </c>
      <c r="CI62" s="6">
        <f>日流量!CI62*24*3600/100000000</f>
        <v>1.1750400000000001</v>
      </c>
      <c r="CJ62" s="6">
        <f>日流量!CJ62*24*3600/100000000</f>
        <v>1.11456</v>
      </c>
      <c r="CK62" s="6">
        <f>日流量!CK62*24*3600/100000000</f>
        <v>1.0627200000000001</v>
      </c>
      <c r="CL62" s="6">
        <f>日流量!CL62*24*3600/100000000</f>
        <v>1.0454399999999999</v>
      </c>
      <c r="CM62" s="6">
        <f>日流量!CM62*24*3600/100000000</f>
        <v>1.1750400000000001</v>
      </c>
      <c r="CN62" s="6">
        <f>日流量!CN62*24*3600/100000000</f>
        <v>1.1750400000000001</v>
      </c>
      <c r="CO62" s="6">
        <f>日流量!CO62*24*3600/100000000</f>
        <v>1.19232</v>
      </c>
      <c r="CP62" s="6">
        <f>日流量!CP62*24*3600/100000000</f>
        <v>1.19232</v>
      </c>
      <c r="CQ62" s="6">
        <f>日流量!CQ62*24*3600/100000000</f>
        <v>1.2527999999999999</v>
      </c>
      <c r="CR62" s="6">
        <f>日流量!CR62*24*3600/100000000</f>
        <v>1.2096</v>
      </c>
      <c r="CS62" s="6">
        <f>日流量!CS62*24*3600/100000000</f>
        <v>1.1750400000000001</v>
      </c>
      <c r="CT62" s="6">
        <f>日流量!CT62*24*3600/100000000</f>
        <v>1.2700800000000001</v>
      </c>
      <c r="CU62" s="6">
        <f>日流量!CU62*24*3600/100000000</f>
        <v>1.33056</v>
      </c>
      <c r="CV62" s="6">
        <f>日流量!CV62*24*3600/100000000</f>
        <v>1.3651199999999999</v>
      </c>
      <c r="CW62" s="6">
        <f>日流量!CW62*24*3600/100000000</f>
        <v>1.4515199999999999</v>
      </c>
      <c r="CX62" s="6">
        <f>日流量!CX62*24*3600/100000000</f>
        <v>1.4256</v>
      </c>
      <c r="CY62" s="6">
        <f>日流量!CY62*24*3600/100000000</f>
        <v>1.30464</v>
      </c>
      <c r="CZ62" s="6">
        <f>日流量!CZ62*24*3600/100000000</f>
        <v>1.20096</v>
      </c>
      <c r="DA62" s="6">
        <f>日流量!DA62*24*3600/100000000</f>
        <v>1.1750400000000001</v>
      </c>
      <c r="DB62" s="6">
        <f>日流量!DB62*24*3600/100000000</f>
        <v>1.1577599999999999</v>
      </c>
      <c r="DC62" s="6">
        <f>日流量!DC62*24*3600/100000000</f>
        <v>1.2096</v>
      </c>
      <c r="DD62" s="6">
        <f>日流量!DD62*24*3600/100000000</f>
        <v>1.31328</v>
      </c>
      <c r="DE62" s="6">
        <f>日流量!DE62*24*3600/100000000</f>
        <v>1.41696</v>
      </c>
      <c r="DF62" s="6">
        <f>日流量!DF62*24*3600/100000000</f>
        <v>1.5465599999999999</v>
      </c>
      <c r="DG62" s="6">
        <f>日流量!DG62*24*3600/100000000</f>
        <v>1.3737600000000001</v>
      </c>
      <c r="DH62" s="6">
        <f>日流量!DH62*24*3600/100000000</f>
        <v>1.21824</v>
      </c>
      <c r="DI62" s="6">
        <f>日流量!DI62*24*3600/100000000</f>
        <v>1.2700800000000001</v>
      </c>
      <c r="DJ62" s="6">
        <f>日流量!DJ62*24*3600/100000000</f>
        <v>1.33056</v>
      </c>
      <c r="DK62" s="6">
        <f>日流量!DK62*24*3600/100000000</f>
        <v>1.4601599999999999</v>
      </c>
      <c r="DL62" s="6">
        <f>日流量!DL62*24*3600/100000000</f>
        <v>1.6588799999999999</v>
      </c>
      <c r="DM62" s="6">
        <f>日流量!DM62*24*3600/100000000</f>
        <v>1.5638399999999999</v>
      </c>
      <c r="DN62" s="6">
        <f>日流量!DN62*24*3600/100000000</f>
        <v>1.4515199999999999</v>
      </c>
      <c r="DO62" s="6">
        <f>日流量!DO62*24*3600/100000000</f>
        <v>1.5811200000000001</v>
      </c>
      <c r="DP62" s="6">
        <f>日流量!DP62*24*3600/100000000</f>
        <v>1.71936</v>
      </c>
      <c r="DQ62" s="6">
        <f>日流量!DQ62*24*3600/100000000</f>
        <v>1.83168</v>
      </c>
      <c r="DR62" s="6">
        <f>日流量!DR62*24*3600/100000000</f>
        <v>1.7712000000000001</v>
      </c>
      <c r="DS62" s="6">
        <f>日流量!DS62*24*3600/100000000</f>
        <v>1.8748800000000001</v>
      </c>
      <c r="DT62" s="6">
        <f>日流量!DT62*24*3600/100000000</f>
        <v>1.71072</v>
      </c>
      <c r="DU62" s="6">
        <f>日流量!DU62*24*3600/100000000</f>
        <v>1.5897600000000001</v>
      </c>
      <c r="DV62" s="6">
        <f>日流量!DV62*24*3600/100000000</f>
        <v>1.61568</v>
      </c>
      <c r="DW62" s="6">
        <f>日流量!DW62*24*3600/100000000</f>
        <v>1.6415999999999999</v>
      </c>
      <c r="DX62" s="6">
        <f>日流量!DX62*24*3600/100000000</f>
        <v>1.6588799999999999</v>
      </c>
      <c r="DY62" s="6">
        <f>日流量!DY62*24*3600/100000000</f>
        <v>1.62432</v>
      </c>
      <c r="DZ62" s="6">
        <f>日流量!DZ62*24*3600/100000000</f>
        <v>1.6761600000000001</v>
      </c>
      <c r="EA62" s="6">
        <f>日流量!EA62*24*3600/100000000</f>
        <v>1.7712000000000001</v>
      </c>
      <c r="EB62" s="6">
        <f>日流量!EB62*24*3600/100000000</f>
        <v>2.0476800000000002</v>
      </c>
      <c r="EC62" s="6">
        <f>日流量!EC62*24*3600/100000000</f>
        <v>1.8921600000000001</v>
      </c>
      <c r="ED62" s="6">
        <f>日流量!ED62*24*3600/100000000</f>
        <v>1.4428799999999999</v>
      </c>
      <c r="EE62" s="6">
        <f>日流量!EE62*24*3600/100000000</f>
        <v>1.23552</v>
      </c>
      <c r="EF62" s="6">
        <f>日流量!EF62*24*3600/100000000</f>
        <v>1.1491199999999999</v>
      </c>
      <c r="EG62" s="6">
        <f>日流量!EG62*24*3600/100000000</f>
        <v>1.19232</v>
      </c>
      <c r="EH62" s="6">
        <f>日流量!EH62*24*3600/100000000</f>
        <v>1.2527999999999999</v>
      </c>
      <c r="EI62" s="6">
        <f>日流量!EI62*24*3600/100000000</f>
        <v>1.2441599999999999</v>
      </c>
      <c r="EJ62" s="6">
        <f>日流量!EJ62*24*3600/100000000</f>
        <v>1.1491199999999999</v>
      </c>
      <c r="EK62" s="6">
        <f>日流量!EK62*24*3600/100000000</f>
        <v>1.10592</v>
      </c>
      <c r="EL62" s="6">
        <f>日流量!EL62*24*3600/100000000</f>
        <v>1.10592</v>
      </c>
      <c r="EM62" s="6">
        <f>日流量!EM62*24*3600/100000000</f>
        <v>1.1577599999999999</v>
      </c>
      <c r="EN62" s="6">
        <f>日流量!EN62*24*3600/100000000</f>
        <v>1.43424</v>
      </c>
      <c r="EO62" s="6">
        <f>日流量!EO62*24*3600/100000000</f>
        <v>1.4688000000000001</v>
      </c>
      <c r="EP62" s="6">
        <f>日流量!EP62*24*3600/100000000</f>
        <v>1.2873600000000001</v>
      </c>
      <c r="EQ62" s="6">
        <f>日流量!EQ62*24*3600/100000000</f>
        <v>1.2441599999999999</v>
      </c>
      <c r="ER62" s="6">
        <f>日流量!ER62*24*3600/100000000</f>
        <v>1.21824</v>
      </c>
      <c r="ES62" s="6">
        <f>日流量!ES62*24*3600/100000000</f>
        <v>1.2527999999999999</v>
      </c>
      <c r="ET62" s="6">
        <f>日流量!ET62*24*3600/100000000</f>
        <v>1.3910400000000001</v>
      </c>
      <c r="EU62" s="6">
        <f>日流量!EU62*24*3600/100000000</f>
        <v>1.2441599999999999</v>
      </c>
      <c r="EV62" s="6">
        <f>日流量!EV62*24*3600/100000000</f>
        <v>1.21824</v>
      </c>
      <c r="EW62" s="6">
        <f>日流量!EW62*24*3600/100000000</f>
        <v>1.3651199999999999</v>
      </c>
      <c r="EX62" s="6">
        <f>日流量!EX62*24*3600/100000000</f>
        <v>1.5984</v>
      </c>
      <c r="EY62" s="6">
        <f>日流量!EY62*24*3600/100000000</f>
        <v>1.63296</v>
      </c>
      <c r="EZ62" s="6">
        <f>日流量!EZ62*24*3600/100000000</f>
        <v>1.7798400000000001</v>
      </c>
      <c r="FA62" s="6">
        <f>日流量!FA62*24*3600/100000000</f>
        <v>1.8921600000000001</v>
      </c>
      <c r="FB62" s="6">
        <f>日流量!FB62*24*3600/100000000</f>
        <v>1.7625599999999999</v>
      </c>
      <c r="FC62" s="6">
        <f>日流量!FC62*24*3600/100000000</f>
        <v>1.70208</v>
      </c>
      <c r="FD62" s="6">
        <f>日流量!FD62*24*3600/100000000</f>
        <v>1.93536</v>
      </c>
      <c r="FE62" s="6">
        <f>日流量!FE62*24*3600/100000000</f>
        <v>1.728</v>
      </c>
      <c r="FF62" s="6">
        <f>日流量!FF62*24*3600/100000000</f>
        <v>1.5465599999999999</v>
      </c>
      <c r="FG62" s="6">
        <f>日流量!FG62*24*3600/100000000</f>
        <v>1.50336</v>
      </c>
      <c r="FH62" s="6">
        <f>日流量!FH62*24*3600/100000000</f>
        <v>1.6934400000000001</v>
      </c>
      <c r="FI62" s="6">
        <f>日流量!FI62*24*3600/100000000</f>
        <v>1.90944</v>
      </c>
      <c r="FJ62" s="6">
        <f>日流量!FJ62*24*3600/100000000</f>
        <v>2.3759999999999999</v>
      </c>
      <c r="FK62" s="6">
        <f>日流量!FK62*24*3600/100000000</f>
        <v>2.3759999999999999</v>
      </c>
      <c r="FL62" s="6">
        <f>日流量!FL62*24*3600/100000000</f>
        <v>2.4710399999999999</v>
      </c>
      <c r="FM62" s="6">
        <f>日流量!FM62*24*3600/100000000</f>
        <v>2.8512</v>
      </c>
      <c r="FN62" s="6">
        <f>日流量!FN62*24*3600/100000000</f>
        <v>3.6633599999999999</v>
      </c>
      <c r="FO62" s="6">
        <f>日流量!FO62*24*3600/100000000</f>
        <v>3.9916800000000001</v>
      </c>
      <c r="FP62" s="6">
        <f>日流量!FP62*24*3600/100000000</f>
        <v>4.0780799999999999</v>
      </c>
      <c r="FQ62" s="6">
        <f>日流量!FQ62*24*3600/100000000</f>
        <v>3.8102399999999998</v>
      </c>
      <c r="FR62" s="6">
        <f>日流量!FR62*24*3600/100000000</f>
        <v>3.24</v>
      </c>
      <c r="FS62" s="6">
        <f>日流量!FS62*24*3600/100000000</f>
        <v>3.7324799999999998</v>
      </c>
      <c r="FT62" s="6">
        <f>日流量!FT62*24*3600/100000000</f>
        <v>3.9312</v>
      </c>
      <c r="FU62" s="6">
        <f>日流量!FU62*24*3600/100000000</f>
        <v>3.8966400000000001</v>
      </c>
      <c r="FV62" s="6">
        <f>日流量!FV62*24*3600/100000000</f>
        <v>3.6892800000000001</v>
      </c>
      <c r="FW62" s="6">
        <f>日流量!FW62*24*3600/100000000</f>
        <v>3.6892800000000001</v>
      </c>
      <c r="FX62" s="6">
        <f>日流量!FX62*24*3600/100000000</f>
        <v>3.8016000000000001</v>
      </c>
      <c r="FY62" s="6">
        <f>日流量!FY62*24*3600/100000000</f>
        <v>3.9225599999999998</v>
      </c>
      <c r="FZ62" s="6">
        <f>日流量!FZ62*24*3600/100000000</f>
        <v>3.8016000000000001</v>
      </c>
      <c r="GA62" s="6">
        <f>日流量!GA62*24*3600/100000000</f>
        <v>4.3459199999999996</v>
      </c>
      <c r="GB62" s="6">
        <f>日流量!GB62*24*3600/100000000</f>
        <v>5.2876799999999999</v>
      </c>
      <c r="GC62" s="6">
        <f>日流量!GC62*24*3600/100000000</f>
        <v>5.0975999999999999</v>
      </c>
      <c r="GD62" s="6">
        <f>日流量!GD62*24*3600/100000000</f>
        <v>5.2358399999999996</v>
      </c>
      <c r="GE62" s="6">
        <f>日流量!GE62*24*3600/100000000</f>
        <v>5.3049600000000003</v>
      </c>
      <c r="GF62" s="6">
        <f>日流量!GF62*24*3600/100000000</f>
        <v>5.4518399999999998</v>
      </c>
      <c r="GG62" s="6">
        <f>日流量!GG62*24*3600/100000000</f>
        <v>5.8924799999999999</v>
      </c>
      <c r="GH62" s="6">
        <f>日流量!GH62*24*3600/100000000</f>
        <v>5.7196800000000003</v>
      </c>
      <c r="GI62" s="6">
        <f>日流量!GI62*24*3600/100000000</f>
        <v>5.5987200000000001</v>
      </c>
      <c r="GJ62" s="6">
        <f>日流量!GJ62*24*3600/100000000</f>
        <v>5.5814399999999997</v>
      </c>
      <c r="GK62" s="6">
        <f>日流量!GK62*24*3600/100000000</f>
        <v>5.7715199999999998</v>
      </c>
      <c r="GL62" s="6">
        <f>日流量!GL62*24*3600/100000000</f>
        <v>6.7305599999999997</v>
      </c>
      <c r="GM62" s="6">
        <f>日流量!GM62*24*3600/100000000</f>
        <v>8.64</v>
      </c>
      <c r="GN62" s="6">
        <f>日流量!GN62*24*3600/100000000</f>
        <v>9.9359999999999999</v>
      </c>
      <c r="GO62" s="6">
        <f>日流量!GO62*24*3600/100000000</f>
        <v>10.6272</v>
      </c>
      <c r="GP62" s="6">
        <f>日流量!GP62*24*3600/100000000</f>
        <v>10.540800000000001</v>
      </c>
      <c r="GQ62" s="6">
        <f>日流量!GQ62*24*3600/100000000</f>
        <v>10.022399999999999</v>
      </c>
      <c r="GR62" s="6">
        <f>日流量!GR62*24*3600/100000000</f>
        <v>8.5190400000000004</v>
      </c>
      <c r="GS62" s="6">
        <f>日流量!GS62*24*3600/100000000</f>
        <v>7.3526400000000001</v>
      </c>
      <c r="GT62" s="6">
        <f>日流量!GT62*24*3600/100000000</f>
        <v>7.0070399999999999</v>
      </c>
      <c r="GU62" s="6">
        <f>日流量!GU62*24*3600/100000000</f>
        <v>6.87744</v>
      </c>
      <c r="GV62" s="6">
        <f>日流量!GV62*24*3600/100000000</f>
        <v>6.8169599999999999</v>
      </c>
      <c r="GW62" s="6">
        <f>日流量!GW62*24*3600/100000000</f>
        <v>6.6700799999999996</v>
      </c>
      <c r="GX62" s="6">
        <f>日流量!GX62*24*3600/100000000</f>
        <v>6.3071999999999999</v>
      </c>
      <c r="GY62" s="6">
        <f>日流量!GY62*24*3600/100000000</f>
        <v>5.6332800000000001</v>
      </c>
      <c r="GZ62" s="6">
        <f>日流量!GZ62*24*3600/100000000</f>
        <v>6.1257599999999996</v>
      </c>
      <c r="HA62" s="6">
        <f>日流量!HA62*24*3600/100000000</f>
        <v>6.8342400000000003</v>
      </c>
      <c r="HB62" s="6">
        <f>日流量!HB62*24*3600/100000000</f>
        <v>7.76736</v>
      </c>
      <c r="HC62" s="6">
        <f>日流量!HC62*24*3600/100000000</f>
        <v>8.8992000000000004</v>
      </c>
      <c r="HD62" s="6">
        <f>日流量!HD62*24*3600/100000000</f>
        <v>9.9359999999999999</v>
      </c>
      <c r="HE62" s="6">
        <f>日流量!HE62*24*3600/100000000</f>
        <v>10.7136</v>
      </c>
      <c r="HF62" s="6">
        <f>日流量!HF62*24*3600/100000000</f>
        <v>11.231999999999999</v>
      </c>
      <c r="HG62" s="6">
        <f>日流量!HG62*24*3600/100000000</f>
        <v>11.231999999999999</v>
      </c>
      <c r="HH62" s="6">
        <f>日流量!HH62*24*3600/100000000</f>
        <v>11.231999999999999</v>
      </c>
      <c r="HI62" s="6">
        <f>日流量!HI62*24*3600/100000000</f>
        <v>10.8</v>
      </c>
      <c r="HJ62" s="6">
        <f>日流量!HJ62*24*3600/100000000</f>
        <v>10.6272</v>
      </c>
      <c r="HK62" s="6">
        <f>日流量!HK62*24*3600/100000000</f>
        <v>10.972799999999999</v>
      </c>
      <c r="HL62" s="6">
        <f>日流量!HL62*24*3600/100000000</f>
        <v>11.231999999999999</v>
      </c>
      <c r="HM62" s="6">
        <f>日流量!HM62*24*3600/100000000</f>
        <v>11.3184</v>
      </c>
      <c r="HN62" s="6">
        <f>日流量!HN62*24*3600/100000000</f>
        <v>11.1456</v>
      </c>
      <c r="HO62" s="6">
        <f>日流量!HO62*24*3600/100000000</f>
        <v>10.1088</v>
      </c>
      <c r="HP62" s="6">
        <f>日流量!HP62*24*3600/100000000</f>
        <v>9.5039999999999996</v>
      </c>
      <c r="HQ62" s="6">
        <f>日流量!HQ62*24*3600/100000000</f>
        <v>8.7263999999999999</v>
      </c>
      <c r="HR62" s="6">
        <f>日流量!HR62*24*3600/100000000</f>
        <v>8.9855999999999998</v>
      </c>
      <c r="HS62" s="6">
        <f>日流量!HS62*24*3600/100000000</f>
        <v>11.664</v>
      </c>
      <c r="HT62" s="6">
        <f>日流量!HT62*24*3600/100000000</f>
        <v>13.478400000000001</v>
      </c>
      <c r="HU62" s="6">
        <f>日流量!HU62*24*3600/100000000</f>
        <v>14.428800000000001</v>
      </c>
      <c r="HV62" s="6">
        <f>日流量!HV62*24*3600/100000000</f>
        <v>13.9968</v>
      </c>
      <c r="HW62" s="6">
        <f>日流量!HW62*24*3600/100000000</f>
        <v>12.8736</v>
      </c>
      <c r="HX62" s="6">
        <f>日流量!HX62*24*3600/100000000</f>
        <v>11.664</v>
      </c>
      <c r="HY62" s="6">
        <f>日流量!HY62*24*3600/100000000</f>
        <v>10.8</v>
      </c>
      <c r="HZ62" s="6">
        <f>日流量!HZ62*24*3600/100000000</f>
        <v>10.4544</v>
      </c>
      <c r="IA62" s="6">
        <f>日流量!IA62*24*3600/100000000</f>
        <v>10.4544</v>
      </c>
      <c r="IB62" s="6">
        <f>日流量!IB62*24*3600/100000000</f>
        <v>10.1088</v>
      </c>
      <c r="IC62" s="6">
        <f>日流量!IC62*24*3600/100000000</f>
        <v>10.1088</v>
      </c>
      <c r="ID62" s="6">
        <f>日流量!ID62*24*3600/100000000</f>
        <v>10.022399999999999</v>
      </c>
      <c r="IE62" s="6">
        <f>日流量!IE62*24*3600/100000000</f>
        <v>9.2447999999999997</v>
      </c>
      <c r="IF62" s="6">
        <f>日流量!IF62*24*3600/100000000</f>
        <v>7.8883200000000002</v>
      </c>
      <c r="IG62" s="6">
        <f>日流量!IG62*24*3600/100000000</f>
        <v>7.9833600000000002</v>
      </c>
      <c r="IH62" s="6">
        <f>日流量!IH62*24*3600/100000000</f>
        <v>7.7759999999999998</v>
      </c>
      <c r="II62" s="6">
        <f>日流量!II62*24*3600/100000000</f>
        <v>7.8710399999999998</v>
      </c>
      <c r="IJ62" s="6">
        <f>日流量!IJ62*24*3600/100000000</f>
        <v>8.4499200000000005</v>
      </c>
      <c r="IK62" s="6">
        <f>日流量!IK62*24*3600/100000000</f>
        <v>8.8992000000000004</v>
      </c>
      <c r="IL62" s="6">
        <f>日流量!IL62*24*3600/100000000</f>
        <v>8.4326399999999992</v>
      </c>
      <c r="IM62" s="6">
        <f>日流量!IM62*24*3600/100000000</f>
        <v>7.6982400000000002</v>
      </c>
      <c r="IN62" s="6">
        <f>日流量!IN62*24*3600/100000000</f>
        <v>6.9811199999999998</v>
      </c>
      <c r="IO62" s="6">
        <f>日流量!IO62*24*3600/100000000</f>
        <v>6.7219199999999999</v>
      </c>
      <c r="IP62" s="6">
        <f>日流量!IP62*24*3600/100000000</f>
        <v>6.1171199999999999</v>
      </c>
      <c r="IQ62" s="6">
        <f>日流量!IQ62*24*3600/100000000</f>
        <v>5.8406399999999996</v>
      </c>
      <c r="IR62" s="6">
        <f>日流量!IR62*24*3600/100000000</f>
        <v>5.7455999999999996</v>
      </c>
      <c r="IS62" s="6">
        <f>日流量!IS62*24*3600/100000000</f>
        <v>5.8060799999999997</v>
      </c>
      <c r="IT62" s="6">
        <f>日流量!IT62*24*3600/100000000</f>
        <v>5.3136000000000001</v>
      </c>
      <c r="IU62" s="6">
        <f>日流量!IU62*24*3600/100000000</f>
        <v>5.1926399999999999</v>
      </c>
      <c r="IV62" s="6">
        <f>日流量!IV62*24*3600/100000000</f>
        <v>5.1235200000000001</v>
      </c>
      <c r="IW62" s="6">
        <f>日流量!IW62*24*3600/100000000</f>
        <v>5.0889600000000002</v>
      </c>
      <c r="IX62" s="6">
        <f>日流量!IX62*24*3600/100000000</f>
        <v>4.9593600000000002</v>
      </c>
      <c r="IY62" s="6">
        <f>日流量!IY62*24*3600/100000000</f>
        <v>4.9766399999999997</v>
      </c>
      <c r="IZ62" s="6">
        <f>日流量!IZ62*24*3600/100000000</f>
        <v>4.9161599999999996</v>
      </c>
      <c r="JA62" s="6">
        <f>日流量!JA62*24*3600/100000000</f>
        <v>4.9852800000000004</v>
      </c>
      <c r="JB62" s="6">
        <f>日流量!JB62*24*3600/100000000</f>
        <v>5.0111999999999997</v>
      </c>
      <c r="JC62" s="6">
        <f>日流量!JC62*24*3600/100000000</f>
        <v>5.2099200000000003</v>
      </c>
      <c r="JD62" s="6">
        <f>日流量!JD62*24*3600/100000000</f>
        <v>5.2358399999999996</v>
      </c>
      <c r="JE62" s="6">
        <f>日流量!JE62*24*3600/100000000</f>
        <v>5.2012799999999997</v>
      </c>
      <c r="JF62" s="6">
        <f>日流量!JF62*24*3600/100000000</f>
        <v>5.5900800000000004</v>
      </c>
      <c r="JG62" s="6">
        <f>日流量!JG62*24*3600/100000000</f>
        <v>6.8947200000000004</v>
      </c>
      <c r="JH62" s="6">
        <f>日流量!JH62*24*3600/100000000</f>
        <v>6.6528</v>
      </c>
      <c r="JI62" s="6">
        <f>日流量!JI62*24*3600/100000000</f>
        <v>6.7564799999999998</v>
      </c>
      <c r="JJ62" s="6">
        <f>日流量!JJ62*24*3600/100000000</f>
        <v>6.3331200000000001</v>
      </c>
      <c r="JK62" s="6">
        <f>日流量!JK62*24*3600/100000000</f>
        <v>6.3763199999999998</v>
      </c>
      <c r="JL62" s="6">
        <f>日流量!JL62*24*3600/100000000</f>
        <v>6.6009599999999997</v>
      </c>
      <c r="JM62" s="6">
        <f>日流量!JM62*24*3600/100000000</f>
        <v>7.7155199999999997</v>
      </c>
      <c r="JN62" s="6">
        <f>日流量!JN62*24*3600/100000000</f>
        <v>7.76736</v>
      </c>
      <c r="JO62" s="6">
        <f>日流量!JO62*24*3600/100000000</f>
        <v>6.97248</v>
      </c>
      <c r="JP62" s="6">
        <f>日流量!JP62*24*3600/100000000</f>
        <v>6.2294400000000003</v>
      </c>
      <c r="JQ62" s="6">
        <f>日流量!JQ62*24*3600/100000000</f>
        <v>5.7715199999999998</v>
      </c>
      <c r="JR62" s="6">
        <f>日流量!JR62*24*3600/100000000</f>
        <v>5.3913599999999997</v>
      </c>
      <c r="JS62" s="6">
        <f>日流量!JS62*24*3600/100000000</f>
        <v>5.1407999999999996</v>
      </c>
      <c r="JT62" s="6">
        <f>日流量!JT62*24*3600/100000000</f>
        <v>5.4604799999999996</v>
      </c>
      <c r="JU62" s="6">
        <f>日流量!JU62*24*3600/100000000</f>
        <v>5.2099200000000003</v>
      </c>
      <c r="JV62" s="6">
        <f>日流量!JV62*24*3600/100000000</f>
        <v>4.9420799999999998</v>
      </c>
      <c r="JW62" s="6">
        <f>日流量!JW62*24*3600/100000000</f>
        <v>4.7692800000000002</v>
      </c>
      <c r="JX62" s="6">
        <f>日流量!JX62*24*3600/100000000</f>
        <v>4.6569599999999998</v>
      </c>
      <c r="JY62" s="6">
        <f>日流量!JY62*24*3600/100000000</f>
        <v>4.4927999999999999</v>
      </c>
      <c r="JZ62" s="6">
        <f>日流量!JZ62*24*3600/100000000</f>
        <v>4.3718399999999997</v>
      </c>
      <c r="KA62" s="6">
        <f>日流量!KA62*24*3600/100000000</f>
        <v>4.3718399999999997</v>
      </c>
      <c r="KB62" s="6">
        <f>日流量!KB62*24*3600/100000000</f>
        <v>4.0867199999999997</v>
      </c>
      <c r="KC62" s="6">
        <f>日流量!KC62*24*3600/100000000</f>
        <v>4.2854400000000004</v>
      </c>
      <c r="KD62" s="6">
        <f>日流量!KD62*24*3600/100000000</f>
        <v>4.1731199999999999</v>
      </c>
      <c r="KE62" s="6">
        <f>日流量!KE62*24*3600/100000000</f>
        <v>4.3459199999999996</v>
      </c>
      <c r="KF62" s="6">
        <f>日流量!KF62*24*3600/100000000</f>
        <v>4.4927999999999999</v>
      </c>
      <c r="KG62" s="6">
        <f>日流量!KG62*24*3600/100000000</f>
        <v>4.4841600000000001</v>
      </c>
      <c r="KH62" s="6">
        <f>日流量!KH62*24*3600/100000000</f>
        <v>4.3718399999999997</v>
      </c>
      <c r="KI62" s="6">
        <f>日流量!KI62*24*3600/100000000</f>
        <v>4.2854400000000004</v>
      </c>
      <c r="KJ62" s="6">
        <f>日流量!KJ62*24*3600/100000000</f>
        <v>4.1817599999999997</v>
      </c>
      <c r="KK62" s="6">
        <f>日流量!KK62*24*3600/100000000</f>
        <v>4.0089600000000001</v>
      </c>
      <c r="KL62" s="6">
        <f>日流量!KL62*24*3600/100000000</f>
        <v>3.8879999999999999</v>
      </c>
      <c r="KM62" s="6">
        <f>日流量!KM62*24*3600/100000000</f>
        <v>3.8275199999999998</v>
      </c>
      <c r="KN62" s="6">
        <f>日流量!KN62*24*3600/100000000</f>
        <v>3.7929599999999999</v>
      </c>
      <c r="KO62" s="6">
        <f>日流量!KO62*24*3600/100000000</f>
        <v>3.7670400000000002</v>
      </c>
      <c r="KP62" s="6">
        <f>日流量!KP62*24*3600/100000000</f>
        <v>3.55104</v>
      </c>
      <c r="KQ62" s="6">
        <f>日流量!KQ62*24*3600/100000000</f>
        <v>3.2227199999999998</v>
      </c>
      <c r="KR62" s="6">
        <f>日流量!KR62*24*3600/100000000</f>
        <v>3.1276799999999998</v>
      </c>
      <c r="KS62" s="6">
        <f>日流量!KS62*24*3600/100000000</f>
        <v>2.7302399999999998</v>
      </c>
      <c r="KT62" s="6">
        <f>日流量!KT62*24*3600/100000000</f>
        <v>2.8598400000000002</v>
      </c>
      <c r="KU62" s="6">
        <f>日流量!KU62*24*3600/100000000</f>
        <v>2.7907199999999999</v>
      </c>
      <c r="KV62" s="6">
        <f>日流量!KV62*24*3600/100000000</f>
        <v>2.5055999999999998</v>
      </c>
      <c r="KW62" s="6">
        <f>日流量!KW62*24*3600/100000000</f>
        <v>2.7993600000000001</v>
      </c>
      <c r="KX62" s="6">
        <f>日流量!KX62*24*3600/100000000</f>
        <v>2.81664</v>
      </c>
      <c r="KY62" s="6">
        <f>日流量!KY62*24*3600/100000000</f>
        <v>2.5833599999999999</v>
      </c>
      <c r="KZ62" s="6">
        <f>日流量!KZ62*24*3600/100000000</f>
        <v>2.5747200000000001</v>
      </c>
      <c r="LA62" s="6">
        <f>日流量!LA62*24*3600/100000000</f>
        <v>2.5401600000000002</v>
      </c>
      <c r="LB62" s="6">
        <f>日流量!LB62*24*3600/100000000</f>
        <v>2.4192</v>
      </c>
      <c r="LC62" s="6">
        <f>日流量!LC62*24*3600/100000000</f>
        <v>2.5228799999999998</v>
      </c>
      <c r="LD62" s="6">
        <f>日流量!LD62*24*3600/100000000</f>
        <v>2.3328000000000002</v>
      </c>
      <c r="LE62" s="6">
        <f>日流量!LE62*24*3600/100000000</f>
        <v>2.2550400000000002</v>
      </c>
      <c r="LF62" s="6">
        <f>日流量!LF62*24*3600/100000000</f>
        <v>2.2636799999999999</v>
      </c>
      <c r="LG62" s="6">
        <f>日流量!LG62*24*3600/100000000</f>
        <v>2.2204799999999998</v>
      </c>
      <c r="LH62" s="6">
        <f>日流量!LH62*24*3600/100000000</f>
        <v>2.3328000000000002</v>
      </c>
      <c r="LI62" s="6">
        <f>日流量!LI62*24*3600/100000000</f>
        <v>2.4019200000000001</v>
      </c>
      <c r="LJ62" s="6">
        <f>日流量!LJ62*24*3600/100000000</f>
        <v>2.4105599999999998</v>
      </c>
      <c r="LK62" s="6">
        <f>日流量!LK62*24*3600/100000000</f>
        <v>2.1859199999999999</v>
      </c>
      <c r="LL62" s="6">
        <f>日流量!LL62*24*3600/100000000</f>
        <v>1.9612799999999999</v>
      </c>
      <c r="LM62" s="6">
        <f>日流量!LM62*24*3600/100000000</f>
        <v>2.0735999999999999</v>
      </c>
      <c r="LN62" s="6">
        <f>日流量!LN62*24*3600/100000000</f>
        <v>2.22912</v>
      </c>
      <c r="LO62" s="6">
        <f>日流量!LO62*24*3600/100000000</f>
        <v>2.1513599999999999</v>
      </c>
      <c r="LP62" s="6">
        <f>日流量!LP62*24*3600/100000000</f>
        <v>1.92672</v>
      </c>
      <c r="LQ62" s="6">
        <f>日流量!LQ62*24*3600/100000000</f>
        <v>2.0131199999999998</v>
      </c>
      <c r="LR62" s="6">
        <f>日流量!LR62*24*3600/100000000</f>
        <v>2.0908799999999998</v>
      </c>
      <c r="LS62" s="6">
        <f>日流量!LS62*24*3600/100000000</f>
        <v>2.03904</v>
      </c>
      <c r="LT62" s="6">
        <f>日流量!LT62*24*3600/100000000</f>
        <v>1.9699199999999999</v>
      </c>
      <c r="LU62" s="6">
        <f>日流量!LU62*24*3600/100000000</f>
        <v>1.9612799999999999</v>
      </c>
      <c r="LV62" s="6">
        <f>日流量!LV62*24*3600/100000000</f>
        <v>1.8835200000000001</v>
      </c>
      <c r="LW62" s="6">
        <f>日流量!LW62*24*3600/100000000</f>
        <v>1.82304</v>
      </c>
      <c r="LX62" s="6">
        <f>日流量!LX62*24*3600/100000000</f>
        <v>1.73664</v>
      </c>
      <c r="LY62" s="6">
        <f>日流量!LY62*24*3600/100000000</f>
        <v>1.71072</v>
      </c>
      <c r="LZ62" s="6">
        <f>日流量!LZ62*24*3600/100000000</f>
        <v>1.71936</v>
      </c>
      <c r="MA62" s="6">
        <f>日流量!MA62*24*3600/100000000</f>
        <v>1.5811200000000001</v>
      </c>
      <c r="MB62" s="6">
        <f>日流量!MB62*24*3600/100000000</f>
        <v>1.53792</v>
      </c>
      <c r="MC62" s="6">
        <f>日流量!MC62*24*3600/100000000</f>
        <v>1.5465599999999999</v>
      </c>
      <c r="MD62" s="6">
        <f>日流量!MD62*24*3600/100000000</f>
        <v>1.5465599999999999</v>
      </c>
      <c r="ME62" s="6">
        <f>日流量!ME62*24*3600/100000000</f>
        <v>1.63296</v>
      </c>
      <c r="MF62" s="6">
        <f>日流量!MF62*24*3600/100000000</f>
        <v>1.6502399999999999</v>
      </c>
      <c r="MG62" s="6">
        <f>日流量!MG62*24*3600/100000000</f>
        <v>1.5638399999999999</v>
      </c>
      <c r="MH62" s="6">
        <f>日流量!MH62*24*3600/100000000</f>
        <v>1.4601599999999999</v>
      </c>
      <c r="MI62" s="6">
        <f>日流量!MI62*24*3600/100000000</f>
        <v>1.5551999999999999</v>
      </c>
      <c r="MJ62" s="6">
        <f>日流量!MJ62*24*3600/100000000</f>
        <v>1.4860800000000001</v>
      </c>
      <c r="MK62" s="6">
        <f>日流量!MK62*24*3600/100000000</f>
        <v>1.4256</v>
      </c>
      <c r="ML62" s="6">
        <f>日流量!ML62*24*3600/100000000</f>
        <v>1.3651199999999999</v>
      </c>
      <c r="MM62" s="6">
        <f>日流量!MM62*24*3600/100000000</f>
        <v>1.40832</v>
      </c>
      <c r="MN62" s="6">
        <f>日流量!MN62*24*3600/100000000</f>
        <v>1.4428799999999999</v>
      </c>
      <c r="MO62" s="6">
        <f>日流量!MO62*24*3600/100000000</f>
        <v>1.512</v>
      </c>
      <c r="MP62" s="6">
        <f>日流量!MP62*24*3600/100000000</f>
        <v>1.4860800000000001</v>
      </c>
      <c r="MQ62" s="6">
        <f>日流量!MQ62*24*3600/100000000</f>
        <v>1.4428799999999999</v>
      </c>
      <c r="MR62" s="6">
        <f>日流量!MR62*24*3600/100000000</f>
        <v>1.4515199999999999</v>
      </c>
      <c r="MS62" s="6">
        <f>日流量!MS62*24*3600/100000000</f>
        <v>1.4515199999999999</v>
      </c>
      <c r="MT62" s="6">
        <f>日流量!MT62*24*3600/100000000</f>
        <v>1.4688000000000001</v>
      </c>
      <c r="MU62" s="6">
        <f>日流量!MU62*24*3600/100000000</f>
        <v>1.5465599999999999</v>
      </c>
      <c r="MV62" s="6">
        <f>日流量!MV62*24*3600/100000000</f>
        <v>1.4860800000000001</v>
      </c>
      <c r="MW62" s="6">
        <f>日流量!MW62*24*3600/100000000</f>
        <v>1.3737600000000001</v>
      </c>
      <c r="MX62" s="6">
        <f>日流量!MX62*24*3600/100000000</f>
        <v>1.3737600000000001</v>
      </c>
      <c r="MY62" s="6">
        <f>日流量!MY62*24*3600/100000000</f>
        <v>1.3564799999999999</v>
      </c>
      <c r="MZ62" s="6">
        <f>日流量!MZ62*24*3600/100000000</f>
        <v>1.3564799999999999</v>
      </c>
      <c r="NA62" s="6">
        <f>日流量!NA62*24*3600/100000000</f>
        <v>1.3391999999999999</v>
      </c>
      <c r="NB62" s="6">
        <f>日流量!NB62*24*3600/100000000</f>
        <v>1.296</v>
      </c>
      <c r="NC62" s="6"/>
      <c r="ND62" s="6">
        <f>日流量!ND62*24*3600*31/100000000</f>
        <v>50.889600000000002</v>
      </c>
      <c r="NE62" s="6">
        <f>日流量!NE62*24*3600*28/100000000</f>
        <v>42.577919999999999</v>
      </c>
      <c r="NF62" s="6">
        <f>日流量!NF62*24*3600*31/100000000</f>
        <v>40.176000000000002</v>
      </c>
      <c r="NG62" s="6">
        <f>日流量!NG62*24*3600*30/100000000</f>
        <v>41.472000000000001</v>
      </c>
      <c r="NH62" s="6">
        <f>日流量!NH62*24*3600*31/100000000</f>
        <v>44.193600000000004</v>
      </c>
      <c r="NI62" s="6">
        <f>日流量!NI62*24*3600*30/100000000</f>
        <v>84.24</v>
      </c>
      <c r="NJ62" s="6">
        <f>日流量!NJ62*24*3600*31/100000000</f>
        <v>228.19968</v>
      </c>
      <c r="NK62" s="6">
        <f>日流量!NK62*24*3600*31/100000000</f>
        <v>324.08640000000003</v>
      </c>
      <c r="NL62" s="6">
        <f>日流量!NL62*24*3600*30/100000000</f>
        <v>182.2176</v>
      </c>
      <c r="NM62" s="6">
        <f>日流量!NM62*24*3600*31/100000000</f>
        <v>134.18783999999999</v>
      </c>
      <c r="NN62" s="6">
        <f>日流量!NN62*24*3600*30/100000000</f>
        <v>67.910399999999996</v>
      </c>
      <c r="NO62" s="6">
        <f>日流量!NO62*24*3600*31/100000000</f>
        <v>46.068480000000001</v>
      </c>
      <c r="NP62" s="14">
        <f t="shared" si="10"/>
        <v>1286.2195200000001</v>
      </c>
      <c r="NQ62" s="6">
        <f>日流量!NQ62*24*3600/100000000</f>
        <v>14.428800000000001</v>
      </c>
      <c r="NR62" s="4">
        <f>日流量!NR62</f>
        <v>42597</v>
      </c>
      <c r="NS62" s="6">
        <f>日流量!NS62*24*3600/100000000</f>
        <v>1.0454399999999999</v>
      </c>
      <c r="NT62" s="4">
        <f>日流量!NT62</f>
        <v>42458</v>
      </c>
      <c r="NU62" s="7">
        <f>日流量!NP62</f>
        <v>4077.5616438356165</v>
      </c>
      <c r="NW62" s="13">
        <f t="shared" si="0"/>
        <v>997.12512000000015</v>
      </c>
      <c r="NX62" s="12">
        <f t="shared" si="1"/>
        <v>77.523712282021663</v>
      </c>
      <c r="NY62" s="13">
        <f t="shared" si="2"/>
        <v>818.74368000000004</v>
      </c>
      <c r="NZ62" s="12">
        <f t="shared" si="3"/>
        <v>63.655050111508181</v>
      </c>
      <c r="OA62" s="13">
        <f t="shared" si="4"/>
        <v>289.09439999999995</v>
      </c>
      <c r="OB62" s="12">
        <f t="shared" si="5"/>
        <v>22.476287717978337</v>
      </c>
      <c r="OC62" s="13">
        <f t="shared" si="6"/>
        <v>324.08640000000003</v>
      </c>
      <c r="OD62" s="12">
        <f t="shared" si="7"/>
        <v>25.196818658140096</v>
      </c>
      <c r="OE62" s="12">
        <f t="shared" si="8"/>
        <v>300.51857943925239</v>
      </c>
      <c r="OF62" s="12">
        <f t="shared" si="9"/>
        <v>9.5293816412751262</v>
      </c>
    </row>
    <row r="63" spans="1:396" x14ac:dyDescent="0.15">
      <c r="A63" s="2">
        <v>2010</v>
      </c>
      <c r="B63" s="6">
        <f>日流量!B63*24*3600/100000000</f>
        <v>1.3564799999999999</v>
      </c>
      <c r="C63" s="6">
        <f>日流量!C63*24*3600/100000000</f>
        <v>1.3824000000000001</v>
      </c>
      <c r="D63" s="6">
        <f>日流量!D63*24*3600/100000000</f>
        <v>1.296</v>
      </c>
      <c r="E63" s="6">
        <f>日流量!E63*24*3600/100000000</f>
        <v>1.31328</v>
      </c>
      <c r="F63" s="6">
        <f>日流量!F63*24*3600/100000000</f>
        <v>1.33056</v>
      </c>
      <c r="G63" s="6">
        <f>日流量!G63*24*3600/100000000</f>
        <v>1.3824000000000001</v>
      </c>
      <c r="H63" s="6">
        <f>日流量!H63*24*3600/100000000</f>
        <v>1.4688000000000001</v>
      </c>
      <c r="I63" s="6">
        <f>日流量!I63*24*3600/100000000</f>
        <v>1.52928</v>
      </c>
      <c r="J63" s="6">
        <f>日流量!J63*24*3600/100000000</f>
        <v>1.52928</v>
      </c>
      <c r="K63" s="6">
        <f>日流量!K63*24*3600/100000000</f>
        <v>1.52064</v>
      </c>
      <c r="L63" s="6">
        <f>日流量!L63*24*3600/100000000</f>
        <v>1.6761600000000001</v>
      </c>
      <c r="M63" s="6">
        <f>日流量!M63*24*3600/100000000</f>
        <v>1.728</v>
      </c>
      <c r="N63" s="6">
        <f>日流量!N63*24*3600/100000000</f>
        <v>1.6934400000000001</v>
      </c>
      <c r="O63" s="6">
        <f>日流量!O63*24*3600/100000000</f>
        <v>1.5724800000000001</v>
      </c>
      <c r="P63" s="6">
        <f>日流量!P63*24*3600/100000000</f>
        <v>1.6415999999999999</v>
      </c>
      <c r="Q63" s="6">
        <f>日流量!Q63*24*3600/100000000</f>
        <v>1.6761600000000001</v>
      </c>
      <c r="R63" s="6">
        <f>日流量!R63*24*3600/100000000</f>
        <v>1.41696</v>
      </c>
      <c r="S63" s="6">
        <f>日流量!S63*24*3600/100000000</f>
        <v>1.3564799999999999</v>
      </c>
      <c r="T63" s="6">
        <f>日流量!T63*24*3600/100000000</f>
        <v>1.43424</v>
      </c>
      <c r="U63" s="6">
        <f>日流量!U63*24*3600/100000000</f>
        <v>1.63296</v>
      </c>
      <c r="V63" s="6">
        <f>日流量!V63*24*3600/100000000</f>
        <v>1.4688000000000001</v>
      </c>
      <c r="W63" s="6">
        <f>日流量!W63*24*3600/100000000</f>
        <v>1.40832</v>
      </c>
      <c r="X63" s="6">
        <f>日流量!X63*24*3600/100000000</f>
        <v>1.41696</v>
      </c>
      <c r="Y63" s="6">
        <f>日流量!Y63*24*3600/100000000</f>
        <v>1.43424</v>
      </c>
      <c r="Z63" s="6">
        <f>日流量!Z63*24*3600/100000000</f>
        <v>1.3910400000000001</v>
      </c>
      <c r="AA63" s="6">
        <f>日流量!AA63*24*3600/100000000</f>
        <v>1.3564799999999999</v>
      </c>
      <c r="AB63" s="6">
        <f>日流量!AB63*24*3600/100000000</f>
        <v>1.3910400000000001</v>
      </c>
      <c r="AC63" s="6">
        <f>日流量!AC63*24*3600/100000000</f>
        <v>1.3564799999999999</v>
      </c>
      <c r="AD63" s="6">
        <f>日流量!AD63*24*3600/100000000</f>
        <v>1.2787200000000001</v>
      </c>
      <c r="AE63" s="6">
        <f>日流量!AE63*24*3600/100000000</f>
        <v>1.3478399999999999</v>
      </c>
      <c r="AF63" s="6">
        <f>日流量!AF63*24*3600/100000000</f>
        <v>1.3564799999999999</v>
      </c>
      <c r="AG63" s="6">
        <f>日流量!AG63*24*3600/100000000</f>
        <v>1.3824000000000001</v>
      </c>
      <c r="AH63" s="6">
        <f>日流量!AH63*24*3600/100000000</f>
        <v>1.2873600000000001</v>
      </c>
      <c r="AI63" s="6">
        <f>日流量!AI63*24*3600/100000000</f>
        <v>1.32192</v>
      </c>
      <c r="AJ63" s="6">
        <f>日流量!AJ63*24*3600/100000000</f>
        <v>1.31328</v>
      </c>
      <c r="AK63" s="6">
        <f>日流量!AK63*24*3600/100000000</f>
        <v>1.2527999999999999</v>
      </c>
      <c r="AL63" s="6">
        <f>日流量!AL63*24*3600/100000000</f>
        <v>1.1836800000000001</v>
      </c>
      <c r="AM63" s="6">
        <f>日流量!AM63*24*3600/100000000</f>
        <v>1.10592</v>
      </c>
      <c r="AN63" s="6">
        <f>日流量!AN63*24*3600/100000000</f>
        <v>1.02816</v>
      </c>
      <c r="AO63" s="6">
        <f>日流量!AO63*24*3600/100000000</f>
        <v>1.01088</v>
      </c>
      <c r="AP63" s="6">
        <f>日流量!AP63*24*3600/100000000</f>
        <v>1.0627200000000001</v>
      </c>
      <c r="AQ63" s="6">
        <f>日流量!AQ63*24*3600/100000000</f>
        <v>1.1491199999999999</v>
      </c>
      <c r="AR63" s="6">
        <f>日流量!AR63*24*3600/100000000</f>
        <v>1.0713600000000001</v>
      </c>
      <c r="AS63" s="6">
        <f>日流量!AS63*24*3600/100000000</f>
        <v>1.01088</v>
      </c>
      <c r="AT63" s="6">
        <f>日流量!AT63*24*3600/100000000</f>
        <v>1.0627200000000001</v>
      </c>
      <c r="AU63" s="6">
        <f>日流量!AU63*24*3600/100000000</f>
        <v>1.09728</v>
      </c>
      <c r="AV63" s="6">
        <f>日流量!AV63*24*3600/100000000</f>
        <v>1.0713600000000001</v>
      </c>
      <c r="AW63" s="6">
        <f>日流量!AW63*24*3600/100000000</f>
        <v>1.09728</v>
      </c>
      <c r="AX63" s="6">
        <f>日流量!AX63*24*3600/100000000</f>
        <v>1.10592</v>
      </c>
      <c r="AY63" s="6">
        <f>日流量!AY63*24*3600/100000000</f>
        <v>1.1404799999999999</v>
      </c>
      <c r="AZ63" s="6">
        <f>日流量!AZ63*24*3600/100000000</f>
        <v>1.09728</v>
      </c>
      <c r="BA63" s="6">
        <f>日流量!BA63*24*3600/100000000</f>
        <v>1.0627200000000001</v>
      </c>
      <c r="BB63" s="6">
        <f>日流量!BB63*24*3600/100000000</f>
        <v>1.08</v>
      </c>
      <c r="BC63" s="6">
        <f>日流量!BC63*24*3600/100000000</f>
        <v>1.0713600000000001</v>
      </c>
      <c r="BD63" s="6">
        <f>日流量!BD63*24*3600/100000000</f>
        <v>1.0454399999999999</v>
      </c>
      <c r="BE63" s="6">
        <f>日流量!BE63*24*3600/100000000</f>
        <v>1.1577599999999999</v>
      </c>
      <c r="BF63" s="6">
        <f>日流量!BF63*24*3600/100000000</f>
        <v>1.13184</v>
      </c>
      <c r="BG63" s="6">
        <f>日流量!BG63*24*3600/100000000</f>
        <v>1.08</v>
      </c>
      <c r="BH63" s="6">
        <f>日流量!BH63*24*3600/100000000</f>
        <v>1.19232</v>
      </c>
      <c r="BI63" s="6"/>
      <c r="BJ63" s="6">
        <f>日流量!BJ63*24*3600/100000000</f>
        <v>1.19232</v>
      </c>
      <c r="BK63" s="6">
        <f>日流量!BK63*24*3600/100000000</f>
        <v>1.10592</v>
      </c>
      <c r="BL63" s="6">
        <f>日流量!BL63*24*3600/100000000</f>
        <v>1.23552</v>
      </c>
      <c r="BM63" s="6">
        <f>日流量!BM63*24*3600/100000000</f>
        <v>1.33056</v>
      </c>
      <c r="BN63" s="6">
        <f>日流量!BN63*24*3600/100000000</f>
        <v>1.39968</v>
      </c>
      <c r="BO63" s="6">
        <f>日流量!BO63*24*3600/100000000</f>
        <v>1.22688</v>
      </c>
      <c r="BP63" s="6">
        <f>日流量!BP63*24*3600/100000000</f>
        <v>1.21824</v>
      </c>
      <c r="BQ63" s="6">
        <f>日流量!BQ63*24*3600/100000000</f>
        <v>1.4601599999999999</v>
      </c>
      <c r="BR63" s="6">
        <f>日流量!BR63*24*3600/100000000</f>
        <v>1.33056</v>
      </c>
      <c r="BS63" s="6">
        <f>日流量!BS63*24*3600/100000000</f>
        <v>1.39968</v>
      </c>
      <c r="BT63" s="6">
        <f>日流量!BT63*24*3600/100000000</f>
        <v>1.52064</v>
      </c>
      <c r="BU63" s="6">
        <f>日流量!BU63*24*3600/100000000</f>
        <v>1.4515199999999999</v>
      </c>
      <c r="BV63" s="6">
        <f>日流量!BV63*24*3600/100000000</f>
        <v>1.52064</v>
      </c>
      <c r="BW63" s="6">
        <f>日流量!BW63*24*3600/100000000</f>
        <v>1.5984</v>
      </c>
      <c r="BX63" s="6">
        <f>日流量!BX63*24*3600/100000000</f>
        <v>1.63296</v>
      </c>
      <c r="BY63" s="6">
        <f>日流量!BY63*24*3600/100000000</f>
        <v>1.43424</v>
      </c>
      <c r="BZ63" s="6">
        <f>日流量!BZ63*24*3600/100000000</f>
        <v>1.23552</v>
      </c>
      <c r="CA63" s="6">
        <f>日流量!CA63*24*3600/100000000</f>
        <v>1.0713600000000001</v>
      </c>
      <c r="CB63" s="6">
        <f>日流量!CB63*24*3600/100000000</f>
        <v>1.0454399999999999</v>
      </c>
      <c r="CC63" s="6">
        <f>日流量!CC63*24*3600/100000000</f>
        <v>1.19232</v>
      </c>
      <c r="CD63" s="6">
        <f>日流量!CD63*24*3600/100000000</f>
        <v>1.2873600000000001</v>
      </c>
      <c r="CE63" s="6">
        <f>日流量!CE63*24*3600/100000000</f>
        <v>1.2096</v>
      </c>
      <c r="CF63" s="6">
        <f>日流量!CF63*24*3600/100000000</f>
        <v>1.21824</v>
      </c>
      <c r="CG63" s="6">
        <f>日流量!CG63*24*3600/100000000</f>
        <v>1.19232</v>
      </c>
      <c r="CH63" s="6">
        <f>日流量!CH63*24*3600/100000000</f>
        <v>1.1836800000000001</v>
      </c>
      <c r="CI63" s="6">
        <f>日流量!CI63*24*3600/100000000</f>
        <v>1.2700800000000001</v>
      </c>
      <c r="CJ63" s="6">
        <f>日流量!CJ63*24*3600/100000000</f>
        <v>1.19232</v>
      </c>
      <c r="CK63" s="6">
        <f>日流量!CK63*24*3600/100000000</f>
        <v>1.2787200000000001</v>
      </c>
      <c r="CL63" s="6">
        <f>日流量!CL63*24*3600/100000000</f>
        <v>1.13184</v>
      </c>
      <c r="CM63" s="6">
        <f>日流量!CM63*24*3600/100000000</f>
        <v>1.13184</v>
      </c>
      <c r="CN63" s="6">
        <f>日流量!CN63*24*3600/100000000</f>
        <v>1.11456</v>
      </c>
      <c r="CO63" s="6">
        <f>日流量!CO63*24*3600/100000000</f>
        <v>1.11456</v>
      </c>
      <c r="CP63" s="6">
        <f>日流量!CP63*24*3600/100000000</f>
        <v>1.01952</v>
      </c>
      <c r="CQ63" s="6">
        <f>日流量!CQ63*24*3600/100000000</f>
        <v>0.96767999999999998</v>
      </c>
      <c r="CR63" s="6">
        <f>日流量!CR63*24*3600/100000000</f>
        <v>1.01088</v>
      </c>
      <c r="CS63" s="6">
        <f>日流量!CS63*24*3600/100000000</f>
        <v>0.94176000000000004</v>
      </c>
      <c r="CT63" s="6">
        <f>日流量!CT63*24*3600/100000000</f>
        <v>0.94176000000000004</v>
      </c>
      <c r="CU63" s="6">
        <f>日流量!CU63*24*3600/100000000</f>
        <v>1.02816</v>
      </c>
      <c r="CV63" s="6">
        <f>日流量!CV63*24*3600/100000000</f>
        <v>1.0540799999999999</v>
      </c>
      <c r="CW63" s="6">
        <f>日流量!CW63*24*3600/100000000</f>
        <v>1.01952</v>
      </c>
      <c r="CX63" s="6">
        <f>日流量!CX63*24*3600/100000000</f>
        <v>1.09728</v>
      </c>
      <c r="CY63" s="6">
        <f>日流量!CY63*24*3600/100000000</f>
        <v>1.09728</v>
      </c>
      <c r="CZ63" s="6">
        <f>日流量!CZ63*24*3600/100000000</f>
        <v>1.0540799999999999</v>
      </c>
      <c r="DA63" s="6">
        <f>日流量!DA63*24*3600/100000000</f>
        <v>1.01952</v>
      </c>
      <c r="DB63" s="6">
        <f>日流量!DB63*24*3600/100000000</f>
        <v>1.0886400000000001</v>
      </c>
      <c r="DC63" s="6">
        <f>日流量!DC63*24*3600/100000000</f>
        <v>1.13184</v>
      </c>
      <c r="DD63" s="6">
        <f>日流量!DD63*24*3600/100000000</f>
        <v>1.01952</v>
      </c>
      <c r="DE63" s="6">
        <f>日流量!DE63*24*3600/100000000</f>
        <v>1.0540799999999999</v>
      </c>
      <c r="DF63" s="6">
        <f>日流量!DF63*24*3600/100000000</f>
        <v>1.10592</v>
      </c>
      <c r="DG63" s="6">
        <f>日流量!DG63*24*3600/100000000</f>
        <v>1.1577599999999999</v>
      </c>
      <c r="DH63" s="6">
        <f>日流量!DH63*24*3600/100000000</f>
        <v>1.1750400000000001</v>
      </c>
      <c r="DI63" s="6">
        <f>日流量!DI63*24*3600/100000000</f>
        <v>1.2614399999999999</v>
      </c>
      <c r="DJ63" s="6">
        <f>日流量!DJ63*24*3600/100000000</f>
        <v>1.2441599999999999</v>
      </c>
      <c r="DK63" s="6">
        <f>日流量!DK63*24*3600/100000000</f>
        <v>1.22688</v>
      </c>
      <c r="DL63" s="6">
        <f>日流量!DL63*24*3600/100000000</f>
        <v>1.20096</v>
      </c>
      <c r="DM63" s="6">
        <f>日流量!DM63*24*3600/100000000</f>
        <v>1.3478399999999999</v>
      </c>
      <c r="DN63" s="6">
        <f>日流量!DN63*24*3600/100000000</f>
        <v>1.4688000000000001</v>
      </c>
      <c r="DO63" s="6">
        <f>日流量!DO63*24*3600/100000000</f>
        <v>1.52064</v>
      </c>
      <c r="DP63" s="6">
        <f>日流量!DP63*24*3600/100000000</f>
        <v>1.6675199999999999</v>
      </c>
      <c r="DQ63" s="6">
        <f>日流量!DQ63*24*3600/100000000</f>
        <v>1.8144</v>
      </c>
      <c r="DR63" s="6">
        <f>日流量!DR63*24*3600/100000000</f>
        <v>1.9612799999999999</v>
      </c>
      <c r="DS63" s="6">
        <f>日流量!DS63*24*3600/100000000</f>
        <v>1.9699199999999999</v>
      </c>
      <c r="DT63" s="6">
        <f>日流量!DT63*24*3600/100000000</f>
        <v>1.82304</v>
      </c>
      <c r="DU63" s="6">
        <f>日流量!DU63*24*3600/100000000</f>
        <v>1.6848000000000001</v>
      </c>
      <c r="DV63" s="6">
        <f>日流量!DV63*24*3600/100000000</f>
        <v>1.6934400000000001</v>
      </c>
      <c r="DW63" s="6">
        <f>日流量!DW63*24*3600/100000000</f>
        <v>1.71936</v>
      </c>
      <c r="DX63" s="6">
        <f>日流量!DX63*24*3600/100000000</f>
        <v>1.80576</v>
      </c>
      <c r="DY63" s="6">
        <f>日流量!DY63*24*3600/100000000</f>
        <v>1.5897600000000001</v>
      </c>
      <c r="DZ63" s="6">
        <f>日流量!DZ63*24*3600/100000000</f>
        <v>1.62432</v>
      </c>
      <c r="EA63" s="6">
        <f>日流量!EA63*24*3600/100000000</f>
        <v>1.8835200000000001</v>
      </c>
      <c r="EB63" s="6">
        <f>日流量!EB63*24*3600/100000000</f>
        <v>1.8662399999999999</v>
      </c>
      <c r="EC63" s="6">
        <f>日流量!EC63*24*3600/100000000</f>
        <v>1.6848000000000001</v>
      </c>
      <c r="ED63" s="6">
        <f>日流量!ED63*24*3600/100000000</f>
        <v>1.7884800000000001</v>
      </c>
      <c r="EE63" s="6">
        <f>日流量!EE63*24*3600/100000000</f>
        <v>2.0735999999999999</v>
      </c>
      <c r="EF63" s="6">
        <f>日流量!EF63*24*3600/100000000</f>
        <v>2.6697600000000001</v>
      </c>
      <c r="EG63" s="6">
        <f>日流量!EG63*24*3600/100000000</f>
        <v>2.7734399999999999</v>
      </c>
      <c r="EH63" s="6">
        <f>日流量!EH63*24*3600/100000000</f>
        <v>2.7043200000000001</v>
      </c>
      <c r="EI63" s="6">
        <f>日流量!EI63*24*3600/100000000</f>
        <v>2.6611199999999999</v>
      </c>
      <c r="EJ63" s="6">
        <f>日流量!EJ63*24*3600/100000000</f>
        <v>2.4624000000000001</v>
      </c>
      <c r="EK63" s="6">
        <f>日流量!EK63*24*3600/100000000</f>
        <v>2.1081599999999998</v>
      </c>
      <c r="EL63" s="6">
        <f>日流量!EL63*24*3600/100000000</f>
        <v>2.03904</v>
      </c>
      <c r="EM63" s="6">
        <f>日流量!EM63*24*3600/100000000</f>
        <v>1.5724800000000001</v>
      </c>
      <c r="EN63" s="6">
        <f>日流量!EN63*24*3600/100000000</f>
        <v>1.5551999999999999</v>
      </c>
      <c r="EO63" s="6">
        <f>日流量!EO63*24*3600/100000000</f>
        <v>1.53792</v>
      </c>
      <c r="EP63" s="6">
        <f>日流量!EP63*24*3600/100000000</f>
        <v>1.6848000000000001</v>
      </c>
      <c r="EQ63" s="6">
        <f>日流量!EQ63*24*3600/100000000</f>
        <v>1.8662399999999999</v>
      </c>
      <c r="ER63" s="6">
        <f>日流量!ER63*24*3600/100000000</f>
        <v>1.8921600000000001</v>
      </c>
      <c r="ES63" s="6">
        <f>日流量!ES63*24*3600/100000000</f>
        <v>1.82304</v>
      </c>
      <c r="ET63" s="6">
        <f>日流量!ET63*24*3600/100000000</f>
        <v>1.6848000000000001</v>
      </c>
      <c r="EU63" s="6">
        <f>日流量!EU63*24*3600/100000000</f>
        <v>1.6502399999999999</v>
      </c>
      <c r="EV63" s="6">
        <f>日流量!EV63*24*3600/100000000</f>
        <v>1.728</v>
      </c>
      <c r="EW63" s="6">
        <f>日流量!EW63*24*3600/100000000</f>
        <v>1.71936</v>
      </c>
      <c r="EX63" s="6">
        <f>日流量!EX63*24*3600/100000000</f>
        <v>1.728</v>
      </c>
      <c r="EY63" s="6">
        <f>日流量!EY63*24*3600/100000000</f>
        <v>2.0908799999999998</v>
      </c>
      <c r="EZ63" s="6">
        <f>日流量!EZ63*24*3600/100000000</f>
        <v>1.9612799999999999</v>
      </c>
      <c r="FA63" s="6">
        <f>日流量!FA63*24*3600/100000000</f>
        <v>1.7798400000000001</v>
      </c>
      <c r="FB63" s="6">
        <f>日流量!FB63*24*3600/100000000</f>
        <v>2.0735999999999999</v>
      </c>
      <c r="FC63" s="6">
        <f>日流量!FC63*24*3600/100000000</f>
        <v>2.22912</v>
      </c>
      <c r="FD63" s="6">
        <f>日流量!FD63*24*3600/100000000</f>
        <v>2.1168</v>
      </c>
      <c r="FE63" s="6">
        <f>日流量!FE63*24*3600/100000000</f>
        <v>2.0563199999999999</v>
      </c>
      <c r="FF63" s="6">
        <f>日流量!FF63*24*3600/100000000</f>
        <v>1.9612799999999999</v>
      </c>
      <c r="FG63" s="6">
        <f>日流量!FG63*24*3600/100000000</f>
        <v>1.8662399999999999</v>
      </c>
      <c r="FH63" s="6">
        <f>日流量!FH63*24*3600/100000000</f>
        <v>1.73664</v>
      </c>
      <c r="FI63" s="6">
        <f>日流量!FI63*24*3600/100000000</f>
        <v>1.71936</v>
      </c>
      <c r="FJ63" s="6">
        <f>日流量!FJ63*24*3600/100000000</f>
        <v>1.8144</v>
      </c>
      <c r="FK63" s="6">
        <f>日流量!FK63*24*3600/100000000</f>
        <v>1.7971200000000001</v>
      </c>
      <c r="FL63" s="6">
        <f>日流量!FL63*24*3600/100000000</f>
        <v>1.9785600000000001</v>
      </c>
      <c r="FM63" s="6">
        <f>日流量!FM63*24*3600/100000000</f>
        <v>2.0476800000000002</v>
      </c>
      <c r="FN63" s="6">
        <f>日流量!FN63*24*3600/100000000</f>
        <v>1.9872000000000001</v>
      </c>
      <c r="FO63" s="6">
        <f>日流量!FO63*24*3600/100000000</f>
        <v>2.30688</v>
      </c>
      <c r="FP63" s="6">
        <f>日流量!FP63*24*3600/100000000</f>
        <v>2.91168</v>
      </c>
      <c r="FQ63" s="6">
        <f>日流量!FQ63*24*3600/100000000</f>
        <v>2.73888</v>
      </c>
      <c r="FR63" s="6">
        <f>日流量!FR63*24*3600/100000000</f>
        <v>2.62656</v>
      </c>
      <c r="FS63" s="6">
        <f>日流量!FS63*24*3600/100000000</f>
        <v>2.7820800000000001</v>
      </c>
      <c r="FT63" s="6">
        <f>日流量!FT63*24*3600/100000000</f>
        <v>3.0499200000000002</v>
      </c>
      <c r="FU63" s="6">
        <f>日流量!FU63*24*3600/100000000</f>
        <v>2.9635199999999999</v>
      </c>
      <c r="FV63" s="6">
        <f>日流量!FV63*24*3600/100000000</f>
        <v>3.3868800000000001</v>
      </c>
      <c r="FW63" s="6">
        <f>日流量!FW63*24*3600/100000000</f>
        <v>4.1126399999999999</v>
      </c>
      <c r="FX63" s="6">
        <f>日流量!FX63*24*3600/100000000</f>
        <v>3.5855999999999999</v>
      </c>
      <c r="FY63" s="6">
        <f>日流量!FY63*24*3600/100000000</f>
        <v>3.5596800000000002</v>
      </c>
      <c r="FZ63" s="6">
        <f>日流量!FZ63*24*3600/100000000</f>
        <v>3.7929599999999999</v>
      </c>
      <c r="GA63" s="6">
        <f>日流量!GA63*24*3600/100000000</f>
        <v>4.4496000000000002</v>
      </c>
      <c r="GB63" s="6">
        <f>日流量!GB63*24*3600/100000000</f>
        <v>4.8815999999999997</v>
      </c>
      <c r="GC63" s="6">
        <f>日流量!GC63*24*3600/100000000</f>
        <v>4.4496000000000002</v>
      </c>
      <c r="GD63" s="6">
        <f>日流量!GD63*24*3600/100000000</f>
        <v>4.64832</v>
      </c>
      <c r="GE63" s="6">
        <f>日流量!GE63*24*3600/100000000</f>
        <v>4.6915199999999997</v>
      </c>
      <c r="GF63" s="6">
        <f>日流量!GF63*24*3600/100000000</f>
        <v>4.4409599999999996</v>
      </c>
      <c r="GG63" s="6">
        <f>日流量!GG63*24*3600/100000000</f>
        <v>4.7001600000000003</v>
      </c>
      <c r="GH63" s="6">
        <f>日流量!GH63*24*3600/100000000</f>
        <v>5.25312</v>
      </c>
      <c r="GI63" s="6">
        <f>日流量!GI63*24*3600/100000000</f>
        <v>5.0111999999999997</v>
      </c>
      <c r="GJ63" s="6">
        <f>日流量!GJ63*24*3600/100000000</f>
        <v>4.3977599999999999</v>
      </c>
      <c r="GK63" s="6">
        <f>日流量!GK63*24*3600/100000000</f>
        <v>4.4755200000000004</v>
      </c>
      <c r="GL63" s="6">
        <f>日流量!GL63*24*3600/100000000</f>
        <v>5.2358399999999996</v>
      </c>
      <c r="GM63" s="6">
        <f>日流量!GM63*24*3600/100000000</f>
        <v>6.5491200000000003</v>
      </c>
      <c r="GN63" s="6">
        <f>日流量!GN63*24*3600/100000000</f>
        <v>6.7651199999999996</v>
      </c>
      <c r="GO63" s="6">
        <f>日流量!GO63*24*3600/100000000</f>
        <v>7.2576000000000001</v>
      </c>
      <c r="GP63" s="6">
        <f>日流量!GP63*24*3600/100000000</f>
        <v>7.6809599999999998</v>
      </c>
      <c r="GQ63" s="6">
        <f>日流量!GQ63*24*3600/100000000</f>
        <v>7.5859199999999998</v>
      </c>
      <c r="GR63" s="6">
        <f>日流量!GR63*24*3600/100000000</f>
        <v>7.3007999999999997</v>
      </c>
      <c r="GS63" s="6">
        <f>日流量!GS63*24*3600/100000000</f>
        <v>7.6809599999999998</v>
      </c>
      <c r="GT63" s="6">
        <f>日流量!GT63*24*3600/100000000</f>
        <v>9.0719999999999992</v>
      </c>
      <c r="GU63" s="6">
        <f>日流量!GU63*24*3600/100000000</f>
        <v>9.8496000000000006</v>
      </c>
      <c r="GV63" s="6">
        <f>日流量!GV63*24*3600/100000000</f>
        <v>10.1952</v>
      </c>
      <c r="GW63" s="6">
        <f>日流量!GW63*24*3600/100000000</f>
        <v>10.281599999999999</v>
      </c>
      <c r="GX63" s="6">
        <f>日流量!GX63*24*3600/100000000</f>
        <v>9.5904000000000007</v>
      </c>
      <c r="GY63" s="6">
        <f>日流量!GY63*24*3600/100000000</f>
        <v>8.5017600000000009</v>
      </c>
      <c r="GZ63" s="6">
        <f>日流量!GZ63*24*3600/100000000</f>
        <v>8.0351999999999997</v>
      </c>
      <c r="HA63" s="6">
        <f>日流量!HA63*24*3600/100000000</f>
        <v>7.80192</v>
      </c>
      <c r="HB63" s="6">
        <f>日流量!HB63*24*3600/100000000</f>
        <v>7.48224</v>
      </c>
      <c r="HC63" s="6">
        <f>日流量!HC63*24*3600/100000000</f>
        <v>7.3872</v>
      </c>
      <c r="HD63" s="6">
        <f>日流量!HD63*24*3600/100000000</f>
        <v>7.8537600000000003</v>
      </c>
      <c r="HE63" s="6">
        <f>日流量!HE63*24*3600/100000000</f>
        <v>6.7824</v>
      </c>
      <c r="HF63" s="6">
        <f>日流量!HF63*24*3600/100000000</f>
        <v>5.9270399999999999</v>
      </c>
      <c r="HG63" s="6">
        <f>日流量!HG63*24*3600/100000000</f>
        <v>5.5728</v>
      </c>
      <c r="HH63" s="6">
        <f>日流量!HH63*24*3600/100000000</f>
        <v>5.1235200000000001</v>
      </c>
      <c r="HI63" s="6">
        <f>日流量!HI63*24*3600/100000000</f>
        <v>5.0025599999999999</v>
      </c>
      <c r="HJ63" s="6">
        <f>日流量!HJ63*24*3600/100000000</f>
        <v>4.87296</v>
      </c>
      <c r="HK63" s="6">
        <f>日流量!HK63*24*3600/100000000</f>
        <v>4.9766399999999997</v>
      </c>
      <c r="HL63" s="6">
        <f>日流量!HL63*24*3600/100000000</f>
        <v>5.0025599999999999</v>
      </c>
      <c r="HM63" s="6">
        <f>日流量!HM63*24*3600/100000000</f>
        <v>5.1667199999999998</v>
      </c>
      <c r="HN63" s="6">
        <f>日流量!HN63*24*3600/100000000</f>
        <v>5.0975999999999999</v>
      </c>
      <c r="HO63" s="6">
        <f>日流量!HO63*24*3600/100000000</f>
        <v>4.9507199999999996</v>
      </c>
      <c r="HP63" s="6">
        <f>日流量!HP63*24*3600/100000000</f>
        <v>4.7952000000000004</v>
      </c>
      <c r="HQ63" s="6">
        <f>日流量!HQ63*24*3600/100000000</f>
        <v>4.6828799999999999</v>
      </c>
      <c r="HR63" s="6">
        <f>日流量!HR63*24*3600/100000000</f>
        <v>4.5792000000000002</v>
      </c>
      <c r="HS63" s="6">
        <f>日流量!HS63*24*3600/100000000</f>
        <v>4.4409599999999996</v>
      </c>
      <c r="HT63" s="6">
        <f>日流量!HT63*24*3600/100000000</f>
        <v>4.4496000000000002</v>
      </c>
      <c r="HU63" s="6">
        <f>日流量!HU63*24*3600/100000000</f>
        <v>4.1731199999999999</v>
      </c>
      <c r="HV63" s="6">
        <f>日流量!HV63*24*3600/100000000</f>
        <v>4.0003200000000003</v>
      </c>
      <c r="HW63" s="6">
        <f>日流量!HW63*24*3600/100000000</f>
        <v>4.0953600000000003</v>
      </c>
      <c r="HX63" s="6">
        <f>日流量!HX63*24*3600/100000000</f>
        <v>4.4063999999999997</v>
      </c>
      <c r="HY63" s="6">
        <f>日流量!HY63*24*3600/100000000</f>
        <v>4.6396800000000002</v>
      </c>
      <c r="HZ63" s="6">
        <f>日流量!HZ63*24*3600/100000000</f>
        <v>4.7519999999999998</v>
      </c>
      <c r="IA63" s="6">
        <f>日流量!IA63*24*3600/100000000</f>
        <v>4.8211199999999996</v>
      </c>
      <c r="IB63" s="6">
        <f>日流量!IB63*24*3600/100000000</f>
        <v>5.9184000000000001</v>
      </c>
      <c r="IC63" s="6">
        <f>日流量!IC63*24*3600/100000000</f>
        <v>8.1561599999999999</v>
      </c>
      <c r="ID63" s="6">
        <f>日流量!ID63*24*3600/100000000</f>
        <v>7.8537600000000003</v>
      </c>
      <c r="IE63" s="6">
        <f>日流量!IE63*24*3600/100000000</f>
        <v>7.7500799999999996</v>
      </c>
      <c r="IF63" s="6">
        <f>日流量!IF63*24*3600/100000000</f>
        <v>8.3635199999999994</v>
      </c>
      <c r="IG63" s="6">
        <f>日流量!IG63*24*3600/100000000</f>
        <v>10.4544</v>
      </c>
      <c r="IH63" s="6">
        <f>日流量!IH63*24*3600/100000000</f>
        <v>11.8368</v>
      </c>
      <c r="II63" s="6">
        <f>日流量!II63*24*3600/100000000</f>
        <v>11.664</v>
      </c>
      <c r="IJ63" s="6">
        <f>日流量!IJ63*24*3600/100000000</f>
        <v>10.281599999999999</v>
      </c>
      <c r="IK63" s="6">
        <f>日流量!IK63*24*3600/100000000</f>
        <v>8.5795200000000005</v>
      </c>
      <c r="IL63" s="6">
        <f>日流量!IL63*24*3600/100000000</f>
        <v>7.3526400000000001</v>
      </c>
      <c r="IM63" s="6">
        <f>日流量!IM63*24*3600/100000000</f>
        <v>7.6291200000000003</v>
      </c>
      <c r="IN63" s="6">
        <f>日流量!IN63*24*3600/100000000</f>
        <v>8.64</v>
      </c>
      <c r="IO63" s="6">
        <f>日流量!IO63*24*3600/100000000</f>
        <v>9.9359999999999999</v>
      </c>
      <c r="IP63" s="6">
        <f>日流量!IP63*24*3600/100000000</f>
        <v>10.281599999999999</v>
      </c>
      <c r="IQ63" s="6">
        <f>日流量!IQ63*24*3600/100000000</f>
        <v>9.2447999999999997</v>
      </c>
      <c r="IR63" s="6">
        <f>日流量!IR63*24*3600/100000000</f>
        <v>8.0438399999999994</v>
      </c>
      <c r="IS63" s="6">
        <f>日流量!IS63*24*3600/100000000</f>
        <v>8.2598400000000005</v>
      </c>
      <c r="IT63" s="6">
        <f>日流量!IT63*24*3600/100000000</f>
        <v>8.7263999999999999</v>
      </c>
      <c r="IU63" s="6">
        <f>日流量!IU63*24*3600/100000000</f>
        <v>8.64</v>
      </c>
      <c r="IV63" s="6">
        <f>日流量!IV63*24*3600/100000000</f>
        <v>8.4844799999999996</v>
      </c>
      <c r="IW63" s="6">
        <f>日流量!IW63*24*3600/100000000</f>
        <v>7.9488000000000003</v>
      </c>
      <c r="IX63" s="6">
        <f>日流量!IX63*24*3600/100000000</f>
        <v>7.4131200000000002</v>
      </c>
      <c r="IY63" s="6">
        <f>日流量!IY63*24*3600/100000000</f>
        <v>7.4303999999999997</v>
      </c>
      <c r="IZ63" s="6">
        <f>日流量!IZ63*24*3600/100000000</f>
        <v>8.5881600000000002</v>
      </c>
      <c r="JA63" s="6">
        <f>日流量!JA63*24*3600/100000000</f>
        <v>8.9855999999999998</v>
      </c>
      <c r="JB63" s="6">
        <f>日流量!JB63*24*3600/100000000</f>
        <v>8.8127999999999993</v>
      </c>
      <c r="JC63" s="6">
        <f>日流量!JC63*24*3600/100000000</f>
        <v>8.3289600000000004</v>
      </c>
      <c r="JD63" s="6">
        <f>日流量!JD63*24*3600/100000000</f>
        <v>7.80192</v>
      </c>
      <c r="JE63" s="6">
        <f>日流量!JE63*24*3600/100000000</f>
        <v>7.2662399999999998</v>
      </c>
      <c r="JF63" s="6">
        <f>日流量!JF63*24*3600/100000000</f>
        <v>6.9638400000000003</v>
      </c>
      <c r="JG63" s="6">
        <f>日流量!JG63*24*3600/100000000</f>
        <v>6.3763199999999998</v>
      </c>
      <c r="JH63" s="6">
        <f>日流量!JH63*24*3600/100000000</f>
        <v>5.6073599999999999</v>
      </c>
      <c r="JI63" s="6">
        <f>日流量!JI63*24*3600/100000000</f>
        <v>5.5123199999999999</v>
      </c>
      <c r="JJ63" s="6">
        <f>日流量!JJ63*24*3600/100000000</f>
        <v>5.3136000000000001</v>
      </c>
      <c r="JK63" s="6">
        <f>日流量!JK63*24*3600/100000000</f>
        <v>5.3395200000000003</v>
      </c>
      <c r="JL63" s="6">
        <f>日流量!JL63*24*3600/100000000</f>
        <v>5.4691200000000002</v>
      </c>
      <c r="JM63" s="6">
        <f>日流量!JM63*24*3600/100000000</f>
        <v>5.2358399999999996</v>
      </c>
      <c r="JN63" s="6">
        <f>日流量!JN63*24*3600/100000000</f>
        <v>4.9852800000000004</v>
      </c>
      <c r="JO63" s="6">
        <f>日流量!JO63*24*3600/100000000</f>
        <v>5.1062399999999997</v>
      </c>
      <c r="JP63" s="6">
        <f>日流量!JP63*24*3600/100000000</f>
        <v>5.4172799999999999</v>
      </c>
      <c r="JQ63" s="6">
        <f>日流量!JQ63*24*3600/100000000</f>
        <v>5.2444800000000003</v>
      </c>
      <c r="JR63" s="6">
        <f>日流量!JR63*24*3600/100000000</f>
        <v>5.2099200000000003</v>
      </c>
      <c r="JS63" s="6">
        <f>日流量!JS63*24*3600/100000000</f>
        <v>5.1062399999999997</v>
      </c>
      <c r="JT63" s="6">
        <f>日流量!JT63*24*3600/100000000</f>
        <v>5.2099200000000003</v>
      </c>
      <c r="JU63" s="6">
        <f>日流量!JU63*24*3600/100000000</f>
        <v>5.0198400000000003</v>
      </c>
      <c r="JV63" s="6">
        <f>日流量!JV63*24*3600/100000000</f>
        <v>5.2012799999999997</v>
      </c>
      <c r="JW63" s="6">
        <f>日流量!JW63*24*3600/100000000</f>
        <v>5.1148800000000003</v>
      </c>
      <c r="JX63" s="6">
        <f>日流量!JX63*24*3600/100000000</f>
        <v>5.34816</v>
      </c>
      <c r="JY63" s="6">
        <f>日流量!JY63*24*3600/100000000</f>
        <v>5.4604799999999996</v>
      </c>
      <c r="JZ63" s="6">
        <f>日流量!JZ63*24*3600/100000000</f>
        <v>5.2358399999999996</v>
      </c>
      <c r="KA63" s="6">
        <f>日流量!KA63*24*3600/100000000</f>
        <v>5.2012799999999997</v>
      </c>
      <c r="KB63" s="6">
        <f>日流量!KB63*24*3600/100000000</f>
        <v>5.1235200000000001</v>
      </c>
      <c r="KC63" s="6">
        <f>日流量!KC63*24*3600/100000000</f>
        <v>4.9420799999999998</v>
      </c>
      <c r="KD63" s="6">
        <f>日流量!KD63*24*3600/100000000</f>
        <v>4.8470399999999998</v>
      </c>
      <c r="KE63" s="6">
        <f>日流量!KE63*24*3600/100000000</f>
        <v>5.0975999999999999</v>
      </c>
      <c r="KF63" s="6">
        <f>日流量!KF63*24*3600/100000000</f>
        <v>5.0457599999999996</v>
      </c>
      <c r="KG63" s="6">
        <f>日流量!KG63*24*3600/100000000</f>
        <v>4.9852800000000004</v>
      </c>
      <c r="KH63" s="6">
        <f>日流量!KH63*24*3600/100000000</f>
        <v>5.3136000000000001</v>
      </c>
      <c r="KI63" s="6">
        <f>日流量!KI63*24*3600/100000000</f>
        <v>5.8406399999999996</v>
      </c>
      <c r="KJ63" s="6">
        <f>日流量!KJ63*24*3600/100000000</f>
        <v>5.8924799999999999</v>
      </c>
      <c r="KK63" s="6">
        <f>日流量!KK63*24*3600/100000000</f>
        <v>5.5036800000000001</v>
      </c>
      <c r="KL63" s="6">
        <f>日流量!KL63*24*3600/100000000</f>
        <v>5.06304</v>
      </c>
      <c r="KM63" s="6">
        <f>日流量!KM63*24*3600/100000000</f>
        <v>4.8124799999999999</v>
      </c>
      <c r="KN63" s="6">
        <f>日流量!KN63*24*3600/100000000</f>
        <v>4.6051200000000003</v>
      </c>
      <c r="KO63" s="6">
        <f>日流量!KO63*24*3600/100000000</f>
        <v>4.4841600000000001</v>
      </c>
      <c r="KP63" s="6">
        <f>日流量!KP63*24*3600/100000000</f>
        <v>4.1904000000000003</v>
      </c>
      <c r="KQ63" s="6">
        <f>日流量!KQ63*24*3600/100000000</f>
        <v>4.1212799999999996</v>
      </c>
      <c r="KR63" s="6">
        <f>日流量!KR63*24*3600/100000000</f>
        <v>4.2076799999999999</v>
      </c>
      <c r="KS63" s="6">
        <f>日流量!KS63*24*3600/100000000</f>
        <v>4.1471999999999998</v>
      </c>
      <c r="KT63" s="6">
        <f>日流量!KT63*24*3600/100000000</f>
        <v>4.0003200000000003</v>
      </c>
      <c r="KU63" s="6">
        <f>日流量!KU63*24*3600/100000000</f>
        <v>3.8188800000000001</v>
      </c>
      <c r="KV63" s="6">
        <f>日流量!KV63*24*3600/100000000</f>
        <v>3.3264</v>
      </c>
      <c r="KW63" s="6">
        <f>日流量!KW63*24*3600/100000000</f>
        <v>3.23136</v>
      </c>
      <c r="KX63" s="6">
        <f>日流量!KX63*24*3600/100000000</f>
        <v>3.1103999999999998</v>
      </c>
      <c r="KY63" s="6">
        <f>日流量!KY63*24*3600/100000000</f>
        <v>3.0758399999999999</v>
      </c>
      <c r="KZ63" s="6">
        <f>日流量!KZ63*24*3600/100000000</f>
        <v>2.9635199999999999</v>
      </c>
      <c r="LA63" s="6">
        <f>日流量!LA63*24*3600/100000000</f>
        <v>2.9376000000000002</v>
      </c>
      <c r="LB63" s="6">
        <f>日流量!LB63*24*3600/100000000</f>
        <v>2.91168</v>
      </c>
      <c r="LC63" s="6">
        <f>日流量!LC63*24*3600/100000000</f>
        <v>2.8944000000000001</v>
      </c>
      <c r="LD63" s="6">
        <f>日流量!LD63*24*3600/100000000</f>
        <v>2.9807999999999999</v>
      </c>
      <c r="LE63" s="6">
        <f>日流量!LE63*24*3600/100000000</f>
        <v>2.91168</v>
      </c>
      <c r="LF63" s="6">
        <f>日流量!LF63*24*3600/100000000</f>
        <v>2.8598400000000002</v>
      </c>
      <c r="LG63" s="6">
        <f>日流量!LG63*24*3600/100000000</f>
        <v>2.7734399999999999</v>
      </c>
      <c r="LH63" s="6">
        <f>日流量!LH63*24*3600/100000000</f>
        <v>2.7993600000000001</v>
      </c>
      <c r="LI63" s="6">
        <f>日流量!LI63*24*3600/100000000</f>
        <v>2.62656</v>
      </c>
      <c r="LJ63" s="6">
        <f>日流量!LJ63*24*3600/100000000</f>
        <v>2.53152</v>
      </c>
      <c r="LK63" s="6">
        <f>日流量!LK63*24*3600/100000000</f>
        <v>2.4537599999999999</v>
      </c>
      <c r="LL63" s="6">
        <f>日流量!LL63*24*3600/100000000</f>
        <v>2.4451200000000002</v>
      </c>
      <c r="LM63" s="6">
        <f>日流量!LM63*24*3600/100000000</f>
        <v>2.43648</v>
      </c>
      <c r="LN63" s="6">
        <f>日流量!LN63*24*3600/100000000</f>
        <v>2.6697600000000001</v>
      </c>
      <c r="LO63" s="6">
        <f>日流量!LO63*24*3600/100000000</f>
        <v>2.4192</v>
      </c>
      <c r="LP63" s="6">
        <f>日流量!LP63*24*3600/100000000</f>
        <v>2.4624000000000001</v>
      </c>
      <c r="LQ63" s="6">
        <f>日流量!LQ63*24*3600/100000000</f>
        <v>2.3846400000000001</v>
      </c>
      <c r="LR63" s="6">
        <f>日流量!LR63*24*3600/100000000</f>
        <v>2.3500800000000002</v>
      </c>
      <c r="LS63" s="6">
        <f>日流量!LS63*24*3600/100000000</f>
        <v>2.3587199999999999</v>
      </c>
      <c r="LT63" s="6">
        <f>日流量!LT63*24*3600/100000000</f>
        <v>2.3500800000000002</v>
      </c>
      <c r="LU63" s="6">
        <f>日流量!LU63*24*3600/100000000</f>
        <v>2.1686399999999999</v>
      </c>
      <c r="LV63" s="6">
        <f>日流量!LV63*24*3600/100000000</f>
        <v>1.7798400000000001</v>
      </c>
      <c r="LW63" s="6">
        <f>日流量!LW63*24*3600/100000000</f>
        <v>1.83168</v>
      </c>
      <c r="LX63" s="6">
        <f>日流量!LX63*24*3600/100000000</f>
        <v>1.9008</v>
      </c>
      <c r="LY63" s="6">
        <f>日流量!LY63*24*3600/100000000</f>
        <v>1.93536</v>
      </c>
      <c r="LZ63" s="6">
        <f>日流量!LZ63*24*3600/100000000</f>
        <v>1.91808</v>
      </c>
      <c r="MA63" s="6">
        <f>日流量!MA63*24*3600/100000000</f>
        <v>1.7625599999999999</v>
      </c>
      <c r="MB63" s="6">
        <f>日流量!MB63*24*3600/100000000</f>
        <v>1.7884800000000001</v>
      </c>
      <c r="MC63" s="6">
        <f>日流量!MC63*24*3600/100000000</f>
        <v>1.8489599999999999</v>
      </c>
      <c r="MD63" s="6">
        <f>日流量!MD63*24*3600/100000000</f>
        <v>1.70208</v>
      </c>
      <c r="ME63" s="6">
        <f>日流量!ME63*24*3600/100000000</f>
        <v>1.50336</v>
      </c>
      <c r="MF63" s="6">
        <f>日流量!MF63*24*3600/100000000</f>
        <v>1.52064</v>
      </c>
      <c r="MG63" s="6">
        <f>日流量!MG63*24*3600/100000000</f>
        <v>2.02176</v>
      </c>
      <c r="MH63" s="6">
        <f>日流量!MH63*24*3600/100000000</f>
        <v>1.9785600000000001</v>
      </c>
      <c r="MI63" s="6">
        <f>日流量!MI63*24*3600/100000000</f>
        <v>1.8921600000000001</v>
      </c>
      <c r="MJ63" s="6">
        <f>日流量!MJ63*24*3600/100000000</f>
        <v>1.8835200000000001</v>
      </c>
      <c r="MK63" s="6">
        <f>日流量!MK63*24*3600/100000000</f>
        <v>1.8144</v>
      </c>
      <c r="ML63" s="6">
        <f>日流量!ML63*24*3600/100000000</f>
        <v>1.8835200000000001</v>
      </c>
      <c r="MM63" s="6">
        <f>日流量!MM63*24*3600/100000000</f>
        <v>1.944</v>
      </c>
      <c r="MN63" s="6">
        <f>日流量!MN63*24*3600/100000000</f>
        <v>1.9699199999999999</v>
      </c>
      <c r="MO63" s="6">
        <f>日流量!MO63*24*3600/100000000</f>
        <v>1.9699199999999999</v>
      </c>
      <c r="MP63" s="6">
        <f>日流量!MP63*24*3600/100000000</f>
        <v>2.0304000000000002</v>
      </c>
      <c r="MQ63" s="6">
        <f>日流量!MQ63*24*3600/100000000</f>
        <v>1.9008</v>
      </c>
      <c r="MR63" s="6">
        <f>日流量!MR63*24*3600/100000000</f>
        <v>1.83168</v>
      </c>
      <c r="MS63" s="6">
        <f>日流量!MS63*24*3600/100000000</f>
        <v>1.8144</v>
      </c>
      <c r="MT63" s="6">
        <f>日流量!MT63*24*3600/100000000</f>
        <v>1.8662399999999999</v>
      </c>
      <c r="MU63" s="6">
        <f>日流量!MU63*24*3600/100000000</f>
        <v>1.8575999999999999</v>
      </c>
      <c r="MV63" s="6">
        <f>日流量!MV63*24*3600/100000000</f>
        <v>1.6934400000000001</v>
      </c>
      <c r="MW63" s="6">
        <f>日流量!MW63*24*3600/100000000</f>
        <v>1.62432</v>
      </c>
      <c r="MX63" s="6">
        <f>日流量!MX63*24*3600/100000000</f>
        <v>1.4428799999999999</v>
      </c>
      <c r="MY63" s="6">
        <f>日流量!MY63*24*3600/100000000</f>
        <v>1.4428799999999999</v>
      </c>
      <c r="MZ63" s="6">
        <f>日流量!MZ63*24*3600/100000000</f>
        <v>1.4774400000000001</v>
      </c>
      <c r="NA63" s="6">
        <f>日流量!NA63*24*3600/100000000</f>
        <v>1.50336</v>
      </c>
      <c r="NB63" s="6">
        <f>日流量!NB63*24*3600/100000000</f>
        <v>1.4860800000000001</v>
      </c>
      <c r="NC63" s="6"/>
      <c r="ND63" s="6">
        <f>日流量!ND63*24*3600*31/100000000</f>
        <v>45.264960000000002</v>
      </c>
      <c r="NE63" s="6">
        <f>日流量!NE63*24*3600*28/100000000</f>
        <v>31.691520000000001</v>
      </c>
      <c r="NF63" s="6">
        <f>日流量!NF63*24*3600*31/100000000</f>
        <v>39.908160000000002</v>
      </c>
      <c r="NG63" s="6">
        <f>日流量!NG63*24*3600*30/100000000</f>
        <v>35.769599999999997</v>
      </c>
      <c r="NH63" s="6">
        <f>日流量!NH63*24*3600*31/100000000</f>
        <v>59.460479999999997</v>
      </c>
      <c r="NI63" s="6">
        <f>日流量!NI63*24*3600*30/100000000</f>
        <v>75.168000000000006</v>
      </c>
      <c r="NJ63" s="6">
        <f>日流量!NJ63*24*3600*31/100000000</f>
        <v>211.86143999999999</v>
      </c>
      <c r="NK63" s="6">
        <f>日流量!NK63*24*3600*31/100000000</f>
        <v>190.43423999999999</v>
      </c>
      <c r="NL63" s="6">
        <f>日流量!NL63*24*3600*30/100000000</f>
        <v>223.68960000000001</v>
      </c>
      <c r="NM63" s="6">
        <f>日流量!NM63*24*3600*31/100000000</f>
        <v>155.07936000000001</v>
      </c>
      <c r="NN63" s="6">
        <f>日流量!NN63*24*3600*30/100000000</f>
        <v>79.833600000000004</v>
      </c>
      <c r="NO63" s="6">
        <f>日流量!NO63*24*3600*31/100000000</f>
        <v>54.907200000000003</v>
      </c>
      <c r="NP63" s="14">
        <f t="shared" si="10"/>
        <v>1203.06816</v>
      </c>
      <c r="NQ63" s="6">
        <f>日流量!NQ63*24*3600/100000000</f>
        <v>11.8368</v>
      </c>
      <c r="NR63" s="4">
        <f>日流量!NR63</f>
        <v>42610</v>
      </c>
      <c r="NS63" s="6">
        <f>日流量!NS63*24*3600/100000000</f>
        <v>0.94176000000000004</v>
      </c>
      <c r="NT63" s="4">
        <f>日流量!NT63</f>
        <v>42465</v>
      </c>
      <c r="NU63" s="7">
        <f>日流量!NP63</f>
        <v>3813.2328767123286</v>
      </c>
      <c r="NW63" s="13">
        <f t="shared" si="0"/>
        <v>915.69312000000014</v>
      </c>
      <c r="NX63" s="12">
        <f t="shared" si="1"/>
        <v>76.113153888138811</v>
      </c>
      <c r="NY63" s="13">
        <f t="shared" si="2"/>
        <v>701.15328</v>
      </c>
      <c r="NZ63" s="12">
        <f t="shared" si="3"/>
        <v>58.280428600155119</v>
      </c>
      <c r="OA63" s="13">
        <f t="shared" si="4"/>
        <v>287.3750399999999</v>
      </c>
      <c r="OB63" s="12">
        <f t="shared" si="5"/>
        <v>23.886846111861185</v>
      </c>
      <c r="OC63" s="13">
        <f t="shared" si="6"/>
        <v>223.68960000000001</v>
      </c>
      <c r="OD63" s="12">
        <f t="shared" si="7"/>
        <v>18.593260750912069</v>
      </c>
      <c r="OE63" s="12">
        <f t="shared" si="8"/>
        <v>281.09069158878503</v>
      </c>
      <c r="OF63" s="12">
        <f t="shared" si="9"/>
        <v>8.9133273588529001</v>
      </c>
    </row>
    <row r="64" spans="1:396" x14ac:dyDescent="0.15">
      <c r="A64" s="2">
        <v>2011</v>
      </c>
      <c r="B64" s="6">
        <f>日流量!B64*24*3600/100000000</f>
        <v>1.5897600000000001</v>
      </c>
      <c r="C64" s="6">
        <f>日流量!C64*24*3600/100000000</f>
        <v>1.53792</v>
      </c>
      <c r="D64" s="6">
        <f>日流量!D64*24*3600/100000000</f>
        <v>1.43424</v>
      </c>
      <c r="E64" s="6">
        <f>日流量!E64*24*3600/100000000</f>
        <v>1.5465599999999999</v>
      </c>
      <c r="F64" s="6">
        <f>日流量!F64*24*3600/100000000</f>
        <v>1.6675199999999999</v>
      </c>
      <c r="G64" s="6">
        <f>日流量!G64*24*3600/100000000</f>
        <v>1.728</v>
      </c>
      <c r="H64" s="6">
        <f>日流量!H64*24*3600/100000000</f>
        <v>1.8835200000000001</v>
      </c>
      <c r="I64" s="6">
        <f>日流量!I64*24*3600/100000000</f>
        <v>1.8835200000000001</v>
      </c>
      <c r="J64" s="6">
        <f>日流量!J64*24*3600/100000000</f>
        <v>1.7452799999999999</v>
      </c>
      <c r="K64" s="6">
        <f>日流量!K64*24*3600/100000000</f>
        <v>1.84032</v>
      </c>
      <c r="L64" s="6">
        <f>日流量!L64*24*3600/100000000</f>
        <v>1.7884800000000001</v>
      </c>
      <c r="M64" s="6">
        <f>日流量!M64*24*3600/100000000</f>
        <v>1.70208</v>
      </c>
      <c r="N64" s="6">
        <f>日流量!N64*24*3600/100000000</f>
        <v>1.7625599999999999</v>
      </c>
      <c r="O64" s="6">
        <f>日流量!O64*24*3600/100000000</f>
        <v>1.7452799999999999</v>
      </c>
      <c r="P64" s="6">
        <f>日流量!P64*24*3600/100000000</f>
        <v>1.6502399999999999</v>
      </c>
      <c r="Q64" s="6">
        <f>日流量!Q64*24*3600/100000000</f>
        <v>1.49472</v>
      </c>
      <c r="R64" s="6">
        <f>日流量!R64*24*3600/100000000</f>
        <v>1.49472</v>
      </c>
      <c r="S64" s="6">
        <f>日流量!S64*24*3600/100000000</f>
        <v>1.728</v>
      </c>
      <c r="T64" s="6">
        <f>日流量!T64*24*3600/100000000</f>
        <v>1.70208</v>
      </c>
      <c r="U64" s="6">
        <f>日流量!U64*24*3600/100000000</f>
        <v>1.82304</v>
      </c>
      <c r="V64" s="6">
        <f>日流量!V64*24*3600/100000000</f>
        <v>1.7452799999999999</v>
      </c>
      <c r="W64" s="6">
        <f>日流量!W64*24*3600/100000000</f>
        <v>1.6848000000000001</v>
      </c>
      <c r="X64" s="6">
        <f>日流量!X64*24*3600/100000000</f>
        <v>1.6761600000000001</v>
      </c>
      <c r="Y64" s="6">
        <f>日流量!Y64*24*3600/100000000</f>
        <v>1.62432</v>
      </c>
      <c r="Z64" s="6">
        <f>日流量!Z64*24*3600/100000000</f>
        <v>1.71072</v>
      </c>
      <c r="AA64" s="6">
        <f>日流量!AA64*24*3600/100000000</f>
        <v>1.7452799999999999</v>
      </c>
      <c r="AB64" s="6">
        <f>日流量!AB64*24*3600/100000000</f>
        <v>1.7452799999999999</v>
      </c>
      <c r="AC64" s="6">
        <f>日流量!AC64*24*3600/100000000</f>
        <v>1.6502399999999999</v>
      </c>
      <c r="AD64" s="6">
        <f>日流量!AD64*24*3600/100000000</f>
        <v>1.512</v>
      </c>
      <c r="AE64" s="6">
        <f>日流量!AE64*24*3600/100000000</f>
        <v>1.3478399999999999</v>
      </c>
      <c r="AF64" s="6">
        <f>日流量!AF64*24*3600/100000000</f>
        <v>1.31328</v>
      </c>
      <c r="AG64" s="6">
        <f>日流量!AG64*24*3600/100000000</f>
        <v>1.21824</v>
      </c>
      <c r="AH64" s="6">
        <f>日流量!AH64*24*3600/100000000</f>
        <v>1.22688</v>
      </c>
      <c r="AI64" s="6">
        <f>日流量!AI64*24*3600/100000000</f>
        <v>1.2873600000000001</v>
      </c>
      <c r="AJ64" s="6">
        <f>日流量!AJ64*24*3600/100000000</f>
        <v>1.2614399999999999</v>
      </c>
      <c r="AK64" s="6">
        <f>日流量!AK64*24*3600/100000000</f>
        <v>1.2441599999999999</v>
      </c>
      <c r="AL64" s="6">
        <f>日流量!AL64*24*3600/100000000</f>
        <v>1.20096</v>
      </c>
      <c r="AM64" s="6">
        <f>日流量!AM64*24*3600/100000000</f>
        <v>1.1577599999999999</v>
      </c>
      <c r="AN64" s="6">
        <f>日流量!AN64*24*3600/100000000</f>
        <v>1.21824</v>
      </c>
      <c r="AO64" s="6">
        <f>日流量!AO64*24*3600/100000000</f>
        <v>1.1836800000000001</v>
      </c>
      <c r="AP64" s="6">
        <f>日流量!AP64*24*3600/100000000</f>
        <v>1.09728</v>
      </c>
      <c r="AQ64" s="6">
        <f>日流量!AQ64*24*3600/100000000</f>
        <v>1.0367999999999999</v>
      </c>
      <c r="AR64" s="6">
        <f>日流量!AR64*24*3600/100000000</f>
        <v>1.0627200000000001</v>
      </c>
      <c r="AS64" s="6">
        <f>日流量!AS64*24*3600/100000000</f>
        <v>1.0454399999999999</v>
      </c>
      <c r="AT64" s="6">
        <f>日流量!AT64*24*3600/100000000</f>
        <v>0.94176000000000004</v>
      </c>
      <c r="AU64" s="6">
        <f>日流量!AU64*24*3600/100000000</f>
        <v>0.97631999999999997</v>
      </c>
      <c r="AV64" s="6">
        <f>日流量!AV64*24*3600/100000000</f>
        <v>1.02816</v>
      </c>
      <c r="AW64" s="6">
        <f>日流量!AW64*24*3600/100000000</f>
        <v>1.08</v>
      </c>
      <c r="AX64" s="6">
        <f>日流量!AX64*24*3600/100000000</f>
        <v>1.0367999999999999</v>
      </c>
      <c r="AY64" s="6">
        <f>日流量!AY64*24*3600/100000000</f>
        <v>1.01952</v>
      </c>
      <c r="AZ64" s="6">
        <f>日流量!AZ64*24*3600/100000000</f>
        <v>1.22688</v>
      </c>
      <c r="BA64" s="6">
        <f>日流量!BA64*24*3600/100000000</f>
        <v>1.2527999999999999</v>
      </c>
      <c r="BB64" s="6">
        <f>日流量!BB64*24*3600/100000000</f>
        <v>1.32192</v>
      </c>
      <c r="BC64" s="6">
        <f>日流量!BC64*24*3600/100000000</f>
        <v>1.2787200000000001</v>
      </c>
      <c r="BD64" s="6">
        <f>日流量!BD64*24*3600/100000000</f>
        <v>1.2527999999999999</v>
      </c>
      <c r="BE64" s="6">
        <f>日流量!BE64*24*3600/100000000</f>
        <v>1.23552</v>
      </c>
      <c r="BF64" s="6">
        <f>日流量!BF64*24*3600/100000000</f>
        <v>1.2700800000000001</v>
      </c>
      <c r="BG64" s="6">
        <f>日流量!BG64*24*3600/100000000</f>
        <v>1.4860800000000001</v>
      </c>
      <c r="BH64" s="6">
        <f>日流量!BH64*24*3600/100000000</f>
        <v>1.5638399999999999</v>
      </c>
      <c r="BI64" s="6"/>
      <c r="BJ64" s="6">
        <f>日流量!BJ64*24*3600/100000000</f>
        <v>1.52064</v>
      </c>
      <c r="BK64" s="6">
        <f>日流量!BK64*24*3600/100000000</f>
        <v>1.2614399999999999</v>
      </c>
      <c r="BL64" s="6">
        <f>日流量!BL64*24*3600/100000000</f>
        <v>1.1232</v>
      </c>
      <c r="BM64" s="6">
        <f>日流量!BM64*24*3600/100000000</f>
        <v>1.1491199999999999</v>
      </c>
      <c r="BN64" s="6">
        <f>日流量!BN64*24*3600/100000000</f>
        <v>1.1232</v>
      </c>
      <c r="BO64" s="6">
        <f>日流量!BO64*24*3600/100000000</f>
        <v>1.11456</v>
      </c>
      <c r="BP64" s="6">
        <f>日流量!BP64*24*3600/100000000</f>
        <v>1.08</v>
      </c>
      <c r="BQ64" s="6">
        <f>日流量!BQ64*24*3600/100000000</f>
        <v>1.02816</v>
      </c>
      <c r="BR64" s="6">
        <f>日流量!BR64*24*3600/100000000</f>
        <v>1.08</v>
      </c>
      <c r="BS64" s="6">
        <f>日流量!BS64*24*3600/100000000</f>
        <v>1.22688</v>
      </c>
      <c r="BT64" s="6">
        <f>日流量!BT64*24*3600/100000000</f>
        <v>1.3391999999999999</v>
      </c>
      <c r="BU64" s="6">
        <f>日流量!BU64*24*3600/100000000</f>
        <v>1.2700800000000001</v>
      </c>
      <c r="BV64" s="6">
        <f>日流量!BV64*24*3600/100000000</f>
        <v>1.23552</v>
      </c>
      <c r="BW64" s="6">
        <f>日流量!BW64*24*3600/100000000</f>
        <v>1.13184</v>
      </c>
      <c r="BX64" s="6">
        <f>日流量!BX64*24*3600/100000000</f>
        <v>1.20096</v>
      </c>
      <c r="BY64" s="6">
        <f>日流量!BY64*24*3600/100000000</f>
        <v>1.53792</v>
      </c>
      <c r="BZ64" s="6">
        <f>日流量!BZ64*24*3600/100000000</f>
        <v>1.3737600000000001</v>
      </c>
      <c r="CA64" s="6">
        <f>日流量!CA64*24*3600/100000000</f>
        <v>1.32192</v>
      </c>
      <c r="CB64" s="6">
        <f>日流量!CB64*24*3600/100000000</f>
        <v>1.2787200000000001</v>
      </c>
      <c r="CC64" s="6">
        <f>日流量!CC64*24*3600/100000000</f>
        <v>1.2441599999999999</v>
      </c>
      <c r="CD64" s="6">
        <f>日流量!CD64*24*3600/100000000</f>
        <v>1.296</v>
      </c>
      <c r="CE64" s="6">
        <f>日流量!CE64*24*3600/100000000</f>
        <v>1.2700800000000001</v>
      </c>
      <c r="CF64" s="6">
        <f>日流量!CF64*24*3600/100000000</f>
        <v>1.4428799999999999</v>
      </c>
      <c r="CG64" s="6">
        <f>日流量!CG64*24*3600/100000000</f>
        <v>1.4428799999999999</v>
      </c>
      <c r="CH64" s="6">
        <f>日流量!CH64*24*3600/100000000</f>
        <v>1.43424</v>
      </c>
      <c r="CI64" s="6">
        <f>日流量!CI64*24*3600/100000000</f>
        <v>1.4688000000000001</v>
      </c>
      <c r="CJ64" s="6">
        <f>日流量!CJ64*24*3600/100000000</f>
        <v>1.4515199999999999</v>
      </c>
      <c r="CK64" s="6">
        <f>日流量!CK64*24*3600/100000000</f>
        <v>1.3391999999999999</v>
      </c>
      <c r="CL64" s="6">
        <f>日流量!CL64*24*3600/100000000</f>
        <v>1.1836800000000001</v>
      </c>
      <c r="CM64" s="6">
        <f>日流量!CM64*24*3600/100000000</f>
        <v>1.3391999999999999</v>
      </c>
      <c r="CN64" s="6">
        <f>日流量!CN64*24*3600/100000000</f>
        <v>1.41696</v>
      </c>
      <c r="CO64" s="6">
        <f>日流量!CO64*24*3600/100000000</f>
        <v>1.40832</v>
      </c>
      <c r="CP64" s="6">
        <f>日流量!CP64*24*3600/100000000</f>
        <v>1.3564799999999999</v>
      </c>
      <c r="CQ64" s="6">
        <f>日流量!CQ64*24*3600/100000000</f>
        <v>1.2700800000000001</v>
      </c>
      <c r="CR64" s="6">
        <f>日流量!CR64*24*3600/100000000</f>
        <v>1.1836800000000001</v>
      </c>
      <c r="CS64" s="6">
        <f>日流量!CS64*24*3600/100000000</f>
        <v>1.2096</v>
      </c>
      <c r="CT64" s="6">
        <f>日流量!CT64*24*3600/100000000</f>
        <v>1.2527999999999999</v>
      </c>
      <c r="CU64" s="6">
        <f>日流量!CU64*24*3600/100000000</f>
        <v>1.1836800000000001</v>
      </c>
      <c r="CV64" s="6">
        <f>日流量!CV64*24*3600/100000000</f>
        <v>1.2700800000000001</v>
      </c>
      <c r="CW64" s="6">
        <f>日流量!CW64*24*3600/100000000</f>
        <v>1.33056</v>
      </c>
      <c r="CX64" s="6">
        <f>日流量!CX64*24*3600/100000000</f>
        <v>1.3824000000000001</v>
      </c>
      <c r="CY64" s="6">
        <f>日流量!CY64*24*3600/100000000</f>
        <v>1.4774400000000001</v>
      </c>
      <c r="CZ64" s="6">
        <f>日流量!CZ64*24*3600/100000000</f>
        <v>1.4860800000000001</v>
      </c>
      <c r="DA64" s="6">
        <f>日流量!DA64*24*3600/100000000</f>
        <v>1.4515199999999999</v>
      </c>
      <c r="DB64" s="6">
        <f>日流量!DB64*24*3600/100000000</f>
        <v>1.3391999999999999</v>
      </c>
      <c r="DC64" s="6">
        <f>日流量!DC64*24*3600/100000000</f>
        <v>1.19232</v>
      </c>
      <c r="DD64" s="6">
        <f>日流量!DD64*24*3600/100000000</f>
        <v>1.1836800000000001</v>
      </c>
      <c r="DE64" s="6">
        <f>日流量!DE64*24*3600/100000000</f>
        <v>1.1232</v>
      </c>
      <c r="DF64" s="6">
        <f>日流量!DF64*24*3600/100000000</f>
        <v>1.11456</v>
      </c>
      <c r="DG64" s="6">
        <f>日流量!DG64*24*3600/100000000</f>
        <v>1.13184</v>
      </c>
      <c r="DH64" s="6">
        <f>日流量!DH64*24*3600/100000000</f>
        <v>1.31328</v>
      </c>
      <c r="DI64" s="6">
        <f>日流量!DI64*24*3600/100000000</f>
        <v>1.33056</v>
      </c>
      <c r="DJ64" s="6">
        <f>日流量!DJ64*24*3600/100000000</f>
        <v>1.32192</v>
      </c>
      <c r="DK64" s="6">
        <f>日流量!DK64*24*3600/100000000</f>
        <v>1.30464</v>
      </c>
      <c r="DL64" s="6">
        <f>日流量!DL64*24*3600/100000000</f>
        <v>1.33056</v>
      </c>
      <c r="DM64" s="6">
        <f>日流量!DM64*24*3600/100000000</f>
        <v>1.3391999999999999</v>
      </c>
      <c r="DN64" s="6">
        <f>日流量!DN64*24*3600/100000000</f>
        <v>1.3737600000000001</v>
      </c>
      <c r="DO64" s="6">
        <f>日流量!DO64*24*3600/100000000</f>
        <v>1.5984</v>
      </c>
      <c r="DP64" s="6">
        <f>日流量!DP64*24*3600/100000000</f>
        <v>1.9526399999999999</v>
      </c>
      <c r="DQ64" s="6">
        <f>日流量!DQ64*24*3600/100000000</f>
        <v>1.8575999999999999</v>
      </c>
      <c r="DR64" s="6">
        <f>日流量!DR64*24*3600/100000000</f>
        <v>1.9526399999999999</v>
      </c>
      <c r="DS64" s="6">
        <f>日流量!DS64*24*3600/100000000</f>
        <v>1.5984</v>
      </c>
      <c r="DT64" s="6">
        <f>日流量!DT64*24*3600/100000000</f>
        <v>1.4256</v>
      </c>
      <c r="DU64" s="6">
        <f>日流量!DU64*24*3600/100000000</f>
        <v>1.3651199999999999</v>
      </c>
      <c r="DV64" s="6">
        <f>日流量!DV64*24*3600/100000000</f>
        <v>1.512</v>
      </c>
      <c r="DW64" s="6">
        <f>日流量!DW64*24*3600/100000000</f>
        <v>1.512</v>
      </c>
      <c r="DX64" s="6">
        <f>日流量!DX64*24*3600/100000000</f>
        <v>1.8575999999999999</v>
      </c>
      <c r="DY64" s="6">
        <f>日流量!DY64*24*3600/100000000</f>
        <v>2.0908799999999998</v>
      </c>
      <c r="DZ64" s="6">
        <f>日流量!DZ64*24*3600/100000000</f>
        <v>2.16</v>
      </c>
      <c r="EA64" s="6">
        <f>日流量!EA64*24*3600/100000000</f>
        <v>2.1254400000000002</v>
      </c>
      <c r="EB64" s="6">
        <f>日流量!EB64*24*3600/100000000</f>
        <v>1.84032</v>
      </c>
      <c r="EC64" s="6">
        <f>日流量!EC64*24*3600/100000000</f>
        <v>1.4688000000000001</v>
      </c>
      <c r="ED64" s="6">
        <f>日流量!ED64*24*3600/100000000</f>
        <v>1.41696</v>
      </c>
      <c r="EE64" s="6">
        <f>日流量!EE64*24*3600/100000000</f>
        <v>1.43424</v>
      </c>
      <c r="EF64" s="6">
        <f>日流量!EF64*24*3600/100000000</f>
        <v>1.4688000000000001</v>
      </c>
      <c r="EG64" s="6">
        <f>日流量!EG64*24*3600/100000000</f>
        <v>1.5811200000000001</v>
      </c>
      <c r="EH64" s="6">
        <f>日流量!EH64*24*3600/100000000</f>
        <v>1.6848000000000001</v>
      </c>
      <c r="EI64" s="6">
        <f>日流量!EI64*24*3600/100000000</f>
        <v>1.63296</v>
      </c>
      <c r="EJ64" s="6">
        <f>日流量!EJ64*24*3600/100000000</f>
        <v>1.6588799999999999</v>
      </c>
      <c r="EK64" s="6">
        <f>日流量!EK64*24*3600/100000000</f>
        <v>1.6675199999999999</v>
      </c>
      <c r="EL64" s="6">
        <f>日流量!EL64*24*3600/100000000</f>
        <v>1.82304</v>
      </c>
      <c r="EM64" s="6">
        <f>日流量!EM64*24*3600/100000000</f>
        <v>1.9958400000000001</v>
      </c>
      <c r="EN64" s="6">
        <f>日流量!EN64*24*3600/100000000</f>
        <v>1.73664</v>
      </c>
      <c r="EO64" s="6">
        <f>日流量!EO64*24*3600/100000000</f>
        <v>1.5811200000000001</v>
      </c>
      <c r="EP64" s="6">
        <f>日流量!EP64*24*3600/100000000</f>
        <v>1.5465599999999999</v>
      </c>
      <c r="EQ64" s="6">
        <f>日流量!EQ64*24*3600/100000000</f>
        <v>1.71936</v>
      </c>
      <c r="ER64" s="6">
        <f>日流量!ER64*24*3600/100000000</f>
        <v>1.7884800000000001</v>
      </c>
      <c r="ES64" s="6">
        <f>日流量!ES64*24*3600/100000000</f>
        <v>2.02176</v>
      </c>
      <c r="ET64" s="6">
        <f>日流量!ET64*24*3600/100000000</f>
        <v>2.4451200000000002</v>
      </c>
      <c r="EU64" s="6">
        <f>日流量!EU64*24*3600/100000000</f>
        <v>2.4192</v>
      </c>
      <c r="EV64" s="6">
        <f>日流量!EV64*24*3600/100000000</f>
        <v>2.32416</v>
      </c>
      <c r="EW64" s="6">
        <f>日流量!EW64*24*3600/100000000</f>
        <v>2.1686399999999999</v>
      </c>
      <c r="EX64" s="6">
        <f>日流量!EX64*24*3600/100000000</f>
        <v>1.6848000000000001</v>
      </c>
      <c r="EY64" s="6">
        <f>日流量!EY64*24*3600/100000000</f>
        <v>1.70208</v>
      </c>
      <c r="EZ64" s="6">
        <f>日流量!EZ64*24*3600/100000000</f>
        <v>2.0908799999999998</v>
      </c>
      <c r="FA64" s="6">
        <f>日流量!FA64*24*3600/100000000</f>
        <v>2.2723200000000001</v>
      </c>
      <c r="FB64" s="6">
        <f>日流量!FB64*24*3600/100000000</f>
        <v>2.3846400000000001</v>
      </c>
      <c r="FC64" s="6">
        <f>日流量!FC64*24*3600/100000000</f>
        <v>2.6783999999999999</v>
      </c>
      <c r="FD64" s="6">
        <f>日流量!FD64*24*3600/100000000</f>
        <v>2.4278400000000002</v>
      </c>
      <c r="FE64" s="6">
        <f>日流量!FE64*24*3600/100000000</f>
        <v>2.3328000000000002</v>
      </c>
      <c r="FF64" s="6">
        <f>日流量!FF64*24*3600/100000000</f>
        <v>2.6956799999999999</v>
      </c>
      <c r="FG64" s="6">
        <f>日流量!FG64*24*3600/100000000</f>
        <v>2.8857599999999999</v>
      </c>
      <c r="FH64" s="6">
        <f>日流量!FH64*24*3600/100000000</f>
        <v>2.8944000000000001</v>
      </c>
      <c r="FI64" s="6">
        <f>日流量!FI64*24*3600/100000000</f>
        <v>2.6697600000000001</v>
      </c>
      <c r="FJ64" s="6">
        <f>日流量!FJ64*24*3600/100000000</f>
        <v>3.0499200000000002</v>
      </c>
      <c r="FK64" s="6">
        <f>日流量!FK64*24*3600/100000000</f>
        <v>3.5164800000000001</v>
      </c>
      <c r="FL64" s="6">
        <f>日流量!FL64*24*3600/100000000</f>
        <v>3.64608</v>
      </c>
      <c r="FM64" s="6">
        <f>日流量!FM64*24*3600/100000000</f>
        <v>3.7670400000000002</v>
      </c>
      <c r="FN64" s="6">
        <f>日流量!FN64*24*3600/100000000</f>
        <v>3.7929599999999999</v>
      </c>
      <c r="FO64" s="6">
        <f>日流量!FO64*24*3600/100000000</f>
        <v>3.2745600000000001</v>
      </c>
      <c r="FP64" s="6">
        <f>日流量!FP64*24*3600/100000000</f>
        <v>3.5683199999999999</v>
      </c>
      <c r="FQ64" s="6">
        <f>日流量!FQ64*24*3600/100000000</f>
        <v>3.64608</v>
      </c>
      <c r="FR64" s="6">
        <f>日流量!FR64*24*3600/100000000</f>
        <v>3.5424000000000002</v>
      </c>
      <c r="FS64" s="6">
        <f>日流量!FS64*24*3600/100000000</f>
        <v>3.2831999999999999</v>
      </c>
      <c r="FT64" s="6">
        <f>日流量!FT64*24*3600/100000000</f>
        <v>4.0867199999999997</v>
      </c>
      <c r="FU64" s="6">
        <f>日流量!FU64*24*3600/100000000</f>
        <v>4.6223999999999998</v>
      </c>
      <c r="FV64" s="6">
        <f>日流量!FV64*24*3600/100000000</f>
        <v>4.13856</v>
      </c>
      <c r="FW64" s="6">
        <f>日流量!FW64*24*3600/100000000</f>
        <v>4.1904000000000003</v>
      </c>
      <c r="FX64" s="6">
        <f>日流量!FX64*24*3600/100000000</f>
        <v>3.8016000000000001</v>
      </c>
      <c r="FY64" s="6">
        <f>日流量!FY64*24*3600/100000000</f>
        <v>3.6806399999999999</v>
      </c>
      <c r="FZ64" s="6">
        <f>日流量!FZ64*24*3600/100000000</f>
        <v>4.55328</v>
      </c>
      <c r="GA64" s="6">
        <f>日流量!GA64*24*3600/100000000</f>
        <v>4.7001600000000003</v>
      </c>
      <c r="GB64" s="6">
        <f>日流量!GB64*24*3600/100000000</f>
        <v>4.8211199999999996</v>
      </c>
      <c r="GC64" s="6">
        <f>日流量!GC64*24*3600/100000000</f>
        <v>4.6137600000000001</v>
      </c>
      <c r="GD64" s="6">
        <f>日流量!GD64*24*3600/100000000</f>
        <v>4.3891200000000001</v>
      </c>
      <c r="GE64" s="6">
        <f>日流量!GE64*24*3600/100000000</f>
        <v>4.3027199999999999</v>
      </c>
      <c r="GF64" s="6">
        <f>日流量!GF64*24*3600/100000000</f>
        <v>4.1471999999999998</v>
      </c>
      <c r="GG64" s="6">
        <f>日流量!GG64*24*3600/100000000</f>
        <v>4.2076799999999999</v>
      </c>
      <c r="GH64" s="6">
        <f>日流量!GH64*24*3600/100000000</f>
        <v>4.2249600000000003</v>
      </c>
      <c r="GI64" s="6">
        <f>日流量!GI64*24*3600/100000000</f>
        <v>4.1644800000000002</v>
      </c>
      <c r="GJ64" s="6">
        <f>日流量!GJ64*24*3600/100000000</f>
        <v>4.32864</v>
      </c>
      <c r="GK64" s="6">
        <f>日流量!GK64*24*3600/100000000</f>
        <v>4.64832</v>
      </c>
      <c r="GL64" s="6">
        <f>日流量!GL64*24*3600/100000000</f>
        <v>4.8124799999999999</v>
      </c>
      <c r="GM64" s="6">
        <f>日流量!GM64*24*3600/100000000</f>
        <v>4.93344</v>
      </c>
      <c r="GN64" s="6">
        <f>日流量!GN64*24*3600/100000000</f>
        <v>5.06304</v>
      </c>
      <c r="GO64" s="6">
        <f>日流量!GO64*24*3600/100000000</f>
        <v>5.2271999999999998</v>
      </c>
      <c r="GP64" s="6">
        <f>日流量!GP64*24*3600/100000000</f>
        <v>5.4172799999999999</v>
      </c>
      <c r="GQ64" s="6">
        <f>日流量!GQ64*24*3600/100000000</f>
        <v>7.4649599999999996</v>
      </c>
      <c r="GR64" s="6">
        <f>日流量!GR64*24*3600/100000000</f>
        <v>8.7263999999999999</v>
      </c>
      <c r="GS64" s="6">
        <f>日流量!GS64*24*3600/100000000</f>
        <v>9.8496000000000006</v>
      </c>
      <c r="GT64" s="6">
        <f>日流量!GT64*24*3600/100000000</f>
        <v>10.1088</v>
      </c>
      <c r="GU64" s="6">
        <f>日流量!GU64*24*3600/100000000</f>
        <v>9.5039999999999996</v>
      </c>
      <c r="GV64" s="6">
        <f>日流量!GV64*24*3600/100000000</f>
        <v>7.9574400000000001</v>
      </c>
      <c r="GW64" s="6">
        <f>日流量!GW64*24*3600/100000000</f>
        <v>7.1798400000000004</v>
      </c>
      <c r="GX64" s="6">
        <f>日流量!GX64*24*3600/100000000</f>
        <v>6.27264</v>
      </c>
      <c r="GY64" s="6">
        <f>日流量!GY64*24*3600/100000000</f>
        <v>5.7283200000000001</v>
      </c>
      <c r="GZ64" s="6">
        <f>日流量!GZ64*24*3600/100000000</f>
        <v>4.7606400000000004</v>
      </c>
      <c r="HA64" s="6">
        <f>日流量!HA64*24*3600/100000000</f>
        <v>4.4236800000000001</v>
      </c>
      <c r="HB64" s="6">
        <f>日流量!HB64*24*3600/100000000</f>
        <v>4.3027199999999999</v>
      </c>
      <c r="HC64" s="6">
        <f>日流量!HC64*24*3600/100000000</f>
        <v>4.2767999999999997</v>
      </c>
      <c r="HD64" s="6">
        <f>日流量!HD64*24*3600/100000000</f>
        <v>4.3718399999999997</v>
      </c>
      <c r="HE64" s="6">
        <f>日流量!HE64*24*3600/100000000</f>
        <v>4.1644800000000002</v>
      </c>
      <c r="HF64" s="6">
        <f>日流量!HF64*24*3600/100000000</f>
        <v>4.04352</v>
      </c>
      <c r="HG64" s="6">
        <f>日流量!HG64*24*3600/100000000</f>
        <v>4.1644800000000002</v>
      </c>
      <c r="HH64" s="6">
        <f>日流量!HH64*24*3600/100000000</f>
        <v>4.5446400000000002</v>
      </c>
      <c r="HI64" s="6">
        <f>日流量!HI64*24*3600/100000000</f>
        <v>4.9161599999999996</v>
      </c>
      <c r="HJ64" s="6">
        <f>日流量!HJ64*24*3600/100000000</f>
        <v>5.2358399999999996</v>
      </c>
      <c r="HK64" s="6">
        <f>日流量!HK64*24*3600/100000000</f>
        <v>6.2553599999999996</v>
      </c>
      <c r="HL64" s="6">
        <f>日流量!HL64*24*3600/100000000</f>
        <v>6.3503999999999996</v>
      </c>
      <c r="HM64" s="6">
        <f>日流量!HM64*24*3600/100000000</f>
        <v>6.59232</v>
      </c>
      <c r="HN64" s="6">
        <f>日流量!HN64*24*3600/100000000</f>
        <v>7.1711999999999998</v>
      </c>
      <c r="HO64" s="6">
        <f>日流量!HO64*24*3600/100000000</f>
        <v>7.56</v>
      </c>
      <c r="HP64" s="6">
        <f>日流量!HP64*24*3600/100000000</f>
        <v>7.5513599999999999</v>
      </c>
      <c r="HQ64" s="6">
        <f>日流量!HQ64*24*3600/100000000</f>
        <v>6.8860799999999998</v>
      </c>
      <c r="HR64" s="6">
        <f>日流量!HR64*24*3600/100000000</f>
        <v>5.7888000000000002</v>
      </c>
      <c r="HS64" s="6">
        <f>日流量!HS64*24*3600/100000000</f>
        <v>5.5382400000000001</v>
      </c>
      <c r="HT64" s="6">
        <f>日流量!HT64*24*3600/100000000</f>
        <v>5.2012799999999997</v>
      </c>
      <c r="HU64" s="6">
        <f>日流量!HU64*24*3600/100000000</f>
        <v>4.9939200000000001</v>
      </c>
      <c r="HV64" s="6">
        <f>日流量!HV64*24*3600/100000000</f>
        <v>4.7779199999999999</v>
      </c>
      <c r="HW64" s="6">
        <f>日流量!HW64*24*3600/100000000</f>
        <v>4.4927999999999999</v>
      </c>
      <c r="HX64" s="6">
        <f>日流量!HX64*24*3600/100000000</f>
        <v>4.4409599999999996</v>
      </c>
      <c r="HY64" s="6">
        <f>日流量!HY64*24*3600/100000000</f>
        <v>4.1904000000000003</v>
      </c>
      <c r="HZ64" s="6">
        <f>日流量!HZ64*24*3600/100000000</f>
        <v>4.0003200000000003</v>
      </c>
      <c r="IA64" s="6">
        <f>日流量!IA64*24*3600/100000000</f>
        <v>4.0608000000000004</v>
      </c>
      <c r="IB64" s="6">
        <f>日流量!IB64*24*3600/100000000</f>
        <v>3.8016000000000001</v>
      </c>
      <c r="IC64" s="6">
        <f>日流量!IC64*24*3600/100000000</f>
        <v>3.9312</v>
      </c>
      <c r="ID64" s="6">
        <f>日流量!ID64*24*3600/100000000</f>
        <v>3.94848</v>
      </c>
      <c r="IE64" s="6">
        <f>日流量!IE64*24*3600/100000000</f>
        <v>4.1817599999999997</v>
      </c>
      <c r="IF64" s="6">
        <f>日流量!IF64*24*3600/100000000</f>
        <v>4.3372799999999998</v>
      </c>
      <c r="IG64" s="6">
        <f>日流量!IG64*24*3600/100000000</f>
        <v>4.5014399999999997</v>
      </c>
      <c r="IH64" s="6">
        <f>日流量!IH64*24*3600/100000000</f>
        <v>4.6396800000000002</v>
      </c>
      <c r="II64" s="6">
        <f>日流量!II64*24*3600/100000000</f>
        <v>4.5792000000000002</v>
      </c>
      <c r="IJ64" s="6">
        <f>日流量!IJ64*24*3600/100000000</f>
        <v>4.5100800000000003</v>
      </c>
      <c r="IK64" s="6">
        <f>日流量!IK64*24*3600/100000000</f>
        <v>4.3718399999999997</v>
      </c>
      <c r="IL64" s="6">
        <f>日流量!IL64*24*3600/100000000</f>
        <v>4.2508800000000004</v>
      </c>
      <c r="IM64" s="6">
        <f>日流量!IM64*24*3600/100000000</f>
        <v>4.1299200000000003</v>
      </c>
      <c r="IN64" s="6">
        <f>日流量!IN64*24*3600/100000000</f>
        <v>4.0262399999999996</v>
      </c>
      <c r="IO64" s="6">
        <f>日流量!IO64*24*3600/100000000</f>
        <v>3.8620800000000002</v>
      </c>
      <c r="IP64" s="6">
        <f>日流量!IP64*24*3600/100000000</f>
        <v>3.72384</v>
      </c>
      <c r="IQ64" s="6">
        <f>日流量!IQ64*24*3600/100000000</f>
        <v>3.6547200000000002</v>
      </c>
      <c r="IR64" s="6">
        <f>日流量!IR64*24*3600/100000000</f>
        <v>3.5251199999999998</v>
      </c>
      <c r="IS64" s="6">
        <f>日流量!IS64*24*3600/100000000</f>
        <v>3.5251199999999998</v>
      </c>
      <c r="IT64" s="6">
        <f>日流量!IT64*24*3600/100000000</f>
        <v>3.5855999999999999</v>
      </c>
      <c r="IU64" s="6">
        <f>日流量!IU64*24*3600/100000000</f>
        <v>4.04352</v>
      </c>
      <c r="IV64" s="6">
        <f>日流量!IV64*24*3600/100000000</f>
        <v>4.2854400000000004</v>
      </c>
      <c r="IW64" s="6">
        <f>日流量!IW64*24*3600/100000000</f>
        <v>4.1990400000000001</v>
      </c>
      <c r="IX64" s="6">
        <f>日流量!IX64*24*3600/100000000</f>
        <v>4.1731199999999999</v>
      </c>
      <c r="IY64" s="6">
        <f>日流量!IY64*24*3600/100000000</f>
        <v>4.1471999999999998</v>
      </c>
      <c r="IZ64" s="6">
        <f>日流量!IZ64*24*3600/100000000</f>
        <v>4.3545600000000002</v>
      </c>
      <c r="JA64" s="6">
        <f>日流量!JA64*24*3600/100000000</f>
        <v>4.3891200000000001</v>
      </c>
      <c r="JB64" s="6">
        <f>日流量!JB64*24*3600/100000000</f>
        <v>4.3027199999999999</v>
      </c>
      <c r="JC64" s="6">
        <f>日流量!JC64*24*3600/100000000</f>
        <v>4.1731199999999999</v>
      </c>
      <c r="JD64" s="6">
        <f>日流量!JD64*24*3600/100000000</f>
        <v>4.0867199999999997</v>
      </c>
      <c r="JE64" s="6">
        <f>日流量!JE64*24*3600/100000000</f>
        <v>3.9139200000000001</v>
      </c>
      <c r="JF64" s="6">
        <f>日流量!JF64*24*3600/100000000</f>
        <v>3.3523200000000002</v>
      </c>
      <c r="JG64" s="6">
        <f>日流量!JG64*24*3600/100000000</f>
        <v>3.1968000000000001</v>
      </c>
      <c r="JH64" s="6">
        <f>日流量!JH64*24*3600/100000000</f>
        <v>3.5078399999999998</v>
      </c>
      <c r="JI64" s="6">
        <f>日流量!JI64*24*3600/100000000</f>
        <v>3.5769600000000001</v>
      </c>
      <c r="JJ64" s="6">
        <f>日流量!JJ64*24*3600/100000000</f>
        <v>3.4905599999999999</v>
      </c>
      <c r="JK64" s="6">
        <f>日流量!JK64*24*3600/100000000</f>
        <v>3.6201599999999998</v>
      </c>
      <c r="JL64" s="6">
        <f>日流量!JL64*24*3600/100000000</f>
        <v>3.8448000000000002</v>
      </c>
      <c r="JM64" s="6">
        <f>日流量!JM64*24*3600/100000000</f>
        <v>3.8102399999999998</v>
      </c>
      <c r="JN64" s="6">
        <f>日流量!JN64*24*3600/100000000</f>
        <v>3.8448000000000002</v>
      </c>
      <c r="JO64" s="6">
        <f>日流量!JO64*24*3600/100000000</f>
        <v>3.7929599999999999</v>
      </c>
      <c r="JP64" s="6">
        <f>日流量!JP64*24*3600/100000000</f>
        <v>3.4819200000000001</v>
      </c>
      <c r="JQ64" s="6">
        <f>日流量!JQ64*24*3600/100000000</f>
        <v>3.21408</v>
      </c>
      <c r="JR64" s="6">
        <f>日流量!JR64*24*3600/100000000</f>
        <v>3.2831999999999999</v>
      </c>
      <c r="JS64" s="6">
        <f>日流量!JS64*24*3600/100000000</f>
        <v>3.1536</v>
      </c>
      <c r="JT64" s="6">
        <f>日流量!JT64*24*3600/100000000</f>
        <v>3.21408</v>
      </c>
      <c r="JU64" s="6">
        <f>日流量!JU64*24*3600/100000000</f>
        <v>3.1622400000000002</v>
      </c>
      <c r="JV64" s="6">
        <f>日流量!JV64*24*3600/100000000</f>
        <v>3.0585599999999999</v>
      </c>
      <c r="JW64" s="6">
        <f>日流量!JW64*24*3600/100000000</f>
        <v>3.04128</v>
      </c>
      <c r="JX64" s="6">
        <f>日流量!JX64*24*3600/100000000</f>
        <v>3.1622400000000002</v>
      </c>
      <c r="JY64" s="6">
        <f>日流量!JY64*24*3600/100000000</f>
        <v>3.024</v>
      </c>
      <c r="JZ64" s="6">
        <f>日流量!JZ64*24*3600/100000000</f>
        <v>3.24864</v>
      </c>
      <c r="KA64" s="6">
        <f>日流量!KA64*24*3600/100000000</f>
        <v>3.2572800000000002</v>
      </c>
      <c r="KB64" s="6">
        <f>日流量!KB64*24*3600/100000000</f>
        <v>3.4127999999999998</v>
      </c>
      <c r="KC64" s="6">
        <f>日流量!KC64*24*3600/100000000</f>
        <v>3.4732799999999999</v>
      </c>
      <c r="KD64" s="6">
        <f>日流量!KD64*24*3600/100000000</f>
        <v>3.24864</v>
      </c>
      <c r="KE64" s="6">
        <f>日流量!KE64*24*3600/100000000</f>
        <v>2.9548800000000002</v>
      </c>
      <c r="KF64" s="6">
        <f>日流量!KF64*24*3600/100000000</f>
        <v>2.8512</v>
      </c>
      <c r="KG64" s="6">
        <f>日流量!KG64*24*3600/100000000</f>
        <v>3.0499200000000002</v>
      </c>
      <c r="KH64" s="6">
        <f>日流量!KH64*24*3600/100000000</f>
        <v>2.7648000000000001</v>
      </c>
      <c r="KI64" s="6">
        <f>日流量!KI64*24*3600/100000000</f>
        <v>3.1276799999999998</v>
      </c>
      <c r="KJ64" s="6">
        <f>日流量!KJ64*24*3600/100000000</f>
        <v>3.0585599999999999</v>
      </c>
      <c r="KK64" s="6">
        <f>日流量!KK64*24*3600/100000000</f>
        <v>2.8252799999999998</v>
      </c>
      <c r="KL64" s="6">
        <f>日流量!KL64*24*3600/100000000</f>
        <v>2.81664</v>
      </c>
      <c r="KM64" s="6">
        <f>日流量!KM64*24*3600/100000000</f>
        <v>2.7216</v>
      </c>
      <c r="KN64" s="6">
        <f>日流量!KN64*24*3600/100000000</f>
        <v>2.7734399999999999</v>
      </c>
      <c r="KO64" s="6">
        <f>日流量!KO64*24*3600/100000000</f>
        <v>2.7302399999999998</v>
      </c>
      <c r="KP64" s="6">
        <f>日流量!KP64*24*3600/100000000</f>
        <v>2.2896000000000001</v>
      </c>
      <c r="KQ64" s="6">
        <f>日流量!KQ64*24*3600/100000000</f>
        <v>2.0563199999999999</v>
      </c>
      <c r="KR64" s="6">
        <f>日流量!KR64*24*3600/100000000</f>
        <v>2.0304000000000002</v>
      </c>
      <c r="KS64" s="6">
        <f>日流量!KS64*24*3600/100000000</f>
        <v>2.13408</v>
      </c>
      <c r="KT64" s="6">
        <f>日流量!KT64*24*3600/100000000</f>
        <v>2.3328000000000002</v>
      </c>
      <c r="KU64" s="6">
        <f>日流量!KU64*24*3600/100000000</f>
        <v>2.2982399999999998</v>
      </c>
      <c r="KV64" s="6">
        <f>日流量!KV64*24*3600/100000000</f>
        <v>2.1859199999999999</v>
      </c>
      <c r="KW64" s="6">
        <f>日流量!KW64*24*3600/100000000</f>
        <v>2.0822400000000001</v>
      </c>
      <c r="KX64" s="6">
        <f>日流量!KX64*24*3600/100000000</f>
        <v>1.8489599999999999</v>
      </c>
      <c r="KY64" s="6">
        <f>日流量!KY64*24*3600/100000000</f>
        <v>1.8144</v>
      </c>
      <c r="KZ64" s="6">
        <f>日流量!KZ64*24*3600/100000000</f>
        <v>1.82304</v>
      </c>
      <c r="LA64" s="6">
        <f>日流量!LA64*24*3600/100000000</f>
        <v>1.53792</v>
      </c>
      <c r="LB64" s="6">
        <f>日流量!LB64*24*3600/100000000</f>
        <v>1.5897600000000001</v>
      </c>
      <c r="LC64" s="6">
        <f>日流量!LC64*24*3600/100000000</f>
        <v>1.8575999999999999</v>
      </c>
      <c r="LD64" s="6">
        <f>日流量!LD64*24*3600/100000000</f>
        <v>1.8835200000000001</v>
      </c>
      <c r="LE64" s="6">
        <f>日流量!LE64*24*3600/100000000</f>
        <v>1.9872000000000001</v>
      </c>
      <c r="LF64" s="6">
        <f>日流量!LF64*24*3600/100000000</f>
        <v>1.9612799999999999</v>
      </c>
      <c r="LG64" s="6">
        <f>日流量!LG64*24*3600/100000000</f>
        <v>2.02176</v>
      </c>
      <c r="LH64" s="6">
        <f>日流量!LH64*24*3600/100000000</f>
        <v>1.91808</v>
      </c>
      <c r="LI64" s="6">
        <f>日流量!LI64*24*3600/100000000</f>
        <v>1.71936</v>
      </c>
      <c r="LJ64" s="6">
        <f>日流量!LJ64*24*3600/100000000</f>
        <v>1.6588799999999999</v>
      </c>
      <c r="LK64" s="6">
        <f>日流量!LK64*24*3600/100000000</f>
        <v>1.6675199999999999</v>
      </c>
      <c r="LL64" s="6">
        <f>日流量!LL64*24*3600/100000000</f>
        <v>1.71936</v>
      </c>
      <c r="LM64" s="6">
        <f>日流量!LM64*24*3600/100000000</f>
        <v>1.63296</v>
      </c>
      <c r="LN64" s="6">
        <f>日流量!LN64*24*3600/100000000</f>
        <v>1.52064</v>
      </c>
      <c r="LO64" s="6">
        <f>日流量!LO64*24*3600/100000000</f>
        <v>1.5465599999999999</v>
      </c>
      <c r="LP64" s="6">
        <f>日流量!LP64*24*3600/100000000</f>
        <v>1.5897600000000001</v>
      </c>
      <c r="LQ64" s="6">
        <f>日流量!LQ64*24*3600/100000000</f>
        <v>1.5811200000000001</v>
      </c>
      <c r="LR64" s="6">
        <f>日流量!LR64*24*3600/100000000</f>
        <v>1.5638399999999999</v>
      </c>
      <c r="LS64" s="6">
        <f>日流量!LS64*24*3600/100000000</f>
        <v>1.53792</v>
      </c>
      <c r="LT64" s="6">
        <f>日流量!LT64*24*3600/100000000</f>
        <v>1.3564799999999999</v>
      </c>
      <c r="LU64" s="6">
        <f>日流量!LU64*24*3600/100000000</f>
        <v>1.4256</v>
      </c>
      <c r="LV64" s="6">
        <f>日流量!LV64*24*3600/100000000</f>
        <v>1.40832</v>
      </c>
      <c r="LW64" s="6">
        <f>日流量!LW64*24*3600/100000000</f>
        <v>1.2787200000000001</v>
      </c>
      <c r="LX64" s="6">
        <f>日流量!LX64*24*3600/100000000</f>
        <v>1.20096</v>
      </c>
      <c r="LY64" s="6">
        <f>日流量!LY64*24*3600/100000000</f>
        <v>1.1491199999999999</v>
      </c>
      <c r="LZ64" s="6">
        <f>日流量!LZ64*24*3600/100000000</f>
        <v>1.2700800000000001</v>
      </c>
      <c r="MA64" s="6">
        <f>日流量!MA64*24*3600/100000000</f>
        <v>1.32192</v>
      </c>
      <c r="MB64" s="6">
        <f>日流量!MB64*24*3600/100000000</f>
        <v>1.3651199999999999</v>
      </c>
      <c r="MC64" s="6">
        <f>日流量!MC64*24*3600/100000000</f>
        <v>1.31328</v>
      </c>
      <c r="MD64" s="6">
        <f>日流量!MD64*24*3600/100000000</f>
        <v>1.2873600000000001</v>
      </c>
      <c r="ME64" s="6">
        <f>日流量!ME64*24*3600/100000000</f>
        <v>1.3478399999999999</v>
      </c>
      <c r="MF64" s="6">
        <f>日流量!MF64*24*3600/100000000</f>
        <v>1.296</v>
      </c>
      <c r="MG64" s="6">
        <f>日流量!MG64*24*3600/100000000</f>
        <v>1.20096</v>
      </c>
      <c r="MH64" s="6">
        <f>日流量!MH64*24*3600/100000000</f>
        <v>1.2527999999999999</v>
      </c>
      <c r="MI64" s="6">
        <f>日流量!MI64*24*3600/100000000</f>
        <v>1.2873600000000001</v>
      </c>
      <c r="MJ64" s="6">
        <f>日流量!MJ64*24*3600/100000000</f>
        <v>1.33056</v>
      </c>
      <c r="MK64" s="6">
        <f>日流量!MK64*24*3600/100000000</f>
        <v>1.32192</v>
      </c>
      <c r="ML64" s="6">
        <f>日流量!ML64*24*3600/100000000</f>
        <v>1.22688</v>
      </c>
      <c r="MM64" s="6">
        <f>日流量!MM64*24*3600/100000000</f>
        <v>1.20096</v>
      </c>
      <c r="MN64" s="6">
        <f>日流量!MN64*24*3600/100000000</f>
        <v>1.1491199999999999</v>
      </c>
      <c r="MO64" s="6">
        <f>日流量!MO64*24*3600/100000000</f>
        <v>1.3824000000000001</v>
      </c>
      <c r="MP64" s="6">
        <f>日流量!MP64*24*3600/100000000</f>
        <v>1.31328</v>
      </c>
      <c r="MQ64" s="6">
        <f>日流量!MQ64*24*3600/100000000</f>
        <v>1.2096</v>
      </c>
      <c r="MR64" s="6">
        <f>日流量!MR64*24*3600/100000000</f>
        <v>1.21824</v>
      </c>
      <c r="MS64" s="6">
        <f>日流量!MS64*24*3600/100000000</f>
        <v>1.31328</v>
      </c>
      <c r="MT64" s="6">
        <f>日流量!MT64*24*3600/100000000</f>
        <v>1.2787200000000001</v>
      </c>
      <c r="MU64" s="6">
        <f>日流量!MU64*24*3600/100000000</f>
        <v>1.3391999999999999</v>
      </c>
      <c r="MV64" s="6">
        <f>日流量!MV64*24*3600/100000000</f>
        <v>1.32192</v>
      </c>
      <c r="MW64" s="6">
        <f>日流量!MW64*24*3600/100000000</f>
        <v>1.1664000000000001</v>
      </c>
      <c r="MX64" s="6">
        <f>日流量!MX64*24*3600/100000000</f>
        <v>1.0886400000000001</v>
      </c>
      <c r="MY64" s="6">
        <f>日流量!MY64*24*3600/100000000</f>
        <v>1.09728</v>
      </c>
      <c r="MZ64" s="6">
        <f>日流量!MZ64*24*3600/100000000</f>
        <v>1.2700800000000001</v>
      </c>
      <c r="NA64" s="6">
        <f>日流量!NA64*24*3600/100000000</f>
        <v>1.2614399999999999</v>
      </c>
      <c r="NB64" s="6">
        <f>日流量!NB64*24*3600/100000000</f>
        <v>1.22688</v>
      </c>
      <c r="NC64" s="6"/>
      <c r="ND64" s="6">
        <f>日流量!ND64*24*3600*31/100000000</f>
        <v>51.425280000000001</v>
      </c>
      <c r="NE64" s="6">
        <f>日流量!NE64*24*3600*28/100000000</f>
        <v>33.143039999999999</v>
      </c>
      <c r="NF64" s="6">
        <f>日流量!NF64*24*3600*31/100000000</f>
        <v>39.640320000000003</v>
      </c>
      <c r="NG64" s="6">
        <f>日流量!NG64*24*3600*30/100000000</f>
        <v>40.953600000000002</v>
      </c>
      <c r="NH64" s="6">
        <f>日流量!NH64*24*3600*31/100000000</f>
        <v>55.175040000000003</v>
      </c>
      <c r="NI64" s="6">
        <f>日流量!NI64*24*3600*30/100000000</f>
        <v>97.459199999999996</v>
      </c>
      <c r="NJ64" s="6">
        <f>日流量!NJ64*24*3600*31/100000000</f>
        <v>172.48895999999999</v>
      </c>
      <c r="NK64" s="6">
        <f>日流量!NK64*24*3600*31/100000000</f>
        <v>157.48992000000001</v>
      </c>
      <c r="NL64" s="6">
        <f>日流量!NL64*24*3600*30/100000000</f>
        <v>116.38079999999999</v>
      </c>
      <c r="NM64" s="6">
        <f>日流量!NM64*24*3600*31/100000000</f>
        <v>91.065600000000003</v>
      </c>
      <c r="NN64" s="6">
        <f>日流量!NN64*24*3600*30/100000000</f>
        <v>51.321599999999997</v>
      </c>
      <c r="NO64" s="6">
        <f>日流量!NO64*24*3600*31/100000000</f>
        <v>39.104640000000003</v>
      </c>
      <c r="NP64" s="14">
        <f t="shared" si="10"/>
        <v>945.64800000000002</v>
      </c>
      <c r="NQ64" s="6">
        <f>日流量!NQ64*24*3600/100000000</f>
        <v>10.1088</v>
      </c>
      <c r="NR64" s="4">
        <f>日流量!NR64</f>
        <v>42570</v>
      </c>
      <c r="NS64" s="6">
        <f>日流量!NS64*24*3600/100000000</f>
        <v>0.94176000000000004</v>
      </c>
      <c r="NT64" s="4">
        <f>日流量!NT64</f>
        <v>42414</v>
      </c>
      <c r="NU64" s="7">
        <f>日流量!NP64</f>
        <v>2998.821917808219</v>
      </c>
      <c r="NW64" s="13">
        <f t="shared" si="0"/>
        <v>690.05952000000002</v>
      </c>
      <c r="NX64" s="12">
        <f t="shared" si="1"/>
        <v>72.97213339424394</v>
      </c>
      <c r="NY64" s="13">
        <f t="shared" si="2"/>
        <v>543.81888000000004</v>
      </c>
      <c r="NZ64" s="12">
        <f t="shared" si="3"/>
        <v>57.507537688442213</v>
      </c>
      <c r="OA64" s="13">
        <f t="shared" si="4"/>
        <v>255.58848</v>
      </c>
      <c r="OB64" s="12">
        <f t="shared" si="5"/>
        <v>27.027866605756053</v>
      </c>
      <c r="OC64" s="13">
        <f t="shared" si="6"/>
        <v>172.48895999999999</v>
      </c>
      <c r="OD64" s="12">
        <f t="shared" si="7"/>
        <v>18.240292370945635</v>
      </c>
      <c r="OE64" s="12">
        <f t="shared" si="8"/>
        <v>220.94579439252334</v>
      </c>
      <c r="OF64" s="12">
        <f t="shared" si="9"/>
        <v>7.0061451798745358</v>
      </c>
    </row>
    <row r="65" spans="1:396" x14ac:dyDescent="0.15">
      <c r="A65" s="2">
        <v>2012</v>
      </c>
      <c r="B65" s="6">
        <f>日流量!B65*24*3600/100000000</f>
        <v>1.22688</v>
      </c>
      <c r="C65" s="6">
        <f>日流量!C65*24*3600/100000000</f>
        <v>1.1232</v>
      </c>
      <c r="D65" s="6">
        <f>日流量!D65*24*3600/100000000</f>
        <v>1.09728</v>
      </c>
      <c r="E65" s="6">
        <f>日流量!E65*24*3600/100000000</f>
        <v>1.1232</v>
      </c>
      <c r="F65" s="6">
        <f>日流量!F65*24*3600/100000000</f>
        <v>1.08</v>
      </c>
      <c r="G65" s="6">
        <f>日流量!G65*24*3600/100000000</f>
        <v>1.30464</v>
      </c>
      <c r="H65" s="6">
        <f>日流量!H65*24*3600/100000000</f>
        <v>1.30464</v>
      </c>
      <c r="I65" s="6">
        <f>日流量!I65*24*3600/100000000</f>
        <v>1.23552</v>
      </c>
      <c r="J65" s="6">
        <f>日流量!J65*24*3600/100000000</f>
        <v>1.1836800000000001</v>
      </c>
      <c r="K65" s="6">
        <f>日流量!K65*24*3600/100000000</f>
        <v>1.1577599999999999</v>
      </c>
      <c r="L65" s="6">
        <f>日流量!L65*24*3600/100000000</f>
        <v>1.1491199999999999</v>
      </c>
      <c r="M65" s="6">
        <f>日流量!M65*24*3600/100000000</f>
        <v>1.13184</v>
      </c>
      <c r="N65" s="6">
        <f>日流量!N65*24*3600/100000000</f>
        <v>1.1836800000000001</v>
      </c>
      <c r="O65" s="6">
        <f>日流量!O65*24*3600/100000000</f>
        <v>1.0367999999999999</v>
      </c>
      <c r="P65" s="6">
        <f>日流量!P65*24*3600/100000000</f>
        <v>0.95904</v>
      </c>
      <c r="Q65" s="6">
        <f>日流量!Q65*24*3600/100000000</f>
        <v>0.99360000000000004</v>
      </c>
      <c r="R65" s="6">
        <f>日流量!R65*24*3600/100000000</f>
        <v>1.0627200000000001</v>
      </c>
      <c r="S65" s="6">
        <f>日流量!S65*24*3600/100000000</f>
        <v>1.00224</v>
      </c>
      <c r="T65" s="6">
        <f>日流量!T65*24*3600/100000000</f>
        <v>0.98495999999999995</v>
      </c>
      <c r="U65" s="6">
        <f>日流量!U65*24*3600/100000000</f>
        <v>1.0540799999999999</v>
      </c>
      <c r="V65" s="6">
        <f>日流量!V65*24*3600/100000000</f>
        <v>1.0627200000000001</v>
      </c>
      <c r="W65" s="6">
        <f>日流量!W65*24*3600/100000000</f>
        <v>1.0367999999999999</v>
      </c>
      <c r="X65" s="6">
        <f>日流量!X65*24*3600/100000000</f>
        <v>1.1491199999999999</v>
      </c>
      <c r="Y65" s="6">
        <f>日流量!Y65*24*3600/100000000</f>
        <v>1.2873600000000001</v>
      </c>
      <c r="Z65" s="6">
        <f>日流量!Z65*24*3600/100000000</f>
        <v>1.3824000000000001</v>
      </c>
      <c r="AA65" s="6">
        <f>日流量!AA65*24*3600/100000000</f>
        <v>1.2527999999999999</v>
      </c>
      <c r="AB65" s="6">
        <f>日流量!AB65*24*3600/100000000</f>
        <v>1.296</v>
      </c>
      <c r="AC65" s="6">
        <f>日流量!AC65*24*3600/100000000</f>
        <v>1.23552</v>
      </c>
      <c r="AD65" s="6">
        <f>日流量!AD65*24*3600/100000000</f>
        <v>1.1232</v>
      </c>
      <c r="AE65" s="6">
        <f>日流量!AE65*24*3600/100000000</f>
        <v>1.11456</v>
      </c>
      <c r="AF65" s="6">
        <f>日流量!AF65*24*3600/100000000</f>
        <v>1.13184</v>
      </c>
      <c r="AG65" s="6">
        <f>日流量!AG65*24*3600/100000000</f>
        <v>1.09728</v>
      </c>
      <c r="AH65" s="6">
        <f>日流量!AH65*24*3600/100000000</f>
        <v>0.93311999999999995</v>
      </c>
      <c r="AI65" s="6">
        <f>日流量!AI65*24*3600/100000000</f>
        <v>0.819936</v>
      </c>
      <c r="AJ65" s="6">
        <f>日流量!AJ65*24*3600/100000000</f>
        <v>0.84153599999999995</v>
      </c>
      <c r="AK65" s="6">
        <f>日流量!AK65*24*3600/100000000</f>
        <v>0.73440000000000005</v>
      </c>
      <c r="AL65" s="6">
        <f>日流量!AL65*24*3600/100000000</f>
        <v>0.68688000000000005</v>
      </c>
      <c r="AM65" s="6">
        <f>日流量!AM65*24*3600/100000000</f>
        <v>0.70848</v>
      </c>
      <c r="AN65" s="6">
        <f>日流量!AN65*24*3600/100000000</f>
        <v>0.67823999999999995</v>
      </c>
      <c r="AO65" s="6">
        <f>日流量!AO65*24*3600/100000000</f>
        <v>0.69292799999999999</v>
      </c>
      <c r="AP65" s="6">
        <f>日流量!AP65*24*3600/100000000</f>
        <v>0.74476799999999999</v>
      </c>
      <c r="AQ65" s="6">
        <f>日流量!AQ65*24*3600/100000000</f>
        <v>0.78710400000000003</v>
      </c>
      <c r="AR65" s="6">
        <f>日流量!AR65*24*3600/100000000</f>
        <v>0.71452800000000005</v>
      </c>
      <c r="AS65" s="6">
        <f>日流量!AS65*24*3600/100000000</f>
        <v>0.71971200000000002</v>
      </c>
      <c r="AT65" s="6">
        <f>日流量!AT65*24*3600/100000000</f>
        <v>0.68342400000000003</v>
      </c>
      <c r="AU65" s="6">
        <f>日流量!AU65*24*3600/100000000</f>
        <v>0.75081600000000004</v>
      </c>
      <c r="AV65" s="6">
        <f>日流量!AV65*24*3600/100000000</f>
        <v>0.847584</v>
      </c>
      <c r="AW65" s="6">
        <f>日流量!AW65*24*3600/100000000</f>
        <v>0.780192</v>
      </c>
      <c r="AX65" s="6">
        <f>日流量!AX65*24*3600/100000000</f>
        <v>0.76118399999999997</v>
      </c>
      <c r="AY65" s="6">
        <f>日流量!AY65*24*3600/100000000</f>
        <v>0.87263999999999997</v>
      </c>
      <c r="AZ65" s="6">
        <f>日流量!AZ65*24*3600/100000000</f>
        <v>0.79228799999999999</v>
      </c>
      <c r="BA65" s="6">
        <f>日流量!BA65*24*3600/100000000</f>
        <v>0.82339200000000001</v>
      </c>
      <c r="BB65" s="6">
        <f>日流量!BB65*24*3600/100000000</f>
        <v>0.81388799999999994</v>
      </c>
      <c r="BC65" s="6">
        <f>日流量!BC65*24*3600/100000000</f>
        <v>0.73785599999999996</v>
      </c>
      <c r="BD65" s="6">
        <f>日流量!BD65*24*3600/100000000</f>
        <v>0.81561600000000001</v>
      </c>
      <c r="BE65" s="6">
        <f>日流量!BE65*24*3600/100000000</f>
        <v>0.87263999999999997</v>
      </c>
      <c r="BF65" s="6">
        <f>日流量!BF65*24*3600/100000000</f>
        <v>0.77846400000000004</v>
      </c>
      <c r="BG65" s="6">
        <f>日流量!BG65*24*3600/100000000</f>
        <v>0.75600000000000001</v>
      </c>
      <c r="BH65" s="6">
        <f>日流量!BH65*24*3600/100000000</f>
        <v>0.83894400000000002</v>
      </c>
      <c r="BI65" s="6">
        <f>日流量!BI65*24*3600/100000000</f>
        <v>1.01952</v>
      </c>
      <c r="BJ65" s="6">
        <f>日流量!BJ65*24*3600/100000000</f>
        <v>0.94176000000000004</v>
      </c>
      <c r="BK65" s="6">
        <f>日流量!BK65*24*3600/100000000</f>
        <v>0.89856000000000003</v>
      </c>
      <c r="BL65" s="6">
        <f>日流量!BL65*24*3600/100000000</f>
        <v>0.86399999999999999</v>
      </c>
      <c r="BM65" s="6">
        <f>日流量!BM65*24*3600/100000000</f>
        <v>0.86399999999999999</v>
      </c>
      <c r="BN65" s="6">
        <f>日流量!BN65*24*3600/100000000</f>
        <v>0.87263999999999997</v>
      </c>
      <c r="BO65" s="6">
        <f>日流量!BO65*24*3600/100000000</f>
        <v>0.96767999999999998</v>
      </c>
      <c r="BP65" s="6">
        <f>日流量!BP65*24*3600/100000000</f>
        <v>1.0713600000000001</v>
      </c>
      <c r="BQ65" s="6">
        <f>日流量!BQ65*24*3600/100000000</f>
        <v>0.86227200000000004</v>
      </c>
      <c r="BR65" s="6">
        <f>日流量!BR65*24*3600/100000000</f>
        <v>0.88992000000000004</v>
      </c>
      <c r="BS65" s="6">
        <f>日流量!BS65*24*3600/100000000</f>
        <v>0.95040000000000002</v>
      </c>
      <c r="BT65" s="6">
        <f>日流量!BT65*24*3600/100000000</f>
        <v>0.86399999999999999</v>
      </c>
      <c r="BU65" s="6">
        <f>日流量!BU65*24*3600/100000000</f>
        <v>0.75254399999999999</v>
      </c>
      <c r="BV65" s="6">
        <f>日流量!BV65*24*3600/100000000</f>
        <v>0.787968</v>
      </c>
      <c r="BW65" s="6">
        <f>日流量!BW65*24*3600/100000000</f>
        <v>0.74476799999999999</v>
      </c>
      <c r="BX65" s="6">
        <f>日流量!BX65*24*3600/100000000</f>
        <v>0.70588799999999996</v>
      </c>
      <c r="BY65" s="6">
        <f>日流量!BY65*24*3600/100000000</f>
        <v>0.82425599999999999</v>
      </c>
      <c r="BZ65" s="6">
        <f>日流量!BZ65*24*3600/100000000</f>
        <v>0.79920000000000002</v>
      </c>
      <c r="CA65" s="6">
        <f>日流量!CA65*24*3600/100000000</f>
        <v>0.81561600000000001</v>
      </c>
      <c r="CB65" s="6">
        <f>日流量!CB65*24*3600/100000000</f>
        <v>0.77241599999999999</v>
      </c>
      <c r="CC65" s="6">
        <f>日流量!CC65*24*3600/100000000</f>
        <v>0.78883199999999998</v>
      </c>
      <c r="CD65" s="6">
        <f>日流量!CD65*24*3600/100000000</f>
        <v>0.68515199999999998</v>
      </c>
      <c r="CE65" s="6">
        <f>日流量!CE65*24*3600/100000000</f>
        <v>0.60048000000000001</v>
      </c>
      <c r="CF65" s="6">
        <f>日流量!CF65*24*3600/100000000</f>
        <v>0.62121599999999999</v>
      </c>
      <c r="CG65" s="6">
        <f>日流量!CG65*24*3600/100000000</f>
        <v>0.67305599999999999</v>
      </c>
      <c r="CH65" s="6">
        <f>日流量!CH65*24*3600/100000000</f>
        <v>0.62380800000000003</v>
      </c>
      <c r="CI65" s="6">
        <f>日流量!CI65*24*3600/100000000</f>
        <v>0.66700800000000005</v>
      </c>
      <c r="CJ65" s="6">
        <f>日流量!CJ65*24*3600/100000000</f>
        <v>0.64972799999999997</v>
      </c>
      <c r="CK65" s="6">
        <f>日流量!CK65*24*3600/100000000</f>
        <v>0.71884800000000004</v>
      </c>
      <c r="CL65" s="6">
        <f>日流量!CL65*24*3600/100000000</f>
        <v>0.75168000000000001</v>
      </c>
      <c r="CM65" s="6">
        <f>日流量!CM65*24*3600/100000000</f>
        <v>0.68169599999999997</v>
      </c>
      <c r="CN65" s="6">
        <f>日流量!CN65*24*3600/100000000</f>
        <v>0.67737599999999998</v>
      </c>
      <c r="CO65" s="6">
        <f>日流量!CO65*24*3600/100000000</f>
        <v>0.67219200000000001</v>
      </c>
      <c r="CP65" s="6">
        <f>日流量!CP65*24*3600/100000000</f>
        <v>0.628992</v>
      </c>
      <c r="CQ65" s="6">
        <f>日流量!CQ65*24*3600/100000000</f>
        <v>0.79747199999999996</v>
      </c>
      <c r="CR65" s="6">
        <f>日流量!CR65*24*3600/100000000</f>
        <v>0.84326400000000001</v>
      </c>
      <c r="CS65" s="6">
        <f>日流量!CS65*24*3600/100000000</f>
        <v>0.768096</v>
      </c>
      <c r="CT65" s="6">
        <f>日流量!CT65*24*3600/100000000</f>
        <v>0.81561600000000001</v>
      </c>
      <c r="CU65" s="6">
        <f>日流量!CU65*24*3600/100000000</f>
        <v>0.90720000000000001</v>
      </c>
      <c r="CV65" s="6">
        <f>日流量!CV65*24*3600/100000000</f>
        <v>0.96767999999999998</v>
      </c>
      <c r="CW65" s="6">
        <f>日流量!CW65*24*3600/100000000</f>
        <v>1.1577599999999999</v>
      </c>
      <c r="CX65" s="6">
        <f>日流量!CX65*24*3600/100000000</f>
        <v>1.20096</v>
      </c>
      <c r="CY65" s="6">
        <f>日流量!CY65*24*3600/100000000</f>
        <v>1.32192</v>
      </c>
      <c r="CZ65" s="6">
        <f>日流量!CZ65*24*3600/100000000</f>
        <v>1.23552</v>
      </c>
      <c r="DA65" s="6">
        <f>日流量!DA65*24*3600/100000000</f>
        <v>0.97631999999999997</v>
      </c>
      <c r="DB65" s="6">
        <f>日流量!DB65*24*3600/100000000</f>
        <v>0.99360000000000004</v>
      </c>
      <c r="DC65" s="6">
        <f>日流量!DC65*24*3600/100000000</f>
        <v>1.1664000000000001</v>
      </c>
      <c r="DD65" s="6">
        <f>日流量!DD65*24*3600/100000000</f>
        <v>1.0454399999999999</v>
      </c>
      <c r="DE65" s="6">
        <f>日流量!DE65*24*3600/100000000</f>
        <v>1.30464</v>
      </c>
      <c r="DF65" s="6">
        <f>日流量!DF65*24*3600/100000000</f>
        <v>1.512</v>
      </c>
      <c r="DG65" s="6">
        <f>日流量!DG65*24*3600/100000000</f>
        <v>1.49472</v>
      </c>
      <c r="DH65" s="6">
        <f>日流量!DH65*24*3600/100000000</f>
        <v>1.2441599999999999</v>
      </c>
      <c r="DI65" s="6">
        <f>日流量!DI65*24*3600/100000000</f>
        <v>1.31328</v>
      </c>
      <c r="DJ65" s="6">
        <f>日流量!DJ65*24*3600/100000000</f>
        <v>1.1750400000000001</v>
      </c>
      <c r="DK65" s="6">
        <f>日流量!DK65*24*3600/100000000</f>
        <v>1.09728</v>
      </c>
      <c r="DL65" s="6">
        <f>日流量!DL65*24*3600/100000000</f>
        <v>0.95904</v>
      </c>
      <c r="DM65" s="6">
        <f>日流量!DM65*24*3600/100000000</f>
        <v>0.97631999999999997</v>
      </c>
      <c r="DN65" s="6">
        <f>日流量!DN65*24*3600/100000000</f>
        <v>0.83808000000000005</v>
      </c>
      <c r="DO65" s="6">
        <f>日流量!DO65*24*3600/100000000</f>
        <v>0.87263999999999997</v>
      </c>
      <c r="DP65" s="6">
        <f>日流量!DP65*24*3600/100000000</f>
        <v>1.1750400000000001</v>
      </c>
      <c r="DQ65" s="6">
        <f>日流量!DQ65*24*3600/100000000</f>
        <v>1.296</v>
      </c>
      <c r="DR65" s="6">
        <f>日流量!DR65*24*3600/100000000</f>
        <v>1.0627200000000001</v>
      </c>
      <c r="DS65" s="6">
        <f>日流量!DS65*24*3600/100000000</f>
        <v>0.98495999999999995</v>
      </c>
      <c r="DT65" s="6">
        <f>日流量!DT65*24*3600/100000000</f>
        <v>0.99360000000000004</v>
      </c>
      <c r="DU65" s="6">
        <f>日流量!DU65*24*3600/100000000</f>
        <v>0.96767999999999998</v>
      </c>
      <c r="DV65" s="6">
        <f>日流量!DV65*24*3600/100000000</f>
        <v>1.01088</v>
      </c>
      <c r="DW65" s="6">
        <f>日流量!DW65*24*3600/100000000</f>
        <v>1.1577599999999999</v>
      </c>
      <c r="DX65" s="6">
        <f>日流量!DX65*24*3600/100000000</f>
        <v>1.0627200000000001</v>
      </c>
      <c r="DY65" s="6">
        <f>日流量!DY65*24*3600/100000000</f>
        <v>1.1577599999999999</v>
      </c>
      <c r="DZ65" s="6">
        <f>日流量!DZ65*24*3600/100000000</f>
        <v>1.22688</v>
      </c>
      <c r="EA65" s="6">
        <f>日流量!EA65*24*3600/100000000</f>
        <v>1.32192</v>
      </c>
      <c r="EB65" s="6">
        <f>日流量!EB65*24*3600/100000000</f>
        <v>1.2441599999999999</v>
      </c>
      <c r="EC65" s="6">
        <f>日流量!EC65*24*3600/100000000</f>
        <v>1.21824</v>
      </c>
      <c r="ED65" s="6">
        <f>日流量!ED65*24*3600/100000000</f>
        <v>1.3564799999999999</v>
      </c>
      <c r="EE65" s="6">
        <f>日流量!EE65*24*3600/100000000</f>
        <v>1.2700800000000001</v>
      </c>
      <c r="EF65" s="6">
        <f>日流量!EF65*24*3600/100000000</f>
        <v>1.21824</v>
      </c>
      <c r="EG65" s="6">
        <f>日流量!EG65*24*3600/100000000</f>
        <v>1.2096</v>
      </c>
      <c r="EH65" s="6">
        <f>日流量!EH65*24*3600/100000000</f>
        <v>1.4515199999999999</v>
      </c>
      <c r="EI65" s="6">
        <f>日流量!EI65*24*3600/100000000</f>
        <v>1.7884800000000001</v>
      </c>
      <c r="EJ65" s="6">
        <f>日流量!EJ65*24*3600/100000000</f>
        <v>2.4537599999999999</v>
      </c>
      <c r="EK65" s="6">
        <f>日流量!EK65*24*3600/100000000</f>
        <v>2.64384</v>
      </c>
      <c r="EL65" s="6">
        <f>日流量!EL65*24*3600/100000000</f>
        <v>2.6352000000000002</v>
      </c>
      <c r="EM65" s="6">
        <f>日流量!EM65*24*3600/100000000</f>
        <v>2.6524800000000002</v>
      </c>
      <c r="EN65" s="6">
        <f>日流量!EN65*24*3600/100000000</f>
        <v>2.53152</v>
      </c>
      <c r="EO65" s="6">
        <f>日流量!EO65*24*3600/100000000</f>
        <v>2.43648</v>
      </c>
      <c r="EP65" s="6">
        <f>日流量!EP65*24*3600/100000000</f>
        <v>2.60928</v>
      </c>
      <c r="EQ65" s="6">
        <f>日流量!EQ65*24*3600/100000000</f>
        <v>2.00448</v>
      </c>
      <c r="ER65" s="6">
        <f>日流量!ER65*24*3600/100000000</f>
        <v>1.6588799999999999</v>
      </c>
      <c r="ES65" s="6">
        <f>日流量!ES65*24*3600/100000000</f>
        <v>1.8921600000000001</v>
      </c>
      <c r="ET65" s="6">
        <f>日流量!ET65*24*3600/100000000</f>
        <v>2.2982399999999998</v>
      </c>
      <c r="EU65" s="6">
        <f>日流量!EU65*24*3600/100000000</f>
        <v>2.4883199999999999</v>
      </c>
      <c r="EV65" s="6">
        <f>日流量!EV65*24*3600/100000000</f>
        <v>2.32416</v>
      </c>
      <c r="EW65" s="6">
        <f>日流量!EW65*24*3600/100000000</f>
        <v>2.0822400000000001</v>
      </c>
      <c r="EX65" s="6">
        <f>日流量!EX65*24*3600/100000000</f>
        <v>2.0649600000000001</v>
      </c>
      <c r="EY65" s="6">
        <f>日流量!EY65*24*3600/100000000</f>
        <v>2.4192</v>
      </c>
      <c r="EZ65" s="6">
        <f>日流量!EZ65*24*3600/100000000</f>
        <v>2.2550400000000002</v>
      </c>
      <c r="FA65" s="6">
        <f>日流量!FA65*24*3600/100000000</f>
        <v>2.0476800000000002</v>
      </c>
      <c r="FB65" s="6">
        <f>日流量!FB65*24*3600/100000000</f>
        <v>2.0735999999999999</v>
      </c>
      <c r="FC65" s="6">
        <f>日流量!FC65*24*3600/100000000</f>
        <v>2.0735999999999999</v>
      </c>
      <c r="FD65" s="6">
        <f>日流量!FD65*24*3600/100000000</f>
        <v>2.6006399999999998</v>
      </c>
      <c r="FE65" s="6">
        <f>日流量!FE65*24*3600/100000000</f>
        <v>2.4192</v>
      </c>
      <c r="FF65" s="6">
        <f>日流量!FF65*24*3600/100000000</f>
        <v>2.1427200000000002</v>
      </c>
      <c r="FG65" s="6">
        <f>日流量!FG65*24*3600/100000000</f>
        <v>2.1427200000000002</v>
      </c>
      <c r="FH65" s="6">
        <f>日流量!FH65*24*3600/100000000</f>
        <v>2.2896000000000001</v>
      </c>
      <c r="FI65" s="6">
        <f>日流量!FI65*24*3600/100000000</f>
        <v>2.2031999999999998</v>
      </c>
      <c r="FJ65" s="6">
        <f>日流量!FJ65*24*3600/100000000</f>
        <v>2.13408</v>
      </c>
      <c r="FK65" s="6">
        <f>日流量!FK65*24*3600/100000000</f>
        <v>2.21184</v>
      </c>
      <c r="FL65" s="6">
        <f>日流量!FL65*24*3600/100000000</f>
        <v>2.3932799999999999</v>
      </c>
      <c r="FM65" s="6">
        <f>日流量!FM65*24*3600/100000000</f>
        <v>2.5660799999999999</v>
      </c>
      <c r="FN65" s="6">
        <f>日流量!FN65*24*3600/100000000</f>
        <v>2.7820800000000001</v>
      </c>
      <c r="FO65" s="6">
        <f>日流量!FO65*24*3600/100000000</f>
        <v>2.5228799999999998</v>
      </c>
      <c r="FP65" s="6">
        <f>日流量!FP65*24*3600/100000000</f>
        <v>2.6870400000000001</v>
      </c>
      <c r="FQ65" s="6">
        <f>日流量!FQ65*24*3600/100000000</f>
        <v>3.1017600000000001</v>
      </c>
      <c r="FR65" s="6">
        <f>日流量!FR65*24*3600/100000000</f>
        <v>3.42144</v>
      </c>
      <c r="FS65" s="6">
        <f>日流量!FS65*24*3600/100000000</f>
        <v>3.72384</v>
      </c>
      <c r="FT65" s="6">
        <f>日流量!FT65*24*3600/100000000</f>
        <v>3.7756799999999999</v>
      </c>
      <c r="FU65" s="6">
        <f>日流量!FU65*24*3600/100000000</f>
        <v>3.9830399999999999</v>
      </c>
      <c r="FV65" s="6">
        <f>日流量!FV65*24*3600/100000000</f>
        <v>4.3804800000000004</v>
      </c>
      <c r="FW65" s="6">
        <f>日流量!FW65*24*3600/100000000</f>
        <v>4.0521599999999998</v>
      </c>
      <c r="FX65" s="6">
        <f>日流量!FX65*24*3600/100000000</f>
        <v>4.8124799999999999</v>
      </c>
      <c r="FY65" s="6">
        <f>日流量!FY65*24*3600/100000000</f>
        <v>6.6959999999999997</v>
      </c>
      <c r="FZ65" s="6">
        <f>日流量!FZ65*24*3600/100000000</f>
        <v>7.70688</v>
      </c>
      <c r="GA65" s="6">
        <f>日流量!GA65*24*3600/100000000</f>
        <v>8.5017600000000009</v>
      </c>
      <c r="GB65" s="6">
        <f>日流量!GB65*24*3600/100000000</f>
        <v>8.2425599999999992</v>
      </c>
      <c r="GC65" s="6">
        <f>日流量!GC65*24*3600/100000000</f>
        <v>7.7414399999999999</v>
      </c>
      <c r="GD65" s="6">
        <f>日流量!GD65*24*3600/100000000</f>
        <v>7.4044800000000004</v>
      </c>
      <c r="GE65" s="6">
        <f>日流量!GE65*24*3600/100000000</f>
        <v>7.0761599999999998</v>
      </c>
      <c r="GF65" s="6">
        <f>日流量!GF65*24*3600/100000000</f>
        <v>7.1798400000000004</v>
      </c>
      <c r="GG65" s="6">
        <f>日流量!GG65*24*3600/100000000</f>
        <v>8.7263999999999999</v>
      </c>
      <c r="GH65" s="6">
        <f>日流量!GH65*24*3600/100000000</f>
        <v>8.2598400000000005</v>
      </c>
      <c r="GI65" s="6">
        <f>日流量!GI65*24*3600/100000000</f>
        <v>8.8127999999999993</v>
      </c>
      <c r="GJ65" s="6">
        <f>日流量!GJ65*24*3600/100000000</f>
        <v>8.8992000000000004</v>
      </c>
      <c r="GK65" s="6">
        <f>日流量!GK65*24*3600/100000000</f>
        <v>8.6313600000000008</v>
      </c>
      <c r="GL65" s="6">
        <f>日流量!GL65*24*3600/100000000</f>
        <v>8.5535999999999994</v>
      </c>
      <c r="GM65" s="6">
        <f>日流量!GM65*24*3600/100000000</f>
        <v>8.0351999999999997</v>
      </c>
      <c r="GN65" s="6">
        <f>日流量!GN65*24*3600/100000000</f>
        <v>7.7500799999999996</v>
      </c>
      <c r="GO65" s="6">
        <f>日流量!GO65*24*3600/100000000</f>
        <v>8.8127999999999993</v>
      </c>
      <c r="GP65" s="6">
        <f>日流量!GP65*24*3600/100000000</f>
        <v>9.3312000000000008</v>
      </c>
      <c r="GQ65" s="6">
        <f>日流量!GQ65*24*3600/100000000</f>
        <v>10.1088</v>
      </c>
      <c r="GR65" s="6">
        <f>日流量!GR65*24*3600/100000000</f>
        <v>11.231999999999999</v>
      </c>
      <c r="GS65" s="6">
        <f>日流量!GS65*24*3600/100000000</f>
        <v>12.268800000000001</v>
      </c>
      <c r="GT65" s="6">
        <f>日流量!GT65*24*3600/100000000</f>
        <v>11.750400000000001</v>
      </c>
      <c r="GU65" s="6">
        <f>日流量!GU65*24*3600/100000000</f>
        <v>12.528</v>
      </c>
      <c r="GV65" s="6">
        <f>日流量!GV65*24*3600/100000000</f>
        <v>12.700799999999999</v>
      </c>
      <c r="GW65" s="6">
        <f>日流量!GW65*24*3600/100000000</f>
        <v>12.96</v>
      </c>
      <c r="GX65" s="6">
        <f>日流量!GX65*24*3600/100000000</f>
        <v>13.478400000000001</v>
      </c>
      <c r="GY65" s="6">
        <f>日流量!GY65*24*3600/100000000</f>
        <v>12.6144</v>
      </c>
      <c r="GZ65" s="6">
        <f>日流量!GZ65*24*3600/100000000</f>
        <v>12.009600000000001</v>
      </c>
      <c r="HA65" s="6">
        <f>日流量!HA65*24*3600/100000000</f>
        <v>13.1328</v>
      </c>
      <c r="HB65" s="6">
        <f>日流量!HB65*24*3600/100000000</f>
        <v>13.3056</v>
      </c>
      <c r="HC65" s="6">
        <f>日流量!HC65*24*3600/100000000</f>
        <v>13.7376</v>
      </c>
      <c r="HD65" s="6">
        <f>日流量!HD65*24*3600/100000000</f>
        <v>13.651199999999999</v>
      </c>
      <c r="HE65" s="6">
        <f>日流量!HE65*24*3600/100000000</f>
        <v>11.664</v>
      </c>
      <c r="HF65" s="6">
        <f>日流量!HF65*24*3600/100000000</f>
        <v>9.8496000000000006</v>
      </c>
      <c r="HG65" s="6">
        <f>日流量!HG65*24*3600/100000000</f>
        <v>9.3312000000000008</v>
      </c>
      <c r="HH65" s="6">
        <f>日流量!HH65*24*3600/100000000</f>
        <v>8.4585600000000003</v>
      </c>
      <c r="HI65" s="6">
        <f>日流量!HI65*24*3600/100000000</f>
        <v>7.6809599999999998</v>
      </c>
      <c r="HJ65" s="6">
        <f>日流量!HJ65*24*3600/100000000</f>
        <v>7.56</v>
      </c>
      <c r="HK65" s="6">
        <f>日流量!HK65*24*3600/100000000</f>
        <v>7.80192</v>
      </c>
      <c r="HL65" s="6">
        <f>日流量!HL65*24*3600/100000000</f>
        <v>8.3894400000000005</v>
      </c>
      <c r="HM65" s="6">
        <f>日流量!HM65*24*3600/100000000</f>
        <v>8.64</v>
      </c>
      <c r="HN65" s="6">
        <f>日流量!HN65*24*3600/100000000</f>
        <v>8.4585600000000003</v>
      </c>
      <c r="HO65" s="6">
        <f>日流量!HO65*24*3600/100000000</f>
        <v>8.1043199999999995</v>
      </c>
      <c r="HP65" s="6">
        <f>日流量!HP65*24*3600/100000000</f>
        <v>6.9984000000000002</v>
      </c>
      <c r="HQ65" s="6">
        <f>日流量!HQ65*24*3600/100000000</f>
        <v>5.8060799999999997</v>
      </c>
      <c r="HR65" s="6">
        <f>日流量!HR65*24*3600/100000000</f>
        <v>5.6505599999999996</v>
      </c>
      <c r="HS65" s="6">
        <f>日流量!HS65*24*3600/100000000</f>
        <v>6.0566399999999998</v>
      </c>
      <c r="HT65" s="6">
        <f>日流量!HT65*24*3600/100000000</f>
        <v>6.3417599999999998</v>
      </c>
      <c r="HU65" s="6">
        <f>日流量!HU65*24*3600/100000000</f>
        <v>6.2467199999999998</v>
      </c>
      <c r="HV65" s="6">
        <f>日流量!HV65*24*3600/100000000</f>
        <v>6.5404799999999996</v>
      </c>
      <c r="HW65" s="6">
        <f>日流量!HW65*24*3600/100000000</f>
        <v>6.9465599999999998</v>
      </c>
      <c r="HX65" s="6">
        <f>日流量!HX65*24*3600/100000000</f>
        <v>6.5836800000000002</v>
      </c>
      <c r="HY65" s="6">
        <f>日流量!HY65*24*3600/100000000</f>
        <v>6.3071999999999999</v>
      </c>
      <c r="HZ65" s="6">
        <f>日流量!HZ65*24*3600/100000000</f>
        <v>5.9443200000000003</v>
      </c>
      <c r="IA65" s="6">
        <f>日流量!IA65*24*3600/100000000</f>
        <v>6.0134400000000001</v>
      </c>
      <c r="IB65" s="6">
        <f>日流量!IB65*24*3600/100000000</f>
        <v>5.7369599999999998</v>
      </c>
      <c r="IC65" s="6">
        <f>日流量!IC65*24*3600/100000000</f>
        <v>5.3654400000000004</v>
      </c>
      <c r="ID65" s="6">
        <f>日流量!ID65*24*3600/100000000</f>
        <v>6.2035200000000001</v>
      </c>
      <c r="IE65" s="6">
        <f>日流量!IE65*24*3600/100000000</f>
        <v>7.2057599999999997</v>
      </c>
      <c r="IF65" s="6">
        <f>日流量!IF65*24*3600/100000000</f>
        <v>8.1820799999999991</v>
      </c>
      <c r="IG65" s="6">
        <f>日流量!IG65*24*3600/100000000</f>
        <v>8.2339199999999995</v>
      </c>
      <c r="IH65" s="6">
        <f>日流量!IH65*24*3600/100000000</f>
        <v>7.9315199999999999</v>
      </c>
      <c r="II65" s="6">
        <f>日流量!II65*24*3600/100000000</f>
        <v>7.7155199999999997</v>
      </c>
      <c r="IJ65" s="6">
        <f>日流量!IJ65*24*3600/100000000</f>
        <v>7.2403199999999996</v>
      </c>
      <c r="IK65" s="6">
        <f>日流量!IK65*24*3600/100000000</f>
        <v>6.87744</v>
      </c>
      <c r="IL65" s="6">
        <f>日流量!IL65*24*3600/100000000</f>
        <v>7.3958399999999997</v>
      </c>
      <c r="IM65" s="6">
        <f>日流量!IM65*24*3600/100000000</f>
        <v>9.0719999999999992</v>
      </c>
      <c r="IN65" s="6">
        <f>日流量!IN65*24*3600/100000000</f>
        <v>10.1952</v>
      </c>
      <c r="IO65" s="6">
        <f>日流量!IO65*24*3600/100000000</f>
        <v>10.281599999999999</v>
      </c>
      <c r="IP65" s="6">
        <f>日流量!IP65*24*3600/100000000</f>
        <v>9.0719999999999992</v>
      </c>
      <c r="IQ65" s="6">
        <f>日流量!IQ65*24*3600/100000000</f>
        <v>7.76736</v>
      </c>
      <c r="IR65" s="6">
        <f>日流量!IR65*24*3600/100000000</f>
        <v>7.6982400000000002</v>
      </c>
      <c r="IS65" s="6">
        <f>日流量!IS65*24*3600/100000000</f>
        <v>7.5167999999999999</v>
      </c>
      <c r="IT65" s="6">
        <f>日流量!IT65*24*3600/100000000</f>
        <v>7.0761599999999998</v>
      </c>
      <c r="IU65" s="6">
        <f>日流量!IU65*24*3600/100000000</f>
        <v>5.5641600000000002</v>
      </c>
      <c r="IV65" s="6">
        <f>日流量!IV65*24*3600/100000000</f>
        <v>5.6851200000000004</v>
      </c>
      <c r="IW65" s="6">
        <f>日流量!IW65*24*3600/100000000</f>
        <v>6.7651199999999996</v>
      </c>
      <c r="IX65" s="6">
        <f>日流量!IX65*24*3600/100000000</f>
        <v>7.1798400000000004</v>
      </c>
      <c r="IY65" s="6">
        <f>日流量!IY65*24*3600/100000000</f>
        <v>7.48224</v>
      </c>
      <c r="IZ65" s="6">
        <f>日流量!IZ65*24*3600/100000000</f>
        <v>7.89696</v>
      </c>
      <c r="JA65" s="6">
        <f>日流量!JA65*24*3600/100000000</f>
        <v>7.8451199999999996</v>
      </c>
      <c r="JB65" s="6">
        <f>日流量!JB65*24*3600/100000000</f>
        <v>7.29216</v>
      </c>
      <c r="JC65" s="6">
        <f>日流量!JC65*24*3600/100000000</f>
        <v>6.9206399999999997</v>
      </c>
      <c r="JD65" s="6">
        <f>日流量!JD65*24*3600/100000000</f>
        <v>7.4649599999999996</v>
      </c>
      <c r="JE65" s="6">
        <f>日流量!JE65*24*3600/100000000</f>
        <v>7.9228800000000001</v>
      </c>
      <c r="JF65" s="6">
        <f>日流量!JF65*24*3600/100000000</f>
        <v>7.7846399999999996</v>
      </c>
      <c r="JG65" s="6">
        <f>日流量!JG65*24*3600/100000000</f>
        <v>7.6291200000000003</v>
      </c>
      <c r="JH65" s="6">
        <f>日流量!JH65*24*3600/100000000</f>
        <v>7.5340800000000003</v>
      </c>
      <c r="JI65" s="6">
        <f>日流量!JI65*24*3600/100000000</f>
        <v>6.9638400000000003</v>
      </c>
      <c r="JJ65" s="6">
        <f>日流量!JJ65*24*3600/100000000</f>
        <v>6.97248</v>
      </c>
      <c r="JK65" s="6">
        <f>日流量!JK65*24*3600/100000000</f>
        <v>6.9551999999999996</v>
      </c>
      <c r="JL65" s="6">
        <f>日流量!JL65*24*3600/100000000</f>
        <v>7.1539200000000003</v>
      </c>
      <c r="JM65" s="6">
        <f>日流量!JM65*24*3600/100000000</f>
        <v>6.6009599999999997</v>
      </c>
      <c r="JN65" s="6">
        <f>日流量!JN65*24*3600/100000000</f>
        <v>7.1452799999999996</v>
      </c>
      <c r="JO65" s="6">
        <f>日流量!JO65*24*3600/100000000</f>
        <v>7.5167999999999999</v>
      </c>
      <c r="JP65" s="6">
        <f>日流量!JP65*24*3600/100000000</f>
        <v>7.3958399999999997</v>
      </c>
      <c r="JQ65" s="6">
        <f>日流量!JQ65*24*3600/100000000</f>
        <v>6.1084800000000001</v>
      </c>
      <c r="JR65" s="6">
        <f>日流量!JR65*24*3600/100000000</f>
        <v>6.3936000000000002</v>
      </c>
      <c r="JS65" s="6">
        <f>日流量!JS65*24*3600/100000000</f>
        <v>6.48</v>
      </c>
      <c r="JT65" s="6">
        <f>日流量!JT65*24*3600/100000000</f>
        <v>6.4972799999999999</v>
      </c>
      <c r="JU65" s="6">
        <f>日流量!JU65*24*3600/100000000</f>
        <v>6.59232</v>
      </c>
      <c r="JV65" s="6">
        <f>日流量!JV65*24*3600/100000000</f>
        <v>6.6355199999999996</v>
      </c>
      <c r="JW65" s="6">
        <f>日流量!JW65*24*3600/100000000</f>
        <v>6.6441600000000003</v>
      </c>
      <c r="JX65" s="6">
        <f>日流量!JX65*24*3600/100000000</f>
        <v>6.7737600000000002</v>
      </c>
      <c r="JY65" s="6">
        <f>日流量!JY65*24*3600/100000000</f>
        <v>6.5404799999999996</v>
      </c>
      <c r="JZ65" s="6">
        <f>日流量!JZ65*24*3600/100000000</f>
        <v>6.3849600000000004</v>
      </c>
      <c r="KA65" s="6">
        <f>日流量!KA65*24*3600/100000000</f>
        <v>5.8147200000000003</v>
      </c>
      <c r="KB65" s="6">
        <f>日流量!KB65*24*3600/100000000</f>
        <v>5.6159999999999997</v>
      </c>
      <c r="KC65" s="6">
        <f>日流量!KC65*24*3600/100000000</f>
        <v>5.2790400000000002</v>
      </c>
      <c r="KD65" s="6">
        <f>日流量!KD65*24*3600/100000000</f>
        <v>5.25312</v>
      </c>
      <c r="KE65" s="6">
        <f>日流量!KE65*24*3600/100000000</f>
        <v>5.3136000000000001</v>
      </c>
      <c r="KF65" s="6">
        <f>日流量!KF65*24*3600/100000000</f>
        <v>5.2617599999999998</v>
      </c>
      <c r="KG65" s="6">
        <f>日流量!KG65*24*3600/100000000</f>
        <v>4.9248000000000003</v>
      </c>
      <c r="KH65" s="6">
        <f>日流量!KH65*24*3600/100000000</f>
        <v>4.8470399999999998</v>
      </c>
      <c r="KI65" s="6">
        <f>日流量!KI65*24*3600/100000000</f>
        <v>4.8038400000000001</v>
      </c>
      <c r="KJ65" s="6">
        <f>日流量!KJ65*24*3600/100000000</f>
        <v>4.7779199999999999</v>
      </c>
      <c r="KK65" s="6">
        <f>日流量!KK65*24*3600/100000000</f>
        <v>4.5100800000000003</v>
      </c>
      <c r="KL65" s="6">
        <f>日流量!KL65*24*3600/100000000</f>
        <v>4.32864</v>
      </c>
      <c r="KM65" s="6">
        <f>日流量!KM65*24*3600/100000000</f>
        <v>4.1471999999999998</v>
      </c>
      <c r="KN65" s="6">
        <f>日流量!KN65*24*3600/100000000</f>
        <v>4.0262399999999996</v>
      </c>
      <c r="KO65" s="6">
        <f>日流量!KO65*24*3600/100000000</f>
        <v>3.7929599999999999</v>
      </c>
      <c r="KP65" s="6">
        <f>日流量!KP65*24*3600/100000000</f>
        <v>3.53376</v>
      </c>
      <c r="KQ65" s="6">
        <f>日流量!KQ65*24*3600/100000000</f>
        <v>3.4646400000000002</v>
      </c>
      <c r="KR65" s="6">
        <f>日流量!KR65*24*3600/100000000</f>
        <v>3.4905599999999999</v>
      </c>
      <c r="KS65" s="6">
        <f>日流量!KS65*24*3600/100000000</f>
        <v>3.4646400000000002</v>
      </c>
      <c r="KT65" s="6">
        <f>日流量!KT65*24*3600/100000000</f>
        <v>3.43872</v>
      </c>
      <c r="KU65" s="6">
        <f>日流量!KU65*24*3600/100000000</f>
        <v>3.3264</v>
      </c>
      <c r="KV65" s="6">
        <f>日流量!KV65*24*3600/100000000</f>
        <v>3.0326399999999998</v>
      </c>
      <c r="KW65" s="6">
        <f>日流量!KW65*24*3600/100000000</f>
        <v>3.1795200000000001</v>
      </c>
      <c r="KX65" s="6">
        <f>日流量!KX65*24*3600/100000000</f>
        <v>3.23136</v>
      </c>
      <c r="KY65" s="6">
        <f>日流量!KY65*24*3600/100000000</f>
        <v>3.2918400000000001</v>
      </c>
      <c r="KZ65" s="6">
        <f>日流量!KZ65*24*3600/100000000</f>
        <v>3.2918400000000001</v>
      </c>
      <c r="LA65" s="6">
        <f>日流量!LA65*24*3600/100000000</f>
        <v>3.2659199999999999</v>
      </c>
      <c r="LB65" s="6">
        <f>日流量!LB65*24*3600/100000000</f>
        <v>3.1795200000000001</v>
      </c>
      <c r="LC65" s="6">
        <f>日流量!LC65*24*3600/100000000</f>
        <v>3.0585599999999999</v>
      </c>
      <c r="LD65" s="6">
        <f>日流量!LD65*24*3600/100000000</f>
        <v>2.94624</v>
      </c>
      <c r="LE65" s="6">
        <f>日流量!LE65*24*3600/100000000</f>
        <v>2.92896</v>
      </c>
      <c r="LF65" s="6">
        <f>日流量!LF65*24*3600/100000000</f>
        <v>2.8771200000000001</v>
      </c>
      <c r="LG65" s="6">
        <f>日流量!LG65*24*3600/100000000</f>
        <v>2.8857599999999999</v>
      </c>
      <c r="LH65" s="6">
        <f>日流量!LH65*24*3600/100000000</f>
        <v>2.7820800000000001</v>
      </c>
      <c r="LI65" s="6">
        <f>日流量!LI65*24*3600/100000000</f>
        <v>2.3155199999999998</v>
      </c>
      <c r="LJ65" s="6">
        <f>日流量!LJ65*24*3600/100000000</f>
        <v>2.1513599999999999</v>
      </c>
      <c r="LK65" s="6">
        <f>日流量!LK65*24*3600/100000000</f>
        <v>1.9958400000000001</v>
      </c>
      <c r="LL65" s="6">
        <f>日流量!LL65*24*3600/100000000</f>
        <v>1.93536</v>
      </c>
      <c r="LM65" s="6">
        <f>日流量!LM65*24*3600/100000000</f>
        <v>1.9008</v>
      </c>
      <c r="LN65" s="6">
        <f>日流量!LN65*24*3600/100000000</f>
        <v>1.8835200000000001</v>
      </c>
      <c r="LO65" s="6">
        <f>日流量!LO65*24*3600/100000000</f>
        <v>1.9699199999999999</v>
      </c>
      <c r="LP65" s="6">
        <f>日流量!LP65*24*3600/100000000</f>
        <v>1.9612799999999999</v>
      </c>
      <c r="LQ65" s="6">
        <f>日流量!LQ65*24*3600/100000000</f>
        <v>1.90944</v>
      </c>
      <c r="LR65" s="6">
        <f>日流量!LR65*24*3600/100000000</f>
        <v>1.70208</v>
      </c>
      <c r="LS65" s="6">
        <f>日流量!LS65*24*3600/100000000</f>
        <v>1.5465599999999999</v>
      </c>
      <c r="LT65" s="6">
        <f>日流量!LT65*24*3600/100000000</f>
        <v>1.52064</v>
      </c>
      <c r="LU65" s="6">
        <f>日流量!LU65*24*3600/100000000</f>
        <v>1.73664</v>
      </c>
      <c r="LV65" s="6">
        <f>日流量!LV65*24*3600/100000000</f>
        <v>1.84032</v>
      </c>
      <c r="LW65" s="6">
        <f>日流量!LW65*24*3600/100000000</f>
        <v>1.7539199999999999</v>
      </c>
      <c r="LX65" s="6">
        <f>日流量!LX65*24*3600/100000000</f>
        <v>1.52064</v>
      </c>
      <c r="LY65" s="6">
        <f>日流量!LY65*24*3600/100000000</f>
        <v>1.82304</v>
      </c>
      <c r="LZ65" s="6">
        <f>日流量!LZ65*24*3600/100000000</f>
        <v>1.6415999999999999</v>
      </c>
      <c r="MA65" s="6">
        <f>日流量!MA65*24*3600/100000000</f>
        <v>1.43424</v>
      </c>
      <c r="MB65" s="6">
        <f>日流量!MB65*24*3600/100000000</f>
        <v>1.3824000000000001</v>
      </c>
      <c r="MC65" s="6">
        <f>日流量!MC65*24*3600/100000000</f>
        <v>1.4860800000000001</v>
      </c>
      <c r="MD65" s="6">
        <f>日流量!MD65*24*3600/100000000</f>
        <v>1.32192</v>
      </c>
      <c r="ME65" s="6">
        <f>日流量!ME65*24*3600/100000000</f>
        <v>1.3391999999999999</v>
      </c>
      <c r="MF65" s="6">
        <f>日流量!MF65*24*3600/100000000</f>
        <v>1.33056</v>
      </c>
      <c r="MG65" s="6">
        <f>日流量!MG65*24*3600/100000000</f>
        <v>1.2787200000000001</v>
      </c>
      <c r="MH65" s="6">
        <f>日流量!MH65*24*3600/100000000</f>
        <v>1.1664000000000001</v>
      </c>
      <c r="MI65" s="6">
        <f>日流量!MI65*24*3600/100000000</f>
        <v>1.13184</v>
      </c>
      <c r="MJ65" s="6">
        <f>日流量!MJ65*24*3600/100000000</f>
        <v>1.73664</v>
      </c>
      <c r="MK65" s="6">
        <f>日流量!MK65*24*3600/100000000</f>
        <v>2.1254400000000002</v>
      </c>
      <c r="ML65" s="6">
        <f>日流量!ML65*24*3600/100000000</f>
        <v>2.2204799999999998</v>
      </c>
      <c r="MM65" s="6">
        <f>日流量!MM65*24*3600/100000000</f>
        <v>1.5897600000000001</v>
      </c>
      <c r="MN65" s="6">
        <f>日流量!MN65*24*3600/100000000</f>
        <v>1.8489599999999999</v>
      </c>
      <c r="MO65" s="6">
        <f>日流量!MO65*24*3600/100000000</f>
        <v>1.7452799999999999</v>
      </c>
      <c r="MP65" s="6">
        <f>日流量!MP65*24*3600/100000000</f>
        <v>1.4860800000000001</v>
      </c>
      <c r="MQ65" s="6">
        <f>日流量!MQ65*24*3600/100000000</f>
        <v>1.3651199999999999</v>
      </c>
      <c r="MR65" s="6">
        <f>日流量!MR65*24*3600/100000000</f>
        <v>1.1577599999999999</v>
      </c>
      <c r="MS65" s="6">
        <f>日流量!MS65*24*3600/100000000</f>
        <v>1.2096</v>
      </c>
      <c r="MT65" s="6">
        <f>日流量!MT65*24*3600/100000000</f>
        <v>1.41696</v>
      </c>
      <c r="MU65" s="6">
        <f>日流量!MU65*24*3600/100000000</f>
        <v>1.5551999999999999</v>
      </c>
      <c r="MV65" s="6">
        <f>日流量!MV65*24*3600/100000000</f>
        <v>1.4428799999999999</v>
      </c>
      <c r="MW65" s="6">
        <f>日流量!MW65*24*3600/100000000</f>
        <v>1.23552</v>
      </c>
      <c r="MX65" s="6">
        <f>日流量!MX65*24*3600/100000000</f>
        <v>1.31328</v>
      </c>
      <c r="MY65" s="6">
        <f>日流量!MY65*24*3600/100000000</f>
        <v>1.512</v>
      </c>
      <c r="MZ65" s="6">
        <f>日流量!MZ65*24*3600/100000000</f>
        <v>1.4688000000000001</v>
      </c>
      <c r="NA65" s="6">
        <f>日流量!NA65*24*3600/100000000</f>
        <v>1.60704</v>
      </c>
      <c r="NB65" s="6">
        <f>日流量!NB65*24*3600/100000000</f>
        <v>1.5897600000000001</v>
      </c>
      <c r="NC65" s="6">
        <f>日流量!NC65*24*3600/100000000</f>
        <v>1.3391999999999999</v>
      </c>
      <c r="ND65" s="6">
        <f>日流量!ND65*24*3600*31/100000000</f>
        <v>35.354880000000001</v>
      </c>
      <c r="NE65" s="6">
        <f>日流量!NE65*24*3600*29/100000000</f>
        <v>23.101631999999999</v>
      </c>
      <c r="NF65" s="6">
        <f>日流量!NF65*24*3600*31/100000000</f>
        <v>24.400224000000001</v>
      </c>
      <c r="NG65" s="6">
        <f>日流量!NG65*24*3600*30/100000000</f>
        <v>31.881599999999999</v>
      </c>
      <c r="NH65" s="6">
        <f>日流量!NH65*24*3600*31/100000000</f>
        <v>53.300159999999998</v>
      </c>
      <c r="NI65" s="6">
        <f>日流量!NI65*24*3600*30/100000000</f>
        <v>98.236800000000002</v>
      </c>
      <c r="NJ65" s="6">
        <f>日流量!NJ65*24*3600*31/100000000</f>
        <v>321.40800000000002</v>
      </c>
      <c r="NK65" s="6">
        <f>日流量!NK65*24*3600*31/100000000</f>
        <v>220.43232</v>
      </c>
      <c r="NL65" s="6">
        <f>日流量!NL65*24*3600*30/100000000</f>
        <v>226.2816</v>
      </c>
      <c r="NM65" s="6">
        <f>日流量!NM65*24*3600*31/100000000</f>
        <v>162.57888</v>
      </c>
      <c r="NN65" s="6">
        <f>日流量!NN65*24*3600*30/100000000</f>
        <v>72.8352</v>
      </c>
      <c r="NO65" s="6">
        <f>日流量!NO65*24*3600*31/100000000</f>
        <v>46.336320000000001</v>
      </c>
      <c r="NP65" s="14">
        <f t="shared" si="10"/>
        <v>1316.1476160000002</v>
      </c>
      <c r="NQ65" s="6">
        <f>日流量!NQ65*24*3600/100000000</f>
        <v>13.7376</v>
      </c>
      <c r="NR65" s="4">
        <f>日流量!NR65</f>
        <v>42579</v>
      </c>
      <c r="NS65" s="6">
        <f>日流量!NS65*24*3600/100000000</f>
        <v>0.60048000000000001</v>
      </c>
      <c r="NT65" s="4">
        <f>日流量!NT65</f>
        <v>42451</v>
      </c>
      <c r="NU65" s="7">
        <f>日流量!NP65</f>
        <v>4159.7950819672133</v>
      </c>
      <c r="NW65" s="13">
        <f t="shared" si="0"/>
        <v>1082.23776</v>
      </c>
      <c r="NX65" s="12">
        <f t="shared" si="1"/>
        <v>82.227688356805089</v>
      </c>
      <c r="NY65" s="13">
        <f t="shared" si="2"/>
        <v>866.35872000000006</v>
      </c>
      <c r="NZ65" s="12">
        <f t="shared" si="3"/>
        <v>65.825345840234377</v>
      </c>
      <c r="OA65" s="13">
        <f t="shared" si="4"/>
        <v>233.90985600000022</v>
      </c>
      <c r="OB65" s="12">
        <f t="shared" si="5"/>
        <v>17.772311643194907</v>
      </c>
      <c r="OC65" s="13">
        <f t="shared" si="6"/>
        <v>321.40800000000002</v>
      </c>
      <c r="OD65" s="12">
        <f t="shared" si="7"/>
        <v>24.420361066854674</v>
      </c>
      <c r="OE65" s="12">
        <f t="shared" si="8"/>
        <v>307.51112523364492</v>
      </c>
      <c r="OF65" s="12">
        <f t="shared" si="9"/>
        <v>9.7511138138522604</v>
      </c>
    </row>
    <row r="66" spans="1:396" x14ac:dyDescent="0.15">
      <c r="A66" s="2">
        <v>2013</v>
      </c>
      <c r="B66" s="6">
        <f>日流量!B66*24*3600/100000000</f>
        <v>1.3478399999999999</v>
      </c>
      <c r="C66" s="6">
        <f>日流量!C66*24*3600/100000000</f>
        <v>1.3651199999999999</v>
      </c>
      <c r="D66" s="6">
        <f>日流量!D66*24*3600/100000000</f>
        <v>1.3737600000000001</v>
      </c>
      <c r="E66" s="6">
        <f>日流量!E66*24*3600/100000000</f>
        <v>1.4860800000000001</v>
      </c>
      <c r="F66" s="6">
        <f>日流量!F66*24*3600/100000000</f>
        <v>1.5724800000000001</v>
      </c>
      <c r="G66" s="6">
        <f>日流量!G66*24*3600/100000000</f>
        <v>1.71936</v>
      </c>
      <c r="H66" s="6">
        <f>日流量!H66*24*3600/100000000</f>
        <v>1.7712000000000001</v>
      </c>
      <c r="I66" s="6">
        <f>日流量!I66*24*3600/100000000</f>
        <v>1.7712000000000001</v>
      </c>
      <c r="J66" s="6">
        <f>日流量!J66*24*3600/100000000</f>
        <v>1.6502399999999999</v>
      </c>
      <c r="K66" s="6">
        <f>日流量!K66*24*3600/100000000</f>
        <v>1.63296</v>
      </c>
      <c r="L66" s="6">
        <f>日流量!L66*24*3600/100000000</f>
        <v>1.5724800000000001</v>
      </c>
      <c r="M66" s="6">
        <f>日流量!M66*24*3600/100000000</f>
        <v>1.6675199999999999</v>
      </c>
      <c r="N66" s="6">
        <f>日流量!N66*24*3600/100000000</f>
        <v>1.71936</v>
      </c>
      <c r="O66" s="6">
        <f>日流量!O66*24*3600/100000000</f>
        <v>1.5465599999999999</v>
      </c>
      <c r="P66" s="6">
        <f>日流量!P66*24*3600/100000000</f>
        <v>1.5465599999999999</v>
      </c>
      <c r="Q66" s="6">
        <f>日流量!Q66*24*3600/100000000</f>
        <v>1.52064</v>
      </c>
      <c r="R66" s="6">
        <f>日流量!R66*24*3600/100000000</f>
        <v>1.32192</v>
      </c>
      <c r="S66" s="6">
        <f>日流量!S66*24*3600/100000000</f>
        <v>1.2527999999999999</v>
      </c>
      <c r="T66" s="6">
        <f>日流量!T66*24*3600/100000000</f>
        <v>1.1404799999999999</v>
      </c>
      <c r="U66" s="6">
        <f>日流量!U66*24*3600/100000000</f>
        <v>1.22688</v>
      </c>
      <c r="V66" s="6">
        <f>日流量!V66*24*3600/100000000</f>
        <v>1.1232</v>
      </c>
      <c r="W66" s="6">
        <f>日流量!W66*24*3600/100000000</f>
        <v>1.00224</v>
      </c>
      <c r="X66" s="6">
        <f>日流量!X66*24*3600/100000000</f>
        <v>1.0713600000000001</v>
      </c>
      <c r="Y66" s="6">
        <f>日流量!Y66*24*3600/100000000</f>
        <v>1.0627200000000001</v>
      </c>
      <c r="Z66" s="6">
        <f>日流量!Z66*24*3600/100000000</f>
        <v>0.97631999999999997</v>
      </c>
      <c r="AA66" s="6">
        <f>日流量!AA66*24*3600/100000000</f>
        <v>1.0454399999999999</v>
      </c>
      <c r="AB66" s="6">
        <f>日流量!AB66*24*3600/100000000</f>
        <v>1.1232</v>
      </c>
      <c r="AC66" s="6">
        <f>日流量!AC66*24*3600/100000000</f>
        <v>0.93311999999999995</v>
      </c>
      <c r="AD66" s="6">
        <f>日流量!AD66*24*3600/100000000</f>
        <v>0.94176000000000004</v>
      </c>
      <c r="AE66" s="6">
        <f>日流量!AE66*24*3600/100000000</f>
        <v>1.0886400000000001</v>
      </c>
      <c r="AF66" s="6">
        <f>日流量!AF66*24*3600/100000000</f>
        <v>1.0713600000000001</v>
      </c>
      <c r="AG66" s="6">
        <f>日流量!AG66*24*3600/100000000</f>
        <v>1.09728</v>
      </c>
      <c r="AH66" s="6">
        <f>日流量!AH66*24*3600/100000000</f>
        <v>1.1750400000000001</v>
      </c>
      <c r="AI66" s="6">
        <f>日流量!AI66*24*3600/100000000</f>
        <v>1.11456</v>
      </c>
      <c r="AJ66" s="6">
        <f>日流量!AJ66*24*3600/100000000</f>
        <v>1.13184</v>
      </c>
      <c r="AK66" s="6">
        <f>日流量!AK66*24*3600/100000000</f>
        <v>1.0540799999999999</v>
      </c>
      <c r="AL66" s="6">
        <f>日流量!AL66*24*3600/100000000</f>
        <v>1.09728</v>
      </c>
      <c r="AM66" s="6">
        <f>日流量!AM66*24*3600/100000000</f>
        <v>1.21824</v>
      </c>
      <c r="AN66" s="6">
        <f>日流量!AN66*24*3600/100000000</f>
        <v>1.0886400000000001</v>
      </c>
      <c r="AO66" s="6">
        <f>日流量!AO66*24*3600/100000000</f>
        <v>1.10592</v>
      </c>
      <c r="AP66" s="6">
        <f>日流量!AP66*24*3600/100000000</f>
        <v>1.11456</v>
      </c>
      <c r="AQ66" s="6">
        <f>日流量!AQ66*24*3600/100000000</f>
        <v>1.09728</v>
      </c>
      <c r="AR66" s="6">
        <f>日流量!AR66*24*3600/100000000</f>
        <v>1.13184</v>
      </c>
      <c r="AS66" s="6">
        <f>日流量!AS66*24*3600/100000000</f>
        <v>1.0540799999999999</v>
      </c>
      <c r="AT66" s="6">
        <f>日流量!AT66*24*3600/100000000</f>
        <v>1.1232</v>
      </c>
      <c r="AU66" s="6">
        <f>日流量!AU66*24*3600/100000000</f>
        <v>1.1404799999999999</v>
      </c>
      <c r="AV66" s="6">
        <f>日流量!AV66*24*3600/100000000</f>
        <v>1.20096</v>
      </c>
      <c r="AW66" s="6">
        <f>日流量!AW66*24*3600/100000000</f>
        <v>1.0713600000000001</v>
      </c>
      <c r="AX66" s="6">
        <f>日流量!AX66*24*3600/100000000</f>
        <v>1.08</v>
      </c>
      <c r="AY66" s="6">
        <f>日流量!AY66*24*3600/100000000</f>
        <v>1.1577599999999999</v>
      </c>
      <c r="AZ66" s="6">
        <f>日流量!AZ66*24*3600/100000000</f>
        <v>1.21824</v>
      </c>
      <c r="BA66" s="6">
        <f>日流量!BA66*24*3600/100000000</f>
        <v>1.1491199999999999</v>
      </c>
      <c r="BB66" s="6">
        <f>日流量!BB66*24*3600/100000000</f>
        <v>1.1664000000000001</v>
      </c>
      <c r="BC66" s="6">
        <f>日流量!BC66*24*3600/100000000</f>
        <v>1.1750400000000001</v>
      </c>
      <c r="BD66" s="6">
        <f>日流量!BD66*24*3600/100000000</f>
        <v>1.3910400000000001</v>
      </c>
      <c r="BE66" s="6">
        <f>日流量!BE66*24*3600/100000000</f>
        <v>1.296</v>
      </c>
      <c r="BF66" s="6">
        <f>日流量!BF66*24*3600/100000000</f>
        <v>1.21824</v>
      </c>
      <c r="BG66" s="6">
        <f>日流量!BG66*24*3600/100000000</f>
        <v>1.30464</v>
      </c>
      <c r="BH66" s="6">
        <f>日流量!BH66*24*3600/100000000</f>
        <v>1.22688</v>
      </c>
      <c r="BI66" s="6"/>
      <c r="BJ66" s="6">
        <f>日流量!BJ66*24*3600/100000000</f>
        <v>1.2787200000000001</v>
      </c>
      <c r="BK66" s="6">
        <f>日流量!BK66*24*3600/100000000</f>
        <v>1.2787200000000001</v>
      </c>
      <c r="BL66" s="6">
        <f>日流量!BL66*24*3600/100000000</f>
        <v>1.2873600000000001</v>
      </c>
      <c r="BM66" s="6">
        <f>日流量!BM66*24*3600/100000000</f>
        <v>1.3478399999999999</v>
      </c>
      <c r="BN66" s="6">
        <f>日流量!BN66*24*3600/100000000</f>
        <v>1.4256</v>
      </c>
      <c r="BO66" s="6">
        <f>日流量!BO66*24*3600/100000000</f>
        <v>1.5465599999999999</v>
      </c>
      <c r="BP66" s="6">
        <f>日流量!BP66*24*3600/100000000</f>
        <v>1.3910400000000001</v>
      </c>
      <c r="BQ66" s="6">
        <f>日流量!BQ66*24*3600/100000000</f>
        <v>1.2096</v>
      </c>
      <c r="BR66" s="6">
        <f>日流量!BR66*24*3600/100000000</f>
        <v>1.10592</v>
      </c>
      <c r="BS66" s="6">
        <f>日流量!BS66*24*3600/100000000</f>
        <v>1.22688</v>
      </c>
      <c r="BT66" s="6">
        <f>日流量!BT66*24*3600/100000000</f>
        <v>1.19232</v>
      </c>
      <c r="BU66" s="6">
        <f>日流量!BU66*24*3600/100000000</f>
        <v>1.2096</v>
      </c>
      <c r="BV66" s="6">
        <f>日流量!BV66*24*3600/100000000</f>
        <v>1.19232</v>
      </c>
      <c r="BW66" s="6">
        <f>日流量!BW66*24*3600/100000000</f>
        <v>1.2787200000000001</v>
      </c>
      <c r="BX66" s="6">
        <f>日流量!BX66*24*3600/100000000</f>
        <v>1.2614399999999999</v>
      </c>
      <c r="BY66" s="6">
        <f>日流量!BY66*24*3600/100000000</f>
        <v>1.2700800000000001</v>
      </c>
      <c r="BZ66" s="6">
        <f>日流量!BZ66*24*3600/100000000</f>
        <v>1.49472</v>
      </c>
      <c r="CA66" s="6">
        <f>日流量!CA66*24*3600/100000000</f>
        <v>1.5897600000000001</v>
      </c>
      <c r="CB66" s="6">
        <f>日流量!CB66*24*3600/100000000</f>
        <v>1.512</v>
      </c>
      <c r="CC66" s="6">
        <f>日流量!CC66*24*3600/100000000</f>
        <v>1.4774400000000001</v>
      </c>
      <c r="CD66" s="6">
        <f>日流量!CD66*24*3600/100000000</f>
        <v>1.2700800000000001</v>
      </c>
      <c r="CE66" s="6">
        <f>日流量!CE66*24*3600/100000000</f>
        <v>1.3478399999999999</v>
      </c>
      <c r="CF66" s="6">
        <f>日流量!CF66*24*3600/100000000</f>
        <v>1.4860800000000001</v>
      </c>
      <c r="CG66" s="6">
        <f>日流量!CG66*24*3600/100000000</f>
        <v>1.23552</v>
      </c>
      <c r="CH66" s="6">
        <f>日流量!CH66*24*3600/100000000</f>
        <v>1.0540799999999999</v>
      </c>
      <c r="CI66" s="6">
        <f>日流量!CI66*24*3600/100000000</f>
        <v>0.98495999999999995</v>
      </c>
      <c r="CJ66" s="6">
        <f>日流量!CJ66*24*3600/100000000</f>
        <v>1.0886400000000001</v>
      </c>
      <c r="CK66" s="6">
        <f>日流量!CK66*24*3600/100000000</f>
        <v>1.02816</v>
      </c>
      <c r="CL66" s="6">
        <f>日流量!CL66*24*3600/100000000</f>
        <v>1.08</v>
      </c>
      <c r="CM66" s="6">
        <f>日流量!CM66*24*3600/100000000</f>
        <v>1.0713600000000001</v>
      </c>
      <c r="CN66" s="6">
        <f>日流量!CN66*24*3600/100000000</f>
        <v>1.0713600000000001</v>
      </c>
      <c r="CO66" s="6">
        <f>日流量!CO66*24*3600/100000000</f>
        <v>1.01952</v>
      </c>
      <c r="CP66" s="6">
        <f>日流量!CP66*24*3600/100000000</f>
        <v>1.3910400000000001</v>
      </c>
      <c r="CQ66" s="6">
        <f>日流量!CQ66*24*3600/100000000</f>
        <v>1.13184</v>
      </c>
      <c r="CR66" s="6">
        <f>日流量!CR66*24*3600/100000000</f>
        <v>1.21824</v>
      </c>
      <c r="CS66" s="6">
        <f>日流量!CS66*24*3600/100000000</f>
        <v>1.512</v>
      </c>
      <c r="CT66" s="6">
        <f>日流量!CT66*24*3600/100000000</f>
        <v>1.23552</v>
      </c>
      <c r="CU66" s="6">
        <f>日流量!CU66*24*3600/100000000</f>
        <v>1.1232</v>
      </c>
      <c r="CV66" s="6">
        <f>日流量!CV66*24*3600/100000000</f>
        <v>1.2096</v>
      </c>
      <c r="CW66" s="6">
        <f>日流量!CW66*24*3600/100000000</f>
        <v>1.84032</v>
      </c>
      <c r="CX66" s="6">
        <f>日流量!CX66*24*3600/100000000</f>
        <v>2.1168</v>
      </c>
      <c r="CY66" s="6">
        <f>日流量!CY66*24*3600/100000000</f>
        <v>1.6675199999999999</v>
      </c>
      <c r="CZ66" s="6">
        <f>日流量!CZ66*24*3600/100000000</f>
        <v>1.3824000000000001</v>
      </c>
      <c r="DA66" s="6">
        <f>日流量!DA66*24*3600/100000000</f>
        <v>1.2096</v>
      </c>
      <c r="DB66" s="6">
        <f>日流量!DB66*24*3600/100000000</f>
        <v>1.3478399999999999</v>
      </c>
      <c r="DC66" s="6">
        <f>日流量!DC66*24*3600/100000000</f>
        <v>1.43424</v>
      </c>
      <c r="DD66" s="6">
        <f>日流量!DD66*24*3600/100000000</f>
        <v>1.4428799999999999</v>
      </c>
      <c r="DE66" s="6">
        <f>日流量!DE66*24*3600/100000000</f>
        <v>1.5984</v>
      </c>
      <c r="DF66" s="6">
        <f>日流量!DF66*24*3600/100000000</f>
        <v>1.30464</v>
      </c>
      <c r="DG66" s="6">
        <f>日流量!DG66*24*3600/100000000</f>
        <v>1.2096</v>
      </c>
      <c r="DH66" s="6">
        <f>日流量!DH66*24*3600/100000000</f>
        <v>1.2441599999999999</v>
      </c>
      <c r="DI66" s="6">
        <f>日流量!DI66*24*3600/100000000</f>
        <v>1.31328</v>
      </c>
      <c r="DJ66" s="6">
        <f>日流量!DJ66*24*3600/100000000</f>
        <v>1.3910400000000001</v>
      </c>
      <c r="DK66" s="6">
        <f>日流量!DK66*24*3600/100000000</f>
        <v>1.20096</v>
      </c>
      <c r="DL66" s="6">
        <f>日流量!DL66*24*3600/100000000</f>
        <v>1.21824</v>
      </c>
      <c r="DM66" s="6">
        <f>日流量!DM66*24*3600/100000000</f>
        <v>1.2096</v>
      </c>
      <c r="DN66" s="6">
        <f>日流量!DN66*24*3600/100000000</f>
        <v>1.296</v>
      </c>
      <c r="DO66" s="6">
        <f>日流量!DO66*24*3600/100000000</f>
        <v>1.30464</v>
      </c>
      <c r="DP66" s="6">
        <f>日流量!DP66*24*3600/100000000</f>
        <v>1.71936</v>
      </c>
      <c r="DQ66" s="6">
        <f>日流量!DQ66*24*3600/100000000</f>
        <v>1.63296</v>
      </c>
      <c r="DR66" s="6">
        <f>日流量!DR66*24*3600/100000000</f>
        <v>1.21824</v>
      </c>
      <c r="DS66" s="6">
        <f>日流量!DS66*24*3600/100000000</f>
        <v>1.23552</v>
      </c>
      <c r="DT66" s="6">
        <f>日流量!DT66*24*3600/100000000</f>
        <v>1.23552</v>
      </c>
      <c r="DU66" s="6">
        <f>日流量!DU66*24*3600/100000000</f>
        <v>1.0367999999999999</v>
      </c>
      <c r="DV66" s="6">
        <f>日流量!DV66*24*3600/100000000</f>
        <v>1.296</v>
      </c>
      <c r="DW66" s="6">
        <f>日流量!DW66*24*3600/100000000</f>
        <v>1.4601599999999999</v>
      </c>
      <c r="DX66" s="6">
        <f>日流量!DX66*24*3600/100000000</f>
        <v>1.61568</v>
      </c>
      <c r="DY66" s="6">
        <f>日流量!DY66*24*3600/100000000</f>
        <v>1.5465599999999999</v>
      </c>
      <c r="DZ66" s="6">
        <f>日流量!DZ66*24*3600/100000000</f>
        <v>1.39968</v>
      </c>
      <c r="EA66" s="6">
        <f>日流量!EA66*24*3600/100000000</f>
        <v>1.33056</v>
      </c>
      <c r="EB66" s="6">
        <f>日流量!EB66*24*3600/100000000</f>
        <v>1.33056</v>
      </c>
      <c r="EC66" s="6">
        <f>日流量!EC66*24*3600/100000000</f>
        <v>1.2614399999999999</v>
      </c>
      <c r="ED66" s="6">
        <f>日流量!ED66*24*3600/100000000</f>
        <v>1.3391999999999999</v>
      </c>
      <c r="EE66" s="6">
        <f>日流量!EE66*24*3600/100000000</f>
        <v>1.53792</v>
      </c>
      <c r="EF66" s="6">
        <f>日流量!EF66*24*3600/100000000</f>
        <v>1.53792</v>
      </c>
      <c r="EG66" s="6">
        <f>日流量!EG66*24*3600/100000000</f>
        <v>1.4515199999999999</v>
      </c>
      <c r="EH66" s="6">
        <f>日流量!EH66*24*3600/100000000</f>
        <v>1.4688000000000001</v>
      </c>
      <c r="EI66" s="6">
        <f>日流量!EI66*24*3600/100000000</f>
        <v>1.40832</v>
      </c>
      <c r="EJ66" s="6">
        <f>日流量!EJ66*24*3600/100000000</f>
        <v>1.4601599999999999</v>
      </c>
      <c r="EK66" s="6">
        <f>日流量!EK66*24*3600/100000000</f>
        <v>1.71072</v>
      </c>
      <c r="EL66" s="6">
        <f>日流量!EL66*24*3600/100000000</f>
        <v>1.7798400000000001</v>
      </c>
      <c r="EM66" s="6">
        <f>日流量!EM66*24*3600/100000000</f>
        <v>1.70208</v>
      </c>
      <c r="EN66" s="6">
        <f>日流量!EN66*24*3600/100000000</f>
        <v>1.80576</v>
      </c>
      <c r="EO66" s="6">
        <f>日流量!EO66*24*3600/100000000</f>
        <v>2.0822400000000001</v>
      </c>
      <c r="EP66" s="6">
        <f>日流量!EP66*24*3600/100000000</f>
        <v>2.2031999999999998</v>
      </c>
      <c r="EQ66" s="6">
        <f>日流量!EQ66*24*3600/100000000</f>
        <v>2.16</v>
      </c>
      <c r="ER66" s="6">
        <f>日流量!ER66*24*3600/100000000</f>
        <v>1.80576</v>
      </c>
      <c r="ES66" s="6">
        <f>日流量!ES66*24*3600/100000000</f>
        <v>1.8575999999999999</v>
      </c>
      <c r="ET66" s="6">
        <f>日流量!ET66*24*3600/100000000</f>
        <v>1.7539199999999999</v>
      </c>
      <c r="EU66" s="6">
        <f>日流量!EU66*24*3600/100000000</f>
        <v>1.73664</v>
      </c>
      <c r="EV66" s="6">
        <f>日流量!EV66*24*3600/100000000</f>
        <v>1.80576</v>
      </c>
      <c r="EW66" s="6">
        <f>日流量!EW66*24*3600/100000000</f>
        <v>1.73664</v>
      </c>
      <c r="EX66" s="6">
        <f>日流量!EX66*24*3600/100000000</f>
        <v>1.944</v>
      </c>
      <c r="EY66" s="6">
        <f>日流量!EY66*24*3600/100000000</f>
        <v>2.2896000000000001</v>
      </c>
      <c r="EZ66" s="6">
        <f>日流量!EZ66*24*3600/100000000</f>
        <v>2.7561599999999999</v>
      </c>
      <c r="FA66" s="6">
        <f>日流量!FA66*24*3600/100000000</f>
        <v>2.7475200000000002</v>
      </c>
      <c r="FB66" s="6">
        <f>日流量!FB66*24*3600/100000000</f>
        <v>2.94624</v>
      </c>
      <c r="FC66" s="6">
        <f>日流量!FC66*24*3600/100000000</f>
        <v>3.1795200000000001</v>
      </c>
      <c r="FD66" s="6">
        <f>日流量!FD66*24*3600/100000000</f>
        <v>3.4819200000000001</v>
      </c>
      <c r="FE66" s="6">
        <f>日流量!FE66*24*3600/100000000</f>
        <v>3.72384</v>
      </c>
      <c r="FF66" s="6">
        <f>日流量!FF66*24*3600/100000000</f>
        <v>3.4646400000000002</v>
      </c>
      <c r="FG66" s="6">
        <f>日流量!FG66*24*3600/100000000</f>
        <v>3.3350399999999998</v>
      </c>
      <c r="FH66" s="6">
        <f>日流量!FH66*24*3600/100000000</f>
        <v>3.5769600000000001</v>
      </c>
      <c r="FI66" s="6">
        <f>日流量!FI66*24*3600/100000000</f>
        <v>3.24864</v>
      </c>
      <c r="FJ66" s="6">
        <f>日流量!FJ66*24*3600/100000000</f>
        <v>3.1536</v>
      </c>
      <c r="FK66" s="6">
        <f>日流量!FK66*24*3600/100000000</f>
        <v>3.2572800000000002</v>
      </c>
      <c r="FL66" s="6">
        <f>日流量!FL66*24*3600/100000000</f>
        <v>3.55104</v>
      </c>
      <c r="FM66" s="6">
        <f>日流量!FM66*24*3600/100000000</f>
        <v>3.5683199999999999</v>
      </c>
      <c r="FN66" s="6">
        <f>日流量!FN66*24*3600/100000000</f>
        <v>3.7324799999999998</v>
      </c>
      <c r="FO66" s="6">
        <f>日流量!FO66*24*3600/100000000</f>
        <v>3.8016000000000001</v>
      </c>
      <c r="FP66" s="6">
        <f>日流量!FP66*24*3600/100000000</f>
        <v>3.9052799999999999</v>
      </c>
      <c r="FQ66" s="6">
        <f>日流量!FQ66*24*3600/100000000</f>
        <v>3.8793600000000001</v>
      </c>
      <c r="FR66" s="6">
        <f>日流量!FR66*24*3600/100000000</f>
        <v>3.5769600000000001</v>
      </c>
      <c r="FS66" s="6">
        <f>日流量!FS66*24*3600/100000000</f>
        <v>3.0585599999999999</v>
      </c>
      <c r="FT66" s="6">
        <f>日流量!FT66*24*3600/100000000</f>
        <v>3.0499200000000002</v>
      </c>
      <c r="FU66" s="6">
        <f>日流量!FU66*24*3600/100000000</f>
        <v>3.0931199999999999</v>
      </c>
      <c r="FV66" s="6">
        <f>日流量!FV66*24*3600/100000000</f>
        <v>2.8771200000000001</v>
      </c>
      <c r="FW66" s="6">
        <f>日流量!FW66*24*3600/100000000</f>
        <v>2.64384</v>
      </c>
      <c r="FX66" s="6">
        <f>日流量!FX66*24*3600/100000000</f>
        <v>2.94624</v>
      </c>
      <c r="FY66" s="6">
        <f>日流量!FY66*24*3600/100000000</f>
        <v>2.7302399999999998</v>
      </c>
      <c r="FZ66" s="6">
        <f>日流量!FZ66*24*3600/100000000</f>
        <v>2.4883199999999999</v>
      </c>
      <c r="GA66" s="6">
        <f>日流量!GA66*24*3600/100000000</f>
        <v>3.0067200000000001</v>
      </c>
      <c r="GB66" s="6">
        <f>日流量!GB66*24*3600/100000000</f>
        <v>3.4992000000000001</v>
      </c>
      <c r="GC66" s="6">
        <f>日流量!GC66*24*3600/100000000</f>
        <v>3.6979199999999999</v>
      </c>
      <c r="GD66" s="6">
        <f>日流量!GD66*24*3600/100000000</f>
        <v>4.2249600000000003</v>
      </c>
      <c r="GE66" s="6">
        <f>日流量!GE66*24*3600/100000000</f>
        <v>4.0003200000000003</v>
      </c>
      <c r="GF66" s="6">
        <f>日流量!GF66*24*3600/100000000</f>
        <v>3.55104</v>
      </c>
      <c r="GG66" s="6">
        <f>日流量!GG66*24*3600/100000000</f>
        <v>3.72384</v>
      </c>
      <c r="GH66" s="6">
        <f>日流量!GH66*24*3600/100000000</f>
        <v>3.4732799999999999</v>
      </c>
      <c r="GI66" s="6">
        <f>日流量!GI66*24*3600/100000000</f>
        <v>3.6201599999999998</v>
      </c>
      <c r="GJ66" s="6">
        <f>日流量!GJ66*24*3600/100000000</f>
        <v>4.1040000000000001</v>
      </c>
      <c r="GK66" s="6">
        <f>日流量!GK66*24*3600/100000000</f>
        <v>4.1299200000000003</v>
      </c>
      <c r="GL66" s="6">
        <f>日流量!GL66*24*3600/100000000</f>
        <v>4.0867199999999997</v>
      </c>
      <c r="GM66" s="6">
        <f>日流量!GM66*24*3600/100000000</f>
        <v>3.9139200000000001</v>
      </c>
      <c r="GN66" s="6">
        <f>日流量!GN66*24*3600/100000000</f>
        <v>4.2767999999999997</v>
      </c>
      <c r="GO66" s="6">
        <f>日流量!GO66*24*3600/100000000</f>
        <v>4.8384</v>
      </c>
      <c r="GP66" s="6">
        <f>日流量!GP66*24*3600/100000000</f>
        <v>5.2790400000000002</v>
      </c>
      <c r="GQ66" s="6">
        <f>日流量!GQ66*24*3600/100000000</f>
        <v>5.34816</v>
      </c>
      <c r="GR66" s="6">
        <f>日流量!GR66*24*3600/100000000</f>
        <v>5.4950400000000004</v>
      </c>
      <c r="GS66" s="6">
        <f>日流量!GS66*24*3600/100000000</f>
        <v>5.4</v>
      </c>
      <c r="GT66" s="6">
        <f>日流量!GT66*24*3600/100000000</f>
        <v>5.95296</v>
      </c>
      <c r="GU66" s="6">
        <f>日流量!GU66*24*3600/100000000</f>
        <v>6.2121599999999999</v>
      </c>
      <c r="GV66" s="6">
        <f>日流量!GV66*24*3600/100000000</f>
        <v>6.87744</v>
      </c>
      <c r="GW66" s="6">
        <f>日流量!GW66*24*3600/100000000</f>
        <v>8.6140799999999995</v>
      </c>
      <c r="GX66" s="6">
        <f>日流量!GX66*24*3600/100000000</f>
        <v>10.1088</v>
      </c>
      <c r="GY66" s="6">
        <f>日流量!GY66*24*3600/100000000</f>
        <v>11.750400000000001</v>
      </c>
      <c r="GZ66" s="6">
        <f>日流量!GZ66*24*3600/100000000</f>
        <v>10.1088</v>
      </c>
      <c r="HA66" s="6">
        <f>日流量!HA66*24*3600/100000000</f>
        <v>7.4044800000000004</v>
      </c>
      <c r="HB66" s="6">
        <f>日流量!HB66*24*3600/100000000</f>
        <v>8.3116800000000008</v>
      </c>
      <c r="HC66" s="6">
        <f>日流量!HC66*24*3600/100000000</f>
        <v>8.8127999999999993</v>
      </c>
      <c r="HD66" s="6">
        <f>日流量!HD66*24*3600/100000000</f>
        <v>8.64</v>
      </c>
      <c r="HE66" s="6">
        <f>日流量!HE66*24*3600/100000000</f>
        <v>6.4195200000000003</v>
      </c>
      <c r="HF66" s="6">
        <f>日流量!HF66*24*3600/100000000</f>
        <v>6.6182400000000001</v>
      </c>
      <c r="HG66" s="6">
        <f>日流量!HG66*24*3600/100000000</f>
        <v>7.2662399999999998</v>
      </c>
      <c r="HH66" s="6">
        <f>日流量!HH66*24*3600/100000000</f>
        <v>7.7414399999999999</v>
      </c>
      <c r="HI66" s="6">
        <f>日流量!HI66*24*3600/100000000</f>
        <v>8.1475200000000001</v>
      </c>
      <c r="HJ66" s="6">
        <f>日流量!HJ66*24*3600/100000000</f>
        <v>7.7932800000000002</v>
      </c>
      <c r="HK66" s="6">
        <f>日流量!HK66*24*3600/100000000</f>
        <v>6.9292800000000003</v>
      </c>
      <c r="HL66" s="6">
        <f>日流量!HL66*24*3600/100000000</f>
        <v>5.3913599999999997</v>
      </c>
      <c r="HM66" s="6">
        <f>日流量!HM66*24*3600/100000000</f>
        <v>4.7001600000000003</v>
      </c>
      <c r="HN66" s="6">
        <f>日流量!HN66*24*3600/100000000</f>
        <v>4.8902400000000004</v>
      </c>
      <c r="HO66" s="6">
        <f>日流量!HO66*24*3600/100000000</f>
        <v>4.8643200000000002</v>
      </c>
      <c r="HP66" s="6">
        <f>日流量!HP66*24*3600/100000000</f>
        <v>4.4409599999999996</v>
      </c>
      <c r="HQ66" s="6">
        <f>日流量!HQ66*24*3600/100000000</f>
        <v>4.7692800000000002</v>
      </c>
      <c r="HR66" s="6">
        <f>日流量!HR66*24*3600/100000000</f>
        <v>5.6937600000000002</v>
      </c>
      <c r="HS66" s="6">
        <f>日流量!HS66*24*3600/100000000</f>
        <v>6.4281600000000001</v>
      </c>
      <c r="HT66" s="6">
        <f>日流量!HT66*24*3600/100000000</f>
        <v>6.5836800000000002</v>
      </c>
      <c r="HU66" s="6">
        <f>日流量!HU66*24*3600/100000000</f>
        <v>5.8492800000000003</v>
      </c>
      <c r="HV66" s="6">
        <f>日流量!HV66*24*3600/100000000</f>
        <v>5.0457599999999996</v>
      </c>
      <c r="HW66" s="6">
        <f>日流量!HW66*24*3600/100000000</f>
        <v>5.0544000000000002</v>
      </c>
      <c r="HX66" s="6">
        <f>日流量!HX66*24*3600/100000000</f>
        <v>4.5705600000000004</v>
      </c>
      <c r="HY66" s="6">
        <f>日流量!HY66*24*3600/100000000</f>
        <v>4.2422399999999998</v>
      </c>
      <c r="HZ66" s="6">
        <f>日流量!HZ66*24*3600/100000000</f>
        <v>4.5273599999999998</v>
      </c>
      <c r="IA66" s="6">
        <f>日流量!IA66*24*3600/100000000</f>
        <v>4.3459199999999996</v>
      </c>
      <c r="IB66" s="6">
        <f>日流量!IB66*24*3600/100000000</f>
        <v>4.0003200000000003</v>
      </c>
      <c r="IC66" s="6">
        <f>日流量!IC66*24*3600/100000000</f>
        <v>3.9139200000000001</v>
      </c>
      <c r="ID66" s="6">
        <f>日流量!ID66*24*3600/100000000</f>
        <v>3.8966400000000001</v>
      </c>
      <c r="IE66" s="6">
        <f>日流量!IE66*24*3600/100000000</f>
        <v>4.1817599999999997</v>
      </c>
      <c r="IF66" s="6">
        <f>日流量!IF66*24*3600/100000000</f>
        <v>4.3632</v>
      </c>
      <c r="IG66" s="6">
        <f>日流量!IG66*24*3600/100000000</f>
        <v>4.32864</v>
      </c>
      <c r="IH66" s="6">
        <f>日流量!IH66*24*3600/100000000</f>
        <v>4.1212799999999996</v>
      </c>
      <c r="II66" s="6">
        <f>日流量!II66*24*3600/100000000</f>
        <v>4.0262399999999996</v>
      </c>
      <c r="IJ66" s="6">
        <f>日流量!IJ66*24*3600/100000000</f>
        <v>4.2163199999999996</v>
      </c>
      <c r="IK66" s="6">
        <f>日流量!IK66*24*3600/100000000</f>
        <v>4.3545600000000002</v>
      </c>
      <c r="IL66" s="6">
        <f>日流量!IL66*24*3600/100000000</f>
        <v>4.1817599999999997</v>
      </c>
      <c r="IM66" s="6">
        <f>日流量!IM66*24*3600/100000000</f>
        <v>4.04352</v>
      </c>
      <c r="IN66" s="6">
        <f>日流量!IN66*24*3600/100000000</f>
        <v>4.1212799999999996</v>
      </c>
      <c r="IO66" s="6">
        <f>日流量!IO66*24*3600/100000000</f>
        <v>4.1817599999999997</v>
      </c>
      <c r="IP66" s="6">
        <f>日流量!IP66*24*3600/100000000</f>
        <v>4.0089600000000001</v>
      </c>
      <c r="IQ66" s="6">
        <f>日流量!IQ66*24*3600/100000000</f>
        <v>4.3804800000000004</v>
      </c>
      <c r="IR66" s="6">
        <f>日流量!IR66*24*3600/100000000</f>
        <v>5.1235200000000001</v>
      </c>
      <c r="IS66" s="6">
        <f>日流量!IS66*24*3600/100000000</f>
        <v>5.6332800000000001</v>
      </c>
      <c r="IT66" s="6">
        <f>日流量!IT66*24*3600/100000000</f>
        <v>7.2057599999999997</v>
      </c>
      <c r="IU66" s="6">
        <f>日流量!IU66*24*3600/100000000</f>
        <v>9.8496000000000006</v>
      </c>
      <c r="IV66" s="6">
        <f>日流量!IV66*24*3600/100000000</f>
        <v>9.4176000000000002</v>
      </c>
      <c r="IW66" s="6">
        <f>日流量!IW66*24*3600/100000000</f>
        <v>8.7263999999999999</v>
      </c>
      <c r="IX66" s="6">
        <f>日流量!IX66*24*3600/100000000</f>
        <v>10.540800000000001</v>
      </c>
      <c r="IY66" s="6">
        <f>日流量!IY66*24*3600/100000000</f>
        <v>10.368</v>
      </c>
      <c r="IZ66" s="6">
        <f>日流量!IZ66*24*3600/100000000</f>
        <v>8.5104000000000006</v>
      </c>
      <c r="JA66" s="6">
        <f>日流量!JA66*24*3600/100000000</f>
        <v>6.7478400000000001</v>
      </c>
      <c r="JB66" s="6">
        <f>日流量!JB66*24*3600/100000000</f>
        <v>6.3936000000000002</v>
      </c>
      <c r="JC66" s="6">
        <f>日流量!JC66*24*3600/100000000</f>
        <v>5.7888000000000002</v>
      </c>
      <c r="JD66" s="6">
        <f>日流量!JD66*24*3600/100000000</f>
        <v>5.0889600000000002</v>
      </c>
      <c r="JE66" s="6">
        <f>日流量!JE66*24*3600/100000000</f>
        <v>4.6656000000000004</v>
      </c>
      <c r="JF66" s="6">
        <f>日流量!JF66*24*3600/100000000</f>
        <v>5.2704000000000004</v>
      </c>
      <c r="JG66" s="6">
        <f>日流量!JG66*24*3600/100000000</f>
        <v>4.7952000000000004</v>
      </c>
      <c r="JH66" s="6">
        <f>日流量!JH66*24*3600/100000000</f>
        <v>4.9420799999999998</v>
      </c>
      <c r="JI66" s="6">
        <f>日流量!JI66*24*3600/100000000</f>
        <v>4.3027199999999999</v>
      </c>
      <c r="JJ66" s="6">
        <f>日流量!JJ66*24*3600/100000000</f>
        <v>3.9052799999999999</v>
      </c>
      <c r="JK66" s="6">
        <f>日流量!JK66*24*3600/100000000</f>
        <v>4.1731199999999999</v>
      </c>
      <c r="JL66" s="6">
        <f>日流量!JL66*24*3600/100000000</f>
        <v>4.6656000000000004</v>
      </c>
      <c r="JM66" s="6">
        <f>日流量!JM66*24*3600/100000000</f>
        <v>4.6223999999999998</v>
      </c>
      <c r="JN66" s="6">
        <f>日流量!JN66*24*3600/100000000</f>
        <v>4.5359999999999996</v>
      </c>
      <c r="JO66" s="6">
        <f>日流量!JO66*24*3600/100000000</f>
        <v>5.3654400000000004</v>
      </c>
      <c r="JP66" s="6">
        <f>日流量!JP66*24*3600/100000000</f>
        <v>4.7088000000000001</v>
      </c>
      <c r="JQ66" s="6">
        <f>日流量!JQ66*24*3600/100000000</f>
        <v>4.2767999999999997</v>
      </c>
      <c r="JR66" s="6">
        <f>日流量!JR66*24*3600/100000000</f>
        <v>4.2767999999999997</v>
      </c>
      <c r="JS66" s="6">
        <f>日流量!JS66*24*3600/100000000</f>
        <v>3.7324799999999998</v>
      </c>
      <c r="JT66" s="6">
        <f>日流量!JT66*24*3600/100000000</f>
        <v>4.1212799999999996</v>
      </c>
      <c r="JU66" s="6">
        <f>日流量!JU66*24*3600/100000000</f>
        <v>3.53376</v>
      </c>
      <c r="JV66" s="6">
        <f>日流量!JV66*24*3600/100000000</f>
        <v>3.5251199999999998</v>
      </c>
      <c r="JW66" s="6">
        <f>日流量!JW66*24*3600/100000000</f>
        <v>3.9052799999999999</v>
      </c>
      <c r="JX66" s="6">
        <f>日流量!JX66*24*3600/100000000</f>
        <v>5.5641600000000002</v>
      </c>
      <c r="JY66" s="6">
        <f>日流量!JY66*24*3600/100000000</f>
        <v>4.3891200000000001</v>
      </c>
      <c r="JZ66" s="6">
        <f>日流量!JZ66*24*3600/100000000</f>
        <v>4.13856</v>
      </c>
      <c r="KA66" s="6">
        <f>日流量!KA66*24*3600/100000000</f>
        <v>3.9916800000000001</v>
      </c>
      <c r="KB66" s="6">
        <f>日流量!KB66*24*3600/100000000</f>
        <v>3.96576</v>
      </c>
      <c r="KC66" s="6">
        <f>日流量!KC66*24*3600/100000000</f>
        <v>3.9052799999999999</v>
      </c>
      <c r="KD66" s="6">
        <f>日流量!KD66*24*3600/100000000</f>
        <v>3.8448000000000002</v>
      </c>
      <c r="KE66" s="6">
        <f>日流量!KE66*24*3600/100000000</f>
        <v>3.8016000000000001</v>
      </c>
      <c r="KF66" s="6">
        <f>日流量!KF66*24*3600/100000000</f>
        <v>3.7843200000000001</v>
      </c>
      <c r="KG66" s="6">
        <f>日流量!KG66*24*3600/100000000</f>
        <v>3.7584</v>
      </c>
      <c r="KH66" s="6">
        <f>日流量!KH66*24*3600/100000000</f>
        <v>3.9139200000000001</v>
      </c>
      <c r="KI66" s="6">
        <f>日流量!KI66*24*3600/100000000</f>
        <v>3.7670400000000002</v>
      </c>
      <c r="KJ66" s="6">
        <f>日流量!KJ66*24*3600/100000000</f>
        <v>3.5164800000000001</v>
      </c>
      <c r="KK66" s="6">
        <f>日流量!KK66*24*3600/100000000</f>
        <v>3.5078399999999998</v>
      </c>
      <c r="KL66" s="6">
        <f>日流量!KL66*24*3600/100000000</f>
        <v>3.5769600000000001</v>
      </c>
      <c r="KM66" s="6">
        <f>日流量!KM66*24*3600/100000000</f>
        <v>3.8879999999999999</v>
      </c>
      <c r="KN66" s="6">
        <f>日流量!KN66*24*3600/100000000</f>
        <v>3.8966400000000001</v>
      </c>
      <c r="KO66" s="6">
        <f>日流量!KO66*24*3600/100000000</f>
        <v>3.6374399999999998</v>
      </c>
      <c r="KP66" s="6">
        <f>日流量!KP66*24*3600/100000000</f>
        <v>3.3868800000000001</v>
      </c>
      <c r="KQ66" s="6">
        <f>日流量!KQ66*24*3600/100000000</f>
        <v>3.3350399999999998</v>
      </c>
      <c r="KR66" s="6">
        <f>日流量!KR66*24*3600/100000000</f>
        <v>3.3264</v>
      </c>
      <c r="KS66" s="6">
        <f>日流量!KS66*24*3600/100000000</f>
        <v>2.7302399999999998</v>
      </c>
      <c r="KT66" s="6">
        <f>日流量!KT66*24*3600/100000000</f>
        <v>2.51424</v>
      </c>
      <c r="KU66" s="6">
        <f>日流量!KU66*24*3600/100000000</f>
        <v>2.5488</v>
      </c>
      <c r="KV66" s="6">
        <f>日流量!KV66*24*3600/100000000</f>
        <v>2.2031999999999998</v>
      </c>
      <c r="KW66" s="6">
        <f>日流量!KW66*24*3600/100000000</f>
        <v>2.5660799999999999</v>
      </c>
      <c r="KX66" s="6">
        <f>日流量!KX66*24*3600/100000000</f>
        <v>2.2636799999999999</v>
      </c>
      <c r="KY66" s="6">
        <f>日流量!KY66*24*3600/100000000</f>
        <v>2.2204799999999998</v>
      </c>
      <c r="KZ66" s="6">
        <f>日流量!KZ66*24*3600/100000000</f>
        <v>2.3155199999999998</v>
      </c>
      <c r="LA66" s="6">
        <f>日流量!LA66*24*3600/100000000</f>
        <v>2.2809599999999999</v>
      </c>
      <c r="LB66" s="6">
        <f>日流量!LB66*24*3600/100000000</f>
        <v>2.1945600000000001</v>
      </c>
      <c r="LC66" s="6">
        <f>日流量!LC66*24*3600/100000000</f>
        <v>2.1081599999999998</v>
      </c>
      <c r="LD66" s="6">
        <f>日流量!LD66*24*3600/100000000</f>
        <v>2.16</v>
      </c>
      <c r="LE66" s="6">
        <f>日流量!LE66*24*3600/100000000</f>
        <v>2.4278400000000002</v>
      </c>
      <c r="LF66" s="6">
        <f>日流量!LF66*24*3600/100000000</f>
        <v>2.1686399999999999</v>
      </c>
      <c r="LG66" s="6">
        <f>日流量!LG66*24*3600/100000000</f>
        <v>2.22912</v>
      </c>
      <c r="LH66" s="6">
        <f>日流量!LH66*24*3600/100000000</f>
        <v>2.00448</v>
      </c>
      <c r="LI66" s="6">
        <f>日流量!LI66*24*3600/100000000</f>
        <v>2.2204799999999998</v>
      </c>
      <c r="LJ66" s="6">
        <f>日流量!LJ66*24*3600/100000000</f>
        <v>2.30688</v>
      </c>
      <c r="LK66" s="6">
        <f>日流量!LK66*24*3600/100000000</f>
        <v>2.2550400000000002</v>
      </c>
      <c r="LL66" s="6">
        <f>日流量!LL66*24*3600/100000000</f>
        <v>2.3500800000000002</v>
      </c>
      <c r="LM66" s="6">
        <f>日流量!LM66*24*3600/100000000</f>
        <v>2.5833599999999999</v>
      </c>
      <c r="LN66" s="6">
        <f>日流量!LN66*24*3600/100000000</f>
        <v>2.7820800000000001</v>
      </c>
      <c r="LO66" s="6">
        <f>日流量!LO66*24*3600/100000000</f>
        <v>2.53152</v>
      </c>
      <c r="LP66" s="6">
        <f>日流量!LP66*24*3600/100000000</f>
        <v>2.1859199999999999</v>
      </c>
      <c r="LQ66" s="6">
        <f>日流量!LQ66*24*3600/100000000</f>
        <v>2.22912</v>
      </c>
      <c r="LR66" s="6">
        <f>日流量!LR66*24*3600/100000000</f>
        <v>2.03904</v>
      </c>
      <c r="LS66" s="6">
        <f>日流量!LS66*24*3600/100000000</f>
        <v>1.9785600000000001</v>
      </c>
      <c r="LT66" s="6">
        <f>日流量!LT66*24*3600/100000000</f>
        <v>1.8489599999999999</v>
      </c>
      <c r="LU66" s="6">
        <f>日流量!LU66*24*3600/100000000</f>
        <v>2.13408</v>
      </c>
      <c r="LV66" s="6">
        <f>日流量!LV66*24*3600/100000000</f>
        <v>2.4192</v>
      </c>
      <c r="LW66" s="6">
        <f>日流量!LW66*24*3600/100000000</f>
        <v>2.02176</v>
      </c>
      <c r="LX66" s="6">
        <f>日流量!LX66*24*3600/100000000</f>
        <v>1.73664</v>
      </c>
      <c r="LY66" s="6">
        <f>日流量!LY66*24*3600/100000000</f>
        <v>1.52064</v>
      </c>
      <c r="LZ66" s="6">
        <f>日流量!LZ66*24*3600/100000000</f>
        <v>1.43424</v>
      </c>
      <c r="MA66" s="6">
        <f>日流量!MA66*24*3600/100000000</f>
        <v>1.5984</v>
      </c>
      <c r="MB66" s="6">
        <f>日流量!MB66*24*3600/100000000</f>
        <v>1.9008</v>
      </c>
      <c r="MC66" s="6">
        <f>日流量!MC66*24*3600/100000000</f>
        <v>1.90944</v>
      </c>
      <c r="MD66" s="6">
        <f>日流量!MD66*24*3600/100000000</f>
        <v>1.5811200000000001</v>
      </c>
      <c r="ME66" s="6">
        <f>日流量!ME66*24*3600/100000000</f>
        <v>1.6502399999999999</v>
      </c>
      <c r="MF66" s="6">
        <f>日流量!MF66*24*3600/100000000</f>
        <v>2.0735999999999999</v>
      </c>
      <c r="MG66" s="6">
        <f>日流量!MG66*24*3600/100000000</f>
        <v>1.7452799999999999</v>
      </c>
      <c r="MH66" s="6">
        <f>日流量!MH66*24*3600/100000000</f>
        <v>1.4601599999999999</v>
      </c>
      <c r="MI66" s="6">
        <f>日流量!MI66*24*3600/100000000</f>
        <v>1.4428799999999999</v>
      </c>
      <c r="MJ66" s="6">
        <f>日流量!MJ66*24*3600/100000000</f>
        <v>1.3651199999999999</v>
      </c>
      <c r="MK66" s="6">
        <f>日流量!MK66*24*3600/100000000</f>
        <v>1.3824000000000001</v>
      </c>
      <c r="ML66" s="6">
        <f>日流量!ML66*24*3600/100000000</f>
        <v>1.3564799999999999</v>
      </c>
      <c r="MM66" s="6">
        <f>日流量!MM66*24*3600/100000000</f>
        <v>1.3391999999999999</v>
      </c>
      <c r="MN66" s="6">
        <f>日流量!MN66*24*3600/100000000</f>
        <v>1.33056</v>
      </c>
      <c r="MO66" s="6">
        <f>日流量!MO66*24*3600/100000000</f>
        <v>1.3564799999999999</v>
      </c>
      <c r="MP66" s="6">
        <f>日流量!MP66*24*3600/100000000</f>
        <v>1.4688000000000001</v>
      </c>
      <c r="MQ66" s="6">
        <f>日流量!MQ66*24*3600/100000000</f>
        <v>1.4860800000000001</v>
      </c>
      <c r="MR66" s="6">
        <f>日流量!MR66*24*3600/100000000</f>
        <v>1.4688000000000001</v>
      </c>
      <c r="MS66" s="6">
        <f>日流量!MS66*24*3600/100000000</f>
        <v>1.39968</v>
      </c>
      <c r="MT66" s="6">
        <f>日流量!MT66*24*3600/100000000</f>
        <v>1.2441599999999999</v>
      </c>
      <c r="MU66" s="6">
        <f>日流量!MU66*24*3600/100000000</f>
        <v>1.20096</v>
      </c>
      <c r="MV66" s="6">
        <f>日流量!MV66*24*3600/100000000</f>
        <v>1.2700800000000001</v>
      </c>
      <c r="MW66" s="6">
        <f>日流量!MW66*24*3600/100000000</f>
        <v>1.2441599999999999</v>
      </c>
      <c r="MX66" s="6">
        <f>日流量!MX66*24*3600/100000000</f>
        <v>1.32192</v>
      </c>
      <c r="MY66" s="6">
        <f>日流量!MY66*24*3600/100000000</f>
        <v>1.3391999999999999</v>
      </c>
      <c r="MZ66" s="6">
        <f>日流量!MZ66*24*3600/100000000</f>
        <v>1.31328</v>
      </c>
      <c r="NA66" s="6">
        <f>日流量!NA66*24*3600/100000000</f>
        <v>1.2527999999999999</v>
      </c>
      <c r="NB66" s="6">
        <f>日流量!NB66*24*3600/100000000</f>
        <v>1.1404799999999999</v>
      </c>
      <c r="NC66" s="6"/>
      <c r="ND66" s="6">
        <f>日流量!ND66*24*3600*31/100000000</f>
        <v>41.5152</v>
      </c>
      <c r="NE66" s="6">
        <f>日流量!NE66*24*3600*28/100000000</f>
        <v>32.417279999999998</v>
      </c>
      <c r="NF66" s="6">
        <f>日流量!NF66*24*3600*31/100000000</f>
        <v>39.372480000000003</v>
      </c>
      <c r="NG66" s="6">
        <f>日流量!NG66*24*3600*30/100000000</f>
        <v>41.212800000000001</v>
      </c>
      <c r="NH66" s="6">
        <f>日流量!NH66*24*3600*31/100000000</f>
        <v>49.014719999999997</v>
      </c>
      <c r="NI66" s="6">
        <f>日流量!NI66*24*3600*30/100000000</f>
        <v>95.126400000000004</v>
      </c>
      <c r="NJ66" s="6">
        <f>日流量!NJ66*24*3600*31/100000000</f>
        <v>182.39904000000001</v>
      </c>
      <c r="NK66" s="6">
        <f>日流量!NK66*24*3600*31/100000000</f>
        <v>160.70400000000001</v>
      </c>
      <c r="NL66" s="6">
        <f>日流量!NL66*24*3600*30/100000000</f>
        <v>175.47839999999999</v>
      </c>
      <c r="NM66" s="6">
        <f>日流量!NM66*24*3600*31/100000000</f>
        <v>118.11744</v>
      </c>
      <c r="NN66" s="6">
        <f>日流量!NN66*24*3600*30/100000000</f>
        <v>67.391999999999996</v>
      </c>
      <c r="NO66" s="6">
        <f>日流量!NO66*24*3600*31/100000000</f>
        <v>44.729280000000003</v>
      </c>
      <c r="NP66" s="14">
        <f t="shared" si="10"/>
        <v>1047.4790399999999</v>
      </c>
      <c r="NQ66" s="6">
        <f>日流量!NQ66*24*3600/100000000</f>
        <v>11.750400000000001</v>
      </c>
      <c r="NR66" s="4">
        <f>日流量!NR66</f>
        <v>42575</v>
      </c>
      <c r="NS66" s="6">
        <f>日流量!NS66*24*3600/100000000</f>
        <v>0.93311999999999995</v>
      </c>
      <c r="NT66" s="4">
        <f>日流量!NT66</f>
        <v>42397</v>
      </c>
      <c r="NU66" s="7">
        <f>日流量!NP66</f>
        <v>3322.2191780821918</v>
      </c>
      <c r="NW66" s="13">
        <f t="shared" si="0"/>
        <v>780.84</v>
      </c>
      <c r="NX66" s="12">
        <f t="shared" si="1"/>
        <v>74.544689696129879</v>
      </c>
      <c r="NY66" s="13">
        <f t="shared" si="2"/>
        <v>613.70784000000003</v>
      </c>
      <c r="NZ66" s="12">
        <f t="shared" si="3"/>
        <v>58.589032960506785</v>
      </c>
      <c r="OA66" s="13">
        <f t="shared" si="4"/>
        <v>266.63903999999991</v>
      </c>
      <c r="OB66" s="12">
        <f t="shared" si="5"/>
        <v>25.455310303870132</v>
      </c>
      <c r="OC66" s="13">
        <f t="shared" si="6"/>
        <v>182.39904000000001</v>
      </c>
      <c r="OD66" s="12">
        <f t="shared" si="7"/>
        <v>17.413144610511733</v>
      </c>
      <c r="OE66" s="12">
        <f t="shared" si="8"/>
        <v>244.73809345794393</v>
      </c>
      <c r="OF66" s="12">
        <f t="shared" si="9"/>
        <v>7.760594034054539</v>
      </c>
    </row>
    <row r="67" spans="1:396" x14ac:dyDescent="0.15">
      <c r="A67" s="2">
        <v>2014</v>
      </c>
      <c r="B67" s="6">
        <f>日流量!B67*24*3600/100000000</f>
        <v>1.23552</v>
      </c>
      <c r="C67" s="6">
        <f>日流量!C67*24*3600/100000000</f>
        <v>1.2614399999999999</v>
      </c>
      <c r="D67" s="6">
        <f>日流量!D67*24*3600/100000000</f>
        <v>1.2614399999999999</v>
      </c>
      <c r="E67" s="6">
        <f>日流量!E67*24*3600/100000000</f>
        <v>1.3910400000000001</v>
      </c>
      <c r="F67" s="6">
        <f>日流量!F67*24*3600/100000000</f>
        <v>1.6848000000000001</v>
      </c>
      <c r="G67" s="6">
        <f>日流量!G67*24*3600/100000000</f>
        <v>1.6675199999999999</v>
      </c>
      <c r="H67" s="6">
        <f>日流量!H67*24*3600/100000000</f>
        <v>1.53792</v>
      </c>
      <c r="I67" s="6">
        <f>日流量!I67*24*3600/100000000</f>
        <v>1.7452799999999999</v>
      </c>
      <c r="J67" s="6">
        <f>日流量!J67*24*3600/100000000</f>
        <v>1.82304</v>
      </c>
      <c r="K67" s="6">
        <f>日流量!K67*24*3600/100000000</f>
        <v>1.6934400000000001</v>
      </c>
      <c r="L67" s="6">
        <f>日流量!L67*24*3600/100000000</f>
        <v>1.5551999999999999</v>
      </c>
      <c r="M67" s="6">
        <f>日流量!M67*24*3600/100000000</f>
        <v>1.6675199999999999</v>
      </c>
      <c r="N67" s="6">
        <f>日流量!N67*24*3600/100000000</f>
        <v>1.5638399999999999</v>
      </c>
      <c r="O67" s="6">
        <f>日流量!O67*24*3600/100000000</f>
        <v>1.53792</v>
      </c>
      <c r="P67" s="6">
        <f>日流量!P67*24*3600/100000000</f>
        <v>1.5551999999999999</v>
      </c>
      <c r="Q67" s="6">
        <f>日流量!Q67*24*3600/100000000</f>
        <v>1.5724800000000001</v>
      </c>
      <c r="R67" s="6">
        <f>日流量!R67*24*3600/100000000</f>
        <v>1.512</v>
      </c>
      <c r="S67" s="6">
        <f>日流量!S67*24*3600/100000000</f>
        <v>1.43424</v>
      </c>
      <c r="T67" s="6">
        <f>日流量!T67*24*3600/100000000</f>
        <v>1.3564799999999999</v>
      </c>
      <c r="U67" s="6">
        <f>日流量!U67*24*3600/100000000</f>
        <v>1.2787200000000001</v>
      </c>
      <c r="V67" s="6">
        <f>日流量!V67*24*3600/100000000</f>
        <v>1.11456</v>
      </c>
      <c r="W67" s="6">
        <f>日流量!W67*24*3600/100000000</f>
        <v>1.2527999999999999</v>
      </c>
      <c r="X67" s="6">
        <f>日流量!X67*24*3600/100000000</f>
        <v>1.13184</v>
      </c>
      <c r="Y67" s="6">
        <f>日流量!Y67*24*3600/100000000</f>
        <v>1.32192</v>
      </c>
      <c r="Z67" s="6">
        <f>日流量!Z67*24*3600/100000000</f>
        <v>1.2787200000000001</v>
      </c>
      <c r="AA67" s="6">
        <f>日流量!AA67*24*3600/100000000</f>
        <v>1.1664000000000001</v>
      </c>
      <c r="AB67" s="6">
        <f>日流量!AB67*24*3600/100000000</f>
        <v>1.2700800000000001</v>
      </c>
      <c r="AC67" s="6">
        <f>日流量!AC67*24*3600/100000000</f>
        <v>1.1232</v>
      </c>
      <c r="AD67" s="6">
        <f>日流量!AD67*24*3600/100000000</f>
        <v>1.10592</v>
      </c>
      <c r="AE67" s="6">
        <f>日流量!AE67*24*3600/100000000</f>
        <v>1.00224</v>
      </c>
      <c r="AF67" s="6">
        <f>日流量!AF67*24*3600/100000000</f>
        <v>1.01088</v>
      </c>
      <c r="AG67" s="6">
        <f>日流量!AG67*24*3600/100000000</f>
        <v>1.1577599999999999</v>
      </c>
      <c r="AH67" s="6">
        <f>日流量!AH67*24*3600/100000000</f>
        <v>1.13184</v>
      </c>
      <c r="AI67" s="6">
        <f>日流量!AI67*24*3600/100000000</f>
        <v>1.19232</v>
      </c>
      <c r="AJ67" s="6">
        <f>日流量!AJ67*24*3600/100000000</f>
        <v>1.11456</v>
      </c>
      <c r="AK67" s="6">
        <f>日流量!AK67*24*3600/100000000</f>
        <v>0.95040000000000002</v>
      </c>
      <c r="AL67" s="6">
        <f>日流量!AL67*24*3600/100000000</f>
        <v>1.11456</v>
      </c>
      <c r="AM67" s="6">
        <f>日流量!AM67*24*3600/100000000</f>
        <v>1.39968</v>
      </c>
      <c r="AN67" s="6">
        <f>日流量!AN67*24*3600/100000000</f>
        <v>1.4256</v>
      </c>
      <c r="AO67" s="6">
        <f>日流量!AO67*24*3600/100000000</f>
        <v>1.3478399999999999</v>
      </c>
      <c r="AP67" s="6">
        <f>日流量!AP67*24*3600/100000000</f>
        <v>1.22688</v>
      </c>
      <c r="AQ67" s="6">
        <f>日流量!AQ67*24*3600/100000000</f>
        <v>1.5638399999999999</v>
      </c>
      <c r="AR67" s="6">
        <f>日流量!AR67*24*3600/100000000</f>
        <v>1.41696</v>
      </c>
      <c r="AS67" s="6">
        <f>日流量!AS67*24*3600/100000000</f>
        <v>1.4515199999999999</v>
      </c>
      <c r="AT67" s="6">
        <f>日流量!AT67*24*3600/100000000</f>
        <v>1.4515199999999999</v>
      </c>
      <c r="AU67" s="6">
        <f>日流量!AU67*24*3600/100000000</f>
        <v>1.512</v>
      </c>
      <c r="AV67" s="6">
        <f>日流量!AV67*24*3600/100000000</f>
        <v>1.5811200000000001</v>
      </c>
      <c r="AW67" s="6">
        <f>日流量!AW67*24*3600/100000000</f>
        <v>1.71936</v>
      </c>
      <c r="AX67" s="6">
        <f>日流量!AX67*24*3600/100000000</f>
        <v>1.6502399999999999</v>
      </c>
      <c r="AY67" s="6">
        <f>日流量!AY67*24*3600/100000000</f>
        <v>1.5897600000000001</v>
      </c>
      <c r="AZ67" s="6">
        <f>日流量!AZ67*24*3600/100000000</f>
        <v>1.61568</v>
      </c>
      <c r="BA67" s="6">
        <f>日流量!BA67*24*3600/100000000</f>
        <v>1.6675199999999999</v>
      </c>
      <c r="BB67" s="6">
        <f>日流量!BB67*24*3600/100000000</f>
        <v>1.4601599999999999</v>
      </c>
      <c r="BC67" s="6">
        <f>日流量!BC67*24*3600/100000000</f>
        <v>1.2527999999999999</v>
      </c>
      <c r="BD67" s="6">
        <f>日流量!BD67*24*3600/100000000</f>
        <v>1.2096</v>
      </c>
      <c r="BE67" s="6">
        <f>日流量!BE67*24*3600/100000000</f>
        <v>1.20096</v>
      </c>
      <c r="BF67" s="6">
        <f>日流量!BF67*24*3600/100000000</f>
        <v>1.31328</v>
      </c>
      <c r="BG67" s="6">
        <f>日流量!BG67*24*3600/100000000</f>
        <v>1.39968</v>
      </c>
      <c r="BH67" s="6">
        <f>日流量!BH67*24*3600/100000000</f>
        <v>1.30464</v>
      </c>
      <c r="BI67" s="6"/>
      <c r="BJ67" s="6">
        <f>日流量!BJ67*24*3600/100000000</f>
        <v>1.30464</v>
      </c>
      <c r="BK67" s="6">
        <f>日流量!BK67*24*3600/100000000</f>
        <v>1.21824</v>
      </c>
      <c r="BL67" s="6">
        <f>日流量!BL67*24*3600/100000000</f>
        <v>1.31328</v>
      </c>
      <c r="BM67" s="6">
        <f>日流量!BM67*24*3600/100000000</f>
        <v>1.3391999999999999</v>
      </c>
      <c r="BN67" s="6">
        <f>日流量!BN67*24*3600/100000000</f>
        <v>1.32192</v>
      </c>
      <c r="BO67" s="6">
        <f>日流量!BO67*24*3600/100000000</f>
        <v>1.52064</v>
      </c>
      <c r="BP67" s="6">
        <f>日流量!BP67*24*3600/100000000</f>
        <v>1.4515199999999999</v>
      </c>
      <c r="BQ67" s="6">
        <f>日流量!BQ67*24*3600/100000000</f>
        <v>1.41696</v>
      </c>
      <c r="BR67" s="6">
        <f>日流量!BR67*24*3600/100000000</f>
        <v>1.2700800000000001</v>
      </c>
      <c r="BS67" s="6">
        <f>日流量!BS67*24*3600/100000000</f>
        <v>1.10592</v>
      </c>
      <c r="BT67" s="6">
        <f>日流量!BT67*24*3600/100000000</f>
        <v>1.21824</v>
      </c>
      <c r="BU67" s="6">
        <f>日流量!BU67*24*3600/100000000</f>
        <v>1.20096</v>
      </c>
      <c r="BV67" s="6">
        <f>日流量!BV67*24*3600/100000000</f>
        <v>1.0454399999999999</v>
      </c>
      <c r="BW67" s="6">
        <f>日流量!BW67*24*3600/100000000</f>
        <v>1.20096</v>
      </c>
      <c r="BX67" s="6">
        <f>日流量!BX67*24*3600/100000000</f>
        <v>1.22688</v>
      </c>
      <c r="BY67" s="6">
        <f>日流量!BY67*24*3600/100000000</f>
        <v>1.19232</v>
      </c>
      <c r="BZ67" s="6">
        <f>日流量!BZ67*24*3600/100000000</f>
        <v>1.19232</v>
      </c>
      <c r="CA67" s="6">
        <f>日流量!CA67*24*3600/100000000</f>
        <v>1.2096</v>
      </c>
      <c r="CB67" s="6">
        <f>日流量!CB67*24*3600/100000000</f>
        <v>1.1664000000000001</v>
      </c>
      <c r="CC67" s="6">
        <f>日流量!CC67*24*3600/100000000</f>
        <v>1.1404799999999999</v>
      </c>
      <c r="CD67" s="6">
        <f>日流量!CD67*24*3600/100000000</f>
        <v>1.1750400000000001</v>
      </c>
      <c r="CE67" s="6">
        <f>日流量!CE67*24*3600/100000000</f>
        <v>1.1750400000000001</v>
      </c>
      <c r="CF67" s="6">
        <f>日流量!CF67*24*3600/100000000</f>
        <v>1.2527999999999999</v>
      </c>
      <c r="CG67" s="6">
        <f>日流量!CG67*24*3600/100000000</f>
        <v>1.2527999999999999</v>
      </c>
      <c r="CH67" s="6">
        <f>日流量!CH67*24*3600/100000000</f>
        <v>1.2614399999999999</v>
      </c>
      <c r="CI67" s="6">
        <f>日流量!CI67*24*3600/100000000</f>
        <v>1.3824000000000001</v>
      </c>
      <c r="CJ67" s="6">
        <f>日流量!CJ67*24*3600/100000000</f>
        <v>1.296</v>
      </c>
      <c r="CK67" s="6">
        <f>日流量!CK67*24*3600/100000000</f>
        <v>1.3478399999999999</v>
      </c>
      <c r="CL67" s="6">
        <f>日流量!CL67*24*3600/100000000</f>
        <v>1.31328</v>
      </c>
      <c r="CM67" s="6">
        <f>日流量!CM67*24*3600/100000000</f>
        <v>1.22688</v>
      </c>
      <c r="CN67" s="6">
        <f>日流量!CN67*24*3600/100000000</f>
        <v>1.2873600000000001</v>
      </c>
      <c r="CO67" s="6">
        <f>日流量!CO67*24*3600/100000000</f>
        <v>1.21824</v>
      </c>
      <c r="CP67" s="6">
        <f>日流量!CP67*24*3600/100000000</f>
        <v>1.01088</v>
      </c>
      <c r="CQ67" s="6">
        <f>日流量!CQ67*24*3600/100000000</f>
        <v>1.0454399999999999</v>
      </c>
      <c r="CR67" s="6">
        <f>日流量!CR67*24*3600/100000000</f>
        <v>1.11456</v>
      </c>
      <c r="CS67" s="6">
        <f>日流量!CS67*24*3600/100000000</f>
        <v>0.97631999999999997</v>
      </c>
      <c r="CT67" s="6">
        <f>日流量!CT67*24*3600/100000000</f>
        <v>0.82079999999999997</v>
      </c>
      <c r="CU67" s="6">
        <f>日流量!CU67*24*3600/100000000</f>
        <v>0.82252800000000004</v>
      </c>
      <c r="CV67" s="6">
        <f>日流量!CV67*24*3600/100000000</f>
        <v>0.88127999999999995</v>
      </c>
      <c r="CW67" s="6">
        <f>日流量!CW67*24*3600/100000000</f>
        <v>0.839808</v>
      </c>
      <c r="CX67" s="6">
        <f>日流量!CX67*24*3600/100000000</f>
        <v>0.83894400000000002</v>
      </c>
      <c r="CY67" s="6">
        <f>日流量!CY67*24*3600/100000000</f>
        <v>0.93311999999999995</v>
      </c>
      <c r="CZ67" s="6">
        <f>日流量!CZ67*24*3600/100000000</f>
        <v>0.87263999999999997</v>
      </c>
      <c r="DA67" s="6">
        <f>日流量!DA67*24*3600/100000000</f>
        <v>0.90720000000000001</v>
      </c>
      <c r="DB67" s="6">
        <f>日流量!DB67*24*3600/100000000</f>
        <v>0.99360000000000004</v>
      </c>
      <c r="DC67" s="6">
        <f>日流量!DC67*24*3600/100000000</f>
        <v>1.0713600000000001</v>
      </c>
      <c r="DD67" s="6">
        <f>日流量!DD67*24*3600/100000000</f>
        <v>1.01952</v>
      </c>
      <c r="DE67" s="6">
        <f>日流量!DE67*24*3600/100000000</f>
        <v>1.02816</v>
      </c>
      <c r="DF67" s="6">
        <f>日流量!DF67*24*3600/100000000</f>
        <v>0.98495999999999995</v>
      </c>
      <c r="DG67" s="6">
        <f>日流量!DG67*24*3600/100000000</f>
        <v>0.99360000000000004</v>
      </c>
      <c r="DH67" s="6">
        <f>日流量!DH67*24*3600/100000000</f>
        <v>0.89856000000000003</v>
      </c>
      <c r="DI67" s="6">
        <f>日流量!DI67*24*3600/100000000</f>
        <v>0.88992000000000004</v>
      </c>
      <c r="DJ67" s="6">
        <f>日流量!DJ67*24*3600/100000000</f>
        <v>0.86313600000000001</v>
      </c>
      <c r="DK67" s="6">
        <f>日流量!DK67*24*3600/100000000</f>
        <v>0.84412799999999999</v>
      </c>
      <c r="DL67" s="6">
        <f>日流量!DL67*24*3600/100000000</f>
        <v>1.00224</v>
      </c>
      <c r="DM67" s="6">
        <f>日流量!DM67*24*3600/100000000</f>
        <v>1.2873600000000001</v>
      </c>
      <c r="DN67" s="6">
        <f>日流量!DN67*24*3600/100000000</f>
        <v>1.63296</v>
      </c>
      <c r="DO67" s="6">
        <f>日流量!DO67*24*3600/100000000</f>
        <v>1.512</v>
      </c>
      <c r="DP67" s="6">
        <f>日流量!DP67*24*3600/100000000</f>
        <v>1.41696</v>
      </c>
      <c r="DQ67" s="6">
        <f>日流量!DQ67*24*3600/100000000</f>
        <v>1.4515199999999999</v>
      </c>
      <c r="DR67" s="6">
        <f>日流量!DR67*24*3600/100000000</f>
        <v>1.4774400000000001</v>
      </c>
      <c r="DS67" s="6">
        <f>日流量!DS67*24*3600/100000000</f>
        <v>1.43424</v>
      </c>
      <c r="DT67" s="6">
        <f>日流量!DT67*24*3600/100000000</f>
        <v>1.2700800000000001</v>
      </c>
      <c r="DU67" s="6">
        <f>日流量!DU67*24*3600/100000000</f>
        <v>1.31328</v>
      </c>
      <c r="DV67" s="6">
        <f>日流量!DV67*24*3600/100000000</f>
        <v>1.2527999999999999</v>
      </c>
      <c r="DW67" s="6">
        <f>日流量!DW67*24*3600/100000000</f>
        <v>1.2614399999999999</v>
      </c>
      <c r="DX67" s="6">
        <f>日流量!DX67*24*3600/100000000</f>
        <v>1.2873600000000001</v>
      </c>
      <c r="DY67" s="6">
        <f>日流量!DY67*24*3600/100000000</f>
        <v>1.4860800000000001</v>
      </c>
      <c r="DZ67" s="6">
        <f>日流量!DZ67*24*3600/100000000</f>
        <v>1.61568</v>
      </c>
      <c r="EA67" s="6">
        <f>日流量!EA67*24*3600/100000000</f>
        <v>1.5811200000000001</v>
      </c>
      <c r="EB67" s="6">
        <f>日流量!EB67*24*3600/100000000</f>
        <v>1.61568</v>
      </c>
      <c r="EC67" s="6">
        <f>日流量!EC67*24*3600/100000000</f>
        <v>1.3564799999999999</v>
      </c>
      <c r="ED67" s="6">
        <f>日流量!ED67*24*3600/100000000</f>
        <v>0.96767999999999998</v>
      </c>
      <c r="EE67" s="6">
        <f>日流量!EE67*24*3600/100000000</f>
        <v>1.00224</v>
      </c>
      <c r="EF67" s="6">
        <f>日流量!EF67*24*3600/100000000</f>
        <v>1.01088</v>
      </c>
      <c r="EG67" s="6">
        <f>日流量!EG67*24*3600/100000000</f>
        <v>0.88127999999999995</v>
      </c>
      <c r="EH67" s="6">
        <f>日流量!EH67*24*3600/100000000</f>
        <v>0.89856000000000003</v>
      </c>
      <c r="EI67" s="6">
        <f>日流量!EI67*24*3600/100000000</f>
        <v>0.80179199999999995</v>
      </c>
      <c r="EJ67" s="6">
        <f>日流量!EJ67*24*3600/100000000</f>
        <v>0.85795200000000005</v>
      </c>
      <c r="EK67" s="6">
        <f>日流量!EK67*24*3600/100000000</f>
        <v>0.92447999999999997</v>
      </c>
      <c r="EL67" s="6">
        <f>日流量!EL67*24*3600/100000000</f>
        <v>0.89856000000000003</v>
      </c>
      <c r="EM67" s="6">
        <f>日流量!EM67*24*3600/100000000</f>
        <v>1.3564799999999999</v>
      </c>
      <c r="EN67" s="6">
        <f>日流量!EN67*24*3600/100000000</f>
        <v>1.2700800000000001</v>
      </c>
      <c r="EO67" s="6">
        <f>日流量!EO67*24*3600/100000000</f>
        <v>1.32192</v>
      </c>
      <c r="EP67" s="6">
        <f>日流量!EP67*24*3600/100000000</f>
        <v>1.2614399999999999</v>
      </c>
      <c r="EQ67" s="6">
        <f>日流量!EQ67*24*3600/100000000</f>
        <v>1.3391999999999999</v>
      </c>
      <c r="ER67" s="6">
        <f>日流量!ER67*24*3600/100000000</f>
        <v>1.31328</v>
      </c>
      <c r="ES67" s="6">
        <f>日流量!ES67*24*3600/100000000</f>
        <v>1.23552</v>
      </c>
      <c r="ET67" s="6">
        <f>日流量!ET67*24*3600/100000000</f>
        <v>1.6761600000000001</v>
      </c>
      <c r="EU67" s="6">
        <f>日流量!EU67*24*3600/100000000</f>
        <v>2.03904</v>
      </c>
      <c r="EV67" s="6">
        <f>日流量!EV67*24*3600/100000000</f>
        <v>2.0649600000000001</v>
      </c>
      <c r="EW67" s="6">
        <f>日流量!EW67*24*3600/100000000</f>
        <v>2.00448</v>
      </c>
      <c r="EX67" s="6">
        <f>日流量!EX67*24*3600/100000000</f>
        <v>2.1081599999999998</v>
      </c>
      <c r="EY67" s="6">
        <f>日流量!EY67*24*3600/100000000</f>
        <v>1.3824000000000001</v>
      </c>
      <c r="EZ67" s="6">
        <f>日流量!EZ67*24*3600/100000000</f>
        <v>1.2700800000000001</v>
      </c>
      <c r="FA67" s="6">
        <f>日流量!FA67*24*3600/100000000</f>
        <v>1.4688000000000001</v>
      </c>
      <c r="FB67" s="6">
        <f>日流量!FB67*24*3600/100000000</f>
        <v>1.9785600000000001</v>
      </c>
      <c r="FC67" s="6">
        <f>日流量!FC67*24*3600/100000000</f>
        <v>2.1772800000000001</v>
      </c>
      <c r="FD67" s="6">
        <f>日流量!FD67*24*3600/100000000</f>
        <v>2.1945600000000001</v>
      </c>
      <c r="FE67" s="6">
        <f>日流量!FE67*24*3600/100000000</f>
        <v>2.2550400000000002</v>
      </c>
      <c r="FF67" s="6">
        <f>日流量!FF67*24*3600/100000000</f>
        <v>2.4969600000000001</v>
      </c>
      <c r="FG67" s="6">
        <f>日流量!FG67*24*3600/100000000</f>
        <v>2.22912</v>
      </c>
      <c r="FH67" s="6">
        <f>日流量!FH67*24*3600/100000000</f>
        <v>1.8575999999999999</v>
      </c>
      <c r="FI67" s="6">
        <f>日流量!FI67*24*3600/100000000</f>
        <v>1.49472</v>
      </c>
      <c r="FJ67" s="6">
        <f>日流量!FJ67*24*3600/100000000</f>
        <v>1.41696</v>
      </c>
      <c r="FK67" s="6">
        <f>日流量!FK67*24*3600/100000000</f>
        <v>1.3910400000000001</v>
      </c>
      <c r="FL67" s="6">
        <f>日流量!FL67*24*3600/100000000</f>
        <v>1.6934400000000001</v>
      </c>
      <c r="FM67" s="6">
        <f>日流量!FM67*24*3600/100000000</f>
        <v>1.80576</v>
      </c>
      <c r="FN67" s="6">
        <f>日流量!FN67*24*3600/100000000</f>
        <v>2.0476800000000002</v>
      </c>
      <c r="FO67" s="6">
        <f>日流量!FO67*24*3600/100000000</f>
        <v>1.9958400000000001</v>
      </c>
      <c r="FP67" s="6">
        <f>日流量!FP67*24*3600/100000000</f>
        <v>1.80576</v>
      </c>
      <c r="FQ67" s="6">
        <f>日流量!FQ67*24*3600/100000000</f>
        <v>2.21184</v>
      </c>
      <c r="FR67" s="6">
        <f>日流量!FR67*24*3600/100000000</f>
        <v>1.8748800000000001</v>
      </c>
      <c r="FS67" s="6">
        <f>日流量!FS67*24*3600/100000000</f>
        <v>2.0476800000000002</v>
      </c>
      <c r="FT67" s="6">
        <f>日流量!FT67*24*3600/100000000</f>
        <v>1.92672</v>
      </c>
      <c r="FU67" s="6">
        <f>日流量!FU67*24*3600/100000000</f>
        <v>1.8921600000000001</v>
      </c>
      <c r="FV67" s="6">
        <f>日流量!FV67*24*3600/100000000</f>
        <v>2.0995200000000001</v>
      </c>
      <c r="FW67" s="6">
        <f>日流量!FW67*24*3600/100000000</f>
        <v>2.0649600000000001</v>
      </c>
      <c r="FX67" s="6">
        <f>日流量!FX67*24*3600/100000000</f>
        <v>2.03904</v>
      </c>
      <c r="FY67" s="6">
        <f>日流量!FY67*24*3600/100000000</f>
        <v>2.4019200000000001</v>
      </c>
      <c r="FZ67" s="6">
        <f>日流量!FZ67*24*3600/100000000</f>
        <v>2.5833599999999999</v>
      </c>
      <c r="GA67" s="6">
        <f>日流量!GA67*24*3600/100000000</f>
        <v>3.4732799999999999</v>
      </c>
      <c r="GB67" s="6">
        <f>日流量!GB67*24*3600/100000000</f>
        <v>4.5359999999999996</v>
      </c>
      <c r="GC67" s="6">
        <f>日流量!GC67*24*3600/100000000</f>
        <v>5.2099200000000003</v>
      </c>
      <c r="GD67" s="6">
        <f>日流量!GD67*24*3600/100000000</f>
        <v>5.34816</v>
      </c>
      <c r="GE67" s="6">
        <f>日流量!GE67*24*3600/100000000</f>
        <v>6.8688000000000002</v>
      </c>
      <c r="GF67" s="6">
        <f>日流量!GF67*24*3600/100000000</f>
        <v>9.2447999999999997</v>
      </c>
      <c r="GG67" s="6">
        <f>日流量!GG67*24*3600/100000000</f>
        <v>8.8127999999999993</v>
      </c>
      <c r="GH67" s="6">
        <f>日流量!GH67*24*3600/100000000</f>
        <v>7.4131200000000002</v>
      </c>
      <c r="GI67" s="6">
        <f>日流量!GI67*24*3600/100000000</f>
        <v>7.5945600000000004</v>
      </c>
      <c r="GJ67" s="6">
        <f>日流量!GJ67*24*3600/100000000</f>
        <v>7.5427200000000001</v>
      </c>
      <c r="GK67" s="6">
        <f>日流量!GK67*24*3600/100000000</f>
        <v>6.4195200000000003</v>
      </c>
      <c r="GL67" s="6">
        <f>日流量!GL67*24*3600/100000000</f>
        <v>4.8815999999999997</v>
      </c>
      <c r="GM67" s="6">
        <f>日流量!GM67*24*3600/100000000</f>
        <v>4.8902400000000004</v>
      </c>
      <c r="GN67" s="6">
        <f>日流量!GN67*24*3600/100000000</f>
        <v>5.1321599999999998</v>
      </c>
      <c r="GO67" s="6">
        <f>日流量!GO67*24*3600/100000000</f>
        <v>5.8319999999999999</v>
      </c>
      <c r="GP67" s="6">
        <f>日流量!GP67*24*3600/100000000</f>
        <v>6.7910399999999997</v>
      </c>
      <c r="GQ67" s="6">
        <f>日流量!GQ67*24*3600/100000000</f>
        <v>9.2447999999999997</v>
      </c>
      <c r="GR67" s="6">
        <f>日流量!GR67*24*3600/100000000</f>
        <v>9.7631999999999994</v>
      </c>
      <c r="GS67" s="6">
        <f>日流量!GS67*24*3600/100000000</f>
        <v>11.1456</v>
      </c>
      <c r="GT67" s="6">
        <f>日流量!GT67*24*3600/100000000</f>
        <v>10.4544</v>
      </c>
      <c r="GU67" s="6">
        <f>日流量!GU67*24*3600/100000000</f>
        <v>8.6227199999999993</v>
      </c>
      <c r="GV67" s="6">
        <f>日流量!GV67*24*3600/100000000</f>
        <v>7.7328000000000001</v>
      </c>
      <c r="GW67" s="6">
        <f>日流量!GW67*24*3600/100000000</f>
        <v>6.1430400000000001</v>
      </c>
      <c r="GX67" s="6">
        <f>日流量!GX67*24*3600/100000000</f>
        <v>6.68736</v>
      </c>
      <c r="GY67" s="6">
        <f>日流量!GY67*24*3600/100000000</f>
        <v>6.1344000000000003</v>
      </c>
      <c r="GZ67" s="6">
        <f>日流量!GZ67*24*3600/100000000</f>
        <v>5.4345600000000003</v>
      </c>
      <c r="HA67" s="6">
        <f>日流量!HA67*24*3600/100000000</f>
        <v>5.6764799999999997</v>
      </c>
      <c r="HB67" s="6">
        <f>日流量!HB67*24*3600/100000000</f>
        <v>5.7023999999999999</v>
      </c>
      <c r="HC67" s="6">
        <f>日流量!HC67*24*3600/100000000</f>
        <v>5.2271999999999998</v>
      </c>
      <c r="HD67" s="6">
        <f>日流量!HD67*24*3600/100000000</f>
        <v>4.9766399999999997</v>
      </c>
      <c r="HE67" s="6">
        <f>日流量!HE67*24*3600/100000000</f>
        <v>5.9615999999999998</v>
      </c>
      <c r="HF67" s="6">
        <f>日流量!HF67*24*3600/100000000</f>
        <v>5.98752</v>
      </c>
      <c r="HG67" s="6">
        <f>日流量!HG67*24*3600/100000000</f>
        <v>6.1430400000000001</v>
      </c>
      <c r="HH67" s="6">
        <f>日流量!HH67*24*3600/100000000</f>
        <v>6.1344000000000003</v>
      </c>
      <c r="HI67" s="6">
        <f>日流量!HI67*24*3600/100000000</f>
        <v>5.2704000000000004</v>
      </c>
      <c r="HJ67" s="6">
        <f>日流量!HJ67*24*3600/100000000</f>
        <v>4.8384</v>
      </c>
      <c r="HK67" s="6">
        <f>日流量!HK67*24*3600/100000000</f>
        <v>4.5619199999999998</v>
      </c>
      <c r="HL67" s="6">
        <f>日流量!HL67*24*3600/100000000</f>
        <v>5.1235200000000001</v>
      </c>
      <c r="HM67" s="6">
        <f>日流量!HM67*24*3600/100000000</f>
        <v>5.9443200000000003</v>
      </c>
      <c r="HN67" s="6">
        <f>日流量!HN67*24*3600/100000000</f>
        <v>5.4345600000000003</v>
      </c>
      <c r="HO67" s="6">
        <f>日流量!HO67*24*3600/100000000</f>
        <v>4.8384</v>
      </c>
      <c r="HP67" s="6">
        <f>日流量!HP67*24*3600/100000000</f>
        <v>4.4755200000000004</v>
      </c>
      <c r="HQ67" s="6">
        <f>日流量!HQ67*24*3600/100000000</f>
        <v>5.4</v>
      </c>
      <c r="HR67" s="6">
        <f>日流量!HR67*24*3600/100000000</f>
        <v>7.2144000000000004</v>
      </c>
      <c r="HS67" s="6">
        <f>日流量!HS67*24*3600/100000000</f>
        <v>9.0719999999999992</v>
      </c>
      <c r="HT67" s="6">
        <f>日流量!HT67*24*3600/100000000</f>
        <v>8.1561599999999999</v>
      </c>
      <c r="HU67" s="6">
        <f>日流量!HU67*24*3600/100000000</f>
        <v>8.3289600000000004</v>
      </c>
      <c r="HV67" s="6">
        <f>日流量!HV67*24*3600/100000000</f>
        <v>8.2339199999999995</v>
      </c>
      <c r="HW67" s="6">
        <f>日流量!HW67*24*3600/100000000</f>
        <v>8.2166399999999999</v>
      </c>
      <c r="HX67" s="6">
        <f>日流量!HX67*24*3600/100000000</f>
        <v>8.9855999999999998</v>
      </c>
      <c r="HY67" s="6">
        <f>日流量!HY67*24*3600/100000000</f>
        <v>11.750400000000001</v>
      </c>
      <c r="HZ67" s="6">
        <f>日流量!HZ67*24*3600/100000000</f>
        <v>11.491199999999999</v>
      </c>
      <c r="IA67" s="6">
        <f>日流量!IA67*24*3600/100000000</f>
        <v>10.1088</v>
      </c>
      <c r="IB67" s="6">
        <f>日流量!IB67*24*3600/100000000</f>
        <v>8.8127999999999993</v>
      </c>
      <c r="IC67" s="6">
        <f>日流量!IC67*24*3600/100000000</f>
        <v>8.8127999999999993</v>
      </c>
      <c r="ID67" s="6">
        <f>日流量!ID67*24*3600/100000000</f>
        <v>9.3312000000000008</v>
      </c>
      <c r="IE67" s="6">
        <f>日流量!IE67*24*3600/100000000</f>
        <v>9.2447999999999997</v>
      </c>
      <c r="IF67" s="6">
        <f>日流量!IF67*24*3600/100000000</f>
        <v>9.6768000000000001</v>
      </c>
      <c r="IG67" s="6">
        <f>日流量!IG67*24*3600/100000000</f>
        <v>9.2447999999999997</v>
      </c>
      <c r="IH67" s="6">
        <f>日流量!IH67*24*3600/100000000</f>
        <v>10.1952</v>
      </c>
      <c r="II67" s="6">
        <f>日流量!II67*24*3600/100000000</f>
        <v>12.7872</v>
      </c>
      <c r="IJ67" s="6">
        <f>日流量!IJ67*24*3600/100000000</f>
        <v>12.7872</v>
      </c>
      <c r="IK67" s="6">
        <f>日流量!IK67*24*3600/100000000</f>
        <v>12.268800000000001</v>
      </c>
      <c r="IL67" s="6">
        <f>日流量!IL67*24*3600/100000000</f>
        <v>11.750400000000001</v>
      </c>
      <c r="IM67" s="6">
        <f>日流量!IM67*24*3600/100000000</f>
        <v>9.9359999999999999</v>
      </c>
      <c r="IN67" s="6">
        <f>日流量!IN67*24*3600/100000000</f>
        <v>8.9855999999999998</v>
      </c>
      <c r="IO67" s="6">
        <f>日流量!IO67*24*3600/100000000</f>
        <v>10.022399999999999</v>
      </c>
      <c r="IP67" s="6">
        <f>日流量!IP67*24*3600/100000000</f>
        <v>10.6272</v>
      </c>
      <c r="IQ67" s="6">
        <f>日流量!IQ67*24*3600/100000000</f>
        <v>10.540800000000001</v>
      </c>
      <c r="IR67" s="6">
        <f>日流量!IR67*24*3600/100000000</f>
        <v>11.059200000000001</v>
      </c>
      <c r="IS67" s="6">
        <f>日流量!IS67*24*3600/100000000</f>
        <v>10.368</v>
      </c>
      <c r="IT67" s="6">
        <f>日流量!IT67*24*3600/100000000</f>
        <v>9.3312000000000008</v>
      </c>
      <c r="IU67" s="6">
        <f>日流量!IU67*24*3600/100000000</f>
        <v>8.1647999999999996</v>
      </c>
      <c r="IV67" s="6">
        <f>日流量!IV67*24*3600/100000000</f>
        <v>7.8364799999999999</v>
      </c>
      <c r="IW67" s="6">
        <f>日流量!IW67*24*3600/100000000</f>
        <v>7.3007999999999997</v>
      </c>
      <c r="IX67" s="6">
        <f>日流量!IX67*24*3600/100000000</f>
        <v>7.3872</v>
      </c>
      <c r="IY67" s="6">
        <f>日流量!IY67*24*3600/100000000</f>
        <v>7.9660799999999998</v>
      </c>
      <c r="IZ67" s="6">
        <f>日流量!IZ67*24*3600/100000000</f>
        <v>7.9315199999999999</v>
      </c>
      <c r="JA67" s="6">
        <f>日流量!JA67*24*3600/100000000</f>
        <v>8.0265599999999999</v>
      </c>
      <c r="JB67" s="6">
        <f>日流量!JB67*24*3600/100000000</f>
        <v>7.9574400000000001</v>
      </c>
      <c r="JC67" s="6">
        <f>日流量!JC67*24*3600/100000000</f>
        <v>7.5427200000000001</v>
      </c>
      <c r="JD67" s="6">
        <f>日流量!JD67*24*3600/100000000</f>
        <v>7.3612799999999998</v>
      </c>
      <c r="JE67" s="6">
        <f>日流量!JE67*24*3600/100000000</f>
        <v>7.67232</v>
      </c>
      <c r="JF67" s="6">
        <f>日流量!JF67*24*3600/100000000</f>
        <v>7.3007999999999997</v>
      </c>
      <c r="JG67" s="6">
        <f>日流量!JG67*24*3600/100000000</f>
        <v>7.5340800000000003</v>
      </c>
      <c r="JH67" s="6">
        <f>日流量!JH67*24*3600/100000000</f>
        <v>7.7500799999999996</v>
      </c>
      <c r="JI67" s="6">
        <f>日流量!JI67*24*3600/100000000</f>
        <v>7.6896000000000004</v>
      </c>
      <c r="JJ67" s="6">
        <f>日流量!JJ67*24*3600/100000000</f>
        <v>8.3635199999999994</v>
      </c>
      <c r="JK67" s="6">
        <f>日流量!JK67*24*3600/100000000</f>
        <v>8.9855999999999998</v>
      </c>
      <c r="JL67" s="6">
        <f>日流量!JL67*24*3600/100000000</f>
        <v>8.8127999999999993</v>
      </c>
      <c r="JM67" s="6">
        <f>日流量!JM67*24*3600/100000000</f>
        <v>7.6550399999999996</v>
      </c>
      <c r="JN67" s="6">
        <f>日流量!JN67*24*3600/100000000</f>
        <v>8.2080000000000002</v>
      </c>
      <c r="JO67" s="6">
        <f>日流量!JO67*24*3600/100000000</f>
        <v>7.8710399999999998</v>
      </c>
      <c r="JP67" s="6">
        <f>日流量!JP67*24*3600/100000000</f>
        <v>7.3872</v>
      </c>
      <c r="JQ67" s="6">
        <f>日流量!JQ67*24*3600/100000000</f>
        <v>7.16256</v>
      </c>
      <c r="JR67" s="6">
        <f>日流量!JR67*24*3600/100000000</f>
        <v>6.6959999999999997</v>
      </c>
      <c r="JS67" s="6">
        <f>日流量!JS67*24*3600/100000000</f>
        <v>6.2380800000000001</v>
      </c>
      <c r="JT67" s="6">
        <f>日流量!JT67*24*3600/100000000</f>
        <v>6.1344000000000003</v>
      </c>
      <c r="JU67" s="6">
        <f>日流量!JU67*24*3600/100000000</f>
        <v>5.7369599999999998</v>
      </c>
      <c r="JV67" s="6">
        <f>日流量!JV67*24*3600/100000000</f>
        <v>5.3222399999999999</v>
      </c>
      <c r="JW67" s="6">
        <f>日流量!JW67*24*3600/100000000</f>
        <v>5.2099200000000003</v>
      </c>
      <c r="JX67" s="6">
        <f>日流量!JX67*24*3600/100000000</f>
        <v>5.3136000000000001</v>
      </c>
      <c r="JY67" s="6">
        <f>日流量!JY67*24*3600/100000000</f>
        <v>4.9420799999999998</v>
      </c>
      <c r="JZ67" s="6">
        <f>日流量!JZ67*24*3600/100000000</f>
        <v>4.968</v>
      </c>
      <c r="KA67" s="6">
        <f>日流量!KA67*24*3600/100000000</f>
        <v>4.6223999999999998</v>
      </c>
      <c r="KB67" s="6">
        <f>日流量!KB67*24*3600/100000000</f>
        <v>4.6137600000000001</v>
      </c>
      <c r="KC67" s="6">
        <f>日流量!KC67*24*3600/100000000</f>
        <v>4.6569599999999998</v>
      </c>
      <c r="KD67" s="6">
        <f>日流量!KD67*24*3600/100000000</f>
        <v>4.7952000000000004</v>
      </c>
      <c r="KE67" s="6">
        <f>日流量!KE67*24*3600/100000000</f>
        <v>4.5964799999999997</v>
      </c>
      <c r="KF67" s="6">
        <f>日流量!KF67*24*3600/100000000</f>
        <v>4.3459199999999996</v>
      </c>
      <c r="KG67" s="6">
        <f>日流量!KG67*24*3600/100000000</f>
        <v>4.1040000000000001</v>
      </c>
      <c r="KH67" s="6">
        <f>日流量!KH67*24*3600/100000000</f>
        <v>4.2508800000000004</v>
      </c>
      <c r="KI67" s="6">
        <f>日流量!KI67*24*3600/100000000</f>
        <v>4.3545600000000002</v>
      </c>
      <c r="KJ67" s="6">
        <f>日流量!KJ67*24*3600/100000000</f>
        <v>4.3027199999999999</v>
      </c>
      <c r="KK67" s="6">
        <f>日流量!KK67*24*3600/100000000</f>
        <v>3.64608</v>
      </c>
      <c r="KL67" s="6">
        <f>日流量!KL67*24*3600/100000000</f>
        <v>3.4905599999999999</v>
      </c>
      <c r="KM67" s="6">
        <f>日流量!KM67*24*3600/100000000</f>
        <v>3.24</v>
      </c>
      <c r="KN67" s="6">
        <f>日流量!KN67*24*3600/100000000</f>
        <v>2.8252799999999998</v>
      </c>
      <c r="KO67" s="6">
        <f>日流量!KO67*24*3600/100000000</f>
        <v>3.0067200000000001</v>
      </c>
      <c r="KP67" s="6">
        <f>日流量!KP67*24*3600/100000000</f>
        <v>2.6956799999999999</v>
      </c>
      <c r="KQ67" s="6">
        <f>日流量!KQ67*24*3600/100000000</f>
        <v>2.8944000000000001</v>
      </c>
      <c r="KR67" s="6">
        <f>日流量!KR67*24*3600/100000000</f>
        <v>2.9548800000000002</v>
      </c>
      <c r="KS67" s="6">
        <f>日流量!KS67*24*3600/100000000</f>
        <v>2.9030399999999998</v>
      </c>
      <c r="KT67" s="6">
        <f>日流量!KT67*24*3600/100000000</f>
        <v>2.8771200000000001</v>
      </c>
      <c r="KU67" s="6">
        <f>日流量!KU67*24*3600/100000000</f>
        <v>3.0499200000000002</v>
      </c>
      <c r="KV67" s="6">
        <f>日流量!KV67*24*3600/100000000</f>
        <v>2.8771200000000001</v>
      </c>
      <c r="KW67" s="6">
        <f>日流量!KW67*24*3600/100000000</f>
        <v>2.5920000000000001</v>
      </c>
      <c r="KX67" s="6">
        <f>日流量!KX67*24*3600/100000000</f>
        <v>2.5574400000000002</v>
      </c>
      <c r="KY67" s="6">
        <f>日流量!KY67*24*3600/100000000</f>
        <v>2.5228799999999998</v>
      </c>
      <c r="KZ67" s="6">
        <f>日流量!KZ67*24*3600/100000000</f>
        <v>2.0304000000000002</v>
      </c>
      <c r="LA67" s="6">
        <f>日流量!LA67*24*3600/100000000</f>
        <v>2.0908799999999998</v>
      </c>
      <c r="LB67" s="6">
        <f>日流量!LB67*24*3600/100000000</f>
        <v>1.9872000000000001</v>
      </c>
      <c r="LC67" s="6">
        <f>日流量!LC67*24*3600/100000000</f>
        <v>1.6588799999999999</v>
      </c>
      <c r="LD67" s="6">
        <f>日流量!LD67*24*3600/100000000</f>
        <v>1.6588799999999999</v>
      </c>
      <c r="LE67" s="6">
        <f>日流量!LE67*24*3600/100000000</f>
        <v>1.3824000000000001</v>
      </c>
      <c r="LF67" s="6">
        <f>日流量!LF67*24*3600/100000000</f>
        <v>0.90720000000000001</v>
      </c>
      <c r="LG67" s="6">
        <f>日流量!LG67*24*3600/100000000</f>
        <v>1.32192</v>
      </c>
      <c r="LH67" s="6">
        <f>日流量!LH67*24*3600/100000000</f>
        <v>1.43424</v>
      </c>
      <c r="LI67" s="6">
        <f>日流量!LI67*24*3600/100000000</f>
        <v>1.52928</v>
      </c>
      <c r="LJ67" s="6">
        <f>日流量!LJ67*24*3600/100000000</f>
        <v>1.6588799999999999</v>
      </c>
      <c r="LK67" s="6">
        <f>日流量!LK67*24*3600/100000000</f>
        <v>1.6502399999999999</v>
      </c>
      <c r="LL67" s="6">
        <f>日流量!LL67*24*3600/100000000</f>
        <v>1.50336</v>
      </c>
      <c r="LM67" s="6">
        <f>日流量!LM67*24*3600/100000000</f>
        <v>1.5897600000000001</v>
      </c>
      <c r="LN67" s="6">
        <f>日流量!LN67*24*3600/100000000</f>
        <v>1.5897600000000001</v>
      </c>
      <c r="LO67" s="6">
        <f>日流量!LO67*24*3600/100000000</f>
        <v>1.50336</v>
      </c>
      <c r="LP67" s="6">
        <f>日流量!LP67*24*3600/100000000</f>
        <v>1.3478399999999999</v>
      </c>
      <c r="LQ67" s="6">
        <f>日流量!LQ67*24*3600/100000000</f>
        <v>1.49472</v>
      </c>
      <c r="LR67" s="6">
        <f>日流量!LR67*24*3600/100000000</f>
        <v>1.512</v>
      </c>
      <c r="LS67" s="6">
        <f>日流量!LS67*24*3600/100000000</f>
        <v>1.4428799999999999</v>
      </c>
      <c r="LT67" s="6">
        <f>日流量!LT67*24*3600/100000000</f>
        <v>1.5724800000000001</v>
      </c>
      <c r="LU67" s="6">
        <f>日流量!LU67*24*3600/100000000</f>
        <v>1.7971200000000001</v>
      </c>
      <c r="LV67" s="6">
        <f>日流量!LV67*24*3600/100000000</f>
        <v>1.43424</v>
      </c>
      <c r="LW67" s="6">
        <f>日流量!LW67*24*3600/100000000</f>
        <v>1.33056</v>
      </c>
      <c r="LX67" s="6">
        <f>日流量!LX67*24*3600/100000000</f>
        <v>1.19232</v>
      </c>
      <c r="LY67" s="6">
        <f>日流量!LY67*24*3600/100000000</f>
        <v>1.00224</v>
      </c>
      <c r="LZ67" s="6">
        <f>日流量!LZ67*24*3600/100000000</f>
        <v>1.0454399999999999</v>
      </c>
      <c r="MA67" s="6">
        <f>日流量!MA67*24*3600/100000000</f>
        <v>0.88127999999999995</v>
      </c>
      <c r="MB67" s="6">
        <f>日流量!MB67*24*3600/100000000</f>
        <v>0.83030400000000004</v>
      </c>
      <c r="MC67" s="6">
        <f>日流量!MC67*24*3600/100000000</f>
        <v>0.75427200000000005</v>
      </c>
      <c r="MD67" s="6">
        <f>日流量!MD67*24*3600/100000000</f>
        <v>0.79833600000000005</v>
      </c>
      <c r="ME67" s="6">
        <f>日流量!ME67*24*3600/100000000</f>
        <v>0.78883199999999998</v>
      </c>
      <c r="MF67" s="6">
        <f>日流量!MF67*24*3600/100000000</f>
        <v>0.78710400000000003</v>
      </c>
      <c r="MG67" s="6">
        <f>日流量!MG67*24*3600/100000000</f>
        <v>0.79660799999999998</v>
      </c>
      <c r="MH67" s="6">
        <f>日流量!MH67*24*3600/100000000</f>
        <v>0.84499199999999997</v>
      </c>
      <c r="MI67" s="6">
        <f>日流量!MI67*24*3600/100000000</f>
        <v>0.89856000000000003</v>
      </c>
      <c r="MJ67" s="6">
        <f>日流量!MJ67*24*3600/100000000</f>
        <v>0.77241599999999999</v>
      </c>
      <c r="MK67" s="6">
        <f>日流量!MK67*24*3600/100000000</f>
        <v>0.847584</v>
      </c>
      <c r="ML67" s="6">
        <f>日流量!ML67*24*3600/100000000</f>
        <v>0.76377600000000001</v>
      </c>
      <c r="MM67" s="6">
        <f>日流量!MM67*24*3600/100000000</f>
        <v>0.72230399999999995</v>
      </c>
      <c r="MN67" s="6">
        <f>日流量!MN67*24*3600/100000000</f>
        <v>0.76550399999999996</v>
      </c>
      <c r="MO67" s="6">
        <f>日流量!MO67*24*3600/100000000</f>
        <v>0.827712</v>
      </c>
      <c r="MP67" s="6">
        <f>日流量!MP67*24*3600/100000000</f>
        <v>0.94176000000000004</v>
      </c>
      <c r="MQ67" s="6">
        <f>日流量!MQ67*24*3600/100000000</f>
        <v>1.19232</v>
      </c>
      <c r="MR67" s="6">
        <f>日流量!MR67*24*3600/100000000</f>
        <v>1.1404799999999999</v>
      </c>
      <c r="MS67" s="6">
        <f>日流量!MS67*24*3600/100000000</f>
        <v>1.11456</v>
      </c>
      <c r="MT67" s="6">
        <f>日流量!MT67*24*3600/100000000</f>
        <v>1.0627200000000001</v>
      </c>
      <c r="MU67" s="6">
        <f>日流量!MU67*24*3600/100000000</f>
        <v>1.1750400000000001</v>
      </c>
      <c r="MV67" s="6">
        <f>日流量!MV67*24*3600/100000000</f>
        <v>1.1404799999999999</v>
      </c>
      <c r="MW67" s="6">
        <f>日流量!MW67*24*3600/100000000</f>
        <v>1.0627200000000001</v>
      </c>
      <c r="MX67" s="6">
        <f>日流量!MX67*24*3600/100000000</f>
        <v>1.08</v>
      </c>
      <c r="MY67" s="6">
        <f>日流量!MY67*24*3600/100000000</f>
        <v>1.0454399999999999</v>
      </c>
      <c r="MZ67" s="6">
        <f>日流量!MZ67*24*3600/100000000</f>
        <v>1.22688</v>
      </c>
      <c r="NA67" s="6">
        <f>日流量!NA67*24*3600/100000000</f>
        <v>1.1750400000000001</v>
      </c>
      <c r="NB67" s="6">
        <f>日流量!NB67*24*3600/100000000</f>
        <v>1.2096</v>
      </c>
      <c r="NC67" s="6"/>
      <c r="ND67" s="6">
        <f>日流量!ND67*24*3600*31/100000000</f>
        <v>43.122239999999998</v>
      </c>
      <c r="NE67" s="6">
        <f>日流量!NE67*24*3600*28/100000000</f>
        <v>38.46528</v>
      </c>
      <c r="NF67" s="6">
        <f>日流量!NF67*24*3600*31/100000000</f>
        <v>39.104640000000003</v>
      </c>
      <c r="NG67" s="6">
        <f>日流量!NG67*24*3600*30/100000000</f>
        <v>31.622399999999999</v>
      </c>
      <c r="NH67" s="6">
        <f>日流量!NH67*24*3600*31/100000000</f>
        <v>40.711680000000001</v>
      </c>
      <c r="NI67" s="6">
        <f>日流量!NI67*24*3600*30/100000000</f>
        <v>59.616</v>
      </c>
      <c r="NJ67" s="6">
        <f>日流量!NJ67*24*3600*31/100000000</f>
        <v>211.32576</v>
      </c>
      <c r="NK67" s="6">
        <f>日流量!NK67*24*3600*31/100000000</f>
        <v>252.84096</v>
      </c>
      <c r="NL67" s="6">
        <f>日流量!NL67*24*3600*30/100000000</f>
        <v>257.904</v>
      </c>
      <c r="NM67" s="6">
        <f>日流量!NM67*24*3600*31/100000000</f>
        <v>140.34816000000001</v>
      </c>
      <c r="NN67" s="6">
        <f>日流量!NN67*24*3600*30/100000000</f>
        <v>52.099200000000003</v>
      </c>
      <c r="NO67" s="6">
        <f>日流量!NO67*24*3600*31/100000000</f>
        <v>29.998080000000002</v>
      </c>
      <c r="NP67" s="14">
        <f t="shared" si="10"/>
        <v>1197.1584000000003</v>
      </c>
      <c r="NQ67" s="6">
        <f>日流量!NQ67*24*3600/100000000</f>
        <v>12.7872</v>
      </c>
      <c r="NR67" s="4">
        <f>日流量!NR67</f>
        <v>42611</v>
      </c>
      <c r="NS67" s="6">
        <f>日流量!NS67*24*3600/100000000</f>
        <v>0.72230399999999995</v>
      </c>
      <c r="NT67" s="4">
        <f>日流量!NT67</f>
        <v>42719</v>
      </c>
      <c r="NU67" s="7">
        <f>日流量!NP67</f>
        <v>3796.4465753424656</v>
      </c>
      <c r="NW67" s="13">
        <f t="shared" si="0"/>
        <v>962.74656000000004</v>
      </c>
      <c r="NX67" s="12">
        <f t="shared" si="1"/>
        <v>80.419312933025395</v>
      </c>
      <c r="NY67" s="13">
        <f t="shared" si="2"/>
        <v>781.68671999999992</v>
      </c>
      <c r="NZ67" s="12">
        <f t="shared" si="3"/>
        <v>65.295178983833708</v>
      </c>
      <c r="OA67" s="13">
        <f t="shared" si="4"/>
        <v>234.41184000000021</v>
      </c>
      <c r="OB67" s="12">
        <f t="shared" si="5"/>
        <v>19.580687066974608</v>
      </c>
      <c r="OC67" s="13">
        <f t="shared" si="6"/>
        <v>257.904</v>
      </c>
      <c r="OD67" s="12">
        <f t="shared" si="7"/>
        <v>21.54301385681293</v>
      </c>
      <c r="OE67" s="12">
        <f t="shared" si="8"/>
        <v>279.7099065420561</v>
      </c>
      <c r="OF67" s="12">
        <f t="shared" si="9"/>
        <v>8.8695429522468334</v>
      </c>
    </row>
    <row r="68" spans="1:396" x14ac:dyDescent="0.15">
      <c r="A68" s="2">
        <v>2015</v>
      </c>
      <c r="B68" s="6">
        <f>日流量!B68*24*3600/100000000</f>
        <v>1.3478399999999999</v>
      </c>
      <c r="C68" s="6">
        <f>日流量!C68*24*3600/100000000</f>
        <v>1.4515199999999999</v>
      </c>
      <c r="D68" s="6">
        <f>日流量!D68*24*3600/100000000</f>
        <v>1.728</v>
      </c>
      <c r="E68" s="6">
        <f>日流量!E68*24*3600/100000000</f>
        <v>1.3478399999999999</v>
      </c>
      <c r="F68" s="6">
        <f>日流量!F68*24*3600/100000000</f>
        <v>1.39968</v>
      </c>
      <c r="G68" s="6">
        <f>日流量!G68*24*3600/100000000</f>
        <v>1.512</v>
      </c>
      <c r="H68" s="6">
        <f>日流量!H68*24*3600/100000000</f>
        <v>1.5638399999999999</v>
      </c>
      <c r="I68" s="6">
        <f>日流量!I68*24*3600/100000000</f>
        <v>1.5811200000000001</v>
      </c>
      <c r="J68" s="6">
        <f>日流量!J68*24*3600/100000000</f>
        <v>1.5897600000000001</v>
      </c>
      <c r="K68" s="6">
        <f>日流量!K68*24*3600/100000000</f>
        <v>1.5897600000000001</v>
      </c>
      <c r="L68" s="6">
        <f>日流量!L68*24*3600/100000000</f>
        <v>1.5551999999999999</v>
      </c>
      <c r="M68" s="6">
        <f>日流量!M68*24*3600/100000000</f>
        <v>1.53792</v>
      </c>
      <c r="N68" s="6">
        <f>日流量!N68*24*3600/100000000</f>
        <v>1.50336</v>
      </c>
      <c r="O68" s="6">
        <f>日流量!O68*24*3600/100000000</f>
        <v>1.50336</v>
      </c>
      <c r="P68" s="6">
        <f>日流量!P68*24*3600/100000000</f>
        <v>1.512</v>
      </c>
      <c r="Q68" s="6">
        <f>日流量!Q68*24*3600/100000000</f>
        <v>1.52064</v>
      </c>
      <c r="R68" s="6">
        <f>日流量!R68*24*3600/100000000</f>
        <v>1.52064</v>
      </c>
      <c r="S68" s="6">
        <f>日流量!S68*24*3600/100000000</f>
        <v>1.512</v>
      </c>
      <c r="T68" s="6">
        <f>日流量!T68*24*3600/100000000</f>
        <v>1.53792</v>
      </c>
      <c r="U68" s="6">
        <f>日流量!U68*24*3600/100000000</f>
        <v>1.5984</v>
      </c>
      <c r="V68" s="6">
        <f>日流量!V68*24*3600/100000000</f>
        <v>1.6415999999999999</v>
      </c>
      <c r="W68" s="6">
        <f>日流量!W68*24*3600/100000000</f>
        <v>1.6588799999999999</v>
      </c>
      <c r="X68" s="6">
        <f>日流量!X68*24*3600/100000000</f>
        <v>1.6502399999999999</v>
      </c>
      <c r="Y68" s="6">
        <f>日流量!Y68*24*3600/100000000</f>
        <v>1.6848000000000001</v>
      </c>
      <c r="Z68" s="6">
        <f>日流量!Z68*24*3600/100000000</f>
        <v>1.6934400000000001</v>
      </c>
      <c r="AA68" s="6">
        <f>日流量!AA68*24*3600/100000000</f>
        <v>1.7452799999999999</v>
      </c>
      <c r="AB68" s="6">
        <f>日流量!AB68*24*3600/100000000</f>
        <v>1.8489599999999999</v>
      </c>
      <c r="AC68" s="6">
        <f>日流量!AC68*24*3600/100000000</f>
        <v>1.9008</v>
      </c>
      <c r="AD68" s="6">
        <f>日流量!AD68*24*3600/100000000</f>
        <v>1.944</v>
      </c>
      <c r="AE68" s="6">
        <f>日流量!AE68*24*3600/100000000</f>
        <v>1.9958400000000001</v>
      </c>
      <c r="AF68" s="6">
        <f>日流量!AF68*24*3600/100000000</f>
        <v>2.0476800000000002</v>
      </c>
      <c r="AG68" s="6">
        <f>日流量!AG68*24*3600/100000000</f>
        <v>2.02176</v>
      </c>
      <c r="AH68" s="6">
        <f>日流量!AH68*24*3600/100000000</f>
        <v>1.9872000000000001</v>
      </c>
      <c r="AI68" s="6">
        <f>日流量!AI68*24*3600/100000000</f>
        <v>1.9526399999999999</v>
      </c>
      <c r="AJ68" s="6">
        <f>日流量!AJ68*24*3600/100000000</f>
        <v>1.9612799999999999</v>
      </c>
      <c r="AK68" s="6">
        <f>日流量!AK68*24*3600/100000000</f>
        <v>2.0304000000000002</v>
      </c>
      <c r="AL68" s="6">
        <f>日流量!AL68*24*3600/100000000</f>
        <v>1.9785600000000001</v>
      </c>
      <c r="AM68" s="6">
        <f>日流量!AM68*24*3600/100000000</f>
        <v>1.93536</v>
      </c>
      <c r="AN68" s="6">
        <f>日流量!AN68*24*3600/100000000</f>
        <v>1.9008</v>
      </c>
      <c r="AO68" s="6">
        <f>日流量!AO68*24*3600/100000000</f>
        <v>1.92672</v>
      </c>
      <c r="AP68" s="6">
        <f>日流量!AP68*24*3600/100000000</f>
        <v>1.9612799999999999</v>
      </c>
      <c r="AQ68" s="6">
        <f>日流量!AQ68*24*3600/100000000</f>
        <v>1.9699199999999999</v>
      </c>
      <c r="AR68" s="6">
        <f>日流量!AR68*24*3600/100000000</f>
        <v>2.00448</v>
      </c>
      <c r="AS68" s="6">
        <f>日流量!AS68*24*3600/100000000</f>
        <v>2.1168</v>
      </c>
      <c r="AT68" s="6">
        <f>日流量!AT68*24*3600/100000000</f>
        <v>2.03904</v>
      </c>
      <c r="AU68" s="6">
        <f>日流量!AU68*24*3600/100000000</f>
        <v>2.0131199999999998</v>
      </c>
      <c r="AV68" s="6">
        <f>日流量!AV68*24*3600/100000000</f>
        <v>2.0735999999999999</v>
      </c>
      <c r="AW68" s="6">
        <f>日流量!AW68*24*3600/100000000</f>
        <v>2.1513599999999999</v>
      </c>
      <c r="AX68" s="6">
        <f>日流量!AX68*24*3600/100000000</f>
        <v>1.84032</v>
      </c>
      <c r="AY68" s="6">
        <f>日流量!AY68*24*3600/100000000</f>
        <v>1.4688000000000001</v>
      </c>
      <c r="AZ68" s="6">
        <f>日流量!AZ68*24*3600/100000000</f>
        <v>1.1750400000000001</v>
      </c>
      <c r="BA68" s="6">
        <f>日流量!BA68*24*3600/100000000</f>
        <v>1.0454399999999999</v>
      </c>
      <c r="BB68" s="6">
        <f>日流量!BB68*24*3600/100000000</f>
        <v>1.00224</v>
      </c>
      <c r="BC68" s="6">
        <f>日流量!BC68*24*3600/100000000</f>
        <v>0.98495999999999995</v>
      </c>
      <c r="BD68" s="6">
        <f>日流量!BD68*24*3600/100000000</f>
        <v>0.97631999999999997</v>
      </c>
      <c r="BE68" s="6">
        <f>日流量!BE68*24*3600/100000000</f>
        <v>0.94176000000000004</v>
      </c>
      <c r="BF68" s="6">
        <f>日流量!BF68*24*3600/100000000</f>
        <v>0.93311999999999995</v>
      </c>
      <c r="BG68" s="6">
        <f>日流量!BG68*24*3600/100000000</f>
        <v>0.98495999999999995</v>
      </c>
      <c r="BH68" s="6">
        <f>日流量!BH68*24*3600/100000000</f>
        <v>1.1836800000000001</v>
      </c>
      <c r="BI68" s="6"/>
      <c r="BJ68" s="6">
        <f>日流量!BJ68*24*3600/100000000</f>
        <v>1.39968</v>
      </c>
      <c r="BK68" s="6">
        <f>日流量!BK68*24*3600/100000000</f>
        <v>1.4860800000000001</v>
      </c>
      <c r="BL68" s="6">
        <f>日流量!BL68*24*3600/100000000</f>
        <v>1.50336</v>
      </c>
      <c r="BM68" s="6">
        <f>日流量!BM68*24*3600/100000000</f>
        <v>1.6502399999999999</v>
      </c>
      <c r="BN68" s="6">
        <f>日流量!BN68*24*3600/100000000</f>
        <v>1.73664</v>
      </c>
      <c r="BO68" s="6">
        <f>日流量!BO68*24*3600/100000000</f>
        <v>1.5724800000000001</v>
      </c>
      <c r="BP68" s="6">
        <f>日流量!BP68*24*3600/100000000</f>
        <v>1.1750400000000001</v>
      </c>
      <c r="BQ68" s="6">
        <f>日流量!BQ68*24*3600/100000000</f>
        <v>1.296</v>
      </c>
      <c r="BR68" s="6">
        <f>日流量!BR68*24*3600/100000000</f>
        <v>1.61568</v>
      </c>
      <c r="BS68" s="6">
        <f>日流量!BS68*24*3600/100000000</f>
        <v>1.70208</v>
      </c>
      <c r="BT68" s="6">
        <f>日流量!BT68*24*3600/100000000</f>
        <v>1.7539199999999999</v>
      </c>
      <c r="BU68" s="6">
        <f>日流量!BU68*24*3600/100000000</f>
        <v>1.7539199999999999</v>
      </c>
      <c r="BV68" s="6">
        <f>日流量!BV68*24*3600/100000000</f>
        <v>1.70208</v>
      </c>
      <c r="BW68" s="6">
        <f>日流量!BW68*24*3600/100000000</f>
        <v>1.6848000000000001</v>
      </c>
      <c r="BX68" s="6">
        <f>日流量!BX68*24*3600/100000000</f>
        <v>1.6675199999999999</v>
      </c>
      <c r="BY68" s="6">
        <f>日流量!BY68*24*3600/100000000</f>
        <v>1.6761600000000001</v>
      </c>
      <c r="BZ68" s="6">
        <f>日流量!BZ68*24*3600/100000000</f>
        <v>1.71072</v>
      </c>
      <c r="CA68" s="6">
        <f>日流量!CA68*24*3600/100000000</f>
        <v>1.7884800000000001</v>
      </c>
      <c r="CB68" s="6">
        <f>日流量!CB68*24*3600/100000000</f>
        <v>1.8662399999999999</v>
      </c>
      <c r="CC68" s="6">
        <f>日流量!CC68*24*3600/100000000</f>
        <v>1.9526399999999999</v>
      </c>
      <c r="CD68" s="6">
        <f>日流量!CD68*24*3600/100000000</f>
        <v>1.9872000000000001</v>
      </c>
      <c r="CE68" s="6">
        <f>日流量!CE68*24*3600/100000000</f>
        <v>1.9872000000000001</v>
      </c>
      <c r="CF68" s="6">
        <f>日流量!CF68*24*3600/100000000</f>
        <v>1.9612799999999999</v>
      </c>
      <c r="CG68" s="6">
        <f>日流量!CG68*24*3600/100000000</f>
        <v>1.944</v>
      </c>
      <c r="CH68" s="6">
        <f>日流量!CH68*24*3600/100000000</f>
        <v>1.93536</v>
      </c>
      <c r="CI68" s="6">
        <f>日流量!CI68*24*3600/100000000</f>
        <v>1.9008</v>
      </c>
      <c r="CJ68" s="6">
        <f>日流量!CJ68*24*3600/100000000</f>
        <v>1.83168</v>
      </c>
      <c r="CK68" s="6">
        <f>日流量!CK68*24*3600/100000000</f>
        <v>1.9785600000000001</v>
      </c>
      <c r="CL68" s="6">
        <f>日流量!CL68*24*3600/100000000</f>
        <v>2.1254400000000002</v>
      </c>
      <c r="CM68" s="6">
        <f>日流量!CM68*24*3600/100000000</f>
        <v>2.1945600000000001</v>
      </c>
      <c r="CN68" s="6">
        <f>日流量!CN68*24*3600/100000000</f>
        <v>2.16</v>
      </c>
      <c r="CO68" s="6">
        <f>日流量!CO68*24*3600/100000000</f>
        <v>2.1772800000000001</v>
      </c>
      <c r="CP68" s="6">
        <f>日流量!CP68*24*3600/100000000</f>
        <v>2.1081599999999998</v>
      </c>
      <c r="CQ68" s="6">
        <f>日流量!CQ68*24*3600/100000000</f>
        <v>1.90944</v>
      </c>
      <c r="CR68" s="6">
        <f>日流量!CR68*24*3600/100000000</f>
        <v>1.84032</v>
      </c>
      <c r="CS68" s="6">
        <f>日流量!CS68*24*3600/100000000</f>
        <v>1.7971200000000001</v>
      </c>
      <c r="CT68" s="6">
        <f>日流量!CT68*24*3600/100000000</f>
        <v>1.6934400000000001</v>
      </c>
      <c r="CU68" s="6">
        <f>日流量!CU68*24*3600/100000000</f>
        <v>1.4515199999999999</v>
      </c>
      <c r="CV68" s="6">
        <f>日流量!CV68*24*3600/100000000</f>
        <v>1.2441599999999999</v>
      </c>
      <c r="CW68" s="6">
        <f>日流量!CW68*24*3600/100000000</f>
        <v>1.3910400000000001</v>
      </c>
      <c r="CX68" s="6">
        <f>日流量!CX68*24*3600/100000000</f>
        <v>1.32192</v>
      </c>
      <c r="CY68" s="6">
        <f>日流量!CY68*24*3600/100000000</f>
        <v>1.3651199999999999</v>
      </c>
      <c r="CZ68" s="6">
        <f>日流量!CZ68*24*3600/100000000</f>
        <v>1.3391999999999999</v>
      </c>
      <c r="DA68" s="6">
        <f>日流量!DA68*24*3600/100000000</f>
        <v>1.3478399999999999</v>
      </c>
      <c r="DB68" s="6">
        <f>日流量!DB68*24*3600/100000000</f>
        <v>1.22688</v>
      </c>
      <c r="DC68" s="6">
        <f>日流量!DC68*24*3600/100000000</f>
        <v>1.19232</v>
      </c>
      <c r="DD68" s="6">
        <f>日流量!DD68*24*3600/100000000</f>
        <v>1.3564799999999999</v>
      </c>
      <c r="DE68" s="6">
        <f>日流量!DE68*24*3600/100000000</f>
        <v>1.41696</v>
      </c>
      <c r="DF68" s="6">
        <f>日流量!DF68*24*3600/100000000</f>
        <v>1.2700800000000001</v>
      </c>
      <c r="DG68" s="6">
        <f>日流量!DG68*24*3600/100000000</f>
        <v>1.3478399999999999</v>
      </c>
      <c r="DH68" s="6">
        <f>日流量!DH68*24*3600/100000000</f>
        <v>1.4860800000000001</v>
      </c>
      <c r="DI68" s="6">
        <f>日流量!DI68*24*3600/100000000</f>
        <v>1.41696</v>
      </c>
      <c r="DJ68" s="6">
        <f>日流量!DJ68*24*3600/100000000</f>
        <v>1.70208</v>
      </c>
      <c r="DK68" s="6">
        <f>日流量!DK68*24*3600/100000000</f>
        <v>1.7971200000000001</v>
      </c>
      <c r="DL68" s="6">
        <f>日流量!DL68*24*3600/100000000</f>
        <v>1.61568</v>
      </c>
      <c r="DM68" s="6">
        <f>日流量!DM68*24*3600/100000000</f>
        <v>1.61568</v>
      </c>
      <c r="DN68" s="6">
        <f>日流量!DN68*24*3600/100000000</f>
        <v>1.7539199999999999</v>
      </c>
      <c r="DO68" s="6">
        <f>日流量!DO68*24*3600/100000000</f>
        <v>2.0908799999999998</v>
      </c>
      <c r="DP68" s="6">
        <f>日流量!DP68*24*3600/100000000</f>
        <v>2.2377600000000002</v>
      </c>
      <c r="DQ68" s="6">
        <f>日流量!DQ68*24*3600/100000000</f>
        <v>2.51424</v>
      </c>
      <c r="DR68" s="6">
        <f>日流量!DR68*24*3600/100000000</f>
        <v>2.60928</v>
      </c>
      <c r="DS68" s="6">
        <f>日流量!DS68*24*3600/100000000</f>
        <v>2.6956799999999999</v>
      </c>
      <c r="DT68" s="6">
        <f>日流量!DT68*24*3600/100000000</f>
        <v>2.0908799999999998</v>
      </c>
      <c r="DU68" s="6">
        <f>日流量!DU68*24*3600/100000000</f>
        <v>1.50336</v>
      </c>
      <c r="DV68" s="6">
        <f>日流量!DV68*24*3600/100000000</f>
        <v>1.5551999999999999</v>
      </c>
      <c r="DW68" s="6">
        <f>日流量!DW68*24*3600/100000000</f>
        <v>1.61568</v>
      </c>
      <c r="DX68" s="6">
        <f>日流量!DX68*24*3600/100000000</f>
        <v>1.3910400000000001</v>
      </c>
      <c r="DY68" s="6">
        <f>日流量!DY68*24*3600/100000000</f>
        <v>1.2700800000000001</v>
      </c>
      <c r="DZ68" s="6">
        <f>日流量!DZ68*24*3600/100000000</f>
        <v>1.3478399999999999</v>
      </c>
      <c r="EA68" s="6">
        <f>日流量!EA68*24*3600/100000000</f>
        <v>1.0713600000000001</v>
      </c>
      <c r="EB68" s="6">
        <f>日流量!EB68*24*3600/100000000</f>
        <v>1.01952</v>
      </c>
      <c r="EC68" s="6">
        <f>日流量!EC68*24*3600/100000000</f>
        <v>1.01952</v>
      </c>
      <c r="ED68" s="6">
        <f>日流量!ED68*24*3600/100000000</f>
        <v>1.0713600000000001</v>
      </c>
      <c r="EE68" s="6">
        <f>日流量!EE68*24*3600/100000000</f>
        <v>1.09728</v>
      </c>
      <c r="EF68" s="6">
        <f>日流量!EF68*24*3600/100000000</f>
        <v>1.02816</v>
      </c>
      <c r="EG68" s="6">
        <f>日流量!EG68*24*3600/100000000</f>
        <v>1.0627200000000001</v>
      </c>
      <c r="EH68" s="6">
        <f>日流量!EH68*24*3600/100000000</f>
        <v>1.02816</v>
      </c>
      <c r="EI68" s="6">
        <f>日流量!EI68*24*3600/100000000</f>
        <v>1.0454399999999999</v>
      </c>
      <c r="EJ68" s="6">
        <f>日流量!EJ68*24*3600/100000000</f>
        <v>1.0454399999999999</v>
      </c>
      <c r="EK68" s="6">
        <f>日流量!EK68*24*3600/100000000</f>
        <v>1.0367999999999999</v>
      </c>
      <c r="EL68" s="6">
        <f>日流量!EL68*24*3600/100000000</f>
        <v>1.0540799999999999</v>
      </c>
      <c r="EM68" s="6">
        <f>日流量!EM68*24*3600/100000000</f>
        <v>1.0627200000000001</v>
      </c>
      <c r="EN68" s="6">
        <f>日流量!EN68*24*3600/100000000</f>
        <v>1.3824000000000001</v>
      </c>
      <c r="EO68" s="6">
        <f>日流量!EO68*24*3600/100000000</f>
        <v>1.6848000000000001</v>
      </c>
      <c r="EP68" s="6">
        <f>日流量!EP68*24*3600/100000000</f>
        <v>2.0735999999999999</v>
      </c>
      <c r="EQ68" s="6">
        <f>日流量!EQ68*24*3600/100000000</f>
        <v>2.2204799999999998</v>
      </c>
      <c r="ER68" s="6">
        <f>日流量!ER68*24*3600/100000000</f>
        <v>1.83168</v>
      </c>
      <c r="ES68" s="6">
        <f>日流量!ES68*24*3600/100000000</f>
        <v>1.63296</v>
      </c>
      <c r="ET68" s="6">
        <f>日流量!ET68*24*3600/100000000</f>
        <v>1.6588799999999999</v>
      </c>
      <c r="EU68" s="6">
        <f>日流量!EU68*24*3600/100000000</f>
        <v>1.8575999999999999</v>
      </c>
      <c r="EV68" s="6">
        <f>日流量!EV68*24*3600/100000000</f>
        <v>2.1427200000000002</v>
      </c>
      <c r="EW68" s="6">
        <f>日流量!EW68*24*3600/100000000</f>
        <v>2.1081599999999998</v>
      </c>
      <c r="EX68" s="6">
        <f>日流量!EX68*24*3600/100000000</f>
        <v>2.22912</v>
      </c>
      <c r="EY68" s="6">
        <f>日流量!EY68*24*3600/100000000</f>
        <v>2.6524800000000002</v>
      </c>
      <c r="EZ68" s="6">
        <f>日流量!EZ68*24*3600/100000000</f>
        <v>2.9980799999999999</v>
      </c>
      <c r="FA68" s="6">
        <f>日流量!FA68*24*3600/100000000</f>
        <v>2.5574400000000002</v>
      </c>
      <c r="FB68" s="6">
        <f>日流量!FB68*24*3600/100000000</f>
        <v>2.2031999999999998</v>
      </c>
      <c r="FC68" s="6">
        <f>日流量!FC68*24*3600/100000000</f>
        <v>1.9526399999999999</v>
      </c>
      <c r="FD68" s="6">
        <f>日流量!FD68*24*3600/100000000</f>
        <v>1.9872000000000001</v>
      </c>
      <c r="FE68" s="6">
        <f>日流量!FE68*24*3600/100000000</f>
        <v>1.5811200000000001</v>
      </c>
      <c r="FF68" s="6">
        <f>日流量!FF68*24*3600/100000000</f>
        <v>1.7798400000000001</v>
      </c>
      <c r="FG68" s="6">
        <f>日流量!FG68*24*3600/100000000</f>
        <v>1.944</v>
      </c>
      <c r="FH68" s="6">
        <f>日流量!FH68*24*3600/100000000</f>
        <v>2.0995200000000001</v>
      </c>
      <c r="FI68" s="6">
        <f>日流量!FI68*24*3600/100000000</f>
        <v>2.6179199999999998</v>
      </c>
      <c r="FJ68" s="6">
        <f>日流量!FJ68*24*3600/100000000</f>
        <v>2.1254400000000002</v>
      </c>
      <c r="FK68" s="6">
        <f>日流量!FK68*24*3600/100000000</f>
        <v>2.2204799999999998</v>
      </c>
      <c r="FL68" s="6">
        <f>日流量!FL68*24*3600/100000000</f>
        <v>2.6956799999999999</v>
      </c>
      <c r="FM68" s="6">
        <f>日流量!FM68*24*3600/100000000</f>
        <v>2.7561599999999999</v>
      </c>
      <c r="FN68" s="6">
        <f>日流量!FN68*24*3600/100000000</f>
        <v>2.6006399999999998</v>
      </c>
      <c r="FO68" s="6">
        <f>日流量!FO68*24*3600/100000000</f>
        <v>3.9398399999999998</v>
      </c>
      <c r="FP68" s="6">
        <f>日流量!FP68*24*3600/100000000</f>
        <v>3.3955199999999999</v>
      </c>
      <c r="FQ68" s="6">
        <f>日流量!FQ68*24*3600/100000000</f>
        <v>3.3955199999999999</v>
      </c>
      <c r="FR68" s="6">
        <f>日流量!FR68*24*3600/100000000</f>
        <v>3.21408</v>
      </c>
      <c r="FS68" s="6">
        <f>日流量!FS68*24*3600/100000000</f>
        <v>3.0844800000000001</v>
      </c>
      <c r="FT68" s="6">
        <f>日流量!FT68*24*3600/100000000</f>
        <v>3.3264</v>
      </c>
      <c r="FU68" s="6">
        <f>日流量!FU68*24*3600/100000000</f>
        <v>3.3868800000000001</v>
      </c>
      <c r="FV68" s="6">
        <f>日流量!FV68*24*3600/100000000</f>
        <v>4.6915199999999997</v>
      </c>
      <c r="FW68" s="6">
        <f>日流量!FW68*24*3600/100000000</f>
        <v>4.5619199999999998</v>
      </c>
      <c r="FX68" s="6">
        <f>日流量!FX68*24*3600/100000000</f>
        <v>4.0348800000000002</v>
      </c>
      <c r="FY68" s="6">
        <f>日流量!FY68*24*3600/100000000</f>
        <v>3.7324799999999998</v>
      </c>
      <c r="FZ68" s="6">
        <f>日流量!FZ68*24*3600/100000000</f>
        <v>5.4950400000000004</v>
      </c>
      <c r="GA68" s="6">
        <f>日流量!GA68*24*3600/100000000</f>
        <v>6.2207999999999997</v>
      </c>
      <c r="GB68" s="6">
        <f>日流量!GB68*24*3600/100000000</f>
        <v>5.7801600000000004</v>
      </c>
      <c r="GC68" s="6">
        <f>日流量!GC68*24*3600/100000000</f>
        <v>5.2358399999999996</v>
      </c>
      <c r="GD68" s="6">
        <f>日流量!GD68*24*3600/100000000</f>
        <v>4.3545600000000002</v>
      </c>
      <c r="GE68" s="6">
        <f>日流量!GE68*24*3600/100000000</f>
        <v>2.8857599999999999</v>
      </c>
      <c r="GF68" s="6">
        <f>日流量!GF68*24*3600/100000000</f>
        <v>2.7993600000000001</v>
      </c>
      <c r="GG68" s="6">
        <f>日流量!GG68*24*3600/100000000</f>
        <v>3.74112</v>
      </c>
      <c r="GH68" s="6">
        <f>日流量!GH68*24*3600/100000000</f>
        <v>3.0931199999999999</v>
      </c>
      <c r="GI68" s="6">
        <f>日流量!GI68*24*3600/100000000</f>
        <v>4.8988800000000001</v>
      </c>
      <c r="GJ68" s="6">
        <f>日流量!GJ68*24*3600/100000000</f>
        <v>5.66784</v>
      </c>
      <c r="GK68" s="6">
        <f>日流量!GK68*24*3600/100000000</f>
        <v>5.3913599999999997</v>
      </c>
      <c r="GL68" s="6">
        <f>日流量!GL68*24*3600/100000000</f>
        <v>5.2099200000000003</v>
      </c>
      <c r="GM68" s="6">
        <f>日流量!GM68*24*3600/100000000</f>
        <v>4.6051200000000003</v>
      </c>
      <c r="GN68" s="6">
        <f>日流量!GN68*24*3600/100000000</f>
        <v>3.9398399999999998</v>
      </c>
      <c r="GO68" s="6">
        <f>日流量!GO68*24*3600/100000000</f>
        <v>3.83616</v>
      </c>
      <c r="GP68" s="6">
        <f>日流量!GP68*24*3600/100000000</f>
        <v>3.3091200000000001</v>
      </c>
      <c r="GQ68" s="6">
        <f>日流量!GQ68*24*3600/100000000</f>
        <v>4.4409599999999996</v>
      </c>
      <c r="GR68" s="6">
        <f>日流量!GR68*24*3600/100000000</f>
        <v>4.5014399999999997</v>
      </c>
      <c r="GS68" s="6">
        <f>日流量!GS68*24*3600/100000000</f>
        <v>4.9507199999999996</v>
      </c>
      <c r="GT68" s="6">
        <f>日流量!GT68*24*3600/100000000</f>
        <v>4.0694400000000002</v>
      </c>
      <c r="GU68" s="6">
        <f>日流量!GU68*24*3600/100000000</f>
        <v>4.3718399999999997</v>
      </c>
      <c r="GV68" s="6">
        <f>日流量!GV68*24*3600/100000000</f>
        <v>3.9916800000000001</v>
      </c>
      <c r="GW68" s="6">
        <f>日流量!GW68*24*3600/100000000</f>
        <v>3.2659199999999999</v>
      </c>
      <c r="GX68" s="6">
        <f>日流量!GX68*24*3600/100000000</f>
        <v>3.5769600000000001</v>
      </c>
      <c r="GY68" s="6">
        <f>日流量!GY68*24*3600/100000000</f>
        <v>3.6633599999999999</v>
      </c>
      <c r="GZ68" s="6">
        <f>日流量!GZ68*24*3600/100000000</f>
        <v>3.5855999999999999</v>
      </c>
      <c r="HA68" s="6">
        <f>日流量!HA68*24*3600/100000000</f>
        <v>3.4732799999999999</v>
      </c>
      <c r="HB68" s="6">
        <f>日流量!HB68*24*3600/100000000</f>
        <v>3.1622400000000002</v>
      </c>
      <c r="HC68" s="6">
        <f>日流量!HC68*24*3600/100000000</f>
        <v>3.5164800000000001</v>
      </c>
      <c r="HD68" s="6">
        <f>日流量!HD68*24*3600/100000000</f>
        <v>3.8879999999999999</v>
      </c>
      <c r="HE68" s="6">
        <f>日流量!HE68*24*3600/100000000</f>
        <v>4.1471999999999998</v>
      </c>
      <c r="HF68" s="6">
        <f>日流量!HF68*24*3600/100000000</f>
        <v>3.5942400000000001</v>
      </c>
      <c r="HG68" s="6">
        <f>日流量!HG68*24*3600/100000000</f>
        <v>3.8793600000000001</v>
      </c>
      <c r="HH68" s="6">
        <f>日流量!HH68*24*3600/100000000</f>
        <v>4.0262399999999996</v>
      </c>
      <c r="HI68" s="6">
        <f>日流量!HI68*24*3600/100000000</f>
        <v>3.6806399999999999</v>
      </c>
      <c r="HJ68" s="6">
        <f>日流量!HJ68*24*3600/100000000</f>
        <v>3.5855999999999999</v>
      </c>
      <c r="HK68" s="6">
        <f>日流量!HK68*24*3600/100000000</f>
        <v>3.2572800000000002</v>
      </c>
      <c r="HL68" s="6">
        <f>日流量!HL68*24*3600/100000000</f>
        <v>2.9894400000000001</v>
      </c>
      <c r="HM68" s="6">
        <f>日流量!HM68*24*3600/100000000</f>
        <v>3.1622400000000002</v>
      </c>
      <c r="HN68" s="6">
        <f>日流量!HN68*24*3600/100000000</f>
        <v>3.0153599999999998</v>
      </c>
      <c r="HO68" s="6">
        <f>日流量!HO68*24*3600/100000000</f>
        <v>3.2054399999999998</v>
      </c>
      <c r="HP68" s="6">
        <f>日流量!HP68*24*3600/100000000</f>
        <v>3.6720000000000002</v>
      </c>
      <c r="HQ68" s="6">
        <f>日流量!HQ68*24*3600/100000000</f>
        <v>3.4732799999999999</v>
      </c>
      <c r="HR68" s="6">
        <f>日流量!HR68*24*3600/100000000</f>
        <v>3.456</v>
      </c>
      <c r="HS68" s="6">
        <f>日流量!HS68*24*3600/100000000</f>
        <v>3.3350399999999998</v>
      </c>
      <c r="HT68" s="6">
        <f>日流量!HT68*24*3600/100000000</f>
        <v>3.9398399999999998</v>
      </c>
      <c r="HU68" s="6">
        <f>日流量!HU68*24*3600/100000000</f>
        <v>4.1040000000000001</v>
      </c>
      <c r="HV68" s="6">
        <f>日流量!HV68*24*3600/100000000</f>
        <v>4.1040000000000001</v>
      </c>
      <c r="HW68" s="6">
        <f>日流量!HW68*24*3600/100000000</f>
        <v>4.2336</v>
      </c>
      <c r="HX68" s="6">
        <f>日流量!HX68*24*3600/100000000</f>
        <v>4.5014399999999997</v>
      </c>
      <c r="HY68" s="6">
        <f>日流量!HY68*24*3600/100000000</f>
        <v>4.3372799999999998</v>
      </c>
      <c r="HZ68" s="6">
        <f>日流量!HZ68*24*3600/100000000</f>
        <v>4.55328</v>
      </c>
      <c r="IA68" s="6">
        <f>日流量!IA68*24*3600/100000000</f>
        <v>4.2508800000000004</v>
      </c>
      <c r="IB68" s="6">
        <f>日流量!IB68*24*3600/100000000</f>
        <v>4.4841600000000001</v>
      </c>
      <c r="IC68" s="6">
        <f>日流量!IC68*24*3600/100000000</f>
        <v>5.0111999999999997</v>
      </c>
      <c r="ID68" s="6">
        <f>日流量!ID68*24*3600/100000000</f>
        <v>5.0544000000000002</v>
      </c>
      <c r="IE68" s="6">
        <f>日流量!IE68*24*3600/100000000</f>
        <v>4.8124799999999999</v>
      </c>
      <c r="IF68" s="6">
        <f>日流量!IF68*24*3600/100000000</f>
        <v>4.5446400000000002</v>
      </c>
      <c r="IG68" s="6">
        <f>日流量!IG68*24*3600/100000000</f>
        <v>4.8902400000000004</v>
      </c>
      <c r="IH68" s="6">
        <f>日流量!IH68*24*3600/100000000</f>
        <v>5.7715199999999998</v>
      </c>
      <c r="II68" s="6">
        <f>日流量!II68*24*3600/100000000</f>
        <v>7.2489600000000003</v>
      </c>
      <c r="IJ68" s="6">
        <f>日流量!IJ68*24*3600/100000000</f>
        <v>7.1280000000000001</v>
      </c>
      <c r="IK68" s="6">
        <f>日流量!IK68*24*3600/100000000</f>
        <v>8.0179200000000002</v>
      </c>
      <c r="IL68" s="6">
        <f>日流量!IL68*24*3600/100000000</f>
        <v>8.8992000000000004</v>
      </c>
      <c r="IM68" s="6">
        <f>日流量!IM68*24*3600/100000000</f>
        <v>9.4176000000000002</v>
      </c>
      <c r="IN68" s="6">
        <f>日流量!IN68*24*3600/100000000</f>
        <v>9.5904000000000007</v>
      </c>
      <c r="IO68" s="6">
        <f>日流量!IO68*24*3600/100000000</f>
        <v>9.6768000000000001</v>
      </c>
      <c r="IP68" s="6">
        <f>日流量!IP68*24*3600/100000000</f>
        <v>9.3312000000000008</v>
      </c>
      <c r="IQ68" s="6">
        <f>日流量!IQ68*24*3600/100000000</f>
        <v>10.1952</v>
      </c>
      <c r="IR68" s="6">
        <f>日流量!IR68*24*3600/100000000</f>
        <v>11.059200000000001</v>
      </c>
      <c r="IS68" s="6">
        <f>日流量!IS68*24*3600/100000000</f>
        <v>10.281599999999999</v>
      </c>
      <c r="IT68" s="6">
        <f>日流量!IT68*24*3600/100000000</f>
        <v>9.1584000000000003</v>
      </c>
      <c r="IU68" s="6">
        <f>日流量!IU68*24*3600/100000000</f>
        <v>6.9206399999999997</v>
      </c>
      <c r="IV68" s="6">
        <f>日流量!IV68*24*3600/100000000</f>
        <v>7.2144000000000004</v>
      </c>
      <c r="IW68" s="6">
        <f>日流量!IW68*24*3600/100000000</f>
        <v>7.8883200000000002</v>
      </c>
      <c r="IX68" s="6">
        <f>日流量!IX68*24*3600/100000000</f>
        <v>8.7263999999999999</v>
      </c>
      <c r="IY68" s="6">
        <f>日流量!IY68*24*3600/100000000</f>
        <v>9.5039999999999996</v>
      </c>
      <c r="IZ68" s="6">
        <f>日流量!IZ68*24*3600/100000000</f>
        <v>9.8496000000000006</v>
      </c>
      <c r="JA68" s="6">
        <f>日流量!JA68*24*3600/100000000</f>
        <v>10.4544</v>
      </c>
      <c r="JB68" s="6">
        <f>日流量!JB68*24*3600/100000000</f>
        <v>10.7136</v>
      </c>
      <c r="JC68" s="6">
        <f>日流量!JC68*24*3600/100000000</f>
        <v>10.4544</v>
      </c>
      <c r="JD68" s="6">
        <f>日流量!JD68*24*3600/100000000</f>
        <v>10.6272</v>
      </c>
      <c r="JE68" s="6">
        <f>日流量!JE68*24*3600/100000000</f>
        <v>10.1088</v>
      </c>
      <c r="JF68" s="6">
        <f>日流量!JF68*24*3600/100000000</f>
        <v>9.3312000000000008</v>
      </c>
      <c r="JG68" s="6">
        <f>日流量!JG68*24*3600/100000000</f>
        <v>7.29216</v>
      </c>
      <c r="JH68" s="6">
        <f>日流量!JH68*24*3600/100000000</f>
        <v>7.3180800000000001</v>
      </c>
      <c r="JI68" s="6">
        <f>日流量!JI68*24*3600/100000000</f>
        <v>7.4908799999999998</v>
      </c>
      <c r="JJ68" s="6">
        <f>日流量!JJ68*24*3600/100000000</f>
        <v>7.2835200000000002</v>
      </c>
      <c r="JK68" s="6">
        <f>日流量!JK68*24*3600/100000000</f>
        <v>6.5836800000000002</v>
      </c>
      <c r="JL68" s="6">
        <f>日流量!JL68*24*3600/100000000</f>
        <v>6.1689600000000002</v>
      </c>
      <c r="JM68" s="6">
        <f>日流量!JM68*24*3600/100000000</f>
        <v>5.2271999999999998</v>
      </c>
      <c r="JN68" s="6">
        <f>日流量!JN68*24*3600/100000000</f>
        <v>5.66784</v>
      </c>
      <c r="JO68" s="6">
        <f>日流量!JO68*24*3600/100000000</f>
        <v>6.5145600000000004</v>
      </c>
      <c r="JP68" s="6">
        <f>日流量!JP68*24*3600/100000000</f>
        <v>4.64832</v>
      </c>
      <c r="JQ68" s="6">
        <f>日流量!JQ68*24*3600/100000000</f>
        <v>4.6915199999999997</v>
      </c>
      <c r="JR68" s="6">
        <f>日流量!JR68*24*3600/100000000</f>
        <v>5.1321599999999998</v>
      </c>
      <c r="JS68" s="6">
        <f>日流量!JS68*24*3600/100000000</f>
        <v>5.4432</v>
      </c>
      <c r="JT68" s="6">
        <f>日流量!JT68*24*3600/100000000</f>
        <v>4.64832</v>
      </c>
      <c r="JU68" s="6">
        <f>日流量!JU68*24*3600/100000000</f>
        <v>4.64832</v>
      </c>
      <c r="JV68" s="6">
        <f>日流量!JV68*24*3600/100000000</f>
        <v>4.6137600000000001</v>
      </c>
      <c r="JW68" s="6">
        <f>日流量!JW68*24*3600/100000000</f>
        <v>4.8297600000000003</v>
      </c>
      <c r="JX68" s="6">
        <f>日流量!JX68*24*3600/100000000</f>
        <v>5.1494400000000002</v>
      </c>
      <c r="JY68" s="6">
        <f>日流量!JY68*24*3600/100000000</f>
        <v>5.3395200000000003</v>
      </c>
      <c r="JZ68" s="6">
        <f>日流量!JZ68*24*3600/100000000</f>
        <v>6.27264</v>
      </c>
      <c r="KA68" s="6">
        <f>日流量!KA68*24*3600/100000000</f>
        <v>6.5318399999999999</v>
      </c>
      <c r="KB68" s="6">
        <f>日流量!KB68*24*3600/100000000</f>
        <v>5.4345600000000003</v>
      </c>
      <c r="KC68" s="6">
        <f>日流量!KC68*24*3600/100000000</f>
        <v>4.4150400000000003</v>
      </c>
      <c r="KD68" s="6">
        <f>日流量!KD68*24*3600/100000000</f>
        <v>4.1990400000000001</v>
      </c>
      <c r="KE68" s="6">
        <f>日流量!KE68*24*3600/100000000</f>
        <v>4.1558400000000004</v>
      </c>
      <c r="KF68" s="6">
        <f>日流量!KF68*24*3600/100000000</f>
        <v>4.5446400000000002</v>
      </c>
      <c r="KG68" s="6">
        <f>日流量!KG68*24*3600/100000000</f>
        <v>4.2422399999999998</v>
      </c>
      <c r="KH68" s="6">
        <f>日流量!KH68*24*3600/100000000</f>
        <v>4.1212799999999996</v>
      </c>
      <c r="KI68" s="6">
        <f>日流量!KI68*24*3600/100000000</f>
        <v>4.0867199999999997</v>
      </c>
      <c r="KJ68" s="6">
        <f>日流量!KJ68*24*3600/100000000</f>
        <v>4.0953600000000003</v>
      </c>
      <c r="KK68" s="6">
        <f>日流量!KK68*24*3600/100000000</f>
        <v>4.1126399999999999</v>
      </c>
      <c r="KL68" s="6">
        <f>日流量!KL68*24*3600/100000000</f>
        <v>3.7497600000000002</v>
      </c>
      <c r="KM68" s="6">
        <f>日流量!KM68*24*3600/100000000</f>
        <v>3.1708799999999999</v>
      </c>
      <c r="KN68" s="6">
        <f>日流量!KN68*24*3600/100000000</f>
        <v>3.2831999999999999</v>
      </c>
      <c r="KO68" s="6">
        <f>日流量!KO68*24*3600/100000000</f>
        <v>3.13632</v>
      </c>
      <c r="KP68" s="6">
        <f>日流量!KP68*24*3600/100000000</f>
        <v>3.1708799999999999</v>
      </c>
      <c r="KQ68" s="6">
        <f>日流量!KQ68*24*3600/100000000</f>
        <v>2.8252799999999998</v>
      </c>
      <c r="KR68" s="6">
        <f>日流量!KR68*24*3600/100000000</f>
        <v>2.7302399999999998</v>
      </c>
      <c r="KS68" s="6">
        <f>日流量!KS68*24*3600/100000000</f>
        <v>2.8857599999999999</v>
      </c>
      <c r="KT68" s="6">
        <f>日流量!KT68*24*3600/100000000</f>
        <v>2.8857599999999999</v>
      </c>
      <c r="KU68" s="6">
        <f>日流量!KU68*24*3600/100000000</f>
        <v>2.9203199999999998</v>
      </c>
      <c r="KV68" s="6">
        <f>日流量!KV68*24*3600/100000000</f>
        <v>2.4105599999999998</v>
      </c>
      <c r="KW68" s="6">
        <f>日流量!KW68*24*3600/100000000</f>
        <v>2.0563199999999999</v>
      </c>
      <c r="KX68" s="6">
        <f>日流量!KX68*24*3600/100000000</f>
        <v>2.02176</v>
      </c>
      <c r="KY68" s="6">
        <f>日流量!KY68*24*3600/100000000</f>
        <v>2.03904</v>
      </c>
      <c r="KZ68" s="6">
        <f>日流量!KZ68*24*3600/100000000</f>
        <v>2.62656</v>
      </c>
      <c r="LA68" s="6">
        <f>日流量!LA68*24*3600/100000000</f>
        <v>2.7561599999999999</v>
      </c>
      <c r="LB68" s="6">
        <f>日流量!LB68*24*3600/100000000</f>
        <v>2.8079999999999998</v>
      </c>
      <c r="LC68" s="6">
        <f>日流量!LC68*24*3600/100000000</f>
        <v>2.83392</v>
      </c>
      <c r="LD68" s="6">
        <f>日流量!LD68*24*3600/100000000</f>
        <v>2.81664</v>
      </c>
      <c r="LE68" s="6">
        <f>日流量!LE68*24*3600/100000000</f>
        <v>2.6611199999999999</v>
      </c>
      <c r="LF68" s="6">
        <f>日流量!LF68*24*3600/100000000</f>
        <v>2.4624000000000001</v>
      </c>
      <c r="LG68" s="6">
        <f>日流量!LG68*24*3600/100000000</f>
        <v>2.3932799999999999</v>
      </c>
      <c r="LH68" s="6">
        <f>日流量!LH68*24*3600/100000000</f>
        <v>2.3673600000000001</v>
      </c>
      <c r="LI68" s="6">
        <f>日流量!LI68*24*3600/100000000</f>
        <v>2.2550400000000002</v>
      </c>
      <c r="LJ68" s="6">
        <f>日流量!LJ68*24*3600/100000000</f>
        <v>2.1254400000000002</v>
      </c>
      <c r="LK68" s="6">
        <f>日流量!LK68*24*3600/100000000</f>
        <v>1.9612799999999999</v>
      </c>
      <c r="LL68" s="6">
        <f>日流量!LL68*24*3600/100000000</f>
        <v>1.944</v>
      </c>
      <c r="LM68" s="6">
        <f>日流量!LM68*24*3600/100000000</f>
        <v>1.7452799999999999</v>
      </c>
      <c r="LN68" s="6">
        <f>日流量!LN68*24*3600/100000000</f>
        <v>1.7625599999999999</v>
      </c>
      <c r="LO68" s="6">
        <f>日流量!LO68*24*3600/100000000</f>
        <v>1.8144</v>
      </c>
      <c r="LP68" s="6">
        <f>日流量!LP68*24*3600/100000000</f>
        <v>1.9872000000000001</v>
      </c>
      <c r="LQ68" s="6">
        <f>日流量!LQ68*24*3600/100000000</f>
        <v>2.2896000000000001</v>
      </c>
      <c r="LR68" s="6">
        <f>日流量!LR68*24*3600/100000000</f>
        <v>2.2723200000000001</v>
      </c>
      <c r="LS68" s="6">
        <f>日流量!LS68*24*3600/100000000</f>
        <v>2.1427200000000002</v>
      </c>
      <c r="LT68" s="6">
        <f>日流量!LT68*24*3600/100000000</f>
        <v>1.9872000000000001</v>
      </c>
      <c r="LU68" s="6">
        <f>日流量!LU68*24*3600/100000000</f>
        <v>1.8835200000000001</v>
      </c>
      <c r="LV68" s="6">
        <f>日流量!LV68*24*3600/100000000</f>
        <v>1.84032</v>
      </c>
      <c r="LW68" s="6">
        <f>日流量!LW68*24*3600/100000000</f>
        <v>1.8144</v>
      </c>
      <c r="LX68" s="6">
        <f>日流量!LX68*24*3600/100000000</f>
        <v>1.7971200000000001</v>
      </c>
      <c r="LY68" s="6">
        <f>日流量!LY68*24*3600/100000000</f>
        <v>1.71072</v>
      </c>
      <c r="LZ68" s="6">
        <f>日流量!LZ68*24*3600/100000000</f>
        <v>1.6848000000000001</v>
      </c>
      <c r="MA68" s="6">
        <f>日流量!MA68*24*3600/100000000</f>
        <v>1.6502399999999999</v>
      </c>
      <c r="MB68" s="6">
        <f>日流量!MB68*24*3600/100000000</f>
        <v>1.5465599999999999</v>
      </c>
      <c r="MC68" s="6">
        <f>日流量!MC68*24*3600/100000000</f>
        <v>1.4515199999999999</v>
      </c>
      <c r="MD68" s="6">
        <f>日流量!MD68*24*3600/100000000</f>
        <v>1.33056</v>
      </c>
      <c r="ME68" s="6">
        <f>日流量!ME68*24*3600/100000000</f>
        <v>1.1491199999999999</v>
      </c>
      <c r="MF68" s="6">
        <f>日流量!MF68*24*3600/100000000</f>
        <v>1.0886400000000001</v>
      </c>
      <c r="MG68" s="6">
        <f>日流量!MG68*24*3600/100000000</f>
        <v>1.21824</v>
      </c>
      <c r="MH68" s="6">
        <f>日流量!MH68*24*3600/100000000</f>
        <v>1.2787200000000001</v>
      </c>
      <c r="MI68" s="6">
        <f>日流量!MI68*24*3600/100000000</f>
        <v>1.296</v>
      </c>
      <c r="MJ68" s="6">
        <f>日流量!MJ68*24*3600/100000000</f>
        <v>1.296</v>
      </c>
      <c r="MK68" s="6">
        <f>日流量!MK68*24*3600/100000000</f>
        <v>1.2873600000000001</v>
      </c>
      <c r="ML68" s="6">
        <f>日流量!ML68*24*3600/100000000</f>
        <v>1.2873600000000001</v>
      </c>
      <c r="MM68" s="6">
        <f>日流量!MM68*24*3600/100000000</f>
        <v>1.2873600000000001</v>
      </c>
      <c r="MN68" s="6">
        <f>日流量!MN68*24*3600/100000000</f>
        <v>1.2787200000000001</v>
      </c>
      <c r="MO68" s="6">
        <f>日流量!MO68*24*3600/100000000</f>
        <v>1.2614399999999999</v>
      </c>
      <c r="MP68" s="6">
        <f>日流量!MP68*24*3600/100000000</f>
        <v>1.2614399999999999</v>
      </c>
      <c r="MQ68" s="6">
        <f>日流量!MQ68*24*3600/100000000</f>
        <v>1.2614399999999999</v>
      </c>
      <c r="MR68" s="6">
        <f>日流量!MR68*24*3600/100000000</f>
        <v>1.2527999999999999</v>
      </c>
      <c r="MS68" s="6">
        <f>日流量!MS68*24*3600/100000000</f>
        <v>1.2527999999999999</v>
      </c>
      <c r="MT68" s="6">
        <f>日流量!MT68*24*3600/100000000</f>
        <v>1.2527999999999999</v>
      </c>
      <c r="MU68" s="6">
        <f>日流量!MU68*24*3600/100000000</f>
        <v>1.2614399999999999</v>
      </c>
      <c r="MV68" s="6">
        <f>日流量!MV68*24*3600/100000000</f>
        <v>1.2527999999999999</v>
      </c>
      <c r="MW68" s="6">
        <f>日流量!MW68*24*3600/100000000</f>
        <v>1.2873600000000001</v>
      </c>
      <c r="MX68" s="6">
        <f>日流量!MX68*24*3600/100000000</f>
        <v>1.2873600000000001</v>
      </c>
      <c r="MY68" s="6">
        <f>日流量!MY68*24*3600/100000000</f>
        <v>1.2873600000000001</v>
      </c>
      <c r="MZ68" s="6">
        <f>日流量!MZ68*24*3600/100000000</f>
        <v>1.30464</v>
      </c>
      <c r="NA68" s="6">
        <f>日流量!NA68*24*3600/100000000</f>
        <v>1.30464</v>
      </c>
      <c r="NB68" s="6">
        <f>日流量!NB68*24*3600/100000000</f>
        <v>1.31328</v>
      </c>
      <c r="NC68" s="6"/>
      <c r="ND68" s="6">
        <f>日流量!ND68*24*3600*31/100000000</f>
        <v>50.353920000000002</v>
      </c>
      <c r="NE68" s="6">
        <f>日流量!NE68*24*3600*28/100000000</f>
        <v>46.448639999999997</v>
      </c>
      <c r="NF68" s="6">
        <f>日流量!NF68*24*3600*31/100000000</f>
        <v>54.639360000000003</v>
      </c>
      <c r="NG68" s="6">
        <f>日流量!NG68*24*3600*30/100000000</f>
        <v>49.766399999999997</v>
      </c>
      <c r="NH68" s="6">
        <f>日流量!NH68*24*3600*31/100000000</f>
        <v>45.800640000000001</v>
      </c>
      <c r="NI68" s="6">
        <f>日流量!NI68*24*3600*30/100000000</f>
        <v>91.497600000000006</v>
      </c>
      <c r="NJ68" s="6">
        <f>日流量!NJ68*24*3600*31/100000000</f>
        <v>126.95616</v>
      </c>
      <c r="NK68" s="6">
        <f>日流量!NK68*24*3600*31/100000000</f>
        <v>135.79488000000001</v>
      </c>
      <c r="NL68" s="6">
        <f>日流量!NL68*24*3600*30/100000000</f>
        <v>258.94080000000002</v>
      </c>
      <c r="NM68" s="6">
        <f>日流量!NM68*24*3600*31/100000000</f>
        <v>133.11648</v>
      </c>
      <c r="NN68" s="6">
        <f>日流量!NN68*24*3600*30/100000000</f>
        <v>66.873599999999996</v>
      </c>
      <c r="NO68" s="6">
        <f>日流量!NO68*24*3600*31/100000000</f>
        <v>40.979520000000001</v>
      </c>
      <c r="NP68" s="14">
        <f t="shared" si="10"/>
        <v>1101.1680000000001</v>
      </c>
      <c r="NQ68" s="6">
        <f>日流量!NQ68*24*3600/100000000</f>
        <v>11.059200000000001</v>
      </c>
      <c r="NR68" s="4">
        <f>日流量!NR68</f>
        <v>42620</v>
      </c>
      <c r="NS68" s="6">
        <f>日流量!NS68*24*3600/100000000</f>
        <v>0.93311999999999995</v>
      </c>
      <c r="NT68" s="4">
        <f>日流量!NT68</f>
        <v>42426</v>
      </c>
      <c r="NU68" s="7">
        <f>日流量!NP68</f>
        <v>3490.9863013698632</v>
      </c>
      <c r="NW68" s="13">
        <f t="shared" ref="NW68:NW69" si="11">SUM(NH68:NM68)</f>
        <v>792.10656000000006</v>
      </c>
      <c r="NX68" s="12">
        <f t="shared" ref="NX68:NX69" si="12">NW68/NP68*100</f>
        <v>71.93330717928599</v>
      </c>
      <c r="NY68" s="13">
        <f t="shared" ref="NY68:NY69" si="13">SUM(NI68:NL68)</f>
        <v>613.1894400000001</v>
      </c>
      <c r="NZ68" s="12">
        <f t="shared" ref="NZ68:NZ69" si="14">NY68/NP68*100</f>
        <v>55.685366810513926</v>
      </c>
      <c r="OA68" s="13">
        <f t="shared" ref="OA68:OA69" si="15">NP68-NW68</f>
        <v>309.06144000000006</v>
      </c>
      <c r="OB68" s="12">
        <f t="shared" ref="OB68:OB69" si="16">OA68/NP68*100</f>
        <v>28.066692820714007</v>
      </c>
      <c r="OC68" s="13">
        <f t="shared" ref="OC68:OC69" si="17">MAX(ND68:NO68)</f>
        <v>258.94080000000002</v>
      </c>
      <c r="OD68" s="12">
        <f t="shared" ref="OD68:OD69" si="18">OC68/NP68*100</f>
        <v>23.51510396233817</v>
      </c>
      <c r="OE68" s="12">
        <f t="shared" ref="OE68:OE69" si="19">NP68*100000000/$OG$2/1000000*1000</f>
        <v>257.28224299065425</v>
      </c>
      <c r="OF68" s="12">
        <f t="shared" ref="OF68:OF69" si="20">NP68*100000000/$OG$2/24/3600/365*1000</f>
        <v>8.1583664063500194</v>
      </c>
    </row>
    <row r="69" spans="1:396" x14ac:dyDescent="0.15">
      <c r="A69" s="2">
        <v>2016</v>
      </c>
      <c r="B69" s="6">
        <f>日流量!B69*24*3600/100000000</f>
        <v>1.60704</v>
      </c>
      <c r="C69" s="6">
        <f>日流量!C69*24*3600/100000000</f>
        <v>1.5551999999999999</v>
      </c>
      <c r="D69" s="6">
        <f>日流量!D69*24*3600/100000000</f>
        <v>1.93536</v>
      </c>
      <c r="E69" s="6">
        <f>日流量!E69*24*3600/100000000</f>
        <v>1.80576</v>
      </c>
      <c r="F69" s="6">
        <f>日流量!F69*24*3600/100000000</f>
        <v>1.60704</v>
      </c>
      <c r="G69" s="6">
        <f>日流量!G69*24*3600/100000000</f>
        <v>1.92672</v>
      </c>
      <c r="H69" s="6">
        <f>日流量!H69*24*3600/100000000</f>
        <v>1.9612799999999999</v>
      </c>
      <c r="I69" s="6">
        <f>日流量!I69*24*3600/100000000</f>
        <v>1.7452799999999999</v>
      </c>
      <c r="J69" s="6">
        <f>日流量!J69*24*3600/100000000</f>
        <v>1.7884800000000001</v>
      </c>
      <c r="K69" s="6">
        <f>日流量!K69*24*3600/100000000</f>
        <v>1.70208</v>
      </c>
      <c r="L69" s="6">
        <f>日流量!L69*24*3600/100000000</f>
        <v>1.6761600000000001</v>
      </c>
      <c r="M69" s="6">
        <f>日流量!M69*24*3600/100000000</f>
        <v>1.728</v>
      </c>
      <c r="N69" s="6">
        <f>日流量!N69*24*3600/100000000</f>
        <v>2.0735999999999999</v>
      </c>
      <c r="O69" s="6">
        <f>日流量!O69*24*3600/100000000</f>
        <v>2.0131199999999998</v>
      </c>
      <c r="P69" s="6">
        <f>日流量!P69*24*3600/100000000</f>
        <v>1.9612799999999999</v>
      </c>
      <c r="Q69" s="6">
        <f>日流量!Q69*24*3600/100000000</f>
        <v>1.8144</v>
      </c>
      <c r="R69" s="6">
        <f>日流量!R69*24*3600/100000000</f>
        <v>1.4256</v>
      </c>
      <c r="S69" s="6">
        <f>日流量!S69*24*3600/100000000</f>
        <v>1.5638399999999999</v>
      </c>
      <c r="T69" s="6">
        <f>日流量!T69*24*3600/100000000</f>
        <v>1.8489599999999999</v>
      </c>
      <c r="U69" s="6">
        <f>日流量!U69*24*3600/100000000</f>
        <v>1.3910400000000001</v>
      </c>
      <c r="V69" s="6">
        <f>日流量!V69*24*3600/100000000</f>
        <v>1.70208</v>
      </c>
      <c r="W69" s="6">
        <f>日流量!W69*24*3600/100000000</f>
        <v>1.93536</v>
      </c>
      <c r="X69" s="6">
        <f>日流量!X69*24*3600/100000000</f>
        <v>1.9785600000000001</v>
      </c>
      <c r="Y69" s="6">
        <f>日流量!Y69*24*3600/100000000</f>
        <v>2.1772800000000001</v>
      </c>
      <c r="Z69" s="6">
        <f>日流量!Z69*24*3600/100000000</f>
        <v>2.2809599999999999</v>
      </c>
      <c r="AA69" s="6">
        <f>日流量!AA69*24*3600/100000000</f>
        <v>2.3673600000000001</v>
      </c>
      <c r="AB69" s="6">
        <f>日流量!AB69*24*3600/100000000</f>
        <v>2.3932799999999999</v>
      </c>
      <c r="AC69" s="6">
        <f>日流量!AC69*24*3600/100000000</f>
        <v>2.3846400000000001</v>
      </c>
      <c r="AD69" s="6">
        <f>日流量!AD69*24*3600/100000000</f>
        <v>2.4105599999999998</v>
      </c>
      <c r="AE69" s="6">
        <f>日流量!AE69*24*3600/100000000</f>
        <v>2.3759999999999999</v>
      </c>
      <c r="AF69" s="6">
        <f>日流量!AF69*24*3600/100000000</f>
        <v>2.3932799999999999</v>
      </c>
      <c r="AG69" s="6">
        <f>日流量!AG69*24*3600/100000000</f>
        <v>2.4278400000000002</v>
      </c>
      <c r="AH69" s="6">
        <f>日流量!AH69*24*3600/100000000</f>
        <v>2.4451200000000002</v>
      </c>
      <c r="AI69" s="6">
        <f>日流量!AI69*24*3600/100000000</f>
        <v>2.3932799999999999</v>
      </c>
      <c r="AJ69" s="6">
        <f>日流量!AJ69*24*3600/100000000</f>
        <v>2.2896000000000001</v>
      </c>
      <c r="AK69" s="6">
        <f>日流量!AK69*24*3600/100000000</f>
        <v>2.2464</v>
      </c>
      <c r="AL69" s="6">
        <f>日流量!AL69*24*3600/100000000</f>
        <v>2.2464</v>
      </c>
      <c r="AM69" s="6">
        <f>日流量!AM69*24*3600/100000000</f>
        <v>2.0563199999999999</v>
      </c>
      <c r="AN69" s="6">
        <f>日流量!AN69*24*3600/100000000</f>
        <v>1.8921600000000001</v>
      </c>
      <c r="AO69" s="6">
        <f>日流量!AO69*24*3600/100000000</f>
        <v>1.6675199999999999</v>
      </c>
      <c r="AP69" s="6">
        <f>日流量!AP69*24*3600/100000000</f>
        <v>1.5638399999999999</v>
      </c>
      <c r="AQ69" s="6">
        <f>日流量!AQ69*24*3600/100000000</f>
        <v>1.4428799999999999</v>
      </c>
      <c r="AR69" s="6">
        <f>日流量!AR69*24*3600/100000000</f>
        <v>1.4515199999999999</v>
      </c>
      <c r="AS69" s="6">
        <f>日流量!AS69*24*3600/100000000</f>
        <v>1.52928</v>
      </c>
      <c r="AT69" s="6">
        <f>日流量!AT69*24*3600/100000000</f>
        <v>1.60704</v>
      </c>
      <c r="AU69" s="6">
        <f>日流量!AU69*24*3600/100000000</f>
        <v>1.60704</v>
      </c>
      <c r="AV69" s="6">
        <f>日流量!AV69*24*3600/100000000</f>
        <v>1.5551999999999999</v>
      </c>
      <c r="AW69" s="6">
        <f>日流量!AW69*24*3600/100000000</f>
        <v>1.4515199999999999</v>
      </c>
      <c r="AX69" s="6">
        <f>日流量!AX69*24*3600/100000000</f>
        <v>1.3651199999999999</v>
      </c>
      <c r="AY69" s="6">
        <f>日流量!AY69*24*3600/100000000</f>
        <v>1.3737600000000001</v>
      </c>
      <c r="AZ69" s="6">
        <f>日流量!AZ69*24*3600/100000000</f>
        <v>1.43424</v>
      </c>
      <c r="BA69" s="6">
        <f>日流量!BA69*24*3600/100000000</f>
        <v>1.4515199999999999</v>
      </c>
      <c r="BB69" s="6">
        <f>日流量!BB69*24*3600/100000000</f>
        <v>1.4515199999999999</v>
      </c>
      <c r="BC69" s="6">
        <f>日流量!BC69*24*3600/100000000</f>
        <v>1.4256</v>
      </c>
      <c r="BD69" s="6">
        <f>日流量!BD69*24*3600/100000000</f>
        <v>1.4515199999999999</v>
      </c>
      <c r="BE69" s="6">
        <f>日流量!BE69*24*3600/100000000</f>
        <v>1.512</v>
      </c>
      <c r="BF69" s="6">
        <f>日流量!BF69*24*3600/100000000</f>
        <v>1.5897600000000001</v>
      </c>
      <c r="BG69" s="6">
        <f>日流量!BG69*24*3600/100000000</f>
        <v>1.6934400000000001</v>
      </c>
      <c r="BH69" s="6">
        <f>日流量!BH69*24*3600/100000000</f>
        <v>1.84032</v>
      </c>
      <c r="BI69" s="6">
        <f>日流量!BI69*24*3600/100000000</f>
        <v>1.7539199999999999</v>
      </c>
      <c r="BJ69" s="6">
        <f>日流量!BJ69*24*3600/100000000</f>
        <v>1.71072</v>
      </c>
      <c r="BK69" s="6">
        <f>日流量!BK69*24*3600/100000000</f>
        <v>1.70208</v>
      </c>
      <c r="BL69" s="6">
        <f>日流量!BL69*24*3600/100000000</f>
        <v>1.71936</v>
      </c>
      <c r="BM69" s="6">
        <f>日流量!BM69*24*3600/100000000</f>
        <v>1.5897600000000001</v>
      </c>
      <c r="BN69" s="6">
        <f>日流量!BN69*24*3600/100000000</f>
        <v>1.60704</v>
      </c>
      <c r="BO69" s="6">
        <f>日流量!BO69*24*3600/100000000</f>
        <v>1.5638399999999999</v>
      </c>
      <c r="BP69" s="6">
        <f>日流量!BP69*24*3600/100000000</f>
        <v>1.5811200000000001</v>
      </c>
      <c r="BQ69" s="6">
        <f>日流量!BQ69*24*3600/100000000</f>
        <v>1.6502399999999999</v>
      </c>
      <c r="BR69" s="6">
        <f>日流量!BR69*24*3600/100000000</f>
        <v>1.52928</v>
      </c>
      <c r="BS69" s="6">
        <f>日流量!BS69*24*3600/100000000</f>
        <v>1.61568</v>
      </c>
      <c r="BT69" s="6">
        <f>日流量!BT69*24*3600/100000000</f>
        <v>1.52928</v>
      </c>
      <c r="BU69" s="6">
        <f>日流量!BU69*24*3600/100000000</f>
        <v>1.6588799999999999</v>
      </c>
      <c r="BV69" s="6">
        <f>日流量!BV69*24*3600/100000000</f>
        <v>1.7625599999999999</v>
      </c>
      <c r="BW69" s="6">
        <f>日流量!BW69*24*3600/100000000</f>
        <v>1.5724800000000001</v>
      </c>
      <c r="BX69" s="6">
        <f>日流量!BX69*24*3600/100000000</f>
        <v>1.7452799999999999</v>
      </c>
      <c r="BY69" s="6">
        <f>日流量!BY69*24*3600/100000000</f>
        <v>1.6502399999999999</v>
      </c>
      <c r="BZ69" s="6">
        <f>日流量!BZ69*24*3600/100000000</f>
        <v>1.7798400000000001</v>
      </c>
      <c r="CA69" s="6">
        <f>日流量!CA69*24*3600/100000000</f>
        <v>1.8144</v>
      </c>
      <c r="CB69" s="6">
        <f>日流量!CB69*24*3600/100000000</f>
        <v>1.8489599999999999</v>
      </c>
      <c r="CC69" s="6">
        <f>日流量!CC69*24*3600/100000000</f>
        <v>2.00448</v>
      </c>
      <c r="CD69" s="6">
        <f>日流量!CD69*24*3600/100000000</f>
        <v>2.1427200000000002</v>
      </c>
      <c r="CE69" s="6">
        <f>日流量!CE69*24*3600/100000000</f>
        <v>2.0476800000000002</v>
      </c>
      <c r="CF69" s="6">
        <f>日流量!CF69*24*3600/100000000</f>
        <v>2.1427200000000002</v>
      </c>
      <c r="CG69" s="6">
        <f>日流量!CG69*24*3600/100000000</f>
        <v>2.2550400000000002</v>
      </c>
      <c r="CH69" s="6">
        <f>日流量!CH69*24*3600/100000000</f>
        <v>2.1859199999999999</v>
      </c>
      <c r="CI69" s="6">
        <f>日流量!CI69*24*3600/100000000</f>
        <v>2.30688</v>
      </c>
      <c r="CJ69" s="6">
        <f>日流量!CJ69*24*3600/100000000</f>
        <v>2.2723200000000001</v>
      </c>
      <c r="CK69" s="6">
        <f>日流量!CK69*24*3600/100000000</f>
        <v>2.1513599999999999</v>
      </c>
      <c r="CL69" s="6">
        <f>日流量!CL69*24*3600/100000000</f>
        <v>2.16</v>
      </c>
      <c r="CM69" s="6">
        <f>日流量!CM69*24*3600/100000000</f>
        <v>1.6761600000000001</v>
      </c>
      <c r="CN69" s="6">
        <f>日流量!CN69*24*3600/100000000</f>
        <v>1.52064</v>
      </c>
      <c r="CO69" s="6">
        <f>日流量!CO69*24*3600/100000000</f>
        <v>1.5811200000000001</v>
      </c>
      <c r="CP69" s="6">
        <f>日流量!CP69*24*3600/100000000</f>
        <v>1.80576</v>
      </c>
      <c r="CQ69" s="6">
        <f>日流量!CQ69*24*3600/100000000</f>
        <v>1.60704</v>
      </c>
      <c r="CR69" s="6">
        <f>日流量!CR69*24*3600/100000000</f>
        <v>1.53792</v>
      </c>
      <c r="CS69" s="6">
        <f>日流量!CS69*24*3600/100000000</f>
        <v>1.50336</v>
      </c>
      <c r="CT69" s="6">
        <f>日流量!CT69*24*3600/100000000</f>
        <v>1.50336</v>
      </c>
      <c r="CU69" s="6">
        <f>日流量!CU69*24*3600/100000000</f>
        <v>1.52928</v>
      </c>
      <c r="CV69" s="6">
        <f>日流量!CV69*24*3600/100000000</f>
        <v>1.5638399999999999</v>
      </c>
      <c r="CW69" s="6">
        <f>日流量!CW69*24*3600/100000000</f>
        <v>1.5897600000000001</v>
      </c>
      <c r="CX69" s="6">
        <f>日流量!CX69*24*3600/100000000</f>
        <v>1.62432</v>
      </c>
      <c r="CY69" s="6">
        <f>日流量!CY69*24*3600/100000000</f>
        <v>1.5724800000000001</v>
      </c>
      <c r="CZ69" s="6">
        <f>日流量!CZ69*24*3600/100000000</f>
        <v>1.5897600000000001</v>
      </c>
      <c r="DA69" s="6">
        <f>日流量!DA69*24*3600/100000000</f>
        <v>1.5811200000000001</v>
      </c>
      <c r="DB69" s="6">
        <f>日流量!DB69*24*3600/100000000</f>
        <v>1.53792</v>
      </c>
      <c r="DC69" s="6">
        <f>日流量!DC69*24*3600/100000000</f>
        <v>1.53792</v>
      </c>
      <c r="DD69" s="6">
        <f>日流量!DD69*24*3600/100000000</f>
        <v>1.39968</v>
      </c>
      <c r="DE69" s="6">
        <f>日流量!DE69*24*3600/100000000</f>
        <v>1.13184</v>
      </c>
      <c r="DF69" s="6">
        <f>日流量!DF69*24*3600/100000000</f>
        <v>1.22688</v>
      </c>
      <c r="DG69" s="6">
        <f>日流量!DG69*24*3600/100000000</f>
        <v>1.1664000000000001</v>
      </c>
      <c r="DH69" s="6">
        <f>日流量!DH69*24*3600/100000000</f>
        <v>1.21824</v>
      </c>
      <c r="DI69" s="6">
        <f>日流量!DI69*24*3600/100000000</f>
        <v>1.13184</v>
      </c>
      <c r="DJ69" s="6">
        <f>日流量!DJ69*24*3600/100000000</f>
        <v>1.2441599999999999</v>
      </c>
      <c r="DK69" s="6">
        <f>日流量!DK69*24*3600/100000000</f>
        <v>1.2527999999999999</v>
      </c>
      <c r="DL69" s="6">
        <f>日流量!DL69*24*3600/100000000</f>
        <v>1.2441599999999999</v>
      </c>
      <c r="DM69" s="6">
        <f>日流量!DM69*24*3600/100000000</f>
        <v>1.23552</v>
      </c>
      <c r="DN69" s="6">
        <f>日流量!DN69*24*3600/100000000</f>
        <v>1.22688</v>
      </c>
      <c r="DO69" s="6">
        <f>日流量!DO69*24*3600/100000000</f>
        <v>1.21824</v>
      </c>
      <c r="DP69" s="6">
        <f>日流量!DP69*24*3600/100000000</f>
        <v>1.19232</v>
      </c>
      <c r="DQ69" s="6">
        <f>日流量!DQ69*24*3600/100000000</f>
        <v>1.13184</v>
      </c>
      <c r="DR69" s="6">
        <f>日流量!DR69*24*3600/100000000</f>
        <v>1.00224</v>
      </c>
      <c r="DS69" s="6">
        <f>日流量!DS69*24*3600/100000000</f>
        <v>0.97631999999999997</v>
      </c>
      <c r="DT69" s="6">
        <f>日流量!DT69*24*3600/100000000</f>
        <v>1.0627200000000001</v>
      </c>
      <c r="DU69" s="6">
        <f>日流量!DU69*24*3600/100000000</f>
        <v>0.97631999999999997</v>
      </c>
      <c r="DV69" s="6">
        <f>日流量!DV69*24*3600/100000000</f>
        <v>0.85363199999999995</v>
      </c>
      <c r="DW69" s="6">
        <f>日流量!DW69*24*3600/100000000</f>
        <v>0.93311999999999995</v>
      </c>
      <c r="DX69" s="6">
        <f>日流量!DX69*24*3600/100000000</f>
        <v>0.95904</v>
      </c>
      <c r="DY69" s="6">
        <f>日流量!DY69*24*3600/100000000</f>
        <v>0.98495999999999995</v>
      </c>
      <c r="DZ69" s="6">
        <f>日流量!DZ69*24*3600/100000000</f>
        <v>1.0454399999999999</v>
      </c>
      <c r="EA69" s="6">
        <f>日流量!EA69*24*3600/100000000</f>
        <v>1.20096</v>
      </c>
      <c r="EB69" s="6">
        <f>日流量!EB69*24*3600/100000000</f>
        <v>1.1577599999999999</v>
      </c>
      <c r="EC69" s="6">
        <f>日流量!EC69*24*3600/100000000</f>
        <v>1.2873600000000001</v>
      </c>
      <c r="ED69" s="6">
        <f>日流量!ED69*24*3600/100000000</f>
        <v>1.39968</v>
      </c>
      <c r="EE69" s="6">
        <f>日流量!EE69*24*3600/100000000</f>
        <v>1.5638399999999999</v>
      </c>
      <c r="EF69" s="6">
        <f>日流量!EF69*24*3600/100000000</f>
        <v>1.91808</v>
      </c>
      <c r="EG69" s="6">
        <f>日流量!EG69*24*3600/100000000</f>
        <v>2.0131199999999998</v>
      </c>
      <c r="EH69" s="6">
        <f>日流量!EH69*24*3600/100000000</f>
        <v>2.03904</v>
      </c>
      <c r="EI69" s="6">
        <f>日流量!EI69*24*3600/100000000</f>
        <v>2.02176</v>
      </c>
      <c r="EJ69" s="6">
        <f>日流量!EJ69*24*3600/100000000</f>
        <v>2.03904</v>
      </c>
      <c r="EK69" s="6">
        <f>日流量!EK69*24*3600/100000000</f>
        <v>2.0476800000000002</v>
      </c>
      <c r="EL69" s="6">
        <f>日流量!EL69*24*3600/100000000</f>
        <v>2.0995200000000001</v>
      </c>
      <c r="EM69" s="6">
        <f>日流量!EM69*24*3600/100000000</f>
        <v>2.0908799999999998</v>
      </c>
      <c r="EN69" s="6">
        <f>日流量!EN69*24*3600/100000000</f>
        <v>2.00448</v>
      </c>
      <c r="EO69" s="6">
        <f>日流量!EO69*24*3600/100000000</f>
        <v>2.2636799999999999</v>
      </c>
      <c r="EP69" s="6">
        <f>日流量!EP69*24*3600/100000000</f>
        <v>2.6179199999999998</v>
      </c>
      <c r="EQ69" s="6">
        <f>日流量!EQ69*24*3600/100000000</f>
        <v>3.024</v>
      </c>
      <c r="ER69" s="6">
        <f>日流量!ER69*24*3600/100000000</f>
        <v>3.42144</v>
      </c>
      <c r="ES69" s="6">
        <f>日流量!ES69*24*3600/100000000</f>
        <v>3.42144</v>
      </c>
      <c r="ET69" s="6">
        <f>日流量!ET69*24*3600/100000000</f>
        <v>3.5683199999999999</v>
      </c>
      <c r="EU69" s="6">
        <f>日流量!EU69*24*3600/100000000</f>
        <v>3.1276799999999998</v>
      </c>
      <c r="EV69" s="6">
        <f>日流量!EV69*24*3600/100000000</f>
        <v>3.0585599999999999</v>
      </c>
      <c r="EW69" s="6">
        <f>日流量!EW69*24*3600/100000000</f>
        <v>3.3264</v>
      </c>
      <c r="EX69" s="6">
        <f>日流量!EX69*24*3600/100000000</f>
        <v>3.9830399999999999</v>
      </c>
      <c r="EY69" s="6">
        <f>日流量!EY69*24*3600/100000000</f>
        <v>3.9225599999999998</v>
      </c>
      <c r="EZ69" s="6">
        <f>日流量!EZ69*24*3600/100000000</f>
        <v>3.8879999999999999</v>
      </c>
      <c r="FA69" s="6">
        <f>日流量!FA69*24*3600/100000000</f>
        <v>3.6633599999999999</v>
      </c>
      <c r="FB69" s="6">
        <f>日流量!FB69*24*3600/100000000</f>
        <v>3.0758399999999999</v>
      </c>
      <c r="FC69" s="6">
        <f>日流量!FC69*24*3600/100000000</f>
        <v>3.0672000000000001</v>
      </c>
      <c r="FD69" s="6">
        <f>日流量!FD69*24*3600/100000000</f>
        <v>2.8944000000000001</v>
      </c>
      <c r="FE69" s="6">
        <f>日流量!FE69*24*3600/100000000</f>
        <v>2.43648</v>
      </c>
      <c r="FF69" s="6">
        <f>日流量!FF69*24*3600/100000000</f>
        <v>2.5488</v>
      </c>
      <c r="FG69" s="6">
        <f>日流量!FG69*24*3600/100000000</f>
        <v>2.6783999999999999</v>
      </c>
      <c r="FH69" s="6">
        <f>日流量!FH69*24*3600/100000000</f>
        <v>2.7820800000000001</v>
      </c>
      <c r="FI69" s="6">
        <f>日流量!FI69*24*3600/100000000</f>
        <v>3.0067200000000001</v>
      </c>
      <c r="FJ69" s="6">
        <f>日流量!FJ69*24*3600/100000000</f>
        <v>2.9548800000000002</v>
      </c>
      <c r="FK69" s="6">
        <f>日流量!FK69*24*3600/100000000</f>
        <v>2.6956799999999999</v>
      </c>
      <c r="FL69" s="6">
        <f>日流量!FL69*24*3600/100000000</f>
        <v>3.3782399999999999</v>
      </c>
      <c r="FM69" s="6">
        <f>日流量!FM69*24*3600/100000000</f>
        <v>3.8448000000000002</v>
      </c>
      <c r="FN69" s="6">
        <f>日流量!FN69*24*3600/100000000</f>
        <v>3.7756799999999999</v>
      </c>
      <c r="FO69" s="6">
        <f>日流量!FO69*24*3600/100000000</f>
        <v>3.6547200000000002</v>
      </c>
      <c r="FP69" s="6">
        <f>日流量!FP69*24*3600/100000000</f>
        <v>3.4732799999999999</v>
      </c>
      <c r="FQ69" s="6">
        <f>日流量!FQ69*24*3600/100000000</f>
        <v>3.23136</v>
      </c>
      <c r="FR69" s="6">
        <f>日流量!FR69*24*3600/100000000</f>
        <v>3.456</v>
      </c>
      <c r="FS69" s="6">
        <f>日流量!FS69*24*3600/100000000</f>
        <v>3.2831999999999999</v>
      </c>
      <c r="FT69" s="6">
        <f>日流量!FT69*24*3600/100000000</f>
        <v>3.53376</v>
      </c>
      <c r="FU69" s="6">
        <f>日流量!FU69*24*3600/100000000</f>
        <v>4.0089600000000001</v>
      </c>
      <c r="FV69" s="6">
        <f>日流量!FV69*24*3600/100000000</f>
        <v>5.5382400000000001</v>
      </c>
      <c r="FW69" s="6">
        <f>日流量!FW69*24*3600/100000000</f>
        <v>6.8169599999999999</v>
      </c>
      <c r="FX69" s="6">
        <f>日流量!FX69*24*3600/100000000</f>
        <v>6.4972799999999999</v>
      </c>
      <c r="FY69" s="6">
        <f>日流量!FY69*24*3600/100000000</f>
        <v>6.7996800000000004</v>
      </c>
      <c r="FZ69" s="6">
        <f>日流量!FZ69*24*3600/100000000</f>
        <v>8.1302400000000006</v>
      </c>
      <c r="GA69" s="6">
        <f>日流量!GA69*24*3600/100000000</f>
        <v>6.4713599999999998</v>
      </c>
      <c r="GB69" s="6">
        <f>日流量!GB69*24*3600/100000000</f>
        <v>6.6182400000000001</v>
      </c>
      <c r="GC69" s="6">
        <f>日流量!GC69*24*3600/100000000</f>
        <v>6.1344000000000003</v>
      </c>
      <c r="GD69" s="6">
        <f>日流量!GD69*24*3600/100000000</f>
        <v>5.4345600000000003</v>
      </c>
      <c r="GE69" s="6">
        <f>日流量!GE69*24*3600/100000000</f>
        <v>4.6915199999999997</v>
      </c>
      <c r="GF69" s="6">
        <f>日流量!GF69*24*3600/100000000</f>
        <v>4.6051200000000003</v>
      </c>
      <c r="GG69" s="6">
        <f>日流量!GG69*24*3600/100000000</f>
        <v>5.1235200000000001</v>
      </c>
      <c r="GH69" s="6">
        <f>日流量!GH69*24*3600/100000000</f>
        <v>5.4691200000000002</v>
      </c>
      <c r="GI69" s="6">
        <f>日流量!GI69*24*3600/100000000</f>
        <v>5.9270399999999999</v>
      </c>
      <c r="GJ69" s="6">
        <f>日流量!GJ69*24*3600/100000000</f>
        <v>6.5836800000000002</v>
      </c>
      <c r="GK69" s="6">
        <f>日流量!GK69*24*3600/100000000</f>
        <v>7.3267199999999999</v>
      </c>
      <c r="GL69" s="6">
        <f>日流量!GL69*24*3600/100000000</f>
        <v>6.9379200000000001</v>
      </c>
      <c r="GM69" s="6">
        <f>日流量!GM69*24*3600/100000000</f>
        <v>6.9811199999999998</v>
      </c>
      <c r="GN69" s="6">
        <f>日流量!GN69*24*3600/100000000</f>
        <v>7.3612799999999998</v>
      </c>
      <c r="GO69" s="6">
        <f>日流量!GO69*24*3600/100000000</f>
        <v>7.5254399999999997</v>
      </c>
      <c r="GP69" s="6">
        <f>日流量!GP69*24*3600/100000000</f>
        <v>7.8278400000000001</v>
      </c>
      <c r="GQ69" s="6">
        <f>日流量!GQ69*24*3600/100000000</f>
        <v>7.3699199999999996</v>
      </c>
      <c r="GR69" s="6">
        <f>日流量!GR69*24*3600/100000000</f>
        <v>8.1302400000000006</v>
      </c>
      <c r="GS69" s="6">
        <f>日流量!GS69*24*3600/100000000</f>
        <v>7.8278400000000001</v>
      </c>
      <c r="GT69" s="6">
        <f>日流量!GT69*24*3600/100000000</f>
        <v>7.6463999999999999</v>
      </c>
      <c r="GU69" s="6">
        <f>日流量!GU69*24*3600/100000000</f>
        <v>7.4649599999999996</v>
      </c>
      <c r="GV69" s="6">
        <f>日流量!GV69*24*3600/100000000</f>
        <v>7.4217599999999999</v>
      </c>
      <c r="GW69" s="6">
        <f>日流量!GW69*24*3600/100000000</f>
        <v>6.7910399999999997</v>
      </c>
      <c r="GX69" s="6">
        <f>日流量!GX69*24*3600/100000000</f>
        <v>6.9465599999999998</v>
      </c>
      <c r="GY69" s="6">
        <f>日流量!GY69*24*3600/100000000</f>
        <v>7.6291200000000003</v>
      </c>
      <c r="GZ69" s="6">
        <f>日流量!GZ69*24*3600/100000000</f>
        <v>8.5449599999999997</v>
      </c>
      <c r="HA69" s="6">
        <f>日流量!HA69*24*3600/100000000</f>
        <v>8.0697600000000005</v>
      </c>
      <c r="HB69" s="6">
        <f>日流量!HB69*24*3600/100000000</f>
        <v>7.9142400000000004</v>
      </c>
      <c r="HC69" s="6">
        <f>日流量!HC69*24*3600/100000000</f>
        <v>8.7263999999999999</v>
      </c>
      <c r="HD69" s="6">
        <f>日流量!HD69*24*3600/100000000</f>
        <v>9.1584000000000003</v>
      </c>
      <c r="HE69" s="6">
        <f>日流量!HE69*24*3600/100000000</f>
        <v>9.2447999999999997</v>
      </c>
      <c r="HF69" s="6">
        <f>日流量!HF69*24*3600/100000000</f>
        <v>9.1584000000000003</v>
      </c>
      <c r="HG69" s="6">
        <f>日流量!HG69*24*3600/100000000</f>
        <v>8.4412800000000008</v>
      </c>
      <c r="HH69" s="6">
        <f>日流量!HH69*24*3600/100000000</f>
        <v>7.3440000000000003</v>
      </c>
      <c r="HI69" s="6">
        <f>日流量!HI69*24*3600/100000000</f>
        <v>7.9574400000000001</v>
      </c>
      <c r="HJ69" s="6">
        <f>日流量!HJ69*24*3600/100000000</f>
        <v>7.4390400000000003</v>
      </c>
      <c r="HK69" s="6">
        <f>日流量!HK69*24*3600/100000000</f>
        <v>7.0934400000000002</v>
      </c>
      <c r="HL69" s="6">
        <f>日流量!HL69*24*3600/100000000</f>
        <v>6.5663999999999998</v>
      </c>
      <c r="HM69" s="6">
        <f>日流量!HM69*24*3600/100000000</f>
        <v>6.6441600000000003</v>
      </c>
      <c r="HN69" s="6">
        <f>日流量!HN69*24*3600/100000000</f>
        <v>7.4908799999999998</v>
      </c>
      <c r="HO69" s="6">
        <f>日流量!HO69*24*3600/100000000</f>
        <v>7.8364799999999999</v>
      </c>
      <c r="HP69" s="6">
        <f>日流量!HP69*24*3600/100000000</f>
        <v>7.5686400000000003</v>
      </c>
      <c r="HQ69" s="6">
        <f>日流量!HQ69*24*3600/100000000</f>
        <v>6.8515199999999998</v>
      </c>
      <c r="HR69" s="6">
        <f>日流量!HR69*24*3600/100000000</f>
        <v>5.7455999999999996</v>
      </c>
      <c r="HS69" s="6">
        <f>日流量!HS69*24*3600/100000000</f>
        <v>5.2444800000000003</v>
      </c>
      <c r="HT69" s="6">
        <f>日流量!HT69*24*3600/100000000</f>
        <v>4.968</v>
      </c>
      <c r="HU69" s="6">
        <f>日流量!HU69*24*3600/100000000</f>
        <v>5.0025599999999999</v>
      </c>
      <c r="HV69" s="6">
        <f>日流量!HV69*24*3600/100000000</f>
        <v>5.2876799999999999</v>
      </c>
      <c r="HW69" s="6">
        <f>日流量!HW69*24*3600/100000000</f>
        <v>5.1407999999999996</v>
      </c>
      <c r="HX69" s="6">
        <f>日流量!HX69*24*3600/100000000</f>
        <v>3.9830399999999999</v>
      </c>
      <c r="HY69" s="6">
        <f>日流量!HY69*24*3600/100000000</f>
        <v>3.8707199999999999</v>
      </c>
      <c r="HZ69" s="6">
        <f>日流量!HZ69*24*3600/100000000</f>
        <v>3.6115200000000001</v>
      </c>
      <c r="IA69" s="6">
        <f>日流量!IA69*24*3600/100000000</f>
        <v>3.4646400000000002</v>
      </c>
      <c r="IB69" s="6">
        <f>日流量!IB69*24*3600/100000000</f>
        <v>4.4150400000000003</v>
      </c>
      <c r="IC69" s="6">
        <f>日流量!IC69*24*3600/100000000</f>
        <v>4.93344</v>
      </c>
      <c r="ID69" s="6">
        <f>日流量!ID69*24*3600/100000000</f>
        <v>4.8470399999999998</v>
      </c>
      <c r="IE69" s="6">
        <f>日流量!IE69*24*3600/100000000</f>
        <v>4.5705600000000004</v>
      </c>
      <c r="IF69" s="6">
        <f>日流量!IF69*24*3600/100000000</f>
        <v>4.8038400000000001</v>
      </c>
      <c r="IG69" s="6">
        <f>日流量!IG69*24*3600/100000000</f>
        <v>5.0716799999999997</v>
      </c>
      <c r="IH69" s="6">
        <f>日流量!IH69*24*3600/100000000</f>
        <v>5.2617599999999998</v>
      </c>
      <c r="II69" s="6">
        <f>日流量!II69*24*3600/100000000</f>
        <v>5.0975999999999999</v>
      </c>
      <c r="IJ69" s="6">
        <f>日流量!IJ69*24*3600/100000000</f>
        <v>4.7260799999999996</v>
      </c>
      <c r="IK69" s="6">
        <f>日流量!IK69*24*3600/100000000</f>
        <v>4.6828799999999999</v>
      </c>
      <c r="IL69" s="6">
        <f>日流量!IL69*24*3600/100000000</f>
        <v>5.2358399999999996</v>
      </c>
      <c r="IM69" s="6">
        <f>日流量!IM69*24*3600/100000000</f>
        <v>4.5100800000000003</v>
      </c>
      <c r="IN69" s="6">
        <f>日流量!IN69*24*3600/100000000</f>
        <v>3.5683199999999999</v>
      </c>
      <c r="IO69" s="6">
        <f>日流量!IO69*24*3600/100000000</f>
        <v>3.6201599999999998</v>
      </c>
      <c r="IP69" s="6">
        <f>日流量!IP69*24*3600/100000000</f>
        <v>3.8188800000000001</v>
      </c>
      <c r="IQ69" s="6">
        <f>日流量!IQ69*24*3600/100000000</f>
        <v>4.5964799999999997</v>
      </c>
      <c r="IR69" s="6">
        <f>日流量!IR69*24*3600/100000000</f>
        <v>5.15808</v>
      </c>
      <c r="IS69" s="6">
        <f>日流量!IS69*24*3600/100000000</f>
        <v>7.6550399999999996</v>
      </c>
      <c r="IT69" s="6">
        <f>日流量!IT69*24*3600/100000000</f>
        <v>8.4499200000000005</v>
      </c>
      <c r="IU69" s="6">
        <f>日流量!IU69*24*3600/100000000</f>
        <v>8.1129599999999993</v>
      </c>
      <c r="IV69" s="6">
        <f>日流量!IV69*24*3600/100000000</f>
        <v>8.6140799999999995</v>
      </c>
      <c r="IW69" s="6">
        <f>日流量!IW69*24*3600/100000000</f>
        <v>7.56</v>
      </c>
      <c r="IX69" s="6">
        <f>日流量!IX69*24*3600/100000000</f>
        <v>6.1603199999999996</v>
      </c>
      <c r="IY69" s="6">
        <f>日流量!IY69*24*3600/100000000</f>
        <v>5.3827199999999999</v>
      </c>
      <c r="IZ69" s="6">
        <f>日流量!IZ69*24*3600/100000000</f>
        <v>5.4172799999999999</v>
      </c>
      <c r="JA69" s="6">
        <f>日流量!JA69*24*3600/100000000</f>
        <v>5.4863999999999997</v>
      </c>
      <c r="JB69" s="6">
        <f>日流量!JB69*24*3600/100000000</f>
        <v>7.2403199999999996</v>
      </c>
      <c r="JC69" s="6">
        <f>日流量!JC69*24*3600/100000000</f>
        <v>7.2489600000000003</v>
      </c>
      <c r="JD69" s="6">
        <f>日流量!JD69*24*3600/100000000</f>
        <v>7.1884800000000002</v>
      </c>
      <c r="JE69" s="6">
        <f>日流量!JE69*24*3600/100000000</f>
        <v>9.4176000000000002</v>
      </c>
      <c r="JF69" s="6">
        <f>日流量!JF69*24*3600/100000000</f>
        <v>10.022399999999999</v>
      </c>
      <c r="JG69" s="6">
        <f>日流量!JG69*24*3600/100000000</f>
        <v>11.5776</v>
      </c>
      <c r="JH69" s="6">
        <f>日流量!JH69*24*3600/100000000</f>
        <v>10.368</v>
      </c>
      <c r="JI69" s="6">
        <f>日流量!JI69*24*3600/100000000</f>
        <v>9.0719999999999992</v>
      </c>
      <c r="JJ69" s="6">
        <f>日流量!JJ69*24*3600/100000000</f>
        <v>9.0719999999999992</v>
      </c>
      <c r="JK69" s="6">
        <f>日流量!JK69*24*3600/100000000</f>
        <v>8.1129599999999993</v>
      </c>
      <c r="JL69" s="6">
        <f>日流量!JL69*24*3600/100000000</f>
        <v>5.9961599999999997</v>
      </c>
      <c r="JM69" s="6">
        <f>日流量!JM69*24*3600/100000000</f>
        <v>6.0307199999999996</v>
      </c>
      <c r="JN69" s="6">
        <f>日流量!JN69*24*3600/100000000</f>
        <v>7.2230400000000001</v>
      </c>
      <c r="JO69" s="6">
        <f>日流量!JO69*24*3600/100000000</f>
        <v>7.2489600000000003</v>
      </c>
      <c r="JP69" s="6">
        <f>日流量!JP69*24*3600/100000000</f>
        <v>7.3267199999999999</v>
      </c>
      <c r="JQ69" s="6">
        <f>日流量!JQ69*24*3600/100000000</f>
        <v>6.8342400000000003</v>
      </c>
      <c r="JR69" s="6">
        <f>日流量!JR69*24*3600/100000000</f>
        <v>6.7478400000000001</v>
      </c>
      <c r="JS69" s="6">
        <f>日流量!JS69*24*3600/100000000</f>
        <v>6.7392000000000003</v>
      </c>
      <c r="JT69" s="6">
        <f>日流量!JT69*24*3600/100000000</f>
        <v>6.1084800000000001</v>
      </c>
      <c r="JU69" s="6">
        <f>日流量!JU69*24*3600/100000000</f>
        <v>4.6310399999999996</v>
      </c>
      <c r="JV69" s="6">
        <f>日流量!JV69*24*3600/100000000</f>
        <v>5.2185600000000001</v>
      </c>
      <c r="JW69" s="6">
        <f>日流量!JW69*24*3600/100000000</f>
        <v>5.7110399999999997</v>
      </c>
      <c r="JX69" s="6">
        <f>日流量!JX69*24*3600/100000000</f>
        <v>4.8297600000000003</v>
      </c>
      <c r="JY69" s="6">
        <f>日流量!JY69*24*3600/100000000</f>
        <v>5.5468799999999998</v>
      </c>
      <c r="JZ69" s="6">
        <f>日流量!JZ69*24*3600/100000000</f>
        <v>5.2012799999999997</v>
      </c>
      <c r="KA69" s="6">
        <f>日流量!KA69*24*3600/100000000</f>
        <v>5.5296000000000003</v>
      </c>
      <c r="KB69" s="6">
        <f>日流量!KB69*24*3600/100000000</f>
        <v>5.3654400000000004</v>
      </c>
      <c r="KC69" s="6">
        <f>日流量!KC69*24*3600/100000000</f>
        <v>5.1753600000000004</v>
      </c>
      <c r="KD69" s="6">
        <f>日流量!KD69*24*3600/100000000</f>
        <v>4.4150400000000003</v>
      </c>
      <c r="KE69" s="6">
        <f>日流量!KE69*24*3600/100000000</f>
        <v>4.64832</v>
      </c>
      <c r="KF69" s="6">
        <f>日流量!KF69*24*3600/100000000</f>
        <v>4.4841600000000001</v>
      </c>
      <c r="KG69" s="6">
        <f>日流量!KG69*24*3600/100000000</f>
        <v>4.8297600000000003</v>
      </c>
      <c r="KH69" s="6">
        <f>日流量!KH69*24*3600/100000000</f>
        <v>4.5100800000000003</v>
      </c>
      <c r="KI69" s="6">
        <f>日流量!KI69*24*3600/100000000</f>
        <v>4.4409599999999996</v>
      </c>
      <c r="KJ69" s="6">
        <f>日流量!KJ69*24*3600/100000000</f>
        <v>4.6569599999999998</v>
      </c>
      <c r="KK69" s="6">
        <f>日流量!KK69*24*3600/100000000</f>
        <v>4.5359999999999996</v>
      </c>
      <c r="KL69" s="6">
        <f>日流量!KL69*24*3600/100000000</f>
        <v>4.4150400000000003</v>
      </c>
      <c r="KM69" s="6">
        <f>日流量!KM69*24*3600/100000000</f>
        <v>4.4323199999999998</v>
      </c>
      <c r="KN69" s="6">
        <f>日流量!KN69*24*3600/100000000</f>
        <v>4.3891200000000001</v>
      </c>
      <c r="KO69" s="6">
        <f>日流量!KO69*24*3600/100000000</f>
        <v>4.3977599999999999</v>
      </c>
      <c r="KP69" s="6">
        <f>日流量!KP69*24*3600/100000000</f>
        <v>4.2076799999999999</v>
      </c>
      <c r="KQ69" s="6">
        <f>日流量!KQ69*24*3600/100000000</f>
        <v>3.7843200000000001</v>
      </c>
      <c r="KR69" s="6">
        <f>日流量!KR69*24*3600/100000000</f>
        <v>3.5769600000000001</v>
      </c>
      <c r="KS69" s="6">
        <f>日流量!KS69*24*3600/100000000</f>
        <v>3.2918400000000001</v>
      </c>
      <c r="KT69" s="6">
        <f>日流量!KT69*24*3600/100000000</f>
        <v>3.0153599999999998</v>
      </c>
      <c r="KU69" s="6">
        <f>日流量!KU69*24*3600/100000000</f>
        <v>2.8857599999999999</v>
      </c>
      <c r="KV69" s="6">
        <f>日流量!KV69*24*3600/100000000</f>
        <v>2.91168</v>
      </c>
      <c r="KW69" s="6">
        <f>日流量!KW69*24*3600/100000000</f>
        <v>2.9376000000000002</v>
      </c>
      <c r="KX69" s="6">
        <f>日流量!KX69*24*3600/100000000</f>
        <v>2.94624</v>
      </c>
      <c r="KY69" s="6">
        <f>日流量!KY69*24*3600/100000000</f>
        <v>2.92896</v>
      </c>
      <c r="KZ69" s="6">
        <f>日流量!KZ69*24*3600/100000000</f>
        <v>2.8512</v>
      </c>
      <c r="LA69" s="6">
        <f>日流量!LA69*24*3600/100000000</f>
        <v>2.7561599999999999</v>
      </c>
      <c r="LB69" s="6">
        <f>日流量!LB69*24*3600/100000000</f>
        <v>2.6697600000000001</v>
      </c>
      <c r="LC69" s="6">
        <f>日流量!LC69*24*3600/100000000</f>
        <v>2.7043200000000001</v>
      </c>
      <c r="LD69" s="6">
        <f>日流量!LD69*24*3600/100000000</f>
        <v>2.73888</v>
      </c>
      <c r="LE69" s="6">
        <f>日流量!LE69*24*3600/100000000</f>
        <v>2.8684799999999999</v>
      </c>
      <c r="LF69" s="6">
        <f>日流量!LF69*24*3600/100000000</f>
        <v>2.94624</v>
      </c>
      <c r="LG69" s="6">
        <f>日流量!LG69*24*3600/100000000</f>
        <v>2.9807999999999999</v>
      </c>
      <c r="LH69" s="6">
        <f>日流量!LH69*24*3600/100000000</f>
        <v>2.9635199999999999</v>
      </c>
      <c r="LI69" s="6">
        <f>日流量!LI69*24*3600/100000000</f>
        <v>2.9894400000000001</v>
      </c>
      <c r="LJ69" s="6">
        <f>日流量!LJ69*24*3600/100000000</f>
        <v>3.11904</v>
      </c>
      <c r="LK69" s="6">
        <f>日流量!LK69*24*3600/100000000</f>
        <v>3.2745600000000001</v>
      </c>
      <c r="LL69" s="6">
        <f>日流量!LL69*24*3600/100000000</f>
        <v>3.42144</v>
      </c>
      <c r="LM69" s="6">
        <f>日流量!LM69*24*3600/100000000</f>
        <v>3.55104</v>
      </c>
      <c r="LN69" s="6">
        <f>日流量!LN69*24*3600/100000000</f>
        <v>3.6720000000000002</v>
      </c>
      <c r="LO69" s="6">
        <f>日流量!LO69*24*3600/100000000</f>
        <v>3.7151999999999998</v>
      </c>
      <c r="LP69" s="6">
        <f>日流量!LP69*24*3600/100000000</f>
        <v>3.7065600000000001</v>
      </c>
      <c r="LQ69" s="6">
        <f>日流量!LQ69*24*3600/100000000</f>
        <v>3.6633599999999999</v>
      </c>
      <c r="LR69" s="6">
        <f>日流量!LR69*24*3600/100000000</f>
        <v>3.3350399999999998</v>
      </c>
      <c r="LS69" s="6">
        <f>日流量!LS69*24*3600/100000000</f>
        <v>2.9203199999999998</v>
      </c>
      <c r="LT69" s="6">
        <f>日流量!LT69*24*3600/100000000</f>
        <v>2.6611199999999999</v>
      </c>
      <c r="LU69" s="6">
        <f>日流量!LU69*24*3600/100000000</f>
        <v>2.60928</v>
      </c>
      <c r="LV69" s="6">
        <f>日流量!LV69*24*3600/100000000</f>
        <v>2.8598400000000002</v>
      </c>
      <c r="LW69" s="6">
        <f>日流量!LW69*24*3600/100000000</f>
        <v>3.0499200000000002</v>
      </c>
      <c r="LX69" s="6">
        <f>日流量!LX69*24*3600/100000000</f>
        <v>2.81664</v>
      </c>
      <c r="LY69" s="6">
        <f>日流量!LY69*24*3600/100000000</f>
        <v>2.7129599999999998</v>
      </c>
      <c r="LZ69" s="6">
        <f>日流量!LZ69*24*3600/100000000</f>
        <v>2.7820800000000001</v>
      </c>
      <c r="MA69" s="6">
        <f>日流量!MA69*24*3600/100000000</f>
        <v>2.7648000000000001</v>
      </c>
      <c r="MB69" s="6">
        <f>日流量!MB69*24*3600/100000000</f>
        <v>2.62656</v>
      </c>
      <c r="MC69" s="6">
        <f>日流量!MC69*24*3600/100000000</f>
        <v>2.4624000000000001</v>
      </c>
      <c r="MD69" s="6">
        <f>日流量!MD69*24*3600/100000000</f>
        <v>2.32416</v>
      </c>
      <c r="ME69" s="6">
        <f>日流量!ME69*24*3600/100000000</f>
        <v>2.2031999999999998</v>
      </c>
      <c r="MF69" s="6">
        <f>日流量!MF69*24*3600/100000000</f>
        <v>2.1168</v>
      </c>
      <c r="MG69" s="6">
        <f>日流量!MG69*24*3600/100000000</f>
        <v>2.0131199999999998</v>
      </c>
      <c r="MH69" s="6">
        <f>日流量!MH69*24*3600/100000000</f>
        <v>1.728</v>
      </c>
      <c r="MI69" s="6">
        <f>日流量!MI69*24*3600/100000000</f>
        <v>1.71936</v>
      </c>
      <c r="MJ69" s="6">
        <f>日流量!MJ69*24*3600/100000000</f>
        <v>1.71936</v>
      </c>
      <c r="MK69" s="6">
        <f>日流量!MK69*24*3600/100000000</f>
        <v>1.73664</v>
      </c>
      <c r="ML69" s="6">
        <f>日流量!ML69*24*3600/100000000</f>
        <v>1.7452799999999999</v>
      </c>
      <c r="MM69" s="6">
        <f>日流量!MM69*24*3600/100000000</f>
        <v>1.6502399999999999</v>
      </c>
      <c r="MN69" s="6">
        <f>日流量!MN69*24*3600/100000000</f>
        <v>1.5724800000000001</v>
      </c>
      <c r="MO69" s="6">
        <f>日流量!MO69*24*3600/100000000</f>
        <v>1.52928</v>
      </c>
      <c r="MP69" s="6">
        <f>日流量!MP69*24*3600/100000000</f>
        <v>1.49472</v>
      </c>
      <c r="MQ69" s="6">
        <f>日流量!MQ69*24*3600/100000000</f>
        <v>1.39968</v>
      </c>
      <c r="MR69" s="6">
        <f>日流量!MR69*24*3600/100000000</f>
        <v>1.33056</v>
      </c>
      <c r="MS69" s="6">
        <f>日流量!MS69*24*3600/100000000</f>
        <v>1.296</v>
      </c>
      <c r="MT69" s="6">
        <f>日流量!MT69*24*3600/100000000</f>
        <v>1.3564799999999999</v>
      </c>
      <c r="MU69" s="6">
        <f>日流量!MU69*24*3600/100000000</f>
        <v>1.4774400000000001</v>
      </c>
      <c r="MV69" s="6">
        <f>日流量!MV69*24*3600/100000000</f>
        <v>1.52928</v>
      </c>
      <c r="MW69" s="6">
        <f>日流量!MW69*24*3600/100000000</f>
        <v>1.5897600000000001</v>
      </c>
      <c r="MX69" s="6">
        <f>日流量!MX69*24*3600/100000000</f>
        <v>1.63296</v>
      </c>
      <c r="MY69" s="6">
        <f>日流量!MY69*24*3600/100000000</f>
        <v>1.6502399999999999</v>
      </c>
      <c r="MZ69" s="6">
        <f>日流量!MZ69*24*3600/100000000</f>
        <v>1.7971200000000001</v>
      </c>
      <c r="NA69" s="6">
        <f>日流量!NA69*24*3600/100000000</f>
        <v>1.9958400000000001</v>
      </c>
      <c r="NB69" s="6">
        <f>日流量!NB69*24*3600/100000000</f>
        <v>1.944</v>
      </c>
      <c r="NC69" s="6">
        <f>日流量!NC69*24*3600/100000000</f>
        <v>1.8835200000000001</v>
      </c>
      <c r="ND69" s="6">
        <f>日流量!ND69*24*3600*31/100000000</f>
        <v>59.460479999999997</v>
      </c>
      <c r="NE69" s="6">
        <f>日流量!NE69*24*3600*29/100000000</f>
        <v>50.112000000000002</v>
      </c>
      <c r="NF69" s="6">
        <f>日流量!NF69*24*3600*31/100000000</f>
        <v>56.514240000000001</v>
      </c>
      <c r="NG69" s="6">
        <f>日流量!NG69*24*3600*30/100000000</f>
        <v>41.731200000000001</v>
      </c>
      <c r="NH69" s="6">
        <f>日流量!NH69*24*3600*31/100000000</f>
        <v>60.531840000000003</v>
      </c>
      <c r="NI69" s="6">
        <f>日流量!NI69*24*3600*30/100000000</f>
        <v>119.49120000000001</v>
      </c>
      <c r="NJ69" s="6">
        <f>日流量!NJ69*24*3600*31/100000000</f>
        <v>222.57504</v>
      </c>
      <c r="NK69" s="6">
        <f>日流量!NK69*24*3600*31/100000000</f>
        <v>175.97087999999999</v>
      </c>
      <c r="NL69" s="6">
        <f>日流量!NL69*24*3600*30/100000000</f>
        <v>209.17439999999999</v>
      </c>
      <c r="NM69" s="6">
        <f>日流量!NM69*24*3600*31/100000000</f>
        <v>152.93664000000001</v>
      </c>
      <c r="NN69" s="6">
        <f>日流量!NN69*24*3600*30/100000000</f>
        <v>91.497600000000006</v>
      </c>
      <c r="NO69" s="6">
        <f>日流量!NO69*24*3600*31/100000000</f>
        <v>57.853439999999999</v>
      </c>
      <c r="NP69" s="14">
        <f t="shared" si="10"/>
        <v>1297.8489599999998</v>
      </c>
      <c r="NQ69" s="6">
        <f>日流量!NQ69*24*3600/100000000</f>
        <v>11.5776</v>
      </c>
      <c r="NR69" s="4">
        <f>日流量!NR69</f>
        <v>42635</v>
      </c>
      <c r="NS69" s="6">
        <f>日流量!NS69*24*3600/100000000</f>
        <v>0.85363199999999995</v>
      </c>
      <c r="NT69" s="4">
        <f>日流量!NT69</f>
        <v>42494</v>
      </c>
      <c r="NU69" s="7">
        <f>日流量!NP69</f>
        <v>4104.311475409836</v>
      </c>
      <c r="NW69" s="13">
        <f t="shared" si="11"/>
        <v>940.68</v>
      </c>
      <c r="NX69" s="12">
        <f t="shared" si="12"/>
        <v>72.479928635147189</v>
      </c>
      <c r="NY69" s="13">
        <f t="shared" si="13"/>
        <v>727.21151999999995</v>
      </c>
      <c r="NZ69" s="12">
        <f t="shared" si="14"/>
        <v>56.032060926411653</v>
      </c>
      <c r="OA69" s="13">
        <f t="shared" si="15"/>
        <v>357.16895999999986</v>
      </c>
      <c r="OB69" s="12">
        <f t="shared" si="16"/>
        <v>27.520071364852804</v>
      </c>
      <c r="OC69" s="13">
        <f t="shared" si="17"/>
        <v>222.57504</v>
      </c>
      <c r="OD69" s="12">
        <f t="shared" si="18"/>
        <v>17.149533332445714</v>
      </c>
      <c r="OE69" s="12">
        <f t="shared" si="19"/>
        <v>303.23573831775695</v>
      </c>
      <c r="OF69" s="12">
        <f t="shared" si="20"/>
        <v>9.6155421840993469</v>
      </c>
    </row>
    <row r="71" spans="1:396" customFormat="1" x14ac:dyDescent="0.15">
      <c r="A71" s="9" t="s">
        <v>36</v>
      </c>
      <c r="B71" s="5">
        <f>MAX(B3:B69)</f>
        <v>1.82304</v>
      </c>
      <c r="C71" s="5">
        <f t="shared" ref="C71:BN71" si="21">MAX(C3:C69)</f>
        <v>2.0563199999999999</v>
      </c>
      <c r="D71" s="5">
        <f t="shared" si="21"/>
        <v>2.1081599999999998</v>
      </c>
      <c r="E71" s="5">
        <f t="shared" si="21"/>
        <v>2.03904</v>
      </c>
      <c r="F71" s="5">
        <f t="shared" si="21"/>
        <v>2.00448</v>
      </c>
      <c r="G71" s="5">
        <f t="shared" si="21"/>
        <v>1.92672</v>
      </c>
      <c r="H71" s="5">
        <f t="shared" si="21"/>
        <v>1.9612799999999999</v>
      </c>
      <c r="I71" s="5">
        <f t="shared" si="21"/>
        <v>1.8835200000000001</v>
      </c>
      <c r="J71" s="5">
        <f t="shared" si="21"/>
        <v>1.83168</v>
      </c>
      <c r="K71" s="5">
        <f t="shared" si="21"/>
        <v>1.84032</v>
      </c>
      <c r="L71" s="5">
        <f t="shared" si="21"/>
        <v>1.7884800000000001</v>
      </c>
      <c r="M71" s="5">
        <f t="shared" si="21"/>
        <v>1.7539199999999999</v>
      </c>
      <c r="N71" s="5">
        <f t="shared" si="21"/>
        <v>2.0735999999999999</v>
      </c>
      <c r="O71" s="5">
        <f t="shared" si="21"/>
        <v>2.0131199999999998</v>
      </c>
      <c r="P71" s="5">
        <f t="shared" si="21"/>
        <v>1.9612799999999999</v>
      </c>
      <c r="Q71" s="5">
        <f t="shared" si="21"/>
        <v>2.2723200000000001</v>
      </c>
      <c r="R71" s="5">
        <f t="shared" si="21"/>
        <v>2.3587199999999999</v>
      </c>
      <c r="S71" s="5">
        <f t="shared" si="21"/>
        <v>2.32416</v>
      </c>
      <c r="T71" s="5">
        <f t="shared" si="21"/>
        <v>2.43648</v>
      </c>
      <c r="U71" s="5">
        <f t="shared" si="21"/>
        <v>2.3328000000000002</v>
      </c>
      <c r="V71" s="5">
        <f t="shared" si="21"/>
        <v>2.1686399999999999</v>
      </c>
      <c r="W71" s="5">
        <f t="shared" si="21"/>
        <v>2.0563199999999999</v>
      </c>
      <c r="X71" s="5">
        <f t="shared" si="21"/>
        <v>1.9872000000000001</v>
      </c>
      <c r="Y71" s="5">
        <f t="shared" si="21"/>
        <v>2.1772800000000001</v>
      </c>
      <c r="Z71" s="5">
        <f t="shared" si="21"/>
        <v>2.2809599999999999</v>
      </c>
      <c r="AA71" s="5">
        <f t="shared" si="21"/>
        <v>2.3673600000000001</v>
      </c>
      <c r="AB71" s="5">
        <f t="shared" si="21"/>
        <v>2.3932799999999999</v>
      </c>
      <c r="AC71" s="5">
        <f t="shared" si="21"/>
        <v>2.3846400000000001</v>
      </c>
      <c r="AD71" s="5">
        <f t="shared" si="21"/>
        <v>2.4105599999999998</v>
      </c>
      <c r="AE71" s="5">
        <f t="shared" si="21"/>
        <v>2.3759999999999999</v>
      </c>
      <c r="AF71" s="5">
        <f t="shared" si="21"/>
        <v>2.3932799999999999</v>
      </c>
      <c r="AG71" s="5">
        <f t="shared" si="21"/>
        <v>2.4278400000000002</v>
      </c>
      <c r="AH71" s="5">
        <f t="shared" si="21"/>
        <v>2.4451200000000002</v>
      </c>
      <c r="AI71" s="5">
        <f t="shared" si="21"/>
        <v>2.3932799999999999</v>
      </c>
      <c r="AJ71" s="5">
        <f t="shared" si="21"/>
        <v>2.2896000000000001</v>
      </c>
      <c r="AK71" s="5">
        <f t="shared" si="21"/>
        <v>2.2464</v>
      </c>
      <c r="AL71" s="5">
        <f t="shared" si="21"/>
        <v>2.2464</v>
      </c>
      <c r="AM71" s="5">
        <f t="shared" si="21"/>
        <v>2.0563199999999999</v>
      </c>
      <c r="AN71" s="5">
        <f t="shared" si="21"/>
        <v>1.9008</v>
      </c>
      <c r="AO71" s="5">
        <f t="shared" si="21"/>
        <v>1.92672</v>
      </c>
      <c r="AP71" s="5">
        <f t="shared" si="21"/>
        <v>1.9612799999999999</v>
      </c>
      <c r="AQ71" s="5">
        <f t="shared" si="21"/>
        <v>1.9699199999999999</v>
      </c>
      <c r="AR71" s="5">
        <f t="shared" si="21"/>
        <v>2.00448</v>
      </c>
      <c r="AS71" s="5">
        <f t="shared" si="21"/>
        <v>2.1168</v>
      </c>
      <c r="AT71" s="5">
        <f t="shared" si="21"/>
        <v>2.03904</v>
      </c>
      <c r="AU71" s="5">
        <f t="shared" si="21"/>
        <v>2.0131199999999998</v>
      </c>
      <c r="AV71" s="5">
        <f t="shared" si="21"/>
        <v>2.0735999999999999</v>
      </c>
      <c r="AW71" s="5">
        <f t="shared" si="21"/>
        <v>2.1513599999999999</v>
      </c>
      <c r="AX71" s="5">
        <f t="shared" si="21"/>
        <v>1.84032</v>
      </c>
      <c r="AY71" s="5">
        <f t="shared" si="21"/>
        <v>1.7625599999999999</v>
      </c>
      <c r="AZ71" s="5">
        <f t="shared" si="21"/>
        <v>1.7539199999999999</v>
      </c>
      <c r="BA71" s="5">
        <f t="shared" si="21"/>
        <v>1.7452799999999999</v>
      </c>
      <c r="BB71" s="5">
        <f t="shared" si="21"/>
        <v>1.7539199999999999</v>
      </c>
      <c r="BC71" s="5">
        <f t="shared" si="21"/>
        <v>1.7625599999999999</v>
      </c>
      <c r="BD71" s="5">
        <f t="shared" si="21"/>
        <v>1.7452799999999999</v>
      </c>
      <c r="BE71" s="5">
        <f t="shared" si="21"/>
        <v>1.6848000000000001</v>
      </c>
      <c r="BF71" s="5">
        <f t="shared" si="21"/>
        <v>1.6588799999999999</v>
      </c>
      <c r="BG71" s="5">
        <f t="shared" si="21"/>
        <v>1.6934400000000001</v>
      </c>
      <c r="BH71" s="5">
        <f t="shared" si="21"/>
        <v>1.84032</v>
      </c>
      <c r="BI71" s="5">
        <f t="shared" si="21"/>
        <v>1.7539199999999999</v>
      </c>
      <c r="BJ71" s="5">
        <f t="shared" si="21"/>
        <v>1.71072</v>
      </c>
      <c r="BK71" s="5">
        <f t="shared" si="21"/>
        <v>1.7625599999999999</v>
      </c>
      <c r="BL71" s="5">
        <f t="shared" si="21"/>
        <v>1.7625599999999999</v>
      </c>
      <c r="BM71" s="5">
        <f t="shared" si="21"/>
        <v>1.71936</v>
      </c>
      <c r="BN71" s="5">
        <f t="shared" si="21"/>
        <v>1.73664</v>
      </c>
      <c r="BO71" s="5">
        <f t="shared" ref="BO71:DZ71" si="22">MAX(BO3:BO69)</f>
        <v>1.6761600000000001</v>
      </c>
      <c r="BP71" s="5">
        <f t="shared" si="22"/>
        <v>1.6848000000000001</v>
      </c>
      <c r="BQ71" s="5">
        <f t="shared" si="22"/>
        <v>1.6502399999999999</v>
      </c>
      <c r="BR71" s="5">
        <f t="shared" si="22"/>
        <v>1.61568</v>
      </c>
      <c r="BS71" s="5">
        <f t="shared" si="22"/>
        <v>1.71072</v>
      </c>
      <c r="BT71" s="5">
        <f t="shared" si="22"/>
        <v>1.7884800000000001</v>
      </c>
      <c r="BU71" s="5">
        <f t="shared" si="22"/>
        <v>1.7798400000000001</v>
      </c>
      <c r="BV71" s="5">
        <f t="shared" si="22"/>
        <v>1.80576</v>
      </c>
      <c r="BW71" s="5">
        <f t="shared" si="22"/>
        <v>1.7712000000000001</v>
      </c>
      <c r="BX71" s="5">
        <f t="shared" si="22"/>
        <v>1.7452799999999999</v>
      </c>
      <c r="BY71" s="5">
        <f t="shared" si="22"/>
        <v>1.6934400000000001</v>
      </c>
      <c r="BZ71" s="5">
        <f t="shared" si="22"/>
        <v>1.7798400000000001</v>
      </c>
      <c r="CA71" s="5">
        <f t="shared" si="22"/>
        <v>1.8144</v>
      </c>
      <c r="CB71" s="5">
        <f t="shared" si="22"/>
        <v>1.8662399999999999</v>
      </c>
      <c r="CC71" s="5">
        <f t="shared" si="22"/>
        <v>2.00448</v>
      </c>
      <c r="CD71" s="5">
        <f t="shared" si="22"/>
        <v>2.1427200000000002</v>
      </c>
      <c r="CE71" s="5">
        <f t="shared" si="22"/>
        <v>2.0476800000000002</v>
      </c>
      <c r="CF71" s="5">
        <f t="shared" si="22"/>
        <v>2.1427200000000002</v>
      </c>
      <c r="CG71" s="5">
        <f t="shared" si="22"/>
        <v>2.2550400000000002</v>
      </c>
      <c r="CH71" s="5">
        <f t="shared" si="22"/>
        <v>2.1859199999999999</v>
      </c>
      <c r="CI71" s="5">
        <f t="shared" si="22"/>
        <v>2.30688</v>
      </c>
      <c r="CJ71" s="5">
        <f t="shared" si="22"/>
        <v>2.2723200000000001</v>
      </c>
      <c r="CK71" s="5">
        <f t="shared" si="22"/>
        <v>2.1513599999999999</v>
      </c>
      <c r="CL71" s="5">
        <f t="shared" si="22"/>
        <v>2.16</v>
      </c>
      <c r="CM71" s="5">
        <f t="shared" si="22"/>
        <v>2.1945600000000001</v>
      </c>
      <c r="CN71" s="5">
        <f t="shared" si="22"/>
        <v>2.16</v>
      </c>
      <c r="CO71" s="5">
        <f t="shared" si="22"/>
        <v>2.1772800000000001</v>
      </c>
      <c r="CP71" s="5">
        <f t="shared" si="22"/>
        <v>2.1081599999999998</v>
      </c>
      <c r="CQ71" s="5">
        <f t="shared" si="22"/>
        <v>1.90944</v>
      </c>
      <c r="CR71" s="5">
        <f t="shared" si="22"/>
        <v>1.84032</v>
      </c>
      <c r="CS71" s="5">
        <f t="shared" si="22"/>
        <v>1.7971200000000001</v>
      </c>
      <c r="CT71" s="5">
        <f t="shared" si="22"/>
        <v>1.6934400000000001</v>
      </c>
      <c r="CU71" s="5">
        <f t="shared" si="22"/>
        <v>1.6588799999999999</v>
      </c>
      <c r="CV71" s="5">
        <f t="shared" si="22"/>
        <v>1.6415999999999999</v>
      </c>
      <c r="CW71" s="5">
        <f t="shared" si="22"/>
        <v>1.84032</v>
      </c>
      <c r="CX71" s="5">
        <f t="shared" si="22"/>
        <v>2.1168</v>
      </c>
      <c r="CY71" s="5">
        <f t="shared" si="22"/>
        <v>1.8144</v>
      </c>
      <c r="CZ71" s="5">
        <f t="shared" si="22"/>
        <v>1.7884800000000001</v>
      </c>
      <c r="DA71" s="5">
        <f t="shared" si="22"/>
        <v>1.8489599999999999</v>
      </c>
      <c r="DB71" s="5">
        <f t="shared" si="22"/>
        <v>1.8575999999999999</v>
      </c>
      <c r="DC71" s="5">
        <f t="shared" si="22"/>
        <v>1.8835200000000001</v>
      </c>
      <c r="DD71" s="5">
        <f t="shared" si="22"/>
        <v>1.82304</v>
      </c>
      <c r="DE71" s="5">
        <f t="shared" si="22"/>
        <v>1.9612799999999999</v>
      </c>
      <c r="DF71" s="5">
        <f t="shared" si="22"/>
        <v>2.0131199999999998</v>
      </c>
      <c r="DG71" s="5">
        <f t="shared" si="22"/>
        <v>1.9785600000000001</v>
      </c>
      <c r="DH71" s="5">
        <f t="shared" si="22"/>
        <v>2.1081599999999998</v>
      </c>
      <c r="DI71" s="5">
        <f t="shared" si="22"/>
        <v>2.0735999999999999</v>
      </c>
      <c r="DJ71" s="5">
        <f t="shared" si="22"/>
        <v>2.0476800000000002</v>
      </c>
      <c r="DK71" s="5">
        <f t="shared" si="22"/>
        <v>2.16</v>
      </c>
      <c r="DL71" s="5">
        <f t="shared" si="22"/>
        <v>1.9872000000000001</v>
      </c>
      <c r="DM71" s="5">
        <f t="shared" si="22"/>
        <v>2.0476800000000002</v>
      </c>
      <c r="DN71" s="5">
        <f t="shared" si="22"/>
        <v>1.9872000000000001</v>
      </c>
      <c r="DO71" s="5">
        <f t="shared" si="22"/>
        <v>2.1254400000000002</v>
      </c>
      <c r="DP71" s="5">
        <f t="shared" si="22"/>
        <v>2.30688</v>
      </c>
      <c r="DQ71" s="5">
        <f t="shared" si="22"/>
        <v>2.51424</v>
      </c>
      <c r="DR71" s="5">
        <f t="shared" si="22"/>
        <v>2.60928</v>
      </c>
      <c r="DS71" s="5">
        <f t="shared" si="22"/>
        <v>2.6956799999999999</v>
      </c>
      <c r="DT71" s="5">
        <f t="shared" si="22"/>
        <v>2.2550400000000002</v>
      </c>
      <c r="DU71" s="5">
        <f t="shared" si="22"/>
        <v>2.51424</v>
      </c>
      <c r="DV71" s="5">
        <f t="shared" si="22"/>
        <v>2.1513599999999999</v>
      </c>
      <c r="DW71" s="5">
        <f t="shared" si="22"/>
        <v>2.2723200000000001</v>
      </c>
      <c r="DX71" s="5">
        <f t="shared" si="22"/>
        <v>2.3673600000000001</v>
      </c>
      <c r="DY71" s="5">
        <f t="shared" si="22"/>
        <v>2.4883199999999999</v>
      </c>
      <c r="DZ71" s="5">
        <f t="shared" si="22"/>
        <v>2.81664</v>
      </c>
      <c r="EA71" s="5">
        <f t="shared" ref="EA71:GL71" si="23">MAX(EA3:EA69)</f>
        <v>2.92896</v>
      </c>
      <c r="EB71" s="5">
        <f t="shared" si="23"/>
        <v>2.8857599999999999</v>
      </c>
      <c r="EC71" s="5">
        <f t="shared" si="23"/>
        <v>2.8252799999999998</v>
      </c>
      <c r="ED71" s="5">
        <f t="shared" si="23"/>
        <v>2.7216</v>
      </c>
      <c r="EE71" s="5">
        <f t="shared" si="23"/>
        <v>2.8425600000000002</v>
      </c>
      <c r="EF71" s="5">
        <f t="shared" si="23"/>
        <v>2.9807999999999999</v>
      </c>
      <c r="EG71" s="5">
        <f t="shared" si="23"/>
        <v>2.81664</v>
      </c>
      <c r="EH71" s="5">
        <f t="shared" si="23"/>
        <v>2.7043200000000001</v>
      </c>
      <c r="EI71" s="5">
        <f t="shared" si="23"/>
        <v>2.91168</v>
      </c>
      <c r="EJ71" s="5">
        <f t="shared" si="23"/>
        <v>2.7907199999999999</v>
      </c>
      <c r="EK71" s="5">
        <f t="shared" si="23"/>
        <v>3.1103999999999998</v>
      </c>
      <c r="EL71" s="5">
        <f t="shared" si="23"/>
        <v>3.4905599999999999</v>
      </c>
      <c r="EM71" s="5">
        <f t="shared" si="23"/>
        <v>3.024</v>
      </c>
      <c r="EN71" s="5">
        <f t="shared" si="23"/>
        <v>3.74112</v>
      </c>
      <c r="EO71" s="5">
        <f t="shared" si="23"/>
        <v>3.8707199999999999</v>
      </c>
      <c r="EP71" s="5">
        <f t="shared" si="23"/>
        <v>4.0262399999999996</v>
      </c>
      <c r="EQ71" s="5">
        <f t="shared" si="23"/>
        <v>3.8448000000000002</v>
      </c>
      <c r="ER71" s="5">
        <f t="shared" si="23"/>
        <v>3.9916800000000001</v>
      </c>
      <c r="ES71" s="5">
        <f t="shared" si="23"/>
        <v>4.2940800000000001</v>
      </c>
      <c r="ET71" s="5">
        <f t="shared" si="23"/>
        <v>4.5705600000000004</v>
      </c>
      <c r="EU71" s="5">
        <f t="shared" si="23"/>
        <v>4.7001600000000003</v>
      </c>
      <c r="EV71" s="5">
        <f t="shared" si="23"/>
        <v>4.5792000000000002</v>
      </c>
      <c r="EW71" s="5">
        <f t="shared" si="23"/>
        <v>4.4150400000000003</v>
      </c>
      <c r="EX71" s="5">
        <f t="shared" si="23"/>
        <v>4.4841600000000001</v>
      </c>
      <c r="EY71" s="5">
        <f t="shared" si="23"/>
        <v>5.2704000000000004</v>
      </c>
      <c r="EZ71" s="5">
        <f t="shared" si="23"/>
        <v>5.1667199999999998</v>
      </c>
      <c r="FA71" s="5">
        <f t="shared" si="23"/>
        <v>4.5705600000000004</v>
      </c>
      <c r="FB71" s="5">
        <f t="shared" si="23"/>
        <v>4.8384</v>
      </c>
      <c r="FC71" s="5">
        <f t="shared" si="23"/>
        <v>4.87296</v>
      </c>
      <c r="FD71" s="5">
        <f t="shared" si="23"/>
        <v>5.0284800000000001</v>
      </c>
      <c r="FE71" s="5">
        <f t="shared" si="23"/>
        <v>5.6851200000000004</v>
      </c>
      <c r="FF71" s="5">
        <f t="shared" si="23"/>
        <v>5.4345600000000003</v>
      </c>
      <c r="FG71" s="5">
        <f t="shared" si="23"/>
        <v>5.3827199999999999</v>
      </c>
      <c r="FH71" s="5">
        <f t="shared" si="23"/>
        <v>5.4604799999999996</v>
      </c>
      <c r="FI71" s="5">
        <f t="shared" si="23"/>
        <v>5.6505599999999996</v>
      </c>
      <c r="FJ71" s="5">
        <f t="shared" si="23"/>
        <v>5.8233600000000001</v>
      </c>
      <c r="FK71" s="5">
        <f t="shared" si="23"/>
        <v>6.0911999999999997</v>
      </c>
      <c r="FL71" s="5">
        <f t="shared" si="23"/>
        <v>6.5232000000000001</v>
      </c>
      <c r="FM71" s="5">
        <f t="shared" si="23"/>
        <v>8.0006400000000006</v>
      </c>
      <c r="FN71" s="5">
        <f t="shared" si="23"/>
        <v>8.4326399999999992</v>
      </c>
      <c r="FO71" s="5">
        <f t="shared" si="23"/>
        <v>8.0611200000000007</v>
      </c>
      <c r="FP71" s="5">
        <f t="shared" si="23"/>
        <v>7.2057599999999997</v>
      </c>
      <c r="FQ71" s="5">
        <f t="shared" si="23"/>
        <v>8.0697600000000005</v>
      </c>
      <c r="FR71" s="5">
        <f t="shared" si="23"/>
        <v>9.2447999999999997</v>
      </c>
      <c r="FS71" s="5">
        <f t="shared" si="23"/>
        <v>9.8496000000000006</v>
      </c>
      <c r="FT71" s="5">
        <f t="shared" si="23"/>
        <v>9.7631999999999994</v>
      </c>
      <c r="FU71" s="5">
        <f t="shared" si="23"/>
        <v>9.2447999999999997</v>
      </c>
      <c r="FV71" s="5">
        <f t="shared" si="23"/>
        <v>9.0719999999999992</v>
      </c>
      <c r="FW71" s="5">
        <f t="shared" si="23"/>
        <v>9.6768000000000001</v>
      </c>
      <c r="FX71" s="5">
        <f t="shared" si="23"/>
        <v>11.4048</v>
      </c>
      <c r="FY71" s="5">
        <f t="shared" si="23"/>
        <v>14.3424</v>
      </c>
      <c r="FZ71" s="5">
        <f t="shared" si="23"/>
        <v>12.528</v>
      </c>
      <c r="GA71" s="5">
        <f t="shared" si="23"/>
        <v>11.231999999999999</v>
      </c>
      <c r="GB71" s="5">
        <f t="shared" si="23"/>
        <v>11.9232</v>
      </c>
      <c r="GC71" s="5">
        <f t="shared" si="23"/>
        <v>11.664</v>
      </c>
      <c r="GD71" s="5">
        <f t="shared" si="23"/>
        <v>12.182399999999999</v>
      </c>
      <c r="GE71" s="5">
        <f t="shared" si="23"/>
        <v>11.750400000000001</v>
      </c>
      <c r="GF71" s="5">
        <f t="shared" si="23"/>
        <v>10.6272</v>
      </c>
      <c r="GG71" s="5">
        <f t="shared" si="23"/>
        <v>11.491199999999999</v>
      </c>
      <c r="GH71" s="5">
        <f t="shared" si="23"/>
        <v>12.528</v>
      </c>
      <c r="GI71" s="5">
        <f t="shared" si="23"/>
        <v>12.096</v>
      </c>
      <c r="GJ71" s="5">
        <f t="shared" si="23"/>
        <v>13.1328</v>
      </c>
      <c r="GK71" s="5">
        <f t="shared" si="23"/>
        <v>14.0832</v>
      </c>
      <c r="GL71" s="5">
        <f t="shared" si="23"/>
        <v>14.256</v>
      </c>
      <c r="GM71" s="5">
        <f t="shared" ref="GM71:IX71" si="24">MAX(GM3:GM69)</f>
        <v>14.3424</v>
      </c>
      <c r="GN71" s="5">
        <f t="shared" si="24"/>
        <v>14.169600000000001</v>
      </c>
      <c r="GO71" s="5">
        <f t="shared" si="24"/>
        <v>14.428800000000001</v>
      </c>
      <c r="GP71" s="5">
        <f t="shared" si="24"/>
        <v>15.12</v>
      </c>
      <c r="GQ71" s="5">
        <f t="shared" si="24"/>
        <v>15.4656</v>
      </c>
      <c r="GR71" s="5">
        <f t="shared" si="24"/>
        <v>14.428800000000001</v>
      </c>
      <c r="GS71" s="5">
        <f t="shared" si="24"/>
        <v>14.601599999999999</v>
      </c>
      <c r="GT71" s="5">
        <f t="shared" si="24"/>
        <v>14.601599999999999</v>
      </c>
      <c r="GU71" s="5">
        <f t="shared" si="24"/>
        <v>15.984</v>
      </c>
      <c r="GV71" s="5">
        <f t="shared" si="24"/>
        <v>15.811199999999999</v>
      </c>
      <c r="GW71" s="5">
        <f t="shared" si="24"/>
        <v>14.169600000000001</v>
      </c>
      <c r="GX71" s="5">
        <f t="shared" si="24"/>
        <v>13.478400000000001</v>
      </c>
      <c r="GY71" s="5">
        <f t="shared" si="24"/>
        <v>15.2064</v>
      </c>
      <c r="GZ71" s="5">
        <f t="shared" si="24"/>
        <v>14.7744</v>
      </c>
      <c r="HA71" s="5">
        <f t="shared" si="24"/>
        <v>15.0336</v>
      </c>
      <c r="HB71" s="5">
        <f t="shared" si="24"/>
        <v>15.12</v>
      </c>
      <c r="HC71" s="5">
        <f t="shared" si="24"/>
        <v>16.416</v>
      </c>
      <c r="HD71" s="5">
        <f t="shared" si="24"/>
        <v>16.502400000000002</v>
      </c>
      <c r="HE71" s="5">
        <f t="shared" si="24"/>
        <v>16.588799999999999</v>
      </c>
      <c r="HF71" s="5">
        <f t="shared" si="24"/>
        <v>17.1936</v>
      </c>
      <c r="HG71" s="5">
        <f t="shared" si="24"/>
        <v>16.243200000000002</v>
      </c>
      <c r="HH71" s="5">
        <f t="shared" si="24"/>
        <v>15.984</v>
      </c>
      <c r="HI71" s="5">
        <f t="shared" si="24"/>
        <v>15.984</v>
      </c>
      <c r="HJ71" s="5">
        <f t="shared" si="24"/>
        <v>16.9344</v>
      </c>
      <c r="HK71" s="5">
        <f t="shared" si="24"/>
        <v>16.1568</v>
      </c>
      <c r="HL71" s="5">
        <f t="shared" si="24"/>
        <v>15.2928</v>
      </c>
      <c r="HM71" s="5">
        <f t="shared" si="24"/>
        <v>17.107199999999999</v>
      </c>
      <c r="HN71" s="5">
        <f t="shared" si="24"/>
        <v>16.416</v>
      </c>
      <c r="HO71" s="5">
        <f t="shared" si="24"/>
        <v>14.9472</v>
      </c>
      <c r="HP71" s="5">
        <f t="shared" si="24"/>
        <v>16.761600000000001</v>
      </c>
      <c r="HQ71" s="5">
        <f t="shared" si="24"/>
        <v>18.143999999999998</v>
      </c>
      <c r="HR71" s="5">
        <f t="shared" si="24"/>
        <v>17.4528</v>
      </c>
      <c r="HS71" s="5">
        <f t="shared" si="24"/>
        <v>17.020800000000001</v>
      </c>
      <c r="HT71" s="5">
        <f t="shared" si="24"/>
        <v>16.761600000000001</v>
      </c>
      <c r="HU71" s="5">
        <f t="shared" si="24"/>
        <v>15.2928</v>
      </c>
      <c r="HV71" s="5">
        <f t="shared" si="24"/>
        <v>17.798400000000001</v>
      </c>
      <c r="HW71" s="5">
        <f t="shared" si="24"/>
        <v>18.143999999999998</v>
      </c>
      <c r="HX71" s="5">
        <f t="shared" si="24"/>
        <v>17.4528</v>
      </c>
      <c r="HY71" s="5">
        <f t="shared" si="24"/>
        <v>17.1936</v>
      </c>
      <c r="HZ71" s="5">
        <f t="shared" si="24"/>
        <v>15.897600000000001</v>
      </c>
      <c r="IA71" s="5">
        <f t="shared" si="24"/>
        <v>15.379200000000001</v>
      </c>
      <c r="IB71" s="5">
        <f t="shared" si="24"/>
        <v>13.824</v>
      </c>
      <c r="IC71" s="5">
        <f t="shared" si="24"/>
        <v>13.3056</v>
      </c>
      <c r="ID71" s="5">
        <f t="shared" si="24"/>
        <v>13.651199999999999</v>
      </c>
      <c r="IE71" s="5">
        <f t="shared" si="24"/>
        <v>16.070399999999999</v>
      </c>
      <c r="IF71" s="5">
        <f t="shared" si="24"/>
        <v>20.1312</v>
      </c>
      <c r="IG71" s="5">
        <f t="shared" si="24"/>
        <v>19.007999999999999</v>
      </c>
      <c r="IH71" s="5">
        <f t="shared" si="24"/>
        <v>20.044799999999999</v>
      </c>
      <c r="II71" s="5">
        <f t="shared" si="24"/>
        <v>19.872</v>
      </c>
      <c r="IJ71" s="5">
        <f t="shared" si="24"/>
        <v>20.1312</v>
      </c>
      <c r="IK71" s="5">
        <f t="shared" si="24"/>
        <v>21.081600000000002</v>
      </c>
      <c r="IL71" s="5">
        <f t="shared" si="24"/>
        <v>22.118400000000001</v>
      </c>
      <c r="IM71" s="5">
        <f t="shared" si="24"/>
        <v>21.2544</v>
      </c>
      <c r="IN71" s="5">
        <f t="shared" si="24"/>
        <v>19.526399999999999</v>
      </c>
      <c r="IO71" s="5">
        <f t="shared" si="24"/>
        <v>17.539200000000001</v>
      </c>
      <c r="IP71" s="5">
        <f t="shared" si="24"/>
        <v>16.9344</v>
      </c>
      <c r="IQ71" s="5">
        <f t="shared" si="24"/>
        <v>16.6752</v>
      </c>
      <c r="IR71" s="5">
        <f t="shared" si="24"/>
        <v>17.798400000000001</v>
      </c>
      <c r="IS71" s="5">
        <f t="shared" si="24"/>
        <v>17.020800000000001</v>
      </c>
      <c r="IT71" s="5">
        <f t="shared" si="24"/>
        <v>15.0336</v>
      </c>
      <c r="IU71" s="5">
        <f t="shared" si="24"/>
        <v>13.219200000000001</v>
      </c>
      <c r="IV71" s="5">
        <f t="shared" si="24"/>
        <v>12.6144</v>
      </c>
      <c r="IW71" s="5">
        <f t="shared" si="24"/>
        <v>12.96</v>
      </c>
      <c r="IX71" s="5">
        <f t="shared" si="24"/>
        <v>12.528</v>
      </c>
      <c r="IY71" s="5">
        <f t="shared" ref="IY71:LJ71" si="25">MAX(IY3:IY69)</f>
        <v>13.5648</v>
      </c>
      <c r="IZ71" s="5">
        <f t="shared" si="25"/>
        <v>13.1328</v>
      </c>
      <c r="JA71" s="5">
        <f t="shared" si="25"/>
        <v>12.6144</v>
      </c>
      <c r="JB71" s="5">
        <f t="shared" si="25"/>
        <v>12.182399999999999</v>
      </c>
      <c r="JC71" s="5">
        <f t="shared" si="25"/>
        <v>12.182399999999999</v>
      </c>
      <c r="JD71" s="5">
        <f t="shared" si="25"/>
        <v>13.651199999999999</v>
      </c>
      <c r="JE71" s="5">
        <f t="shared" si="25"/>
        <v>14.688000000000001</v>
      </c>
      <c r="JF71" s="5">
        <f t="shared" si="25"/>
        <v>15.12</v>
      </c>
      <c r="JG71" s="5">
        <f t="shared" si="25"/>
        <v>14.9472</v>
      </c>
      <c r="JH71" s="5">
        <f t="shared" si="25"/>
        <v>14.256</v>
      </c>
      <c r="JI71" s="5">
        <f t="shared" si="25"/>
        <v>13.651199999999999</v>
      </c>
      <c r="JJ71" s="5">
        <f t="shared" si="25"/>
        <v>12.7872</v>
      </c>
      <c r="JK71" s="5">
        <f t="shared" si="25"/>
        <v>11.664</v>
      </c>
      <c r="JL71" s="5">
        <f t="shared" si="25"/>
        <v>10.8864</v>
      </c>
      <c r="JM71" s="5">
        <f t="shared" si="25"/>
        <v>10.7136</v>
      </c>
      <c r="JN71" s="5">
        <f t="shared" si="25"/>
        <v>11.059200000000001</v>
      </c>
      <c r="JO71" s="5">
        <f t="shared" si="25"/>
        <v>10.972799999999999</v>
      </c>
      <c r="JP71" s="5">
        <f t="shared" si="25"/>
        <v>10.8864</v>
      </c>
      <c r="JQ71" s="5">
        <f t="shared" si="25"/>
        <v>11.1456</v>
      </c>
      <c r="JR71" s="5">
        <f t="shared" si="25"/>
        <v>11.750400000000001</v>
      </c>
      <c r="JS71" s="5">
        <f t="shared" si="25"/>
        <v>10.8864</v>
      </c>
      <c r="JT71" s="5">
        <f t="shared" si="25"/>
        <v>11.059200000000001</v>
      </c>
      <c r="JU71" s="5">
        <f t="shared" si="25"/>
        <v>12.009600000000001</v>
      </c>
      <c r="JV71" s="5">
        <f t="shared" si="25"/>
        <v>12.182399999999999</v>
      </c>
      <c r="JW71" s="5">
        <f t="shared" si="25"/>
        <v>13.1328</v>
      </c>
      <c r="JX71" s="5">
        <f t="shared" si="25"/>
        <v>11.664</v>
      </c>
      <c r="JY71" s="5">
        <f t="shared" si="25"/>
        <v>10.7136</v>
      </c>
      <c r="JZ71" s="5">
        <f t="shared" si="25"/>
        <v>11.4048</v>
      </c>
      <c r="KA71" s="5">
        <f t="shared" si="25"/>
        <v>10.8864</v>
      </c>
      <c r="KB71" s="5">
        <f t="shared" si="25"/>
        <v>10.368</v>
      </c>
      <c r="KC71" s="5">
        <f t="shared" si="25"/>
        <v>9.3312000000000008</v>
      </c>
      <c r="KD71" s="5">
        <f t="shared" si="25"/>
        <v>8.3980800000000002</v>
      </c>
      <c r="KE71" s="5">
        <f t="shared" si="25"/>
        <v>8.0179200000000002</v>
      </c>
      <c r="KF71" s="5">
        <f t="shared" si="25"/>
        <v>9.3312000000000008</v>
      </c>
      <c r="KG71" s="5">
        <f t="shared" si="25"/>
        <v>10.6272</v>
      </c>
      <c r="KH71" s="5">
        <f t="shared" si="25"/>
        <v>10.281599999999999</v>
      </c>
      <c r="KI71" s="5">
        <f t="shared" si="25"/>
        <v>10.1952</v>
      </c>
      <c r="KJ71" s="5">
        <f t="shared" si="25"/>
        <v>9.7631999999999994</v>
      </c>
      <c r="KK71" s="5">
        <f t="shared" si="25"/>
        <v>9.2447999999999997</v>
      </c>
      <c r="KL71" s="5">
        <f t="shared" si="25"/>
        <v>8.4931199999999993</v>
      </c>
      <c r="KM71" s="5">
        <f t="shared" si="25"/>
        <v>7.7500799999999996</v>
      </c>
      <c r="KN71" s="5">
        <f t="shared" si="25"/>
        <v>7.4476800000000001</v>
      </c>
      <c r="KO71" s="5">
        <f t="shared" si="25"/>
        <v>7.2144000000000004</v>
      </c>
      <c r="KP71" s="5">
        <f t="shared" si="25"/>
        <v>6.9206399999999997</v>
      </c>
      <c r="KQ71" s="5">
        <f t="shared" si="25"/>
        <v>6.4886400000000002</v>
      </c>
      <c r="KR71" s="5">
        <f t="shared" si="25"/>
        <v>6.2035200000000001</v>
      </c>
      <c r="KS71" s="5">
        <f t="shared" si="25"/>
        <v>6.0566399999999998</v>
      </c>
      <c r="KT71" s="5">
        <f t="shared" si="25"/>
        <v>5.7801600000000004</v>
      </c>
      <c r="KU71" s="5">
        <f t="shared" si="25"/>
        <v>5.6073599999999999</v>
      </c>
      <c r="KV71" s="5">
        <f t="shared" si="25"/>
        <v>6.0048000000000004</v>
      </c>
      <c r="KW71" s="5">
        <f t="shared" si="25"/>
        <v>6.0048000000000004</v>
      </c>
      <c r="KX71" s="5">
        <f t="shared" si="25"/>
        <v>5.1148800000000003</v>
      </c>
      <c r="KY71" s="5">
        <f t="shared" si="25"/>
        <v>5.3136000000000001</v>
      </c>
      <c r="KZ71" s="5">
        <f t="shared" si="25"/>
        <v>5.2099200000000003</v>
      </c>
      <c r="LA71" s="5">
        <f t="shared" si="25"/>
        <v>4.9248000000000003</v>
      </c>
      <c r="LB71" s="5">
        <f t="shared" si="25"/>
        <v>4.7260799999999996</v>
      </c>
      <c r="LC71" s="5">
        <f t="shared" si="25"/>
        <v>4.8556800000000004</v>
      </c>
      <c r="LD71" s="5">
        <f t="shared" si="25"/>
        <v>5.7196800000000003</v>
      </c>
      <c r="LE71" s="5">
        <f t="shared" si="25"/>
        <v>5.9097600000000003</v>
      </c>
      <c r="LF71" s="5">
        <f t="shared" si="25"/>
        <v>5.5555199999999996</v>
      </c>
      <c r="LG71" s="5">
        <f t="shared" si="25"/>
        <v>5.0111999999999997</v>
      </c>
      <c r="LH71" s="5">
        <f t="shared" si="25"/>
        <v>4.5273599999999998</v>
      </c>
      <c r="LI71" s="5">
        <f t="shared" si="25"/>
        <v>4.2422399999999998</v>
      </c>
      <c r="LJ71" s="5">
        <f t="shared" si="25"/>
        <v>3.9744000000000002</v>
      </c>
      <c r="LK71" s="5">
        <f t="shared" ref="LK71:NU71" si="26">MAX(LK3:LK69)</f>
        <v>3.8016000000000001</v>
      </c>
      <c r="LL71" s="5">
        <f t="shared" si="26"/>
        <v>3.6892800000000001</v>
      </c>
      <c r="LM71" s="5">
        <f t="shared" si="26"/>
        <v>3.7756799999999999</v>
      </c>
      <c r="LN71" s="5">
        <f t="shared" si="26"/>
        <v>4.2422399999999998</v>
      </c>
      <c r="LO71" s="5">
        <f t="shared" si="26"/>
        <v>4.3891200000000001</v>
      </c>
      <c r="LP71" s="5">
        <f t="shared" si="26"/>
        <v>4.3804800000000004</v>
      </c>
      <c r="LQ71" s="5">
        <f t="shared" si="26"/>
        <v>4.4150400000000003</v>
      </c>
      <c r="LR71" s="5">
        <f t="shared" si="26"/>
        <v>4.6137600000000001</v>
      </c>
      <c r="LS71" s="5">
        <f t="shared" si="26"/>
        <v>4.4323199999999998</v>
      </c>
      <c r="LT71" s="5">
        <f t="shared" si="26"/>
        <v>4.5964799999999997</v>
      </c>
      <c r="LU71" s="5">
        <f t="shared" si="26"/>
        <v>4.1471999999999998</v>
      </c>
      <c r="LV71" s="5">
        <f t="shared" si="26"/>
        <v>3.4819200000000001</v>
      </c>
      <c r="LW71" s="5">
        <f t="shared" si="26"/>
        <v>3.0499200000000002</v>
      </c>
      <c r="LX71" s="5">
        <f t="shared" si="26"/>
        <v>2.81664</v>
      </c>
      <c r="LY71" s="5">
        <f t="shared" si="26"/>
        <v>2.7129599999999998</v>
      </c>
      <c r="LZ71" s="5">
        <f t="shared" si="26"/>
        <v>2.7820800000000001</v>
      </c>
      <c r="MA71" s="5">
        <f t="shared" si="26"/>
        <v>2.7648000000000001</v>
      </c>
      <c r="MB71" s="5">
        <f t="shared" si="26"/>
        <v>2.62656</v>
      </c>
      <c r="MC71" s="5">
        <f t="shared" si="26"/>
        <v>2.4624000000000001</v>
      </c>
      <c r="MD71" s="5">
        <f t="shared" si="26"/>
        <v>2.3932799999999999</v>
      </c>
      <c r="ME71" s="5">
        <f t="shared" si="26"/>
        <v>2.4019200000000001</v>
      </c>
      <c r="MF71" s="5">
        <f t="shared" si="26"/>
        <v>2.4019200000000001</v>
      </c>
      <c r="MG71" s="5">
        <f t="shared" si="26"/>
        <v>2.3846400000000001</v>
      </c>
      <c r="MH71" s="5">
        <f t="shared" si="26"/>
        <v>2.3759999999999999</v>
      </c>
      <c r="MI71" s="5">
        <f t="shared" si="26"/>
        <v>2.34144</v>
      </c>
      <c r="MJ71" s="5">
        <f t="shared" si="26"/>
        <v>2.3155199999999998</v>
      </c>
      <c r="MK71" s="5">
        <f t="shared" si="26"/>
        <v>2.3932799999999999</v>
      </c>
      <c r="ML71" s="5">
        <f t="shared" si="26"/>
        <v>2.4192</v>
      </c>
      <c r="MM71" s="5">
        <f t="shared" si="26"/>
        <v>2.3846400000000001</v>
      </c>
      <c r="MN71" s="5">
        <f t="shared" si="26"/>
        <v>2.3673600000000001</v>
      </c>
      <c r="MO71" s="5">
        <f t="shared" si="26"/>
        <v>2.2636799999999999</v>
      </c>
      <c r="MP71" s="5">
        <f t="shared" si="26"/>
        <v>2.1859199999999999</v>
      </c>
      <c r="MQ71" s="5">
        <f t="shared" si="26"/>
        <v>2.1859199999999999</v>
      </c>
      <c r="MR71" s="5">
        <f t="shared" si="26"/>
        <v>2.1772800000000001</v>
      </c>
      <c r="MS71" s="5">
        <f t="shared" si="26"/>
        <v>2.1168</v>
      </c>
      <c r="MT71" s="5">
        <f t="shared" si="26"/>
        <v>2.0995200000000001</v>
      </c>
      <c r="MU71" s="5">
        <f t="shared" si="26"/>
        <v>2.0735999999999999</v>
      </c>
      <c r="MV71" s="5">
        <f t="shared" si="26"/>
        <v>2.03904</v>
      </c>
      <c r="MW71" s="5">
        <f t="shared" si="26"/>
        <v>2.0131199999999998</v>
      </c>
      <c r="MX71" s="5">
        <f t="shared" si="26"/>
        <v>2.4019200000000001</v>
      </c>
      <c r="MY71" s="5">
        <f t="shared" si="26"/>
        <v>2.4969600000000001</v>
      </c>
      <c r="MZ71" s="5">
        <f t="shared" si="26"/>
        <v>2.4624000000000001</v>
      </c>
      <c r="NA71" s="5">
        <f t="shared" si="26"/>
        <v>2.1254400000000002</v>
      </c>
      <c r="NB71" s="5">
        <f t="shared" si="26"/>
        <v>1.944</v>
      </c>
      <c r="NC71" s="5">
        <f t="shared" si="26"/>
        <v>1.8835200000000001</v>
      </c>
      <c r="ND71" s="5">
        <f t="shared" si="26"/>
        <v>59.460479999999997</v>
      </c>
      <c r="NE71" s="5">
        <f t="shared" si="26"/>
        <v>50.112000000000002</v>
      </c>
      <c r="NF71" s="5">
        <f t="shared" si="26"/>
        <v>56.514240000000001</v>
      </c>
      <c r="NG71" s="5">
        <f t="shared" si="26"/>
        <v>53.136000000000003</v>
      </c>
      <c r="NH71" s="5">
        <f t="shared" si="26"/>
        <v>80.084159999999997</v>
      </c>
      <c r="NI71" s="5">
        <f t="shared" si="26"/>
        <v>184.2912</v>
      </c>
      <c r="NJ71" s="5">
        <f t="shared" si="26"/>
        <v>380.33280000000002</v>
      </c>
      <c r="NK71" s="5">
        <f t="shared" si="26"/>
        <v>439.25760000000002</v>
      </c>
      <c r="NL71" s="5">
        <f t="shared" si="26"/>
        <v>373.24799999999999</v>
      </c>
      <c r="NM71" s="5">
        <f t="shared" si="26"/>
        <v>249.62688</v>
      </c>
      <c r="NN71" s="5">
        <f t="shared" si="26"/>
        <v>124.6752</v>
      </c>
      <c r="NO71" s="5">
        <f t="shared" si="26"/>
        <v>69.102720000000005</v>
      </c>
      <c r="NP71" s="5">
        <f t="shared" si="26"/>
        <v>1690.2604800000001</v>
      </c>
      <c r="NQ71" s="5">
        <f t="shared" si="26"/>
        <v>22.118400000000001</v>
      </c>
      <c r="NR71" s="5">
        <f t="shared" si="26"/>
        <v>42655</v>
      </c>
      <c r="NS71" s="5">
        <f t="shared" si="26"/>
        <v>1.2441599999999999</v>
      </c>
      <c r="NT71" s="5">
        <f t="shared" si="26"/>
        <v>42735</v>
      </c>
      <c r="NU71" s="5">
        <f t="shared" si="26"/>
        <v>5364.8767123287671</v>
      </c>
      <c r="NV71" s="5"/>
      <c r="NW71" s="5">
        <f t="shared" ref="NW71:OE71" si="27">MAX(NW3:NW69)</f>
        <v>1437.62688</v>
      </c>
      <c r="NX71" s="5">
        <f t="shared" si="27"/>
        <v>85.053569968103375</v>
      </c>
      <c r="NY71" s="5">
        <f t="shared" si="27"/>
        <v>1233.5328</v>
      </c>
      <c r="NZ71" s="5">
        <f t="shared" si="27"/>
        <v>72.978858264496594</v>
      </c>
      <c r="OA71" s="5">
        <f t="shared" si="27"/>
        <v>367.12224000000015</v>
      </c>
      <c r="OB71" s="5">
        <f t="shared" si="27"/>
        <v>28.066692820714007</v>
      </c>
      <c r="OC71" s="5">
        <f t="shared" si="27"/>
        <v>439.25760000000002</v>
      </c>
      <c r="OD71" s="5">
        <f t="shared" si="27"/>
        <v>28.420023065356716</v>
      </c>
      <c r="OE71" s="5">
        <f t="shared" si="27"/>
        <v>394.92067289719625</v>
      </c>
      <c r="OF71" s="5">
        <f t="shared" ref="OF71" si="28">MAX(OF3:OF69)</f>
        <v>12.52285238765843</v>
      </c>
    </row>
    <row r="72" spans="1:396" customFormat="1" x14ac:dyDescent="0.15">
      <c r="A72" s="9" t="s">
        <v>39</v>
      </c>
      <c r="B72">
        <f ca="1">INDIRECT((CONCATENATE("$A",MATCH(B71,B3:B69,0)+2)))</f>
        <v>2001</v>
      </c>
      <c r="C72">
        <f t="shared" ref="C72:BN72" ca="1" si="29">INDIRECT((CONCATENATE("$A",MATCH(C71,C3:C69,0)+2)))</f>
        <v>1999</v>
      </c>
      <c r="D72">
        <f t="shared" ca="1" si="29"/>
        <v>1999</v>
      </c>
      <c r="E72">
        <f t="shared" ca="1" si="29"/>
        <v>1999</v>
      </c>
      <c r="F72">
        <f t="shared" ca="1" si="29"/>
        <v>2001</v>
      </c>
      <c r="G72">
        <f t="shared" ca="1" si="29"/>
        <v>2016</v>
      </c>
      <c r="H72">
        <f t="shared" ca="1" si="29"/>
        <v>2016</v>
      </c>
      <c r="I72">
        <f t="shared" ca="1" si="29"/>
        <v>2011</v>
      </c>
      <c r="J72">
        <f t="shared" ca="1" si="29"/>
        <v>2002</v>
      </c>
      <c r="K72">
        <f t="shared" ca="1" si="29"/>
        <v>2011</v>
      </c>
      <c r="L72">
        <f t="shared" ca="1" si="29"/>
        <v>2011</v>
      </c>
      <c r="M72">
        <f t="shared" ca="1" si="29"/>
        <v>2002</v>
      </c>
      <c r="N72">
        <f t="shared" ca="1" si="29"/>
        <v>2016</v>
      </c>
      <c r="O72">
        <f t="shared" ca="1" si="29"/>
        <v>2016</v>
      </c>
      <c r="P72">
        <f t="shared" ca="1" si="29"/>
        <v>2016</v>
      </c>
      <c r="Q72">
        <f t="shared" ca="1" si="29"/>
        <v>1999</v>
      </c>
      <c r="R72">
        <f t="shared" ca="1" si="29"/>
        <v>1999</v>
      </c>
      <c r="S72">
        <f t="shared" ca="1" si="29"/>
        <v>1999</v>
      </c>
      <c r="T72">
        <f t="shared" ca="1" si="29"/>
        <v>1999</v>
      </c>
      <c r="U72">
        <f t="shared" ca="1" si="29"/>
        <v>1999</v>
      </c>
      <c r="V72">
        <f t="shared" ca="1" si="29"/>
        <v>1999</v>
      </c>
      <c r="W72">
        <f t="shared" ca="1" si="29"/>
        <v>1999</v>
      </c>
      <c r="X72">
        <f t="shared" ca="1" si="29"/>
        <v>1999</v>
      </c>
      <c r="Y72">
        <f t="shared" ca="1" si="29"/>
        <v>2016</v>
      </c>
      <c r="Z72">
        <f t="shared" ca="1" si="29"/>
        <v>2016</v>
      </c>
      <c r="AA72">
        <f t="shared" ca="1" si="29"/>
        <v>2016</v>
      </c>
      <c r="AB72">
        <f t="shared" ca="1" si="29"/>
        <v>2016</v>
      </c>
      <c r="AC72">
        <f t="shared" ca="1" si="29"/>
        <v>2016</v>
      </c>
      <c r="AD72">
        <f t="shared" ca="1" si="29"/>
        <v>2016</v>
      </c>
      <c r="AE72">
        <f t="shared" ca="1" si="29"/>
        <v>2016</v>
      </c>
      <c r="AF72">
        <f t="shared" ca="1" si="29"/>
        <v>2016</v>
      </c>
      <c r="AG72">
        <f t="shared" ca="1" si="29"/>
        <v>2016</v>
      </c>
      <c r="AH72">
        <f t="shared" ca="1" si="29"/>
        <v>2016</v>
      </c>
      <c r="AI72">
        <f t="shared" ca="1" si="29"/>
        <v>2016</v>
      </c>
      <c r="AJ72">
        <f t="shared" ca="1" si="29"/>
        <v>2016</v>
      </c>
      <c r="AK72">
        <f t="shared" ca="1" si="29"/>
        <v>2016</v>
      </c>
      <c r="AL72">
        <f t="shared" ca="1" si="29"/>
        <v>2016</v>
      </c>
      <c r="AM72">
        <f t="shared" ca="1" si="29"/>
        <v>2016</v>
      </c>
      <c r="AN72">
        <f t="shared" ca="1" si="29"/>
        <v>2015</v>
      </c>
      <c r="AO72">
        <f t="shared" ca="1" si="29"/>
        <v>2015</v>
      </c>
      <c r="AP72">
        <f t="shared" ca="1" si="29"/>
        <v>2015</v>
      </c>
      <c r="AQ72">
        <f t="shared" ca="1" si="29"/>
        <v>2015</v>
      </c>
      <c r="AR72">
        <f t="shared" ca="1" si="29"/>
        <v>2015</v>
      </c>
      <c r="AS72">
        <f t="shared" ca="1" si="29"/>
        <v>2015</v>
      </c>
      <c r="AT72">
        <f t="shared" ca="1" si="29"/>
        <v>2015</v>
      </c>
      <c r="AU72">
        <f t="shared" ca="1" si="29"/>
        <v>2015</v>
      </c>
      <c r="AV72">
        <f t="shared" ca="1" si="29"/>
        <v>2015</v>
      </c>
      <c r="AW72">
        <f t="shared" ca="1" si="29"/>
        <v>2015</v>
      </c>
      <c r="AX72">
        <f t="shared" ca="1" si="29"/>
        <v>2015</v>
      </c>
      <c r="AY72">
        <f t="shared" ca="1" si="29"/>
        <v>1999</v>
      </c>
      <c r="AZ72">
        <f t="shared" ca="1" si="29"/>
        <v>1999</v>
      </c>
      <c r="BA72">
        <f t="shared" ca="1" si="29"/>
        <v>1999</v>
      </c>
      <c r="BB72">
        <f t="shared" ca="1" si="29"/>
        <v>1999</v>
      </c>
      <c r="BC72">
        <f t="shared" ca="1" si="29"/>
        <v>1999</v>
      </c>
      <c r="BD72">
        <f t="shared" ca="1" si="29"/>
        <v>2001</v>
      </c>
      <c r="BE72">
        <f t="shared" ca="1" si="29"/>
        <v>1999</v>
      </c>
      <c r="BF72">
        <f t="shared" ca="1" si="29"/>
        <v>1999</v>
      </c>
      <c r="BG72">
        <f t="shared" ca="1" si="29"/>
        <v>2016</v>
      </c>
      <c r="BH72">
        <f t="shared" ca="1" si="29"/>
        <v>2016</v>
      </c>
      <c r="BI72">
        <f t="shared" ca="1" si="29"/>
        <v>2016</v>
      </c>
      <c r="BJ72">
        <f t="shared" ca="1" si="29"/>
        <v>2001</v>
      </c>
      <c r="BK72">
        <f t="shared" ca="1" si="29"/>
        <v>2001</v>
      </c>
      <c r="BL72">
        <f t="shared" ca="1" si="29"/>
        <v>2001</v>
      </c>
      <c r="BM72">
        <f t="shared" ca="1" si="29"/>
        <v>2001</v>
      </c>
      <c r="BN72">
        <f t="shared" ca="1" si="29"/>
        <v>2015</v>
      </c>
      <c r="BO72">
        <f t="shared" ref="BO72:DZ72" ca="1" si="30">INDIRECT((CONCATENATE("$A",MATCH(BO71,BO3:BO69,0)+2)))</f>
        <v>2001</v>
      </c>
      <c r="BP72">
        <f t="shared" ca="1" si="30"/>
        <v>2001</v>
      </c>
      <c r="BQ72">
        <f t="shared" ca="1" si="30"/>
        <v>2016</v>
      </c>
      <c r="BR72">
        <f t="shared" ca="1" si="30"/>
        <v>2015</v>
      </c>
      <c r="BS72">
        <f t="shared" ca="1" si="30"/>
        <v>2001</v>
      </c>
      <c r="BT72">
        <f t="shared" ca="1" si="30"/>
        <v>2001</v>
      </c>
      <c r="BU72">
        <f t="shared" ca="1" si="30"/>
        <v>2001</v>
      </c>
      <c r="BV72">
        <f t="shared" ca="1" si="30"/>
        <v>2001</v>
      </c>
      <c r="BW72">
        <f t="shared" ca="1" si="30"/>
        <v>2001</v>
      </c>
      <c r="BX72">
        <f t="shared" ca="1" si="30"/>
        <v>2016</v>
      </c>
      <c r="BY72">
        <f t="shared" ca="1" si="30"/>
        <v>2001</v>
      </c>
      <c r="BZ72">
        <f t="shared" ca="1" si="30"/>
        <v>2016</v>
      </c>
      <c r="CA72">
        <f t="shared" ca="1" si="30"/>
        <v>2016</v>
      </c>
      <c r="CB72">
        <f t="shared" ca="1" si="30"/>
        <v>2015</v>
      </c>
      <c r="CC72">
        <f t="shared" ca="1" si="30"/>
        <v>2016</v>
      </c>
      <c r="CD72">
        <f t="shared" ca="1" si="30"/>
        <v>2016</v>
      </c>
      <c r="CE72">
        <f t="shared" ca="1" si="30"/>
        <v>2016</v>
      </c>
      <c r="CF72">
        <f t="shared" ca="1" si="30"/>
        <v>2016</v>
      </c>
      <c r="CG72">
        <f t="shared" ca="1" si="30"/>
        <v>2016</v>
      </c>
      <c r="CH72">
        <f t="shared" ca="1" si="30"/>
        <v>2016</v>
      </c>
      <c r="CI72">
        <f t="shared" ca="1" si="30"/>
        <v>2016</v>
      </c>
      <c r="CJ72">
        <f t="shared" ca="1" si="30"/>
        <v>2016</v>
      </c>
      <c r="CK72">
        <f t="shared" ca="1" si="30"/>
        <v>2016</v>
      </c>
      <c r="CL72">
        <f t="shared" ca="1" si="30"/>
        <v>2016</v>
      </c>
      <c r="CM72">
        <f t="shared" ca="1" si="30"/>
        <v>2015</v>
      </c>
      <c r="CN72">
        <f t="shared" ca="1" si="30"/>
        <v>2015</v>
      </c>
      <c r="CO72">
        <f t="shared" ca="1" si="30"/>
        <v>2015</v>
      </c>
      <c r="CP72">
        <f t="shared" ca="1" si="30"/>
        <v>2015</v>
      </c>
      <c r="CQ72">
        <f t="shared" ca="1" si="30"/>
        <v>2015</v>
      </c>
      <c r="CR72">
        <f t="shared" ca="1" si="30"/>
        <v>2015</v>
      </c>
      <c r="CS72">
        <f t="shared" ca="1" si="30"/>
        <v>2015</v>
      </c>
      <c r="CT72">
        <f t="shared" ca="1" si="30"/>
        <v>2015</v>
      </c>
      <c r="CU72">
        <f t="shared" ca="1" si="30"/>
        <v>2004</v>
      </c>
      <c r="CV72">
        <f t="shared" ca="1" si="30"/>
        <v>2004</v>
      </c>
      <c r="CW72">
        <f t="shared" ca="1" si="30"/>
        <v>2013</v>
      </c>
      <c r="CX72">
        <f t="shared" ca="1" si="30"/>
        <v>2013</v>
      </c>
      <c r="CY72">
        <f t="shared" ca="1" si="30"/>
        <v>2001</v>
      </c>
      <c r="CZ72">
        <f t="shared" ca="1" si="30"/>
        <v>2001</v>
      </c>
      <c r="DA72">
        <f t="shared" ca="1" si="30"/>
        <v>2001</v>
      </c>
      <c r="DB72">
        <f t="shared" ca="1" si="30"/>
        <v>1994</v>
      </c>
      <c r="DC72">
        <f t="shared" ca="1" si="30"/>
        <v>1994</v>
      </c>
      <c r="DD72">
        <f t="shared" ca="1" si="30"/>
        <v>1992</v>
      </c>
      <c r="DE72">
        <f t="shared" ca="1" si="30"/>
        <v>1992</v>
      </c>
      <c r="DF72">
        <f t="shared" ca="1" si="30"/>
        <v>1992</v>
      </c>
      <c r="DG72">
        <f t="shared" ca="1" si="30"/>
        <v>1992</v>
      </c>
      <c r="DH72">
        <f t="shared" ca="1" si="30"/>
        <v>2004</v>
      </c>
      <c r="DI72">
        <f t="shared" ca="1" si="30"/>
        <v>2004</v>
      </c>
      <c r="DJ72">
        <f t="shared" ca="1" si="30"/>
        <v>2004</v>
      </c>
      <c r="DK72">
        <f t="shared" ca="1" si="30"/>
        <v>2004</v>
      </c>
      <c r="DL72">
        <f t="shared" ca="1" si="30"/>
        <v>1996</v>
      </c>
      <c r="DM72">
        <f t="shared" ca="1" si="30"/>
        <v>1996</v>
      </c>
      <c r="DN72">
        <f t="shared" ca="1" si="30"/>
        <v>1996</v>
      </c>
      <c r="DO72">
        <f t="shared" ca="1" si="30"/>
        <v>2004</v>
      </c>
      <c r="DP72">
        <f t="shared" ca="1" si="30"/>
        <v>2004</v>
      </c>
      <c r="DQ72">
        <f t="shared" ca="1" si="30"/>
        <v>2015</v>
      </c>
      <c r="DR72">
        <f t="shared" ca="1" si="30"/>
        <v>2015</v>
      </c>
      <c r="DS72">
        <f t="shared" ca="1" si="30"/>
        <v>2015</v>
      </c>
      <c r="DT72">
        <f t="shared" ca="1" si="30"/>
        <v>2008</v>
      </c>
      <c r="DU72">
        <f t="shared" ca="1" si="30"/>
        <v>2008</v>
      </c>
      <c r="DV72">
        <f t="shared" ca="1" si="30"/>
        <v>2008</v>
      </c>
      <c r="DW72">
        <f t="shared" ca="1" si="30"/>
        <v>2005</v>
      </c>
      <c r="DX72">
        <f t="shared" ca="1" si="30"/>
        <v>2005</v>
      </c>
      <c r="DY72">
        <f t="shared" ca="1" si="30"/>
        <v>1968</v>
      </c>
      <c r="DZ72">
        <f t="shared" ca="1" si="30"/>
        <v>1968</v>
      </c>
      <c r="EA72">
        <f t="shared" ref="EA72:GL72" ca="1" si="31">INDIRECT((CONCATENATE("$A",MATCH(EA71,EA3:EA69,0)+2)))</f>
        <v>1968</v>
      </c>
      <c r="EB72">
        <f t="shared" ca="1" si="31"/>
        <v>1968</v>
      </c>
      <c r="EC72">
        <f t="shared" ca="1" si="31"/>
        <v>1968</v>
      </c>
      <c r="ED72">
        <f t="shared" ca="1" si="31"/>
        <v>1968</v>
      </c>
      <c r="EE72">
        <f t="shared" ca="1" si="31"/>
        <v>2005</v>
      </c>
      <c r="EF72">
        <f t="shared" ca="1" si="31"/>
        <v>2005</v>
      </c>
      <c r="EG72">
        <f t="shared" ca="1" si="31"/>
        <v>2005</v>
      </c>
      <c r="EH72">
        <f t="shared" ca="1" si="31"/>
        <v>2005</v>
      </c>
      <c r="EI72">
        <f t="shared" ca="1" si="31"/>
        <v>1990</v>
      </c>
      <c r="EJ72">
        <f t="shared" ca="1" si="31"/>
        <v>1990</v>
      </c>
      <c r="EK72">
        <f t="shared" ca="1" si="31"/>
        <v>2007</v>
      </c>
      <c r="EL72">
        <f t="shared" ca="1" si="31"/>
        <v>2007</v>
      </c>
      <c r="EM72">
        <f t="shared" ca="1" si="31"/>
        <v>2007</v>
      </c>
      <c r="EN72">
        <f t="shared" ca="1" si="31"/>
        <v>2000</v>
      </c>
      <c r="EO72">
        <f t="shared" ca="1" si="31"/>
        <v>2000</v>
      </c>
      <c r="EP72">
        <f t="shared" ca="1" si="31"/>
        <v>2000</v>
      </c>
      <c r="EQ72">
        <f t="shared" ca="1" si="31"/>
        <v>2000</v>
      </c>
      <c r="ER72">
        <f t="shared" ca="1" si="31"/>
        <v>2000</v>
      </c>
      <c r="ES72">
        <f t="shared" ca="1" si="31"/>
        <v>2000</v>
      </c>
      <c r="ET72">
        <f t="shared" ca="1" si="31"/>
        <v>2000</v>
      </c>
      <c r="EU72">
        <f t="shared" ca="1" si="31"/>
        <v>2000</v>
      </c>
      <c r="EV72">
        <f t="shared" ca="1" si="31"/>
        <v>2000</v>
      </c>
      <c r="EW72">
        <f t="shared" ca="1" si="31"/>
        <v>2000</v>
      </c>
      <c r="EX72">
        <f t="shared" ca="1" si="31"/>
        <v>2000</v>
      </c>
      <c r="EY72">
        <f t="shared" ca="1" si="31"/>
        <v>2001</v>
      </c>
      <c r="EZ72">
        <f t="shared" ca="1" si="31"/>
        <v>2001</v>
      </c>
      <c r="FA72">
        <f t="shared" ca="1" si="31"/>
        <v>2000</v>
      </c>
      <c r="FB72">
        <f t="shared" ca="1" si="31"/>
        <v>2000</v>
      </c>
      <c r="FC72">
        <f t="shared" ca="1" si="31"/>
        <v>1999</v>
      </c>
      <c r="FD72">
        <f t="shared" ca="1" si="31"/>
        <v>1974</v>
      </c>
      <c r="FE72">
        <f t="shared" ca="1" si="31"/>
        <v>1974</v>
      </c>
      <c r="FF72">
        <f t="shared" ca="1" si="31"/>
        <v>1974</v>
      </c>
      <c r="FG72">
        <f t="shared" ca="1" si="31"/>
        <v>2000</v>
      </c>
      <c r="FH72">
        <f t="shared" ca="1" si="31"/>
        <v>2000</v>
      </c>
      <c r="FI72">
        <f t="shared" ca="1" si="31"/>
        <v>2000</v>
      </c>
      <c r="FJ72">
        <f t="shared" ca="1" si="31"/>
        <v>2000</v>
      </c>
      <c r="FK72">
        <f t="shared" ca="1" si="31"/>
        <v>2000</v>
      </c>
      <c r="FL72">
        <f t="shared" ca="1" si="31"/>
        <v>2000</v>
      </c>
      <c r="FM72">
        <f t="shared" ca="1" si="31"/>
        <v>2000</v>
      </c>
      <c r="FN72">
        <f t="shared" ca="1" si="31"/>
        <v>2000</v>
      </c>
      <c r="FO72">
        <f t="shared" ca="1" si="31"/>
        <v>2000</v>
      </c>
      <c r="FP72">
        <f t="shared" ca="1" si="31"/>
        <v>2000</v>
      </c>
      <c r="FQ72">
        <f t="shared" ca="1" si="31"/>
        <v>1990</v>
      </c>
      <c r="FR72">
        <f t="shared" ca="1" si="31"/>
        <v>1990</v>
      </c>
      <c r="FS72">
        <f t="shared" ca="1" si="31"/>
        <v>1990</v>
      </c>
      <c r="FT72">
        <f t="shared" ca="1" si="31"/>
        <v>1990</v>
      </c>
      <c r="FU72">
        <f t="shared" ca="1" si="31"/>
        <v>1990</v>
      </c>
      <c r="FV72">
        <f t="shared" ca="1" si="31"/>
        <v>1990</v>
      </c>
      <c r="FW72">
        <f t="shared" ca="1" si="31"/>
        <v>1990</v>
      </c>
      <c r="FX72">
        <f t="shared" ca="1" si="31"/>
        <v>1981</v>
      </c>
      <c r="FY72">
        <f t="shared" ca="1" si="31"/>
        <v>1981</v>
      </c>
      <c r="FZ72">
        <f t="shared" ca="1" si="31"/>
        <v>1981</v>
      </c>
      <c r="GA72">
        <f t="shared" ca="1" si="31"/>
        <v>2001</v>
      </c>
      <c r="GB72">
        <f t="shared" ca="1" si="31"/>
        <v>2001</v>
      </c>
      <c r="GC72">
        <f t="shared" ca="1" si="31"/>
        <v>2001</v>
      </c>
      <c r="GD72">
        <f t="shared" ca="1" si="31"/>
        <v>1998</v>
      </c>
      <c r="GE72">
        <f t="shared" ca="1" si="31"/>
        <v>1999</v>
      </c>
      <c r="GF72">
        <f t="shared" ca="1" si="31"/>
        <v>1985</v>
      </c>
      <c r="GG72">
        <f t="shared" ca="1" si="31"/>
        <v>1985</v>
      </c>
      <c r="GH72">
        <f t="shared" ca="1" si="31"/>
        <v>1985</v>
      </c>
      <c r="GI72">
        <f t="shared" ca="1" si="31"/>
        <v>1985</v>
      </c>
      <c r="GJ72">
        <f t="shared" ca="1" si="31"/>
        <v>1957</v>
      </c>
      <c r="GK72">
        <f t="shared" ca="1" si="31"/>
        <v>1985</v>
      </c>
      <c r="GL72">
        <f t="shared" ca="1" si="31"/>
        <v>1998</v>
      </c>
      <c r="GM72">
        <f t="shared" ref="GM72:IX72" ca="1" si="32">INDIRECT((CONCATENATE("$A",MATCH(GM71,GM3:GM69,0)+2)))</f>
        <v>1998</v>
      </c>
      <c r="GN72">
        <f t="shared" ca="1" si="32"/>
        <v>1998</v>
      </c>
      <c r="GO72">
        <f t="shared" ca="1" si="32"/>
        <v>1998</v>
      </c>
      <c r="GP72">
        <f t="shared" ca="1" si="32"/>
        <v>1998</v>
      </c>
      <c r="GQ72">
        <f t="shared" ca="1" si="32"/>
        <v>1998</v>
      </c>
      <c r="GR72">
        <f t="shared" ca="1" si="32"/>
        <v>1998</v>
      </c>
      <c r="GS72">
        <f t="shared" ca="1" si="32"/>
        <v>1965</v>
      </c>
      <c r="GT72">
        <f t="shared" ca="1" si="32"/>
        <v>1981</v>
      </c>
      <c r="GU72">
        <f t="shared" ca="1" si="32"/>
        <v>1970</v>
      </c>
      <c r="GV72">
        <f t="shared" ca="1" si="32"/>
        <v>1970</v>
      </c>
      <c r="GW72">
        <f t="shared" ca="1" si="32"/>
        <v>1957</v>
      </c>
      <c r="GX72">
        <f t="shared" ca="1" si="32"/>
        <v>1996</v>
      </c>
      <c r="GY72">
        <f t="shared" ca="1" si="32"/>
        <v>1996</v>
      </c>
      <c r="GZ72">
        <f t="shared" ca="1" si="32"/>
        <v>1996</v>
      </c>
      <c r="HA72">
        <f t="shared" ca="1" si="32"/>
        <v>1954</v>
      </c>
      <c r="HB72">
        <f t="shared" ca="1" si="32"/>
        <v>1954</v>
      </c>
      <c r="HC72">
        <f t="shared" ca="1" si="32"/>
        <v>1954</v>
      </c>
      <c r="HD72">
        <f t="shared" ca="1" si="32"/>
        <v>1954</v>
      </c>
      <c r="HE72">
        <f t="shared" ca="1" si="32"/>
        <v>1954</v>
      </c>
      <c r="HF72">
        <f t="shared" ca="1" si="32"/>
        <v>1954</v>
      </c>
      <c r="HG72">
        <f t="shared" ca="1" si="32"/>
        <v>1954</v>
      </c>
      <c r="HH72">
        <f t="shared" ca="1" si="32"/>
        <v>1954</v>
      </c>
      <c r="HI72">
        <f t="shared" ca="1" si="32"/>
        <v>1954</v>
      </c>
      <c r="HJ72">
        <f t="shared" ca="1" si="32"/>
        <v>1954</v>
      </c>
      <c r="HK72">
        <f t="shared" ca="1" si="32"/>
        <v>1954</v>
      </c>
      <c r="HL72">
        <f t="shared" ca="1" si="32"/>
        <v>1974</v>
      </c>
      <c r="HM72">
        <f t="shared" ca="1" si="32"/>
        <v>1957</v>
      </c>
      <c r="HN72">
        <f t="shared" ca="1" si="32"/>
        <v>1957</v>
      </c>
      <c r="HO72">
        <f t="shared" ca="1" si="32"/>
        <v>1962</v>
      </c>
      <c r="HP72">
        <f t="shared" ca="1" si="32"/>
        <v>1962</v>
      </c>
      <c r="HQ72">
        <f t="shared" ca="1" si="32"/>
        <v>1965</v>
      </c>
      <c r="HR72">
        <f t="shared" ca="1" si="32"/>
        <v>1962</v>
      </c>
      <c r="HS72">
        <f t="shared" ca="1" si="32"/>
        <v>1998</v>
      </c>
      <c r="HT72">
        <f t="shared" ca="1" si="32"/>
        <v>1998</v>
      </c>
      <c r="HU72">
        <f t="shared" ca="1" si="32"/>
        <v>1998</v>
      </c>
      <c r="HV72">
        <f t="shared" ca="1" si="32"/>
        <v>1991</v>
      </c>
      <c r="HW72">
        <f t="shared" ca="1" si="32"/>
        <v>1991</v>
      </c>
      <c r="HX72">
        <f t="shared" ca="1" si="32"/>
        <v>1962</v>
      </c>
      <c r="HY72">
        <f t="shared" ca="1" si="32"/>
        <v>1962</v>
      </c>
      <c r="HZ72">
        <f t="shared" ca="1" si="32"/>
        <v>1998</v>
      </c>
      <c r="IA72">
        <f t="shared" ca="1" si="32"/>
        <v>1962</v>
      </c>
      <c r="IB72">
        <f t="shared" ca="1" si="32"/>
        <v>1962</v>
      </c>
      <c r="IC72">
        <f t="shared" ca="1" si="32"/>
        <v>1993</v>
      </c>
      <c r="ID72">
        <f t="shared" ca="1" si="32"/>
        <v>1954</v>
      </c>
      <c r="IE72">
        <f t="shared" ca="1" si="32"/>
        <v>1954</v>
      </c>
      <c r="IF72">
        <f t="shared" ca="1" si="32"/>
        <v>1954</v>
      </c>
      <c r="IG72">
        <f t="shared" ca="1" si="32"/>
        <v>1954</v>
      </c>
      <c r="IH72">
        <f t="shared" ca="1" si="32"/>
        <v>1966</v>
      </c>
      <c r="II72">
        <f t="shared" ca="1" si="32"/>
        <v>1966</v>
      </c>
      <c r="IJ72">
        <f t="shared" ca="1" si="32"/>
        <v>1966</v>
      </c>
      <c r="IK72">
        <f t="shared" ca="1" si="32"/>
        <v>1966</v>
      </c>
      <c r="IL72">
        <f t="shared" ca="1" si="32"/>
        <v>1966</v>
      </c>
      <c r="IM72">
        <f t="shared" ca="1" si="32"/>
        <v>1966</v>
      </c>
      <c r="IN72">
        <f t="shared" ca="1" si="32"/>
        <v>1966</v>
      </c>
      <c r="IO72">
        <f t="shared" ca="1" si="32"/>
        <v>1966</v>
      </c>
      <c r="IP72">
        <f t="shared" ca="1" si="32"/>
        <v>1998</v>
      </c>
      <c r="IQ72">
        <f t="shared" ca="1" si="32"/>
        <v>1998</v>
      </c>
      <c r="IR72">
        <f t="shared" ca="1" si="32"/>
        <v>1966</v>
      </c>
      <c r="IS72">
        <f t="shared" ca="1" si="32"/>
        <v>1966</v>
      </c>
      <c r="IT72">
        <f t="shared" ca="1" si="32"/>
        <v>1966</v>
      </c>
      <c r="IU72">
        <f t="shared" ca="1" si="32"/>
        <v>1966</v>
      </c>
      <c r="IV72">
        <f t="shared" ca="1" si="32"/>
        <v>2003</v>
      </c>
      <c r="IW72">
        <f t="shared" ca="1" si="32"/>
        <v>2003</v>
      </c>
      <c r="IX72">
        <f t="shared" ca="1" si="32"/>
        <v>1991</v>
      </c>
      <c r="IY72">
        <f t="shared" ref="IY72:LJ72" ca="1" si="33">INDIRECT((CONCATENATE("$A",MATCH(IY71,IY3:IY69,0)+2)))</f>
        <v>1991</v>
      </c>
      <c r="IZ72">
        <f t="shared" ca="1" si="33"/>
        <v>2007</v>
      </c>
      <c r="JA72">
        <f t="shared" ca="1" si="33"/>
        <v>2007</v>
      </c>
      <c r="JB72">
        <f t="shared" ca="1" si="33"/>
        <v>2003</v>
      </c>
      <c r="JC72">
        <f t="shared" ca="1" si="33"/>
        <v>1965</v>
      </c>
      <c r="JD72">
        <f t="shared" ca="1" si="33"/>
        <v>1987</v>
      </c>
      <c r="JE72">
        <f t="shared" ca="1" si="33"/>
        <v>1965</v>
      </c>
      <c r="JF72">
        <f t="shared" ca="1" si="33"/>
        <v>1965</v>
      </c>
      <c r="JG72">
        <f t="shared" ca="1" si="33"/>
        <v>1965</v>
      </c>
      <c r="JH72">
        <f t="shared" ca="1" si="33"/>
        <v>1965</v>
      </c>
      <c r="JI72">
        <f t="shared" ca="1" si="33"/>
        <v>1965</v>
      </c>
      <c r="JJ72">
        <f t="shared" ca="1" si="33"/>
        <v>1965</v>
      </c>
      <c r="JK72">
        <f t="shared" ca="1" si="33"/>
        <v>1965</v>
      </c>
      <c r="JL72">
        <f t="shared" ca="1" si="33"/>
        <v>1991</v>
      </c>
      <c r="JM72">
        <f t="shared" ca="1" si="33"/>
        <v>1987</v>
      </c>
      <c r="JN72">
        <f t="shared" ca="1" si="33"/>
        <v>1987</v>
      </c>
      <c r="JO72">
        <f t="shared" ca="1" si="33"/>
        <v>1987</v>
      </c>
      <c r="JP72">
        <f t="shared" ca="1" si="33"/>
        <v>1987</v>
      </c>
      <c r="JQ72">
        <f t="shared" ca="1" si="33"/>
        <v>1966</v>
      </c>
      <c r="JR72">
        <f t="shared" ca="1" si="33"/>
        <v>1966</v>
      </c>
      <c r="JS72">
        <f t="shared" ca="1" si="33"/>
        <v>1966</v>
      </c>
      <c r="JT72">
        <f t="shared" ca="1" si="33"/>
        <v>1980</v>
      </c>
      <c r="JU72">
        <f t="shared" ca="1" si="33"/>
        <v>1980</v>
      </c>
      <c r="JV72">
        <f t="shared" ca="1" si="33"/>
        <v>1980</v>
      </c>
      <c r="JW72">
        <f t="shared" ca="1" si="33"/>
        <v>1964</v>
      </c>
      <c r="JX72">
        <f t="shared" ca="1" si="33"/>
        <v>1964</v>
      </c>
      <c r="JY72">
        <f t="shared" ca="1" si="33"/>
        <v>1979</v>
      </c>
      <c r="JZ72">
        <f t="shared" ca="1" si="33"/>
        <v>1986</v>
      </c>
      <c r="KA72">
        <f t="shared" ca="1" si="33"/>
        <v>1989</v>
      </c>
      <c r="KB72">
        <f t="shared" ca="1" si="33"/>
        <v>1989</v>
      </c>
      <c r="KC72">
        <f t="shared" ca="1" si="33"/>
        <v>1952</v>
      </c>
      <c r="KD72">
        <f t="shared" ca="1" si="33"/>
        <v>1952</v>
      </c>
      <c r="KE72">
        <f t="shared" ca="1" si="33"/>
        <v>1989</v>
      </c>
      <c r="KF72">
        <f t="shared" ca="1" si="33"/>
        <v>1989</v>
      </c>
      <c r="KG72">
        <f t="shared" ca="1" si="33"/>
        <v>1989</v>
      </c>
      <c r="KH72">
        <f t="shared" ca="1" si="33"/>
        <v>1989</v>
      </c>
      <c r="KI72">
        <f t="shared" ca="1" si="33"/>
        <v>1989</v>
      </c>
      <c r="KJ72">
        <f t="shared" ca="1" si="33"/>
        <v>1989</v>
      </c>
      <c r="KK72">
        <f t="shared" ca="1" si="33"/>
        <v>1989</v>
      </c>
      <c r="KL72">
        <f t="shared" ca="1" si="33"/>
        <v>1989</v>
      </c>
      <c r="KM72">
        <f t="shared" ca="1" si="33"/>
        <v>1989</v>
      </c>
      <c r="KN72">
        <f t="shared" ca="1" si="33"/>
        <v>1965</v>
      </c>
      <c r="KO72">
        <f t="shared" ca="1" si="33"/>
        <v>1965</v>
      </c>
      <c r="KP72">
        <f t="shared" ca="1" si="33"/>
        <v>1965</v>
      </c>
      <c r="KQ72">
        <f t="shared" ca="1" si="33"/>
        <v>1965</v>
      </c>
      <c r="KR72">
        <f t="shared" ca="1" si="33"/>
        <v>1952</v>
      </c>
      <c r="KS72">
        <f t="shared" ca="1" si="33"/>
        <v>1952</v>
      </c>
      <c r="KT72">
        <f t="shared" ca="1" si="33"/>
        <v>1952</v>
      </c>
      <c r="KU72">
        <f t="shared" ca="1" si="33"/>
        <v>2008</v>
      </c>
      <c r="KV72">
        <f t="shared" ca="1" si="33"/>
        <v>2008</v>
      </c>
      <c r="KW72">
        <f t="shared" ca="1" si="33"/>
        <v>2008</v>
      </c>
      <c r="KX72">
        <f t="shared" ca="1" si="33"/>
        <v>2008</v>
      </c>
      <c r="KY72">
        <f t="shared" ca="1" si="33"/>
        <v>1999</v>
      </c>
      <c r="KZ72">
        <f t="shared" ca="1" si="33"/>
        <v>1999</v>
      </c>
      <c r="LA72">
        <f t="shared" ca="1" si="33"/>
        <v>1999</v>
      </c>
      <c r="LB72">
        <f t="shared" ca="1" si="33"/>
        <v>1999</v>
      </c>
      <c r="LC72">
        <f t="shared" ca="1" si="33"/>
        <v>1955</v>
      </c>
      <c r="LD72">
        <f t="shared" ca="1" si="33"/>
        <v>1955</v>
      </c>
      <c r="LE72">
        <f t="shared" ca="1" si="33"/>
        <v>1955</v>
      </c>
      <c r="LF72">
        <f t="shared" ca="1" si="33"/>
        <v>1955</v>
      </c>
      <c r="LG72">
        <f t="shared" ca="1" si="33"/>
        <v>1955</v>
      </c>
      <c r="LH72">
        <f t="shared" ca="1" si="33"/>
        <v>1955</v>
      </c>
      <c r="LI72">
        <f t="shared" ca="1" si="33"/>
        <v>1955</v>
      </c>
      <c r="LJ72">
        <f t="shared" ca="1" si="33"/>
        <v>1955</v>
      </c>
      <c r="LK72">
        <f t="shared" ref="LK72:NU72" ca="1" si="34">INDIRECT((CONCATENATE("$A",MATCH(LK71,LK3:LK69,0)+2)))</f>
        <v>1955</v>
      </c>
      <c r="LL72">
        <f t="shared" ca="1" si="34"/>
        <v>1955</v>
      </c>
      <c r="LM72">
        <f t="shared" ca="1" si="34"/>
        <v>1999</v>
      </c>
      <c r="LN72">
        <f t="shared" ca="1" si="34"/>
        <v>1999</v>
      </c>
      <c r="LO72">
        <f t="shared" ca="1" si="34"/>
        <v>1999</v>
      </c>
      <c r="LP72">
        <f t="shared" ca="1" si="34"/>
        <v>1999</v>
      </c>
      <c r="LQ72">
        <f t="shared" ca="1" si="34"/>
        <v>1999</v>
      </c>
      <c r="LR72">
        <f t="shared" ca="1" si="34"/>
        <v>1999</v>
      </c>
      <c r="LS72">
        <f t="shared" ca="1" si="34"/>
        <v>1999</v>
      </c>
      <c r="LT72">
        <f t="shared" ca="1" si="34"/>
        <v>1999</v>
      </c>
      <c r="LU72">
        <f t="shared" ca="1" si="34"/>
        <v>1999</v>
      </c>
      <c r="LV72">
        <f t="shared" ca="1" si="34"/>
        <v>1999</v>
      </c>
      <c r="LW72">
        <f t="shared" ca="1" si="34"/>
        <v>2016</v>
      </c>
      <c r="LX72">
        <f t="shared" ca="1" si="34"/>
        <v>2016</v>
      </c>
      <c r="LY72">
        <f t="shared" ca="1" si="34"/>
        <v>2016</v>
      </c>
      <c r="LZ72">
        <f t="shared" ca="1" si="34"/>
        <v>2016</v>
      </c>
      <c r="MA72">
        <f t="shared" ca="1" si="34"/>
        <v>2016</v>
      </c>
      <c r="MB72">
        <f t="shared" ca="1" si="34"/>
        <v>2016</v>
      </c>
      <c r="MC72">
        <f t="shared" ca="1" si="34"/>
        <v>2016</v>
      </c>
      <c r="MD72">
        <f t="shared" ca="1" si="34"/>
        <v>2000</v>
      </c>
      <c r="ME72">
        <f t="shared" ca="1" si="34"/>
        <v>2000</v>
      </c>
      <c r="MF72">
        <f t="shared" ca="1" si="34"/>
        <v>2000</v>
      </c>
      <c r="MG72">
        <f t="shared" ca="1" si="34"/>
        <v>2000</v>
      </c>
      <c r="MH72">
        <f t="shared" ca="1" si="34"/>
        <v>2000</v>
      </c>
      <c r="MI72">
        <f t="shared" ca="1" si="34"/>
        <v>2000</v>
      </c>
      <c r="MJ72">
        <f t="shared" ca="1" si="34"/>
        <v>2000</v>
      </c>
      <c r="MK72">
        <f t="shared" ca="1" si="34"/>
        <v>2000</v>
      </c>
      <c r="ML72">
        <f t="shared" ca="1" si="34"/>
        <v>2000</v>
      </c>
      <c r="MM72">
        <f t="shared" ca="1" si="34"/>
        <v>2000</v>
      </c>
      <c r="MN72">
        <f t="shared" ca="1" si="34"/>
        <v>2000</v>
      </c>
      <c r="MO72">
        <f t="shared" ca="1" si="34"/>
        <v>2000</v>
      </c>
      <c r="MP72">
        <f t="shared" ca="1" si="34"/>
        <v>1965</v>
      </c>
      <c r="MQ72">
        <f t="shared" ca="1" si="34"/>
        <v>2000</v>
      </c>
      <c r="MR72">
        <f t="shared" ca="1" si="34"/>
        <v>2000</v>
      </c>
      <c r="MS72">
        <f t="shared" ca="1" si="34"/>
        <v>2001</v>
      </c>
      <c r="MT72">
        <f t="shared" ca="1" si="34"/>
        <v>2000</v>
      </c>
      <c r="MU72">
        <f t="shared" ca="1" si="34"/>
        <v>2000</v>
      </c>
      <c r="MV72">
        <f t="shared" ca="1" si="34"/>
        <v>2001</v>
      </c>
      <c r="MW72">
        <f t="shared" ca="1" si="34"/>
        <v>2001</v>
      </c>
      <c r="MX72">
        <f t="shared" ca="1" si="34"/>
        <v>1998</v>
      </c>
      <c r="MY72">
        <f t="shared" ca="1" si="34"/>
        <v>1998</v>
      </c>
      <c r="MZ72">
        <f t="shared" ca="1" si="34"/>
        <v>1998</v>
      </c>
      <c r="NA72">
        <f t="shared" ca="1" si="34"/>
        <v>1998</v>
      </c>
      <c r="NB72">
        <f t="shared" ca="1" si="34"/>
        <v>2016</v>
      </c>
      <c r="NC72">
        <f t="shared" ca="1" si="34"/>
        <v>2016</v>
      </c>
      <c r="ND72">
        <f t="shared" ca="1" si="34"/>
        <v>2016</v>
      </c>
      <c r="NE72">
        <f t="shared" ca="1" si="34"/>
        <v>2016</v>
      </c>
      <c r="NF72">
        <f t="shared" ca="1" si="34"/>
        <v>2016</v>
      </c>
      <c r="NG72">
        <f t="shared" ca="1" si="34"/>
        <v>2004</v>
      </c>
      <c r="NH72">
        <f t="shared" ca="1" si="34"/>
        <v>2000</v>
      </c>
      <c r="NI72">
        <f t="shared" ca="1" si="34"/>
        <v>1990</v>
      </c>
      <c r="NJ72">
        <f t="shared" ca="1" si="34"/>
        <v>1998</v>
      </c>
      <c r="NK72">
        <f t="shared" ca="1" si="34"/>
        <v>1998</v>
      </c>
      <c r="NL72">
        <f t="shared" ca="1" si="34"/>
        <v>1966</v>
      </c>
      <c r="NM72">
        <f t="shared" ca="1" si="34"/>
        <v>1989</v>
      </c>
      <c r="NN72">
        <f t="shared" ca="1" si="34"/>
        <v>1999</v>
      </c>
      <c r="NO72">
        <f t="shared" ca="1" si="34"/>
        <v>2000</v>
      </c>
      <c r="NP72">
        <f t="shared" ca="1" si="34"/>
        <v>1998</v>
      </c>
      <c r="NQ72">
        <f t="shared" ca="1" si="34"/>
        <v>1966</v>
      </c>
      <c r="NR72">
        <f t="shared" ca="1" si="34"/>
        <v>1989</v>
      </c>
      <c r="NS72">
        <f t="shared" ca="1" si="34"/>
        <v>2001</v>
      </c>
      <c r="NT72">
        <f t="shared" ca="1" si="34"/>
        <v>1992</v>
      </c>
      <c r="NU72">
        <f t="shared" ca="1" si="34"/>
        <v>1998</v>
      </c>
      <c r="NW72">
        <f t="shared" ref="NW72:OF72" ca="1" si="35">INDIRECT((CONCATENATE("$A",MATCH(NW71,NW3:NW69,0)+2)))</f>
        <v>1998</v>
      </c>
      <c r="NX72">
        <f t="shared" ca="1" si="35"/>
        <v>1998</v>
      </c>
      <c r="NY72">
        <f t="shared" ca="1" si="35"/>
        <v>1998</v>
      </c>
      <c r="NZ72">
        <f t="shared" ca="1" si="35"/>
        <v>1998</v>
      </c>
      <c r="OA72">
        <f t="shared" ca="1" si="35"/>
        <v>2001</v>
      </c>
      <c r="OB72">
        <f t="shared" ca="1" si="35"/>
        <v>2015</v>
      </c>
      <c r="OC72">
        <f t="shared" ca="1" si="35"/>
        <v>1998</v>
      </c>
      <c r="OD72">
        <f t="shared" ca="1" si="35"/>
        <v>1962</v>
      </c>
      <c r="OE72">
        <f t="shared" ca="1" si="35"/>
        <v>1998</v>
      </c>
      <c r="OF72">
        <f t="shared" ca="1" si="35"/>
        <v>1998</v>
      </c>
    </row>
    <row r="73" spans="1:396" customFormat="1" x14ac:dyDescent="0.15">
      <c r="A73" s="9" t="s">
        <v>37</v>
      </c>
      <c r="B73" s="5">
        <f>MIN(B3:B69)</f>
        <v>0.83894400000000002</v>
      </c>
      <c r="C73" s="5">
        <f t="shared" ref="C73:BN73" si="36">MIN(C3:C69)</f>
        <v>0.85190399999999999</v>
      </c>
      <c r="D73" s="5">
        <f t="shared" si="36"/>
        <v>0.88127999999999995</v>
      </c>
      <c r="E73" s="5">
        <f t="shared" si="36"/>
        <v>0.88127999999999995</v>
      </c>
      <c r="F73" s="5">
        <f t="shared" si="36"/>
        <v>0.88127999999999995</v>
      </c>
      <c r="G73" s="5">
        <f t="shared" si="36"/>
        <v>0.86399999999999999</v>
      </c>
      <c r="H73" s="5">
        <f t="shared" si="36"/>
        <v>0.85363199999999995</v>
      </c>
      <c r="I73" s="5">
        <f t="shared" si="36"/>
        <v>0.839808</v>
      </c>
      <c r="J73" s="5">
        <f t="shared" si="36"/>
        <v>0.81302399999999997</v>
      </c>
      <c r="K73" s="5">
        <f t="shared" si="36"/>
        <v>0.77932800000000002</v>
      </c>
      <c r="L73" s="5">
        <f t="shared" si="36"/>
        <v>0.75168000000000001</v>
      </c>
      <c r="M73" s="5">
        <f t="shared" si="36"/>
        <v>0.74476799999999999</v>
      </c>
      <c r="N73" s="5">
        <f t="shared" si="36"/>
        <v>0.74217599999999995</v>
      </c>
      <c r="O73" s="5">
        <f t="shared" si="36"/>
        <v>0.73958400000000002</v>
      </c>
      <c r="P73" s="5">
        <f t="shared" si="36"/>
        <v>0.74390400000000001</v>
      </c>
      <c r="Q73" s="5">
        <f t="shared" si="36"/>
        <v>0.74908799999999998</v>
      </c>
      <c r="R73" s="5">
        <f t="shared" si="36"/>
        <v>0.74995199999999995</v>
      </c>
      <c r="S73" s="5">
        <f t="shared" si="36"/>
        <v>0.74390400000000001</v>
      </c>
      <c r="T73" s="5">
        <f t="shared" si="36"/>
        <v>0.73958400000000002</v>
      </c>
      <c r="U73" s="5">
        <f t="shared" si="36"/>
        <v>0.73007999999999995</v>
      </c>
      <c r="V73" s="5">
        <f t="shared" si="36"/>
        <v>0.71711999999999998</v>
      </c>
      <c r="W73" s="5">
        <f t="shared" si="36"/>
        <v>0.70761600000000002</v>
      </c>
      <c r="X73" s="5">
        <f t="shared" si="36"/>
        <v>0.70243199999999995</v>
      </c>
      <c r="Y73" s="5">
        <f t="shared" si="36"/>
        <v>0.69984000000000002</v>
      </c>
      <c r="Z73" s="5">
        <f t="shared" si="36"/>
        <v>0.68774400000000002</v>
      </c>
      <c r="AA73" s="5">
        <f t="shared" si="36"/>
        <v>0.67910400000000004</v>
      </c>
      <c r="AB73" s="5">
        <f t="shared" si="36"/>
        <v>0.67305599999999999</v>
      </c>
      <c r="AC73" s="5">
        <f t="shared" si="36"/>
        <v>0.66700800000000005</v>
      </c>
      <c r="AD73" s="5">
        <f t="shared" si="36"/>
        <v>0.65404799999999996</v>
      </c>
      <c r="AE73" s="5">
        <f t="shared" si="36"/>
        <v>0.636768</v>
      </c>
      <c r="AF73" s="5">
        <f t="shared" si="36"/>
        <v>0.63417599999999996</v>
      </c>
      <c r="AG73" s="5">
        <f t="shared" si="36"/>
        <v>0.63417599999999996</v>
      </c>
      <c r="AH73" s="5">
        <f t="shared" si="36"/>
        <v>0.63417599999999996</v>
      </c>
      <c r="AI73" s="5">
        <f t="shared" si="36"/>
        <v>0.62985599999999997</v>
      </c>
      <c r="AJ73" s="5">
        <f t="shared" si="36"/>
        <v>0.628992</v>
      </c>
      <c r="AK73" s="5">
        <f t="shared" si="36"/>
        <v>0.628992</v>
      </c>
      <c r="AL73" s="5">
        <f t="shared" si="36"/>
        <v>0.62207999999999997</v>
      </c>
      <c r="AM73" s="5">
        <f t="shared" si="36"/>
        <v>0.61862399999999995</v>
      </c>
      <c r="AN73" s="5">
        <f t="shared" si="36"/>
        <v>0.61257600000000001</v>
      </c>
      <c r="AO73" s="5">
        <f t="shared" si="36"/>
        <v>0.60048000000000001</v>
      </c>
      <c r="AP73" s="5">
        <f t="shared" si="36"/>
        <v>0.60393600000000003</v>
      </c>
      <c r="AQ73" s="5">
        <f t="shared" si="36"/>
        <v>0.60220799999999997</v>
      </c>
      <c r="AR73" s="5">
        <f t="shared" si="36"/>
        <v>0.59788799999999998</v>
      </c>
      <c r="AS73" s="5">
        <f t="shared" si="36"/>
        <v>0.59616000000000002</v>
      </c>
      <c r="AT73" s="5">
        <f t="shared" si="36"/>
        <v>0.59616000000000002</v>
      </c>
      <c r="AU73" s="5">
        <f t="shared" si="36"/>
        <v>0.59788799999999998</v>
      </c>
      <c r="AV73" s="5">
        <f t="shared" si="36"/>
        <v>0.60911999999999999</v>
      </c>
      <c r="AW73" s="5">
        <f t="shared" si="36"/>
        <v>0.61775999999999998</v>
      </c>
      <c r="AX73" s="5">
        <f t="shared" si="36"/>
        <v>0.63071999999999995</v>
      </c>
      <c r="AY73" s="5">
        <f t="shared" si="36"/>
        <v>0.63849599999999995</v>
      </c>
      <c r="AZ73" s="5">
        <f t="shared" si="36"/>
        <v>0.65750399999999998</v>
      </c>
      <c r="BA73" s="5">
        <f t="shared" si="36"/>
        <v>0.668736</v>
      </c>
      <c r="BB73" s="5">
        <f t="shared" si="36"/>
        <v>0.66268800000000005</v>
      </c>
      <c r="BC73" s="5">
        <f t="shared" si="36"/>
        <v>0.648864</v>
      </c>
      <c r="BD73" s="5">
        <f t="shared" si="36"/>
        <v>0.64022400000000002</v>
      </c>
      <c r="BE73" s="5">
        <f t="shared" si="36"/>
        <v>0.62985599999999997</v>
      </c>
      <c r="BF73" s="5">
        <f t="shared" si="36"/>
        <v>0.61862399999999995</v>
      </c>
      <c r="BG73" s="5">
        <f t="shared" si="36"/>
        <v>0.61343999999999999</v>
      </c>
      <c r="BH73" s="5">
        <f t="shared" si="36"/>
        <v>0.60998399999999997</v>
      </c>
      <c r="BI73" s="5">
        <f t="shared" si="36"/>
        <v>0.75859200000000004</v>
      </c>
      <c r="BJ73" s="5">
        <f t="shared" si="36"/>
        <v>0.60825600000000002</v>
      </c>
      <c r="BK73" s="5">
        <f t="shared" si="36"/>
        <v>0.60048000000000001</v>
      </c>
      <c r="BL73" s="5">
        <f t="shared" si="36"/>
        <v>0.59184000000000003</v>
      </c>
      <c r="BM73" s="5">
        <f t="shared" si="36"/>
        <v>0.58665599999999996</v>
      </c>
      <c r="BN73" s="5">
        <f t="shared" si="36"/>
        <v>0.57887999999999995</v>
      </c>
      <c r="BO73" s="5">
        <f t="shared" ref="BO73:DZ73" si="37">MIN(BO3:BO69)</f>
        <v>0.56764800000000004</v>
      </c>
      <c r="BP73" s="5">
        <f t="shared" si="37"/>
        <v>0.56851200000000002</v>
      </c>
      <c r="BQ73" s="5">
        <f t="shared" si="37"/>
        <v>0.57283200000000001</v>
      </c>
      <c r="BR73" s="5">
        <f t="shared" si="37"/>
        <v>0.55987200000000004</v>
      </c>
      <c r="BS73" s="5">
        <f t="shared" si="37"/>
        <v>0.55900799999999995</v>
      </c>
      <c r="BT73" s="5">
        <f t="shared" si="37"/>
        <v>0.55641600000000002</v>
      </c>
      <c r="BU73" s="5">
        <f t="shared" si="37"/>
        <v>0.54864000000000002</v>
      </c>
      <c r="BV73" s="5">
        <f t="shared" si="37"/>
        <v>0.55468799999999996</v>
      </c>
      <c r="BW73" s="5">
        <f t="shared" si="37"/>
        <v>0.56332800000000005</v>
      </c>
      <c r="BX73" s="5">
        <f t="shared" si="37"/>
        <v>0.55728</v>
      </c>
      <c r="BY73" s="5">
        <f t="shared" si="37"/>
        <v>0.54864000000000002</v>
      </c>
      <c r="BZ73" s="5">
        <f t="shared" si="37"/>
        <v>0.54086400000000001</v>
      </c>
      <c r="CA73" s="5">
        <f t="shared" si="37"/>
        <v>0.537408</v>
      </c>
      <c r="CB73" s="5">
        <f t="shared" si="37"/>
        <v>0.54345600000000005</v>
      </c>
      <c r="CC73" s="5">
        <f t="shared" si="37"/>
        <v>0.54345600000000005</v>
      </c>
      <c r="CD73" s="5">
        <f t="shared" si="37"/>
        <v>0.54432000000000003</v>
      </c>
      <c r="CE73" s="5">
        <f t="shared" si="37"/>
        <v>0.545184</v>
      </c>
      <c r="CF73" s="5">
        <f t="shared" si="37"/>
        <v>0.545184</v>
      </c>
      <c r="CG73" s="5">
        <f t="shared" si="37"/>
        <v>0.545184</v>
      </c>
      <c r="CH73" s="5">
        <f t="shared" si="37"/>
        <v>0.54345600000000005</v>
      </c>
      <c r="CI73" s="5">
        <f t="shared" si="37"/>
        <v>0.55468799999999996</v>
      </c>
      <c r="CJ73" s="5">
        <f t="shared" si="37"/>
        <v>0.56851200000000002</v>
      </c>
      <c r="CK73" s="5">
        <f t="shared" si="37"/>
        <v>0.58665599999999996</v>
      </c>
      <c r="CL73" s="5">
        <f t="shared" si="37"/>
        <v>0.60825600000000002</v>
      </c>
      <c r="CM73" s="5">
        <f t="shared" si="37"/>
        <v>0.65145600000000004</v>
      </c>
      <c r="CN73" s="5">
        <f t="shared" si="37"/>
        <v>0.67737599999999998</v>
      </c>
      <c r="CO73" s="5">
        <f t="shared" si="37"/>
        <v>0.67219200000000001</v>
      </c>
      <c r="CP73" s="5">
        <f t="shared" si="37"/>
        <v>0.628992</v>
      </c>
      <c r="CQ73" s="5">
        <f t="shared" si="37"/>
        <v>0.76463999999999999</v>
      </c>
      <c r="CR73" s="5">
        <f t="shared" si="37"/>
        <v>0.77155200000000002</v>
      </c>
      <c r="CS73" s="5">
        <f t="shared" si="37"/>
        <v>0.768096</v>
      </c>
      <c r="CT73" s="5">
        <f t="shared" si="37"/>
        <v>0.77673599999999998</v>
      </c>
      <c r="CU73" s="5">
        <f t="shared" si="37"/>
        <v>0.74217599999999995</v>
      </c>
      <c r="CV73" s="5">
        <f t="shared" si="37"/>
        <v>0.70502399999999998</v>
      </c>
      <c r="CW73" s="5">
        <f t="shared" si="37"/>
        <v>0.69120000000000004</v>
      </c>
      <c r="CX73" s="5">
        <f t="shared" si="37"/>
        <v>0.68083199999999999</v>
      </c>
      <c r="CY73" s="5">
        <f t="shared" si="37"/>
        <v>0.67046399999999995</v>
      </c>
      <c r="CZ73" s="5">
        <f t="shared" si="37"/>
        <v>0.65664</v>
      </c>
      <c r="DA73" s="5">
        <f t="shared" si="37"/>
        <v>0.63936000000000004</v>
      </c>
      <c r="DB73" s="5">
        <f t="shared" si="37"/>
        <v>0.61603200000000002</v>
      </c>
      <c r="DC73" s="5">
        <f t="shared" si="37"/>
        <v>0.597024</v>
      </c>
      <c r="DD73" s="5">
        <f t="shared" si="37"/>
        <v>0.584928</v>
      </c>
      <c r="DE73" s="5">
        <f t="shared" si="37"/>
        <v>0.59961600000000004</v>
      </c>
      <c r="DF73" s="5">
        <f t="shared" si="37"/>
        <v>0.63417599999999996</v>
      </c>
      <c r="DG73" s="5">
        <f t="shared" si="37"/>
        <v>0.65491200000000005</v>
      </c>
      <c r="DH73" s="5">
        <f t="shared" si="37"/>
        <v>0.65404799999999996</v>
      </c>
      <c r="DI73" s="5">
        <f t="shared" si="37"/>
        <v>0.65059199999999995</v>
      </c>
      <c r="DJ73" s="5">
        <f t="shared" si="37"/>
        <v>0.65318399999999999</v>
      </c>
      <c r="DK73" s="5">
        <f t="shared" si="37"/>
        <v>0.68342400000000003</v>
      </c>
      <c r="DL73" s="5">
        <f t="shared" si="37"/>
        <v>0.70502399999999998</v>
      </c>
      <c r="DM73" s="5">
        <f t="shared" si="37"/>
        <v>0.72921599999999998</v>
      </c>
      <c r="DN73" s="5">
        <f t="shared" si="37"/>
        <v>0.77414400000000005</v>
      </c>
      <c r="DO73" s="5">
        <f t="shared" si="37"/>
        <v>0.80179199999999995</v>
      </c>
      <c r="DP73" s="5">
        <f t="shared" si="37"/>
        <v>0.80524799999999996</v>
      </c>
      <c r="DQ73" s="5">
        <f t="shared" si="37"/>
        <v>0.81215999999999999</v>
      </c>
      <c r="DR73" s="5">
        <f t="shared" si="37"/>
        <v>0.84240000000000004</v>
      </c>
      <c r="DS73" s="5">
        <f t="shared" si="37"/>
        <v>0.84672000000000003</v>
      </c>
      <c r="DT73" s="5">
        <f t="shared" si="37"/>
        <v>0.85017600000000004</v>
      </c>
      <c r="DU73" s="5">
        <f t="shared" si="37"/>
        <v>0.83894400000000002</v>
      </c>
      <c r="DV73" s="5">
        <f t="shared" si="37"/>
        <v>0.82339200000000001</v>
      </c>
      <c r="DW73" s="5">
        <f t="shared" si="37"/>
        <v>0.81129600000000002</v>
      </c>
      <c r="DX73" s="5">
        <f t="shared" si="37"/>
        <v>0.80352000000000001</v>
      </c>
      <c r="DY73" s="5">
        <f t="shared" si="37"/>
        <v>0.800064</v>
      </c>
      <c r="DZ73" s="5">
        <f t="shared" si="37"/>
        <v>0.800064</v>
      </c>
      <c r="EA73" s="5">
        <f t="shared" ref="EA73:GL73" si="38">MIN(EA3:EA69)</f>
        <v>0.79228799999999999</v>
      </c>
      <c r="EB73" s="5">
        <f t="shared" si="38"/>
        <v>0.79228799999999999</v>
      </c>
      <c r="EC73" s="5">
        <f t="shared" si="38"/>
        <v>0.800064</v>
      </c>
      <c r="ED73" s="5">
        <f t="shared" si="38"/>
        <v>0.80784</v>
      </c>
      <c r="EE73" s="5">
        <f t="shared" si="38"/>
        <v>0.80352000000000001</v>
      </c>
      <c r="EF73" s="5">
        <f t="shared" si="38"/>
        <v>0.80784</v>
      </c>
      <c r="EG73" s="5">
        <f t="shared" si="38"/>
        <v>0.81561600000000001</v>
      </c>
      <c r="EH73" s="5">
        <f t="shared" si="38"/>
        <v>0.82684800000000003</v>
      </c>
      <c r="EI73" s="5">
        <f t="shared" si="38"/>
        <v>0.80179199999999995</v>
      </c>
      <c r="EJ73" s="5">
        <f t="shared" si="38"/>
        <v>0.83894400000000002</v>
      </c>
      <c r="EK73" s="5">
        <f t="shared" si="38"/>
        <v>0.85017600000000004</v>
      </c>
      <c r="EL73" s="5">
        <f t="shared" si="38"/>
        <v>0.87263999999999997</v>
      </c>
      <c r="EM73" s="5">
        <f t="shared" si="38"/>
        <v>0.86399999999999999</v>
      </c>
      <c r="EN73" s="5">
        <f t="shared" si="38"/>
        <v>0.85449600000000003</v>
      </c>
      <c r="EO73" s="5">
        <f t="shared" si="38"/>
        <v>0.85881600000000002</v>
      </c>
      <c r="EP73" s="5">
        <f t="shared" si="38"/>
        <v>0.88992000000000004</v>
      </c>
      <c r="EQ73" s="5">
        <f t="shared" si="38"/>
        <v>0.92447999999999997</v>
      </c>
      <c r="ER73" s="5">
        <f t="shared" si="38"/>
        <v>0.94176000000000004</v>
      </c>
      <c r="ES73" s="5">
        <f t="shared" si="38"/>
        <v>0.95904</v>
      </c>
      <c r="ET73" s="5">
        <f t="shared" si="38"/>
        <v>0.99360000000000004</v>
      </c>
      <c r="EU73" s="5">
        <f t="shared" si="38"/>
        <v>0.97631999999999997</v>
      </c>
      <c r="EV73" s="5">
        <f t="shared" si="38"/>
        <v>0.94176000000000004</v>
      </c>
      <c r="EW73" s="5">
        <f t="shared" si="38"/>
        <v>0.92447999999999997</v>
      </c>
      <c r="EX73" s="5">
        <f t="shared" si="38"/>
        <v>0.89856000000000003</v>
      </c>
      <c r="EY73" s="5">
        <f t="shared" si="38"/>
        <v>0.85795200000000005</v>
      </c>
      <c r="EZ73" s="5">
        <f t="shared" si="38"/>
        <v>0.95904</v>
      </c>
      <c r="FA73" s="5">
        <f t="shared" si="38"/>
        <v>0.91583999999999999</v>
      </c>
      <c r="FB73" s="5">
        <f t="shared" si="38"/>
        <v>0.98495999999999995</v>
      </c>
      <c r="FC73" s="5">
        <f t="shared" si="38"/>
        <v>0.94176000000000004</v>
      </c>
      <c r="FD73" s="5">
        <f t="shared" si="38"/>
        <v>1.00224</v>
      </c>
      <c r="FE73" s="5">
        <f t="shared" si="38"/>
        <v>1.0454399999999999</v>
      </c>
      <c r="FF73" s="5">
        <f t="shared" si="38"/>
        <v>1.00224</v>
      </c>
      <c r="FG73" s="5">
        <f t="shared" si="38"/>
        <v>1.02816</v>
      </c>
      <c r="FH73" s="5">
        <f t="shared" si="38"/>
        <v>1.0886400000000001</v>
      </c>
      <c r="FI73" s="5">
        <f t="shared" si="38"/>
        <v>1.21824</v>
      </c>
      <c r="FJ73" s="5">
        <f t="shared" si="38"/>
        <v>1.40832</v>
      </c>
      <c r="FK73" s="5">
        <f t="shared" si="38"/>
        <v>1.3910400000000001</v>
      </c>
      <c r="FL73" s="5">
        <f t="shared" si="38"/>
        <v>1.5811200000000001</v>
      </c>
      <c r="FM73" s="5">
        <f t="shared" si="38"/>
        <v>1.5811200000000001</v>
      </c>
      <c r="FN73" s="5">
        <f t="shared" si="38"/>
        <v>1.5811200000000001</v>
      </c>
      <c r="FO73" s="5">
        <f t="shared" si="38"/>
        <v>1.6848000000000001</v>
      </c>
      <c r="FP73" s="5">
        <f t="shared" si="38"/>
        <v>1.80576</v>
      </c>
      <c r="FQ73" s="5">
        <f t="shared" si="38"/>
        <v>1.92672</v>
      </c>
      <c r="FR73" s="5">
        <f t="shared" si="38"/>
        <v>1.8748800000000001</v>
      </c>
      <c r="FS73" s="5">
        <f t="shared" si="38"/>
        <v>2.0476800000000002</v>
      </c>
      <c r="FT73" s="5">
        <f t="shared" si="38"/>
        <v>1.92672</v>
      </c>
      <c r="FU73" s="5">
        <f t="shared" si="38"/>
        <v>1.8921600000000001</v>
      </c>
      <c r="FV73" s="5">
        <f t="shared" si="38"/>
        <v>2.0995200000000001</v>
      </c>
      <c r="FW73" s="5">
        <f t="shared" si="38"/>
        <v>2.0649600000000001</v>
      </c>
      <c r="FX73" s="5">
        <f t="shared" si="38"/>
        <v>2.03904</v>
      </c>
      <c r="FY73" s="5">
        <f t="shared" si="38"/>
        <v>2.4019200000000001</v>
      </c>
      <c r="FZ73" s="5">
        <f t="shared" si="38"/>
        <v>2.3328000000000002</v>
      </c>
      <c r="GA73" s="5">
        <f t="shared" si="38"/>
        <v>2.32416</v>
      </c>
      <c r="GB73" s="5">
        <f t="shared" si="38"/>
        <v>2.2377600000000002</v>
      </c>
      <c r="GC73" s="5">
        <f t="shared" si="38"/>
        <v>2.1945600000000001</v>
      </c>
      <c r="GD73" s="5">
        <f t="shared" si="38"/>
        <v>2.3500800000000002</v>
      </c>
      <c r="GE73" s="5">
        <f t="shared" si="38"/>
        <v>2.4883199999999999</v>
      </c>
      <c r="GF73" s="5">
        <f t="shared" si="38"/>
        <v>2.7993600000000001</v>
      </c>
      <c r="GG73" s="5">
        <f t="shared" si="38"/>
        <v>2.92896</v>
      </c>
      <c r="GH73" s="5">
        <f t="shared" si="38"/>
        <v>3.0326399999999998</v>
      </c>
      <c r="GI73" s="5">
        <f t="shared" si="38"/>
        <v>3.1103999999999998</v>
      </c>
      <c r="GJ73" s="5">
        <f t="shared" si="38"/>
        <v>2.94624</v>
      </c>
      <c r="GK73" s="5">
        <f t="shared" si="38"/>
        <v>2.8252799999999998</v>
      </c>
      <c r="GL73" s="5">
        <f t="shared" si="38"/>
        <v>2.83392</v>
      </c>
      <c r="GM73" s="5">
        <f t="shared" ref="GM73:IX73" si="39">MIN(GM3:GM69)</f>
        <v>2.8252799999999998</v>
      </c>
      <c r="GN73" s="5">
        <f t="shared" si="39"/>
        <v>2.8944000000000001</v>
      </c>
      <c r="GO73" s="5">
        <f t="shared" si="39"/>
        <v>3.2659199999999999</v>
      </c>
      <c r="GP73" s="5">
        <f t="shared" si="39"/>
        <v>3.3091200000000001</v>
      </c>
      <c r="GQ73" s="5">
        <f t="shared" si="39"/>
        <v>3.3696000000000002</v>
      </c>
      <c r="GR73" s="5">
        <f t="shared" si="39"/>
        <v>3.2918400000000001</v>
      </c>
      <c r="GS73" s="5">
        <f t="shared" si="39"/>
        <v>3.21408</v>
      </c>
      <c r="GT73" s="5">
        <f t="shared" si="39"/>
        <v>3.21408</v>
      </c>
      <c r="GU73" s="5">
        <f t="shared" si="39"/>
        <v>3.3091200000000001</v>
      </c>
      <c r="GV73" s="5">
        <f t="shared" si="39"/>
        <v>3.3696000000000002</v>
      </c>
      <c r="GW73" s="5">
        <f t="shared" si="39"/>
        <v>3.1276799999999998</v>
      </c>
      <c r="GX73" s="5">
        <f t="shared" si="39"/>
        <v>3.3264</v>
      </c>
      <c r="GY73" s="5">
        <f t="shared" si="39"/>
        <v>3.3868800000000001</v>
      </c>
      <c r="GZ73" s="5">
        <f t="shared" si="39"/>
        <v>3.1968000000000001</v>
      </c>
      <c r="HA73" s="5">
        <f t="shared" si="39"/>
        <v>3.1708799999999999</v>
      </c>
      <c r="HB73" s="5">
        <f t="shared" si="39"/>
        <v>3.1622400000000002</v>
      </c>
      <c r="HC73" s="5">
        <f t="shared" si="39"/>
        <v>3.5164800000000001</v>
      </c>
      <c r="HD73" s="5">
        <f t="shared" si="39"/>
        <v>3.7151999999999998</v>
      </c>
      <c r="HE73" s="5">
        <f t="shared" si="39"/>
        <v>3.55104</v>
      </c>
      <c r="HF73" s="5">
        <f t="shared" si="39"/>
        <v>3.4127999999999998</v>
      </c>
      <c r="HG73" s="5">
        <f t="shared" si="39"/>
        <v>3.2745600000000001</v>
      </c>
      <c r="HH73" s="5">
        <f t="shared" si="39"/>
        <v>3.1881599999999999</v>
      </c>
      <c r="HI73" s="5">
        <f t="shared" si="39"/>
        <v>3.2918400000000001</v>
      </c>
      <c r="HJ73" s="5">
        <f t="shared" si="39"/>
        <v>3.24</v>
      </c>
      <c r="HK73" s="5">
        <f t="shared" si="39"/>
        <v>3.0585599999999999</v>
      </c>
      <c r="HL73" s="5">
        <f t="shared" si="39"/>
        <v>2.9203199999999998</v>
      </c>
      <c r="HM73" s="5">
        <f t="shared" si="39"/>
        <v>2.8252799999999998</v>
      </c>
      <c r="HN73" s="5">
        <f t="shared" si="39"/>
        <v>2.81664</v>
      </c>
      <c r="HO73" s="5">
        <f t="shared" si="39"/>
        <v>2.9203199999999998</v>
      </c>
      <c r="HP73" s="5">
        <f t="shared" si="39"/>
        <v>3.1536</v>
      </c>
      <c r="HQ73" s="5">
        <f t="shared" si="39"/>
        <v>3.1795200000000001</v>
      </c>
      <c r="HR73" s="5">
        <f t="shared" si="39"/>
        <v>2.9980799999999999</v>
      </c>
      <c r="HS73" s="5">
        <f t="shared" si="39"/>
        <v>2.8771200000000001</v>
      </c>
      <c r="HT73" s="5">
        <f t="shared" si="39"/>
        <v>2.7648000000000001</v>
      </c>
      <c r="HU73" s="5">
        <f t="shared" si="39"/>
        <v>2.6870400000000001</v>
      </c>
      <c r="HV73" s="5">
        <f t="shared" si="39"/>
        <v>2.7907199999999999</v>
      </c>
      <c r="HW73" s="5">
        <f t="shared" si="39"/>
        <v>2.91168</v>
      </c>
      <c r="HX73" s="5">
        <f t="shared" si="39"/>
        <v>3.1622400000000002</v>
      </c>
      <c r="HY73" s="5">
        <f t="shared" si="39"/>
        <v>3.0758399999999999</v>
      </c>
      <c r="HZ73" s="5">
        <f t="shared" si="39"/>
        <v>3.1017600000000001</v>
      </c>
      <c r="IA73" s="5">
        <f t="shared" si="39"/>
        <v>2.9980799999999999</v>
      </c>
      <c r="IB73" s="5">
        <f t="shared" si="39"/>
        <v>2.6611199999999999</v>
      </c>
      <c r="IC73" s="5">
        <f t="shared" si="39"/>
        <v>2.6524800000000002</v>
      </c>
      <c r="ID73" s="5">
        <f t="shared" si="39"/>
        <v>2.8684799999999999</v>
      </c>
      <c r="IE73" s="5">
        <f t="shared" si="39"/>
        <v>3.4732799999999999</v>
      </c>
      <c r="IF73" s="5">
        <f t="shared" si="39"/>
        <v>4.13856</v>
      </c>
      <c r="IG73" s="5">
        <f t="shared" si="39"/>
        <v>4.1644800000000002</v>
      </c>
      <c r="IH73" s="5">
        <f t="shared" si="39"/>
        <v>4.0780799999999999</v>
      </c>
      <c r="II73" s="5">
        <f t="shared" si="39"/>
        <v>3.9398399999999998</v>
      </c>
      <c r="IJ73" s="5">
        <f t="shared" si="39"/>
        <v>3.8275199999999998</v>
      </c>
      <c r="IK73" s="5">
        <f t="shared" si="39"/>
        <v>3.7497600000000002</v>
      </c>
      <c r="IL73" s="5">
        <f t="shared" si="39"/>
        <v>3.5942400000000001</v>
      </c>
      <c r="IM73" s="5">
        <f t="shared" si="39"/>
        <v>3.55104</v>
      </c>
      <c r="IN73" s="5">
        <f t="shared" si="39"/>
        <v>3.4646400000000002</v>
      </c>
      <c r="IO73" s="5">
        <f t="shared" si="39"/>
        <v>3.3696000000000002</v>
      </c>
      <c r="IP73" s="5">
        <f t="shared" si="39"/>
        <v>3.1795200000000001</v>
      </c>
      <c r="IQ73" s="5">
        <f t="shared" si="39"/>
        <v>2.8512</v>
      </c>
      <c r="IR73" s="5">
        <f t="shared" si="39"/>
        <v>2.81664</v>
      </c>
      <c r="IS73" s="5">
        <f t="shared" si="39"/>
        <v>2.8857599999999999</v>
      </c>
      <c r="IT73" s="5">
        <f t="shared" si="39"/>
        <v>3.3004799999999999</v>
      </c>
      <c r="IU73" s="5">
        <f t="shared" si="39"/>
        <v>3.42144</v>
      </c>
      <c r="IV73" s="5">
        <f t="shared" si="39"/>
        <v>3.1276799999999998</v>
      </c>
      <c r="IW73" s="5">
        <f t="shared" si="39"/>
        <v>3.1795200000000001</v>
      </c>
      <c r="IX73" s="5">
        <f t="shared" si="39"/>
        <v>3.5855999999999999</v>
      </c>
      <c r="IY73" s="5">
        <f t="shared" ref="IY73:LJ73" si="40">MIN(IY3:IY69)</f>
        <v>3.6288</v>
      </c>
      <c r="IZ73" s="5">
        <f t="shared" si="40"/>
        <v>3.5769600000000001</v>
      </c>
      <c r="JA73" s="5">
        <f t="shared" si="40"/>
        <v>3.5683199999999999</v>
      </c>
      <c r="JB73" s="5">
        <f t="shared" si="40"/>
        <v>3.42144</v>
      </c>
      <c r="JC73" s="5">
        <f t="shared" si="40"/>
        <v>3.5596800000000002</v>
      </c>
      <c r="JD73" s="5">
        <f t="shared" si="40"/>
        <v>3.7065600000000001</v>
      </c>
      <c r="JE73" s="5">
        <f t="shared" si="40"/>
        <v>3.3696000000000002</v>
      </c>
      <c r="JF73" s="5">
        <f t="shared" si="40"/>
        <v>3.21408</v>
      </c>
      <c r="JG73" s="5">
        <f t="shared" si="40"/>
        <v>3.1449600000000002</v>
      </c>
      <c r="JH73" s="5">
        <f t="shared" si="40"/>
        <v>3.5078399999999998</v>
      </c>
      <c r="JI73" s="5">
        <f t="shared" si="40"/>
        <v>3.5769600000000001</v>
      </c>
      <c r="JJ73" s="5">
        <f t="shared" si="40"/>
        <v>3.4905599999999999</v>
      </c>
      <c r="JK73" s="5">
        <f t="shared" si="40"/>
        <v>3.6201599999999998</v>
      </c>
      <c r="JL73" s="5">
        <f t="shared" si="40"/>
        <v>3.6201599999999998</v>
      </c>
      <c r="JM73" s="5">
        <f t="shared" si="40"/>
        <v>3.5424000000000002</v>
      </c>
      <c r="JN73" s="5">
        <f t="shared" si="40"/>
        <v>3.4732799999999999</v>
      </c>
      <c r="JO73" s="5">
        <f t="shared" si="40"/>
        <v>3.4732799999999999</v>
      </c>
      <c r="JP73" s="5">
        <f t="shared" si="40"/>
        <v>3.4819200000000001</v>
      </c>
      <c r="JQ73" s="5">
        <f t="shared" si="40"/>
        <v>3.21408</v>
      </c>
      <c r="JR73" s="5">
        <f t="shared" si="40"/>
        <v>3.2831999999999999</v>
      </c>
      <c r="JS73" s="5">
        <f t="shared" si="40"/>
        <v>3.1536</v>
      </c>
      <c r="JT73" s="5">
        <f t="shared" si="40"/>
        <v>3.21408</v>
      </c>
      <c r="JU73" s="5">
        <f t="shared" si="40"/>
        <v>3.1622400000000002</v>
      </c>
      <c r="JV73" s="5">
        <f t="shared" si="40"/>
        <v>3.0585599999999999</v>
      </c>
      <c r="JW73" s="5">
        <f t="shared" si="40"/>
        <v>3.04128</v>
      </c>
      <c r="JX73" s="5">
        <f t="shared" si="40"/>
        <v>3.024</v>
      </c>
      <c r="JY73" s="5">
        <f t="shared" si="40"/>
        <v>2.91168</v>
      </c>
      <c r="JZ73" s="5">
        <f t="shared" si="40"/>
        <v>2.81664</v>
      </c>
      <c r="KA73" s="5">
        <f t="shared" si="40"/>
        <v>2.7302399999999998</v>
      </c>
      <c r="KB73" s="5">
        <f t="shared" si="40"/>
        <v>2.6611199999999999</v>
      </c>
      <c r="KC73" s="5">
        <f t="shared" si="40"/>
        <v>2.6179199999999998</v>
      </c>
      <c r="KD73" s="5">
        <f t="shared" si="40"/>
        <v>2.5574400000000002</v>
      </c>
      <c r="KE73" s="5">
        <f t="shared" si="40"/>
        <v>2.5228799999999998</v>
      </c>
      <c r="KF73" s="5">
        <f t="shared" si="40"/>
        <v>2.5488</v>
      </c>
      <c r="KG73" s="5">
        <f t="shared" si="40"/>
        <v>2.5920000000000001</v>
      </c>
      <c r="KH73" s="5">
        <f t="shared" si="40"/>
        <v>2.5920000000000001</v>
      </c>
      <c r="KI73" s="5">
        <f t="shared" si="40"/>
        <v>2.60928</v>
      </c>
      <c r="KJ73" s="5">
        <f t="shared" si="40"/>
        <v>2.6697600000000001</v>
      </c>
      <c r="KK73" s="5">
        <f t="shared" si="40"/>
        <v>2.6179199999999998</v>
      </c>
      <c r="KL73" s="5">
        <f t="shared" si="40"/>
        <v>2.5574400000000002</v>
      </c>
      <c r="KM73" s="5">
        <f t="shared" si="40"/>
        <v>2.4883199999999999</v>
      </c>
      <c r="KN73" s="5">
        <f t="shared" si="40"/>
        <v>2.43648</v>
      </c>
      <c r="KO73" s="5">
        <f t="shared" si="40"/>
        <v>2.3932799999999999</v>
      </c>
      <c r="KP73" s="5">
        <f t="shared" si="40"/>
        <v>2.2896000000000001</v>
      </c>
      <c r="KQ73" s="5">
        <f t="shared" si="40"/>
        <v>2.0563199999999999</v>
      </c>
      <c r="KR73" s="5">
        <f t="shared" si="40"/>
        <v>2.0304000000000002</v>
      </c>
      <c r="KS73" s="5">
        <f t="shared" si="40"/>
        <v>2.13408</v>
      </c>
      <c r="KT73" s="5">
        <f t="shared" si="40"/>
        <v>2.1254400000000002</v>
      </c>
      <c r="KU73" s="5">
        <f t="shared" si="40"/>
        <v>2.0735999999999999</v>
      </c>
      <c r="KV73" s="5">
        <f t="shared" si="40"/>
        <v>2.02176</v>
      </c>
      <c r="KW73" s="5">
        <f t="shared" si="40"/>
        <v>1.9785600000000001</v>
      </c>
      <c r="KX73" s="5">
        <f t="shared" si="40"/>
        <v>1.8489599999999999</v>
      </c>
      <c r="KY73" s="5">
        <f t="shared" si="40"/>
        <v>1.8144</v>
      </c>
      <c r="KZ73" s="5">
        <f t="shared" si="40"/>
        <v>1.82304</v>
      </c>
      <c r="LA73" s="5">
        <f t="shared" si="40"/>
        <v>1.53792</v>
      </c>
      <c r="LB73" s="5">
        <f t="shared" si="40"/>
        <v>1.5897600000000001</v>
      </c>
      <c r="LC73" s="5">
        <f t="shared" si="40"/>
        <v>1.6588799999999999</v>
      </c>
      <c r="LD73" s="5">
        <f t="shared" si="40"/>
        <v>1.6588799999999999</v>
      </c>
      <c r="LE73" s="5">
        <f t="shared" si="40"/>
        <v>1.3824000000000001</v>
      </c>
      <c r="LF73" s="5">
        <f t="shared" si="40"/>
        <v>0.90720000000000001</v>
      </c>
      <c r="LG73" s="5">
        <f t="shared" si="40"/>
        <v>1.32192</v>
      </c>
      <c r="LH73" s="5">
        <f t="shared" si="40"/>
        <v>1.43424</v>
      </c>
      <c r="LI73" s="5">
        <f t="shared" si="40"/>
        <v>1.52928</v>
      </c>
      <c r="LJ73" s="5">
        <f t="shared" si="40"/>
        <v>1.5984</v>
      </c>
      <c r="LK73" s="5">
        <f t="shared" ref="LK73:NU73" si="41">MIN(LK3:LK69)</f>
        <v>1.5638399999999999</v>
      </c>
      <c r="LL73" s="5">
        <f t="shared" si="41"/>
        <v>1.50336</v>
      </c>
      <c r="LM73" s="5">
        <f t="shared" si="41"/>
        <v>1.53792</v>
      </c>
      <c r="LN73" s="5">
        <f t="shared" si="41"/>
        <v>1.52064</v>
      </c>
      <c r="LO73" s="5">
        <f t="shared" si="41"/>
        <v>1.50336</v>
      </c>
      <c r="LP73" s="5">
        <f t="shared" si="41"/>
        <v>1.3478399999999999</v>
      </c>
      <c r="LQ73" s="5">
        <f t="shared" si="41"/>
        <v>1.41696</v>
      </c>
      <c r="LR73" s="5">
        <f t="shared" si="41"/>
        <v>1.3910400000000001</v>
      </c>
      <c r="LS73" s="5">
        <f t="shared" si="41"/>
        <v>1.3564799999999999</v>
      </c>
      <c r="LT73" s="5">
        <f t="shared" si="41"/>
        <v>1.33056</v>
      </c>
      <c r="LU73" s="5">
        <f t="shared" si="41"/>
        <v>1.3391999999999999</v>
      </c>
      <c r="LV73" s="5">
        <f t="shared" si="41"/>
        <v>1.40832</v>
      </c>
      <c r="LW73" s="5">
        <f t="shared" si="41"/>
        <v>1.2787200000000001</v>
      </c>
      <c r="LX73" s="5">
        <f t="shared" si="41"/>
        <v>1.19232</v>
      </c>
      <c r="LY73" s="5">
        <f t="shared" si="41"/>
        <v>1.00224</v>
      </c>
      <c r="LZ73" s="5">
        <f t="shared" si="41"/>
        <v>1.0454399999999999</v>
      </c>
      <c r="MA73" s="5">
        <f t="shared" si="41"/>
        <v>0.88127999999999995</v>
      </c>
      <c r="MB73" s="5">
        <f t="shared" si="41"/>
        <v>0.83030400000000004</v>
      </c>
      <c r="MC73" s="5">
        <f t="shared" si="41"/>
        <v>0.75427200000000005</v>
      </c>
      <c r="MD73" s="5">
        <f t="shared" si="41"/>
        <v>0.79833600000000005</v>
      </c>
      <c r="ME73" s="5">
        <f t="shared" si="41"/>
        <v>0.78883199999999998</v>
      </c>
      <c r="MF73" s="5">
        <f t="shared" si="41"/>
        <v>0.78710400000000003</v>
      </c>
      <c r="MG73" s="5">
        <f t="shared" si="41"/>
        <v>0.79660799999999998</v>
      </c>
      <c r="MH73" s="5">
        <f t="shared" si="41"/>
        <v>0.84499199999999997</v>
      </c>
      <c r="MI73" s="5">
        <f t="shared" si="41"/>
        <v>0.89856000000000003</v>
      </c>
      <c r="MJ73" s="5">
        <f t="shared" si="41"/>
        <v>0.77241599999999999</v>
      </c>
      <c r="MK73" s="5">
        <f t="shared" si="41"/>
        <v>0.847584</v>
      </c>
      <c r="ML73" s="5">
        <f t="shared" si="41"/>
        <v>0.76377600000000001</v>
      </c>
      <c r="MM73" s="5">
        <f t="shared" si="41"/>
        <v>0.72230399999999995</v>
      </c>
      <c r="MN73" s="5">
        <f t="shared" si="41"/>
        <v>0.76550399999999996</v>
      </c>
      <c r="MO73" s="5">
        <f t="shared" si="41"/>
        <v>0.827712</v>
      </c>
      <c r="MP73" s="5">
        <f t="shared" si="41"/>
        <v>0.94176000000000004</v>
      </c>
      <c r="MQ73" s="5">
        <f t="shared" si="41"/>
        <v>0.95904</v>
      </c>
      <c r="MR73" s="5">
        <f t="shared" si="41"/>
        <v>0.95904</v>
      </c>
      <c r="MS73" s="5">
        <f t="shared" si="41"/>
        <v>0.95904</v>
      </c>
      <c r="MT73" s="5">
        <f t="shared" si="41"/>
        <v>0.95904</v>
      </c>
      <c r="MU73" s="5">
        <f t="shared" si="41"/>
        <v>0.95040000000000002</v>
      </c>
      <c r="MV73" s="5">
        <f t="shared" si="41"/>
        <v>0.95040000000000002</v>
      </c>
      <c r="MW73" s="5">
        <f t="shared" si="41"/>
        <v>0.92447999999999997</v>
      </c>
      <c r="MX73" s="5">
        <f t="shared" si="41"/>
        <v>0.89856000000000003</v>
      </c>
      <c r="MY73" s="5">
        <f t="shared" si="41"/>
        <v>0.88127999999999995</v>
      </c>
      <c r="MZ73" s="5">
        <f t="shared" si="41"/>
        <v>0.85536000000000001</v>
      </c>
      <c r="NA73" s="5">
        <f t="shared" si="41"/>
        <v>0.83894400000000002</v>
      </c>
      <c r="NB73" s="5">
        <f t="shared" si="41"/>
        <v>0.83116800000000002</v>
      </c>
      <c r="NC73" s="5">
        <f t="shared" si="41"/>
        <v>0.89856000000000003</v>
      </c>
      <c r="ND73" s="5">
        <f t="shared" si="41"/>
        <v>23.382432000000001</v>
      </c>
      <c r="NE73" s="5">
        <f t="shared" si="41"/>
        <v>17.442432</v>
      </c>
      <c r="NF73" s="5">
        <f t="shared" si="41"/>
        <v>17.650656000000001</v>
      </c>
      <c r="NG73" s="5">
        <f t="shared" si="41"/>
        <v>21.487680000000001</v>
      </c>
      <c r="NH73" s="5">
        <f t="shared" si="41"/>
        <v>26.703648000000001</v>
      </c>
      <c r="NI73" s="5">
        <f t="shared" si="41"/>
        <v>56.505600000000001</v>
      </c>
      <c r="NJ73" s="5">
        <f t="shared" si="41"/>
        <v>123.47423999999999</v>
      </c>
      <c r="NK73" s="5">
        <f t="shared" si="41"/>
        <v>110.88576</v>
      </c>
      <c r="NL73" s="5">
        <f t="shared" si="41"/>
        <v>113.2704</v>
      </c>
      <c r="NM73" s="5">
        <f t="shared" si="41"/>
        <v>89.190719999999999</v>
      </c>
      <c r="NN73" s="5">
        <f t="shared" si="41"/>
        <v>49.247999999999998</v>
      </c>
      <c r="NO73" s="5">
        <f t="shared" si="41"/>
        <v>29.998080000000002</v>
      </c>
      <c r="NP73" s="5">
        <f t="shared" si="41"/>
        <v>945.64800000000002</v>
      </c>
      <c r="NQ73" s="5">
        <f t="shared" si="41"/>
        <v>7.2057599999999997</v>
      </c>
      <c r="NR73" s="5">
        <f t="shared" si="41"/>
        <v>42543</v>
      </c>
      <c r="NS73" s="5">
        <f t="shared" si="41"/>
        <v>0.537408</v>
      </c>
      <c r="NT73" s="5">
        <f t="shared" si="41"/>
        <v>42393</v>
      </c>
      <c r="NU73" s="5">
        <f t="shared" si="41"/>
        <v>2998.821917808219</v>
      </c>
      <c r="NV73" s="5"/>
      <c r="NW73" s="5">
        <f t="shared" ref="NW73:OE73" si="42">MIN(NW3:NW69)</f>
        <v>690.05952000000002</v>
      </c>
      <c r="NX73" s="5">
        <f t="shared" si="42"/>
        <v>71.93330717928599</v>
      </c>
      <c r="NY73" s="5">
        <f t="shared" si="42"/>
        <v>526.72896000000003</v>
      </c>
      <c r="NZ73" s="5">
        <f t="shared" si="42"/>
        <v>53.809015243122062</v>
      </c>
      <c r="OA73" s="5">
        <f t="shared" si="42"/>
        <v>193.55587199999991</v>
      </c>
      <c r="OB73" s="5">
        <f t="shared" si="42"/>
        <v>14.946430031896627</v>
      </c>
      <c r="OC73" s="5">
        <f t="shared" si="42"/>
        <v>166.66560000000001</v>
      </c>
      <c r="OD73" s="5">
        <f t="shared" si="42"/>
        <v>16.984371560642746</v>
      </c>
      <c r="OE73" s="5">
        <f t="shared" si="42"/>
        <v>220.94579439252334</v>
      </c>
      <c r="OF73" s="5">
        <f t="shared" ref="OF73" si="43">MIN(OF3:OF69)</f>
        <v>7.0061451798745358</v>
      </c>
    </row>
    <row r="74" spans="1:396" customFormat="1" x14ac:dyDescent="0.15">
      <c r="A74" s="9" t="s">
        <v>40</v>
      </c>
      <c r="B74">
        <f ca="1">INDIRECT((CONCATENATE("$A",MATCH(B73,B3:B70,0)+2)))</f>
        <v>1995</v>
      </c>
      <c r="C74">
        <f t="shared" ref="C74:BN74" ca="1" si="44">INDIRECT((CONCATENATE("$A",MATCH(C73,C3:C70,0)+2)))</f>
        <v>1995</v>
      </c>
      <c r="D74">
        <f t="shared" ca="1" si="44"/>
        <v>1995</v>
      </c>
      <c r="E74">
        <f t="shared" ca="1" si="44"/>
        <v>1995</v>
      </c>
      <c r="F74">
        <f t="shared" ca="1" si="44"/>
        <v>1995</v>
      </c>
      <c r="G74">
        <f t="shared" ca="1" si="44"/>
        <v>1995</v>
      </c>
      <c r="H74">
        <f t="shared" ca="1" si="44"/>
        <v>1995</v>
      </c>
      <c r="I74">
        <f t="shared" ca="1" si="44"/>
        <v>1995</v>
      </c>
      <c r="J74">
        <f t="shared" ca="1" si="44"/>
        <v>1995</v>
      </c>
      <c r="K74">
        <f t="shared" ca="1" si="44"/>
        <v>1995</v>
      </c>
      <c r="L74">
        <f t="shared" ca="1" si="44"/>
        <v>1995</v>
      </c>
      <c r="M74">
        <f t="shared" ca="1" si="44"/>
        <v>1995</v>
      </c>
      <c r="N74">
        <f t="shared" ca="1" si="44"/>
        <v>1995</v>
      </c>
      <c r="O74">
        <f t="shared" ca="1" si="44"/>
        <v>1995</v>
      </c>
      <c r="P74">
        <f t="shared" ca="1" si="44"/>
        <v>1995</v>
      </c>
      <c r="Q74">
        <f t="shared" ca="1" si="44"/>
        <v>1995</v>
      </c>
      <c r="R74">
        <f t="shared" ca="1" si="44"/>
        <v>1995</v>
      </c>
      <c r="S74">
        <f t="shared" ca="1" si="44"/>
        <v>1995</v>
      </c>
      <c r="T74">
        <f t="shared" ca="1" si="44"/>
        <v>1995</v>
      </c>
      <c r="U74">
        <f t="shared" ca="1" si="44"/>
        <v>1995</v>
      </c>
      <c r="V74">
        <f t="shared" ca="1" si="44"/>
        <v>1995</v>
      </c>
      <c r="W74">
        <f t="shared" ca="1" si="44"/>
        <v>1995</v>
      </c>
      <c r="X74">
        <f t="shared" ca="1" si="44"/>
        <v>1995</v>
      </c>
      <c r="Y74">
        <f t="shared" ca="1" si="44"/>
        <v>1995</v>
      </c>
      <c r="Z74">
        <f t="shared" ca="1" si="44"/>
        <v>1995</v>
      </c>
      <c r="AA74">
        <f t="shared" ca="1" si="44"/>
        <v>1995</v>
      </c>
      <c r="AB74">
        <f t="shared" ca="1" si="44"/>
        <v>1995</v>
      </c>
      <c r="AC74">
        <f t="shared" ca="1" si="44"/>
        <v>1995</v>
      </c>
      <c r="AD74">
        <f t="shared" ca="1" si="44"/>
        <v>1995</v>
      </c>
      <c r="AE74">
        <f t="shared" ca="1" si="44"/>
        <v>1995</v>
      </c>
      <c r="AF74">
        <f t="shared" ca="1" si="44"/>
        <v>1995</v>
      </c>
      <c r="AG74">
        <f t="shared" ca="1" si="44"/>
        <v>1995</v>
      </c>
      <c r="AH74">
        <f t="shared" ca="1" si="44"/>
        <v>1995</v>
      </c>
      <c r="AI74">
        <f t="shared" ca="1" si="44"/>
        <v>1995</v>
      </c>
      <c r="AJ74">
        <f t="shared" ca="1" si="44"/>
        <v>1995</v>
      </c>
      <c r="AK74">
        <f t="shared" ca="1" si="44"/>
        <v>1995</v>
      </c>
      <c r="AL74">
        <f t="shared" ca="1" si="44"/>
        <v>1995</v>
      </c>
      <c r="AM74">
        <f t="shared" ca="1" si="44"/>
        <v>1995</v>
      </c>
      <c r="AN74">
        <f t="shared" ca="1" si="44"/>
        <v>1995</v>
      </c>
      <c r="AO74">
        <f t="shared" ca="1" si="44"/>
        <v>1995</v>
      </c>
      <c r="AP74">
        <f t="shared" ca="1" si="44"/>
        <v>1995</v>
      </c>
      <c r="AQ74">
        <f t="shared" ca="1" si="44"/>
        <v>1995</v>
      </c>
      <c r="AR74">
        <f t="shared" ca="1" si="44"/>
        <v>1995</v>
      </c>
      <c r="AS74">
        <f t="shared" ca="1" si="44"/>
        <v>1995</v>
      </c>
      <c r="AT74">
        <f t="shared" ca="1" si="44"/>
        <v>1995</v>
      </c>
      <c r="AU74">
        <f t="shared" ca="1" si="44"/>
        <v>1995</v>
      </c>
      <c r="AV74">
        <f t="shared" ca="1" si="44"/>
        <v>1995</v>
      </c>
      <c r="AW74">
        <f t="shared" ca="1" si="44"/>
        <v>1995</v>
      </c>
      <c r="AX74">
        <f t="shared" ca="1" si="44"/>
        <v>1995</v>
      </c>
      <c r="AY74">
        <f t="shared" ca="1" si="44"/>
        <v>1995</v>
      </c>
      <c r="AZ74">
        <f t="shared" ca="1" si="44"/>
        <v>1995</v>
      </c>
      <c r="BA74">
        <f t="shared" ca="1" si="44"/>
        <v>1995</v>
      </c>
      <c r="BB74">
        <f t="shared" ca="1" si="44"/>
        <v>1995</v>
      </c>
      <c r="BC74">
        <f t="shared" ca="1" si="44"/>
        <v>1995</v>
      </c>
      <c r="BD74">
        <f t="shared" ca="1" si="44"/>
        <v>1995</v>
      </c>
      <c r="BE74">
        <f t="shared" ca="1" si="44"/>
        <v>1995</v>
      </c>
      <c r="BF74">
        <f t="shared" ca="1" si="44"/>
        <v>1995</v>
      </c>
      <c r="BG74">
        <f t="shared" ca="1" si="44"/>
        <v>1995</v>
      </c>
      <c r="BH74">
        <f t="shared" ca="1" si="44"/>
        <v>1995</v>
      </c>
      <c r="BI74">
        <f t="shared" ca="1" si="44"/>
        <v>1984</v>
      </c>
      <c r="BJ74">
        <f t="shared" ca="1" si="44"/>
        <v>1995</v>
      </c>
      <c r="BK74">
        <f t="shared" ca="1" si="44"/>
        <v>1995</v>
      </c>
      <c r="BL74">
        <f t="shared" ca="1" si="44"/>
        <v>1995</v>
      </c>
      <c r="BM74">
        <f t="shared" ca="1" si="44"/>
        <v>1995</v>
      </c>
      <c r="BN74">
        <f t="shared" ca="1" si="44"/>
        <v>1995</v>
      </c>
      <c r="BO74">
        <f t="shared" ref="BO74:DZ74" ca="1" si="45">INDIRECT((CONCATENATE("$A",MATCH(BO73,BO3:BO70,0)+2)))</f>
        <v>1995</v>
      </c>
      <c r="BP74">
        <f t="shared" ca="1" si="45"/>
        <v>1995</v>
      </c>
      <c r="BQ74">
        <f t="shared" ca="1" si="45"/>
        <v>1995</v>
      </c>
      <c r="BR74">
        <f t="shared" ca="1" si="45"/>
        <v>1995</v>
      </c>
      <c r="BS74">
        <f t="shared" ca="1" si="45"/>
        <v>1995</v>
      </c>
      <c r="BT74">
        <f t="shared" ca="1" si="45"/>
        <v>1995</v>
      </c>
      <c r="BU74">
        <f t="shared" ca="1" si="45"/>
        <v>1995</v>
      </c>
      <c r="BV74">
        <f t="shared" ca="1" si="45"/>
        <v>1995</v>
      </c>
      <c r="BW74">
        <f t="shared" ca="1" si="45"/>
        <v>1995</v>
      </c>
      <c r="BX74">
        <f t="shared" ca="1" si="45"/>
        <v>1995</v>
      </c>
      <c r="BY74">
        <f t="shared" ca="1" si="45"/>
        <v>1995</v>
      </c>
      <c r="BZ74">
        <f t="shared" ca="1" si="45"/>
        <v>1995</v>
      </c>
      <c r="CA74">
        <f t="shared" ca="1" si="45"/>
        <v>1995</v>
      </c>
      <c r="CB74">
        <f t="shared" ca="1" si="45"/>
        <v>1995</v>
      </c>
      <c r="CC74">
        <f t="shared" ca="1" si="45"/>
        <v>1995</v>
      </c>
      <c r="CD74">
        <f t="shared" ca="1" si="45"/>
        <v>1995</v>
      </c>
      <c r="CE74">
        <f t="shared" ca="1" si="45"/>
        <v>1995</v>
      </c>
      <c r="CF74">
        <f t="shared" ca="1" si="45"/>
        <v>1995</v>
      </c>
      <c r="CG74">
        <f t="shared" ca="1" si="45"/>
        <v>1995</v>
      </c>
      <c r="CH74">
        <f t="shared" ca="1" si="45"/>
        <v>1995</v>
      </c>
      <c r="CI74">
        <f t="shared" ca="1" si="45"/>
        <v>1995</v>
      </c>
      <c r="CJ74">
        <f t="shared" ca="1" si="45"/>
        <v>1995</v>
      </c>
      <c r="CK74">
        <f t="shared" ca="1" si="45"/>
        <v>1995</v>
      </c>
      <c r="CL74">
        <f t="shared" ca="1" si="45"/>
        <v>1995</v>
      </c>
      <c r="CM74">
        <f t="shared" ca="1" si="45"/>
        <v>1995</v>
      </c>
      <c r="CN74">
        <f t="shared" ca="1" si="45"/>
        <v>2012</v>
      </c>
      <c r="CO74">
        <f t="shared" ca="1" si="45"/>
        <v>2012</v>
      </c>
      <c r="CP74">
        <f t="shared" ca="1" si="45"/>
        <v>2012</v>
      </c>
      <c r="CQ74">
        <f t="shared" ca="1" si="45"/>
        <v>1984</v>
      </c>
      <c r="CR74">
        <f t="shared" ca="1" si="45"/>
        <v>1984</v>
      </c>
      <c r="CS74">
        <f t="shared" ca="1" si="45"/>
        <v>2012</v>
      </c>
      <c r="CT74">
        <f t="shared" ca="1" si="45"/>
        <v>1995</v>
      </c>
      <c r="CU74">
        <f t="shared" ca="1" si="45"/>
        <v>1995</v>
      </c>
      <c r="CV74">
        <f t="shared" ca="1" si="45"/>
        <v>1995</v>
      </c>
      <c r="CW74">
        <f t="shared" ca="1" si="45"/>
        <v>1995</v>
      </c>
      <c r="CX74">
        <f t="shared" ca="1" si="45"/>
        <v>1995</v>
      </c>
      <c r="CY74">
        <f t="shared" ca="1" si="45"/>
        <v>1995</v>
      </c>
      <c r="CZ74">
        <f t="shared" ca="1" si="45"/>
        <v>1995</v>
      </c>
      <c r="DA74">
        <f t="shared" ca="1" si="45"/>
        <v>1995</v>
      </c>
      <c r="DB74">
        <f t="shared" ca="1" si="45"/>
        <v>1995</v>
      </c>
      <c r="DC74">
        <f t="shared" ca="1" si="45"/>
        <v>1995</v>
      </c>
      <c r="DD74">
        <f t="shared" ca="1" si="45"/>
        <v>1995</v>
      </c>
      <c r="DE74">
        <f t="shared" ca="1" si="45"/>
        <v>1995</v>
      </c>
      <c r="DF74">
        <f t="shared" ca="1" si="45"/>
        <v>1995</v>
      </c>
      <c r="DG74">
        <f t="shared" ca="1" si="45"/>
        <v>1995</v>
      </c>
      <c r="DH74">
        <f t="shared" ca="1" si="45"/>
        <v>1995</v>
      </c>
      <c r="DI74">
        <f t="shared" ca="1" si="45"/>
        <v>1995</v>
      </c>
      <c r="DJ74">
        <f t="shared" ca="1" si="45"/>
        <v>1995</v>
      </c>
      <c r="DK74">
        <f t="shared" ca="1" si="45"/>
        <v>1995</v>
      </c>
      <c r="DL74">
        <f t="shared" ca="1" si="45"/>
        <v>1995</v>
      </c>
      <c r="DM74">
        <f t="shared" ca="1" si="45"/>
        <v>1995</v>
      </c>
      <c r="DN74">
        <f t="shared" ca="1" si="45"/>
        <v>1995</v>
      </c>
      <c r="DO74">
        <f t="shared" ca="1" si="45"/>
        <v>1995</v>
      </c>
      <c r="DP74">
        <f t="shared" ca="1" si="45"/>
        <v>1995</v>
      </c>
      <c r="DQ74">
        <f t="shared" ca="1" si="45"/>
        <v>1995</v>
      </c>
      <c r="DR74">
        <f t="shared" ca="1" si="45"/>
        <v>1995</v>
      </c>
      <c r="DS74">
        <f t="shared" ca="1" si="45"/>
        <v>1995</v>
      </c>
      <c r="DT74">
        <f t="shared" ca="1" si="45"/>
        <v>1969</v>
      </c>
      <c r="DU74">
        <f t="shared" ca="1" si="45"/>
        <v>1969</v>
      </c>
      <c r="DV74">
        <f t="shared" ca="1" si="45"/>
        <v>1969</v>
      </c>
      <c r="DW74">
        <f t="shared" ca="1" si="45"/>
        <v>1969</v>
      </c>
      <c r="DX74">
        <f t="shared" ca="1" si="45"/>
        <v>1969</v>
      </c>
      <c r="DY74">
        <f t="shared" ca="1" si="45"/>
        <v>1969</v>
      </c>
      <c r="DZ74">
        <f t="shared" ca="1" si="45"/>
        <v>1969</v>
      </c>
      <c r="EA74">
        <f t="shared" ref="EA74:GL74" ca="1" si="46">INDIRECT((CONCATENATE("$A",MATCH(EA73,EA3:EA70,0)+2)))</f>
        <v>1969</v>
      </c>
      <c r="EB74">
        <f t="shared" ca="1" si="46"/>
        <v>1969</v>
      </c>
      <c r="EC74">
        <f t="shared" ca="1" si="46"/>
        <v>1969</v>
      </c>
      <c r="ED74">
        <f t="shared" ca="1" si="46"/>
        <v>1969</v>
      </c>
      <c r="EE74">
        <f t="shared" ca="1" si="46"/>
        <v>1969</v>
      </c>
      <c r="EF74">
        <f t="shared" ca="1" si="46"/>
        <v>1969</v>
      </c>
      <c r="EG74">
        <f t="shared" ca="1" si="46"/>
        <v>1969</v>
      </c>
      <c r="EH74">
        <f t="shared" ca="1" si="46"/>
        <v>1969</v>
      </c>
      <c r="EI74">
        <f t="shared" ca="1" si="46"/>
        <v>2014</v>
      </c>
      <c r="EJ74">
        <f t="shared" ca="1" si="46"/>
        <v>1969</v>
      </c>
      <c r="EK74">
        <f t="shared" ca="1" si="46"/>
        <v>1969</v>
      </c>
      <c r="EL74">
        <f t="shared" ca="1" si="46"/>
        <v>1969</v>
      </c>
      <c r="EM74">
        <f t="shared" ca="1" si="46"/>
        <v>1960</v>
      </c>
      <c r="EN74">
        <f t="shared" ca="1" si="46"/>
        <v>1960</v>
      </c>
      <c r="EO74">
        <f t="shared" ca="1" si="46"/>
        <v>1960</v>
      </c>
      <c r="EP74">
        <f t="shared" ca="1" si="46"/>
        <v>1960</v>
      </c>
      <c r="EQ74">
        <f t="shared" ca="1" si="46"/>
        <v>1969</v>
      </c>
      <c r="ER74">
        <f t="shared" ca="1" si="46"/>
        <v>1969</v>
      </c>
      <c r="ES74">
        <f t="shared" ca="1" si="46"/>
        <v>1969</v>
      </c>
      <c r="ET74">
        <f t="shared" ca="1" si="46"/>
        <v>1969</v>
      </c>
      <c r="EU74">
        <f t="shared" ca="1" si="46"/>
        <v>1969</v>
      </c>
      <c r="EV74">
        <f t="shared" ca="1" si="46"/>
        <v>1969</v>
      </c>
      <c r="EW74">
        <f t="shared" ca="1" si="46"/>
        <v>1969</v>
      </c>
      <c r="EX74">
        <f t="shared" ca="1" si="46"/>
        <v>1969</v>
      </c>
      <c r="EY74">
        <f t="shared" ca="1" si="46"/>
        <v>1969</v>
      </c>
      <c r="EZ74">
        <f t="shared" ca="1" si="46"/>
        <v>1969</v>
      </c>
      <c r="FA74">
        <f t="shared" ca="1" si="46"/>
        <v>1969</v>
      </c>
      <c r="FB74">
        <f t="shared" ca="1" si="46"/>
        <v>1969</v>
      </c>
      <c r="FC74">
        <f t="shared" ca="1" si="46"/>
        <v>1969</v>
      </c>
      <c r="FD74">
        <f t="shared" ca="1" si="46"/>
        <v>1969</v>
      </c>
      <c r="FE74">
        <f t="shared" ca="1" si="46"/>
        <v>1969</v>
      </c>
      <c r="FF74">
        <f t="shared" ca="1" si="46"/>
        <v>1969</v>
      </c>
      <c r="FG74">
        <f t="shared" ca="1" si="46"/>
        <v>1969</v>
      </c>
      <c r="FH74">
        <f t="shared" ca="1" si="46"/>
        <v>1969</v>
      </c>
      <c r="FI74">
        <f t="shared" ca="1" si="46"/>
        <v>1969</v>
      </c>
      <c r="FJ74">
        <f t="shared" ca="1" si="46"/>
        <v>1963</v>
      </c>
      <c r="FK74">
        <f t="shared" ca="1" si="46"/>
        <v>2014</v>
      </c>
      <c r="FL74">
        <f t="shared" ca="1" si="46"/>
        <v>1987</v>
      </c>
      <c r="FM74">
        <f t="shared" ca="1" si="46"/>
        <v>1987</v>
      </c>
      <c r="FN74">
        <f t="shared" ca="1" si="46"/>
        <v>1979</v>
      </c>
      <c r="FO74">
        <f t="shared" ca="1" si="46"/>
        <v>1979</v>
      </c>
      <c r="FP74">
        <f t="shared" ca="1" si="46"/>
        <v>2014</v>
      </c>
      <c r="FQ74">
        <f t="shared" ca="1" si="46"/>
        <v>2007</v>
      </c>
      <c r="FR74">
        <f t="shared" ca="1" si="46"/>
        <v>2014</v>
      </c>
      <c r="FS74">
        <f t="shared" ca="1" si="46"/>
        <v>1987</v>
      </c>
      <c r="FT74">
        <f t="shared" ca="1" si="46"/>
        <v>1987</v>
      </c>
      <c r="FU74">
        <f t="shared" ca="1" si="46"/>
        <v>1987</v>
      </c>
      <c r="FV74">
        <f t="shared" ca="1" si="46"/>
        <v>2014</v>
      </c>
      <c r="FW74">
        <f t="shared" ca="1" si="46"/>
        <v>2014</v>
      </c>
      <c r="FX74">
        <f t="shared" ca="1" si="46"/>
        <v>2014</v>
      </c>
      <c r="FY74">
        <f t="shared" ca="1" si="46"/>
        <v>2014</v>
      </c>
      <c r="FZ74">
        <f t="shared" ca="1" si="46"/>
        <v>1986</v>
      </c>
      <c r="GA74">
        <f t="shared" ca="1" si="46"/>
        <v>1986</v>
      </c>
      <c r="GB74">
        <f t="shared" ca="1" si="46"/>
        <v>1986</v>
      </c>
      <c r="GC74">
        <f t="shared" ca="1" si="46"/>
        <v>1986</v>
      </c>
      <c r="GD74">
        <f t="shared" ca="1" si="46"/>
        <v>1986</v>
      </c>
      <c r="GE74">
        <f t="shared" ca="1" si="46"/>
        <v>1986</v>
      </c>
      <c r="GF74">
        <f t="shared" ca="1" si="46"/>
        <v>2015</v>
      </c>
      <c r="GG74">
        <f t="shared" ca="1" si="46"/>
        <v>2007</v>
      </c>
      <c r="GH74">
        <f t="shared" ca="1" si="46"/>
        <v>2007</v>
      </c>
      <c r="GI74">
        <f t="shared" ca="1" si="46"/>
        <v>1973</v>
      </c>
      <c r="GJ74">
        <f t="shared" ca="1" si="46"/>
        <v>1973</v>
      </c>
      <c r="GK74">
        <f t="shared" ca="1" si="46"/>
        <v>1973</v>
      </c>
      <c r="GL74">
        <f t="shared" ca="1" si="46"/>
        <v>1973</v>
      </c>
      <c r="GM74">
        <f t="shared" ref="GM74:IX74" ca="1" si="47">INDIRECT((CONCATENATE("$A",MATCH(GM73,GM3:GM70,0)+2)))</f>
        <v>1973</v>
      </c>
      <c r="GN74">
        <f t="shared" ca="1" si="47"/>
        <v>1973</v>
      </c>
      <c r="GO74">
        <f t="shared" ca="1" si="47"/>
        <v>1973</v>
      </c>
      <c r="GP74">
        <f t="shared" ca="1" si="47"/>
        <v>2015</v>
      </c>
      <c r="GQ74">
        <f t="shared" ca="1" si="47"/>
        <v>1959</v>
      </c>
      <c r="GR74">
        <f t="shared" ca="1" si="47"/>
        <v>1959</v>
      </c>
      <c r="GS74">
        <f t="shared" ca="1" si="47"/>
        <v>1959</v>
      </c>
      <c r="GT74">
        <f t="shared" ca="1" si="47"/>
        <v>1959</v>
      </c>
      <c r="GU74">
        <f t="shared" ca="1" si="47"/>
        <v>1959</v>
      </c>
      <c r="GV74">
        <f t="shared" ca="1" si="47"/>
        <v>1959</v>
      </c>
      <c r="GW74">
        <f t="shared" ca="1" si="47"/>
        <v>1973</v>
      </c>
      <c r="GX74">
        <f t="shared" ca="1" si="47"/>
        <v>1973</v>
      </c>
      <c r="GY74">
        <f t="shared" ca="1" si="47"/>
        <v>1973</v>
      </c>
      <c r="GZ74">
        <f t="shared" ca="1" si="47"/>
        <v>1973</v>
      </c>
      <c r="HA74">
        <f t="shared" ca="1" si="47"/>
        <v>1973</v>
      </c>
      <c r="HB74">
        <f t="shared" ca="1" si="47"/>
        <v>2015</v>
      </c>
      <c r="HC74">
        <f t="shared" ca="1" si="47"/>
        <v>2015</v>
      </c>
      <c r="HD74">
        <f t="shared" ca="1" si="47"/>
        <v>1976</v>
      </c>
      <c r="HE74">
        <f t="shared" ca="1" si="47"/>
        <v>1976</v>
      </c>
      <c r="HF74">
        <f t="shared" ca="1" si="47"/>
        <v>1976</v>
      </c>
      <c r="HG74">
        <f t="shared" ca="1" si="47"/>
        <v>1976</v>
      </c>
      <c r="HH74">
        <f t="shared" ca="1" si="47"/>
        <v>1976</v>
      </c>
      <c r="HI74">
        <f t="shared" ca="1" si="47"/>
        <v>1976</v>
      </c>
      <c r="HJ74">
        <f t="shared" ca="1" si="47"/>
        <v>1956</v>
      </c>
      <c r="HK74">
        <f t="shared" ca="1" si="47"/>
        <v>1956</v>
      </c>
      <c r="HL74">
        <f t="shared" ca="1" si="47"/>
        <v>1956</v>
      </c>
      <c r="HM74">
        <f t="shared" ca="1" si="47"/>
        <v>1956</v>
      </c>
      <c r="HN74">
        <f t="shared" ca="1" si="47"/>
        <v>1956</v>
      </c>
      <c r="HO74">
        <f t="shared" ca="1" si="47"/>
        <v>1956</v>
      </c>
      <c r="HP74">
        <f t="shared" ca="1" si="47"/>
        <v>1956</v>
      </c>
      <c r="HQ74">
        <f t="shared" ca="1" si="47"/>
        <v>1986</v>
      </c>
      <c r="HR74">
        <f t="shared" ca="1" si="47"/>
        <v>1986</v>
      </c>
      <c r="HS74">
        <f t="shared" ca="1" si="47"/>
        <v>1986</v>
      </c>
      <c r="HT74">
        <f t="shared" ca="1" si="47"/>
        <v>1986</v>
      </c>
      <c r="HU74">
        <f t="shared" ca="1" si="47"/>
        <v>1986</v>
      </c>
      <c r="HV74">
        <f t="shared" ca="1" si="47"/>
        <v>1986</v>
      </c>
      <c r="HW74">
        <f t="shared" ca="1" si="47"/>
        <v>1986</v>
      </c>
      <c r="HX74">
        <f t="shared" ca="1" si="47"/>
        <v>2006</v>
      </c>
      <c r="HY74">
        <f t="shared" ca="1" si="47"/>
        <v>2006</v>
      </c>
      <c r="HZ74">
        <f t="shared" ca="1" si="47"/>
        <v>2006</v>
      </c>
      <c r="IA74">
        <f t="shared" ca="1" si="47"/>
        <v>2006</v>
      </c>
      <c r="IB74">
        <f t="shared" ca="1" si="47"/>
        <v>2006</v>
      </c>
      <c r="IC74">
        <f t="shared" ca="1" si="47"/>
        <v>2006</v>
      </c>
      <c r="ID74">
        <f t="shared" ca="1" si="47"/>
        <v>2006</v>
      </c>
      <c r="IE74">
        <f t="shared" ca="1" si="47"/>
        <v>2006</v>
      </c>
      <c r="IF74">
        <f t="shared" ca="1" si="47"/>
        <v>1992</v>
      </c>
      <c r="IG74">
        <f t="shared" ca="1" si="47"/>
        <v>1972</v>
      </c>
      <c r="IH74">
        <f t="shared" ca="1" si="47"/>
        <v>1975</v>
      </c>
      <c r="II74">
        <f t="shared" ca="1" si="47"/>
        <v>1975</v>
      </c>
      <c r="IJ74">
        <f t="shared" ca="1" si="47"/>
        <v>1975</v>
      </c>
      <c r="IK74">
        <f t="shared" ca="1" si="47"/>
        <v>1972</v>
      </c>
      <c r="IL74">
        <f t="shared" ca="1" si="47"/>
        <v>1972</v>
      </c>
      <c r="IM74">
        <f t="shared" ca="1" si="47"/>
        <v>1972</v>
      </c>
      <c r="IN74">
        <f t="shared" ca="1" si="47"/>
        <v>2006</v>
      </c>
      <c r="IO74">
        <f t="shared" ca="1" si="47"/>
        <v>2006</v>
      </c>
      <c r="IP74">
        <f t="shared" ca="1" si="47"/>
        <v>2006</v>
      </c>
      <c r="IQ74">
        <f t="shared" ca="1" si="47"/>
        <v>2006</v>
      </c>
      <c r="IR74">
        <f t="shared" ca="1" si="47"/>
        <v>2006</v>
      </c>
      <c r="IS74">
        <f t="shared" ca="1" si="47"/>
        <v>2006</v>
      </c>
      <c r="IT74">
        <f t="shared" ca="1" si="47"/>
        <v>2006</v>
      </c>
      <c r="IU74">
        <f t="shared" ca="1" si="47"/>
        <v>2006</v>
      </c>
      <c r="IV74">
        <f t="shared" ca="1" si="47"/>
        <v>2006</v>
      </c>
      <c r="IW74">
        <f t="shared" ca="1" si="47"/>
        <v>2006</v>
      </c>
      <c r="IX74">
        <f t="shared" ca="1" si="47"/>
        <v>2006</v>
      </c>
      <c r="IY74">
        <f t="shared" ref="IY74:LJ74" ca="1" si="48">INDIRECT((CONCATENATE("$A",MATCH(IY73,IY3:IY70,0)+2)))</f>
        <v>1992</v>
      </c>
      <c r="IZ74">
        <f t="shared" ca="1" si="48"/>
        <v>1992</v>
      </c>
      <c r="JA74">
        <f t="shared" ca="1" si="48"/>
        <v>1992</v>
      </c>
      <c r="JB74">
        <f t="shared" ca="1" si="48"/>
        <v>1959</v>
      </c>
      <c r="JC74">
        <f t="shared" ca="1" si="48"/>
        <v>1959</v>
      </c>
      <c r="JD74">
        <f t="shared" ca="1" si="48"/>
        <v>1959</v>
      </c>
      <c r="JE74">
        <f t="shared" ca="1" si="48"/>
        <v>1959</v>
      </c>
      <c r="JF74">
        <f t="shared" ca="1" si="48"/>
        <v>1959</v>
      </c>
      <c r="JG74">
        <f t="shared" ca="1" si="48"/>
        <v>1959</v>
      </c>
      <c r="JH74">
        <f t="shared" ca="1" si="48"/>
        <v>2011</v>
      </c>
      <c r="JI74">
        <f t="shared" ca="1" si="48"/>
        <v>2011</v>
      </c>
      <c r="JJ74">
        <f t="shared" ca="1" si="48"/>
        <v>2011</v>
      </c>
      <c r="JK74">
        <f t="shared" ca="1" si="48"/>
        <v>2011</v>
      </c>
      <c r="JL74">
        <f t="shared" ca="1" si="48"/>
        <v>2006</v>
      </c>
      <c r="JM74">
        <f t="shared" ca="1" si="48"/>
        <v>2006</v>
      </c>
      <c r="JN74">
        <f t="shared" ca="1" si="48"/>
        <v>2006</v>
      </c>
      <c r="JO74">
        <f t="shared" ca="1" si="48"/>
        <v>2006</v>
      </c>
      <c r="JP74">
        <f t="shared" ca="1" si="48"/>
        <v>2011</v>
      </c>
      <c r="JQ74">
        <f t="shared" ca="1" si="48"/>
        <v>2011</v>
      </c>
      <c r="JR74">
        <f t="shared" ca="1" si="48"/>
        <v>2011</v>
      </c>
      <c r="JS74">
        <f t="shared" ca="1" si="48"/>
        <v>2011</v>
      </c>
      <c r="JT74">
        <f t="shared" ca="1" si="48"/>
        <v>2011</v>
      </c>
      <c r="JU74">
        <f t="shared" ca="1" si="48"/>
        <v>2011</v>
      </c>
      <c r="JV74">
        <f t="shared" ca="1" si="48"/>
        <v>2011</v>
      </c>
      <c r="JW74">
        <f t="shared" ca="1" si="48"/>
        <v>2011</v>
      </c>
      <c r="JX74">
        <f t="shared" ca="1" si="48"/>
        <v>1984</v>
      </c>
      <c r="JY74">
        <f t="shared" ca="1" si="48"/>
        <v>1984</v>
      </c>
      <c r="JZ74">
        <f t="shared" ca="1" si="48"/>
        <v>1984</v>
      </c>
      <c r="KA74">
        <f t="shared" ca="1" si="48"/>
        <v>1984</v>
      </c>
      <c r="KB74">
        <f t="shared" ca="1" si="48"/>
        <v>1984</v>
      </c>
      <c r="KC74">
        <f t="shared" ca="1" si="48"/>
        <v>1984</v>
      </c>
      <c r="KD74">
        <f t="shared" ca="1" si="48"/>
        <v>1984</v>
      </c>
      <c r="KE74">
        <f t="shared" ca="1" si="48"/>
        <v>1984</v>
      </c>
      <c r="KF74">
        <f t="shared" ca="1" si="48"/>
        <v>1984</v>
      </c>
      <c r="KG74">
        <f t="shared" ca="1" si="48"/>
        <v>1984</v>
      </c>
      <c r="KH74">
        <f t="shared" ca="1" si="48"/>
        <v>1984</v>
      </c>
      <c r="KI74">
        <f t="shared" ca="1" si="48"/>
        <v>1984</v>
      </c>
      <c r="KJ74">
        <f t="shared" ca="1" si="48"/>
        <v>1994</v>
      </c>
      <c r="KK74">
        <f t="shared" ca="1" si="48"/>
        <v>1994</v>
      </c>
      <c r="KL74">
        <f t="shared" ca="1" si="48"/>
        <v>1994</v>
      </c>
      <c r="KM74">
        <f t="shared" ca="1" si="48"/>
        <v>1994</v>
      </c>
      <c r="KN74">
        <f t="shared" ca="1" si="48"/>
        <v>1994</v>
      </c>
      <c r="KO74">
        <f t="shared" ca="1" si="48"/>
        <v>1994</v>
      </c>
      <c r="KP74">
        <f t="shared" ca="1" si="48"/>
        <v>2011</v>
      </c>
      <c r="KQ74">
        <f t="shared" ca="1" si="48"/>
        <v>2011</v>
      </c>
      <c r="KR74">
        <f t="shared" ca="1" si="48"/>
        <v>2011</v>
      </c>
      <c r="KS74">
        <f t="shared" ca="1" si="48"/>
        <v>2011</v>
      </c>
      <c r="KT74">
        <f t="shared" ca="1" si="48"/>
        <v>1994</v>
      </c>
      <c r="KU74">
        <f t="shared" ca="1" si="48"/>
        <v>1994</v>
      </c>
      <c r="KV74">
        <f t="shared" ca="1" si="48"/>
        <v>1994</v>
      </c>
      <c r="KW74">
        <f t="shared" ca="1" si="48"/>
        <v>1994</v>
      </c>
      <c r="KX74">
        <f t="shared" ca="1" si="48"/>
        <v>2011</v>
      </c>
      <c r="KY74">
        <f t="shared" ca="1" si="48"/>
        <v>2011</v>
      </c>
      <c r="KZ74">
        <f t="shared" ca="1" si="48"/>
        <v>2011</v>
      </c>
      <c r="LA74">
        <f t="shared" ca="1" si="48"/>
        <v>2011</v>
      </c>
      <c r="LB74">
        <f t="shared" ca="1" si="48"/>
        <v>2011</v>
      </c>
      <c r="LC74">
        <f t="shared" ca="1" si="48"/>
        <v>2014</v>
      </c>
      <c r="LD74">
        <f t="shared" ca="1" si="48"/>
        <v>2014</v>
      </c>
      <c r="LE74">
        <f t="shared" ca="1" si="48"/>
        <v>2014</v>
      </c>
      <c r="LF74">
        <f t="shared" ca="1" si="48"/>
        <v>2014</v>
      </c>
      <c r="LG74">
        <f t="shared" ca="1" si="48"/>
        <v>2014</v>
      </c>
      <c r="LH74">
        <f t="shared" ca="1" si="48"/>
        <v>2014</v>
      </c>
      <c r="LI74">
        <f t="shared" ca="1" si="48"/>
        <v>2014</v>
      </c>
      <c r="LJ74">
        <f t="shared" ca="1" si="48"/>
        <v>1994</v>
      </c>
      <c r="LK74">
        <f t="shared" ref="LK74:NU74" ca="1" si="49">INDIRECT((CONCATENATE("$A",MATCH(LK73,LK3:LK70,0)+2)))</f>
        <v>1994</v>
      </c>
      <c r="LL74">
        <f t="shared" ca="1" si="49"/>
        <v>2014</v>
      </c>
      <c r="LM74">
        <f t="shared" ca="1" si="49"/>
        <v>1994</v>
      </c>
      <c r="LN74">
        <f t="shared" ca="1" si="49"/>
        <v>2011</v>
      </c>
      <c r="LO74">
        <f t="shared" ca="1" si="49"/>
        <v>1994</v>
      </c>
      <c r="LP74">
        <f t="shared" ca="1" si="49"/>
        <v>2014</v>
      </c>
      <c r="LQ74">
        <f t="shared" ca="1" si="49"/>
        <v>1994</v>
      </c>
      <c r="LR74">
        <f t="shared" ca="1" si="49"/>
        <v>1994</v>
      </c>
      <c r="LS74">
        <f t="shared" ca="1" si="49"/>
        <v>1994</v>
      </c>
      <c r="LT74">
        <f t="shared" ca="1" si="49"/>
        <v>1994</v>
      </c>
      <c r="LU74">
        <f t="shared" ca="1" si="49"/>
        <v>1994</v>
      </c>
      <c r="LV74">
        <f t="shared" ca="1" si="49"/>
        <v>2011</v>
      </c>
      <c r="LW74">
        <f t="shared" ca="1" si="49"/>
        <v>2011</v>
      </c>
      <c r="LX74">
        <f t="shared" ca="1" si="49"/>
        <v>2014</v>
      </c>
      <c r="LY74">
        <f t="shared" ca="1" si="49"/>
        <v>2014</v>
      </c>
      <c r="LZ74">
        <f t="shared" ca="1" si="49"/>
        <v>2014</v>
      </c>
      <c r="MA74">
        <f t="shared" ca="1" si="49"/>
        <v>2014</v>
      </c>
      <c r="MB74">
        <f t="shared" ca="1" si="49"/>
        <v>2014</v>
      </c>
      <c r="MC74">
        <f t="shared" ca="1" si="49"/>
        <v>2014</v>
      </c>
      <c r="MD74">
        <f t="shared" ca="1" si="49"/>
        <v>2014</v>
      </c>
      <c r="ME74">
        <f t="shared" ca="1" si="49"/>
        <v>2014</v>
      </c>
      <c r="MF74">
        <f t="shared" ca="1" si="49"/>
        <v>2014</v>
      </c>
      <c r="MG74">
        <f t="shared" ca="1" si="49"/>
        <v>2014</v>
      </c>
      <c r="MH74">
        <f t="shared" ca="1" si="49"/>
        <v>2014</v>
      </c>
      <c r="MI74">
        <f t="shared" ca="1" si="49"/>
        <v>2014</v>
      </c>
      <c r="MJ74">
        <f t="shared" ca="1" si="49"/>
        <v>2014</v>
      </c>
      <c r="MK74">
        <f t="shared" ca="1" si="49"/>
        <v>2014</v>
      </c>
      <c r="ML74">
        <f t="shared" ca="1" si="49"/>
        <v>2014</v>
      </c>
      <c r="MM74">
        <f t="shared" ca="1" si="49"/>
        <v>2014</v>
      </c>
      <c r="MN74">
        <f t="shared" ca="1" si="49"/>
        <v>2014</v>
      </c>
      <c r="MO74">
        <f t="shared" ca="1" si="49"/>
        <v>2014</v>
      </c>
      <c r="MP74">
        <f t="shared" ca="1" si="49"/>
        <v>2014</v>
      </c>
      <c r="MQ74">
        <f t="shared" ca="1" si="49"/>
        <v>1994</v>
      </c>
      <c r="MR74">
        <f t="shared" ca="1" si="49"/>
        <v>1994</v>
      </c>
      <c r="MS74">
        <f t="shared" ca="1" si="49"/>
        <v>1994</v>
      </c>
      <c r="MT74">
        <f t="shared" ca="1" si="49"/>
        <v>1992</v>
      </c>
      <c r="MU74">
        <f t="shared" ca="1" si="49"/>
        <v>1992</v>
      </c>
      <c r="MV74">
        <f t="shared" ca="1" si="49"/>
        <v>1992</v>
      </c>
      <c r="MW74">
        <f t="shared" ca="1" si="49"/>
        <v>1994</v>
      </c>
      <c r="MX74">
        <f t="shared" ca="1" si="49"/>
        <v>1994</v>
      </c>
      <c r="MY74">
        <f t="shared" ca="1" si="49"/>
        <v>1994</v>
      </c>
      <c r="MZ74">
        <f t="shared" ca="1" si="49"/>
        <v>1994</v>
      </c>
      <c r="NA74">
        <f t="shared" ca="1" si="49"/>
        <v>1994</v>
      </c>
      <c r="NB74">
        <f t="shared" ca="1" si="49"/>
        <v>1994</v>
      </c>
      <c r="NC74">
        <f t="shared" ca="1" si="49"/>
        <v>1992</v>
      </c>
      <c r="ND74">
        <f t="shared" ca="1" si="49"/>
        <v>1995</v>
      </c>
      <c r="NE74">
        <f t="shared" ca="1" si="49"/>
        <v>1995</v>
      </c>
      <c r="NF74">
        <f t="shared" ca="1" si="49"/>
        <v>1995</v>
      </c>
      <c r="NG74">
        <f t="shared" ca="1" si="49"/>
        <v>1995</v>
      </c>
      <c r="NH74">
        <f t="shared" ca="1" si="49"/>
        <v>1969</v>
      </c>
      <c r="NI74">
        <f t="shared" ca="1" si="49"/>
        <v>1969</v>
      </c>
      <c r="NJ74">
        <f t="shared" ca="1" si="49"/>
        <v>1973</v>
      </c>
      <c r="NK74">
        <f t="shared" ca="1" si="49"/>
        <v>2006</v>
      </c>
      <c r="NL74">
        <f t="shared" ca="1" si="49"/>
        <v>2006</v>
      </c>
      <c r="NM74">
        <f t="shared" ca="1" si="49"/>
        <v>1984</v>
      </c>
      <c r="NN74">
        <f t="shared" ca="1" si="49"/>
        <v>1994</v>
      </c>
      <c r="NO74">
        <f t="shared" ca="1" si="49"/>
        <v>2014</v>
      </c>
      <c r="NP74">
        <f t="shared" ca="1" si="49"/>
        <v>2011</v>
      </c>
      <c r="NQ74">
        <f t="shared" ca="1" si="49"/>
        <v>1967</v>
      </c>
      <c r="NR74">
        <f t="shared" ca="1" si="49"/>
        <v>1994</v>
      </c>
      <c r="NS74">
        <f t="shared" ca="1" si="49"/>
        <v>1995</v>
      </c>
      <c r="NT74">
        <f t="shared" ca="1" si="49"/>
        <v>2004</v>
      </c>
      <c r="NU74">
        <f t="shared" ca="1" si="49"/>
        <v>2011</v>
      </c>
      <c r="NW74">
        <f t="shared" ref="NW74:OF74" ca="1" si="50">INDIRECT((CONCATENATE("$A",MATCH(NW73,NW3:NW70,0)+2)))</f>
        <v>2011</v>
      </c>
      <c r="NX74">
        <f t="shared" ca="1" si="50"/>
        <v>2015</v>
      </c>
      <c r="NY74">
        <f t="shared" ca="1" si="50"/>
        <v>2006</v>
      </c>
      <c r="NZ74">
        <f t="shared" ca="1" si="50"/>
        <v>2006</v>
      </c>
      <c r="OA74">
        <f t="shared" ca="1" si="50"/>
        <v>1984</v>
      </c>
      <c r="OB74">
        <f t="shared" ca="1" si="50"/>
        <v>1998</v>
      </c>
      <c r="OC74">
        <f t="shared" ca="1" si="50"/>
        <v>1994</v>
      </c>
      <c r="OD74">
        <f t="shared" ca="1" si="50"/>
        <v>1994</v>
      </c>
      <c r="OE74">
        <f t="shared" ca="1" si="50"/>
        <v>2011</v>
      </c>
      <c r="OF74">
        <f t="shared" ca="1" si="50"/>
        <v>2011</v>
      </c>
    </row>
    <row r="75" spans="1:396" customFormat="1" x14ac:dyDescent="0.15">
      <c r="A75" s="9" t="s">
        <v>38</v>
      </c>
      <c r="B75" s="5">
        <f>AVERAGE(B3:B69)</f>
        <v>1.3410742153846158</v>
      </c>
      <c r="C75" s="5">
        <f t="shared" ref="C75:BN75" si="51">AVERAGE(C3:C69)</f>
        <v>1.3515086769230769</v>
      </c>
      <c r="D75" s="5">
        <f t="shared" si="51"/>
        <v>1.3620627692307687</v>
      </c>
      <c r="E75" s="5">
        <f t="shared" si="51"/>
        <v>1.360600615384616</v>
      </c>
      <c r="F75" s="5">
        <f t="shared" si="51"/>
        <v>1.3539544615384613</v>
      </c>
      <c r="G75" s="5">
        <f t="shared" si="51"/>
        <v>1.3519606153846153</v>
      </c>
      <c r="H75" s="5">
        <f t="shared" si="51"/>
        <v>1.3401038769230771</v>
      </c>
      <c r="I75" s="5">
        <f t="shared" si="51"/>
        <v>1.3329791999999996</v>
      </c>
      <c r="J75" s="5">
        <f t="shared" si="51"/>
        <v>1.3206040615384615</v>
      </c>
      <c r="K75" s="5">
        <f t="shared" si="51"/>
        <v>1.3091859692307686</v>
      </c>
      <c r="L75" s="5">
        <f t="shared" si="51"/>
        <v>1.2948036923076918</v>
      </c>
      <c r="M75" s="5">
        <f t="shared" si="51"/>
        <v>1.2927035076923068</v>
      </c>
      <c r="N75" s="5">
        <f t="shared" si="51"/>
        <v>1.2917331692307685</v>
      </c>
      <c r="O75" s="5">
        <f t="shared" si="51"/>
        <v>1.2762742153846152</v>
      </c>
      <c r="P75" s="5">
        <f t="shared" si="51"/>
        <v>1.2622508307692304</v>
      </c>
      <c r="Q75" s="5">
        <f t="shared" si="51"/>
        <v>1.2655207384615383</v>
      </c>
      <c r="R75" s="5">
        <f t="shared" si="51"/>
        <v>1.2482540307692305</v>
      </c>
      <c r="S75" s="5">
        <f t="shared" si="51"/>
        <v>1.2456354461538457</v>
      </c>
      <c r="T75" s="5">
        <f t="shared" si="51"/>
        <v>1.2457019076923075</v>
      </c>
      <c r="U75" s="5">
        <f t="shared" si="51"/>
        <v>1.2405179076923076</v>
      </c>
      <c r="V75" s="5">
        <f t="shared" si="51"/>
        <v>1.2298973538461535</v>
      </c>
      <c r="W75" s="5">
        <f t="shared" si="51"/>
        <v>1.216086646153846</v>
      </c>
      <c r="X75" s="5">
        <f t="shared" si="51"/>
        <v>1.2082574769230765</v>
      </c>
      <c r="Y75" s="5">
        <f t="shared" si="51"/>
        <v>1.2096398769230767</v>
      </c>
      <c r="Z75" s="5">
        <f t="shared" si="51"/>
        <v>1.2034190769230768</v>
      </c>
      <c r="AA75" s="5">
        <f t="shared" si="51"/>
        <v>1.1966399999999995</v>
      </c>
      <c r="AB75" s="5">
        <f t="shared" si="51"/>
        <v>1.1992984615384614</v>
      </c>
      <c r="AC75" s="5">
        <f t="shared" si="51"/>
        <v>1.1822577230769231</v>
      </c>
      <c r="AD75" s="5">
        <f t="shared" si="51"/>
        <v>1.1688989538461541</v>
      </c>
      <c r="AE75" s="5">
        <f t="shared" si="51"/>
        <v>1.1632098461538467</v>
      </c>
      <c r="AF75" s="5">
        <f t="shared" si="51"/>
        <v>1.158398030769231</v>
      </c>
      <c r="AG75" s="5">
        <f t="shared" si="51"/>
        <v>1.1601924923076925</v>
      </c>
      <c r="AH75" s="5">
        <f t="shared" si="51"/>
        <v>1.1535197538461539</v>
      </c>
      <c r="AI75" s="5">
        <f t="shared" si="51"/>
        <v>1.1507283692307695</v>
      </c>
      <c r="AJ75" s="5">
        <f t="shared" si="51"/>
        <v>1.1469666461538461</v>
      </c>
      <c r="AK75" s="5">
        <f t="shared" si="51"/>
        <v>1.1324381538461537</v>
      </c>
      <c r="AL75" s="5">
        <f t="shared" si="51"/>
        <v>1.1295670153846153</v>
      </c>
      <c r="AM75" s="5">
        <f t="shared" si="51"/>
        <v>1.1262838153846153</v>
      </c>
      <c r="AN75" s="5">
        <f t="shared" si="51"/>
        <v>1.1191857230769231</v>
      </c>
      <c r="AO75" s="5">
        <f t="shared" si="51"/>
        <v>1.1048699076923076</v>
      </c>
      <c r="AP75" s="5">
        <f t="shared" si="51"/>
        <v>1.1008423384615382</v>
      </c>
      <c r="AQ75" s="5">
        <f t="shared" si="51"/>
        <v>1.1050427076923077</v>
      </c>
      <c r="AR75" s="5">
        <f t="shared" si="51"/>
        <v>1.1066244923076924</v>
      </c>
      <c r="AS75" s="5">
        <f t="shared" si="51"/>
        <v>1.1031950769230772</v>
      </c>
      <c r="AT75" s="5">
        <f t="shared" si="51"/>
        <v>1.0961102769230773</v>
      </c>
      <c r="AU75" s="5">
        <f t="shared" si="51"/>
        <v>1.0943556923076925</v>
      </c>
      <c r="AV75" s="5">
        <f t="shared" si="51"/>
        <v>1.0950336000000003</v>
      </c>
      <c r="AW75" s="5">
        <f t="shared" si="51"/>
        <v>1.0912585846153844</v>
      </c>
      <c r="AX75" s="5">
        <f t="shared" si="51"/>
        <v>1.0823926153846153</v>
      </c>
      <c r="AY75" s="5">
        <f t="shared" si="51"/>
        <v>1.0805183999999999</v>
      </c>
      <c r="AZ75" s="5">
        <f t="shared" si="51"/>
        <v>1.0738855384615384</v>
      </c>
      <c r="BA75" s="5">
        <f t="shared" si="51"/>
        <v>1.0687547076923078</v>
      </c>
      <c r="BB75" s="5">
        <f t="shared" si="51"/>
        <v>1.0635840000000001</v>
      </c>
      <c r="BC75" s="5">
        <f t="shared" si="51"/>
        <v>1.0522589538461542</v>
      </c>
      <c r="BD75" s="5">
        <f t="shared" si="51"/>
        <v>1.0512620307692309</v>
      </c>
      <c r="BE75" s="5">
        <f t="shared" si="51"/>
        <v>1.0510227692307694</v>
      </c>
      <c r="BF75" s="5">
        <f t="shared" si="51"/>
        <v>1.0503714461538463</v>
      </c>
      <c r="BG75" s="5">
        <f t="shared" si="51"/>
        <v>1.0486434461538463</v>
      </c>
      <c r="BH75" s="5">
        <f t="shared" si="51"/>
        <v>1.0537344000000002</v>
      </c>
      <c r="BI75" s="5">
        <f t="shared" si="51"/>
        <v>1.0593148235294119</v>
      </c>
      <c r="BJ75" s="5">
        <f t="shared" si="51"/>
        <v>1.0555953230769233</v>
      </c>
      <c r="BK75" s="5">
        <f t="shared" si="51"/>
        <v>1.0516740923076924</v>
      </c>
      <c r="BL75" s="5">
        <f t="shared" si="51"/>
        <v>1.0473939692307692</v>
      </c>
      <c r="BM75" s="5">
        <f t="shared" si="51"/>
        <v>1.0436056615384617</v>
      </c>
      <c r="BN75" s="5">
        <f t="shared" si="51"/>
        <v>1.0467027692307695</v>
      </c>
      <c r="BO75" s="5">
        <f t="shared" ref="BO75:DZ75" si="52">AVERAGE(BO3:BO69)</f>
        <v>1.0452140307692308</v>
      </c>
      <c r="BP75" s="5">
        <f t="shared" si="52"/>
        <v>1.0422099692307691</v>
      </c>
      <c r="BQ75" s="5">
        <f t="shared" si="52"/>
        <v>1.0363081846153845</v>
      </c>
      <c r="BR75" s="5">
        <f t="shared" si="52"/>
        <v>1.0412928000000001</v>
      </c>
      <c r="BS75" s="5">
        <f t="shared" si="52"/>
        <v>1.0477262769230768</v>
      </c>
      <c r="BT75" s="5">
        <f t="shared" si="52"/>
        <v>1.053601476923077</v>
      </c>
      <c r="BU75" s="5">
        <f t="shared" si="52"/>
        <v>1.0507303384615385</v>
      </c>
      <c r="BV75" s="5">
        <f t="shared" si="52"/>
        <v>1.0507436307692306</v>
      </c>
      <c r="BW75" s="5">
        <f t="shared" si="52"/>
        <v>1.0370126769230765</v>
      </c>
      <c r="BX75" s="5">
        <f t="shared" si="52"/>
        <v>1.0334636307692309</v>
      </c>
      <c r="BY75" s="5">
        <f t="shared" si="52"/>
        <v>1.0360423384615385</v>
      </c>
      <c r="BZ75" s="5">
        <f t="shared" si="52"/>
        <v>1.037079138461539</v>
      </c>
      <c r="CA75" s="5">
        <f t="shared" si="52"/>
        <v>1.0364278153846156</v>
      </c>
      <c r="CB75" s="5">
        <f t="shared" si="52"/>
        <v>1.0345270153846153</v>
      </c>
      <c r="CC75" s="5">
        <f t="shared" si="52"/>
        <v>1.0421169230769227</v>
      </c>
      <c r="CD75" s="5">
        <f t="shared" si="52"/>
        <v>1.0406946461538458</v>
      </c>
      <c r="CE75" s="5">
        <f t="shared" si="52"/>
        <v>1.0347529846153845</v>
      </c>
      <c r="CF75" s="5">
        <f t="shared" si="52"/>
        <v>1.0408940307692305</v>
      </c>
      <c r="CG75" s="5">
        <f t="shared" si="52"/>
        <v>1.038235569230769</v>
      </c>
      <c r="CH75" s="5">
        <f t="shared" si="52"/>
        <v>1.0424758153846152</v>
      </c>
      <c r="CI75" s="5">
        <f t="shared" si="52"/>
        <v>1.0601412923076923</v>
      </c>
      <c r="CJ75" s="5">
        <f t="shared" si="52"/>
        <v>1.0557814153846157</v>
      </c>
      <c r="CK75" s="5">
        <f t="shared" si="52"/>
        <v>1.0600482461538461</v>
      </c>
      <c r="CL75" s="5">
        <f t="shared" si="52"/>
        <v>1.0590912000000001</v>
      </c>
      <c r="CM75" s="5">
        <f t="shared" si="52"/>
        <v>1.0528969846153844</v>
      </c>
      <c r="CN75" s="5">
        <f t="shared" si="52"/>
        <v>1.0582272000000001</v>
      </c>
      <c r="CO75" s="5">
        <f t="shared" si="52"/>
        <v>1.0633447384615384</v>
      </c>
      <c r="CP75" s="5">
        <f t="shared" si="52"/>
        <v>1.0714264615384617</v>
      </c>
      <c r="CQ75" s="5">
        <f t="shared" si="52"/>
        <v>1.0711606153846154</v>
      </c>
      <c r="CR75" s="5">
        <f t="shared" si="52"/>
        <v>1.081023507692308</v>
      </c>
      <c r="CS75" s="5">
        <f t="shared" si="52"/>
        <v>1.0836155076923082</v>
      </c>
      <c r="CT75" s="5">
        <f t="shared" si="52"/>
        <v>1.0777004307692313</v>
      </c>
      <c r="CU75" s="5">
        <f t="shared" si="52"/>
        <v>1.0771687384615385</v>
      </c>
      <c r="CV75" s="5">
        <f t="shared" si="52"/>
        <v>1.0770491076923074</v>
      </c>
      <c r="CW75" s="5">
        <f t="shared" si="52"/>
        <v>1.1012809846153848</v>
      </c>
      <c r="CX75" s="5">
        <f t="shared" si="52"/>
        <v>1.1090038153846156</v>
      </c>
      <c r="CY75" s="5">
        <f t="shared" si="52"/>
        <v>1.1147992615384616</v>
      </c>
      <c r="CZ75" s="5">
        <f t="shared" si="52"/>
        <v>1.108791138461539</v>
      </c>
      <c r="DA75" s="5">
        <f t="shared" si="52"/>
        <v>1.1060662153846155</v>
      </c>
      <c r="DB75" s="5">
        <f t="shared" si="52"/>
        <v>1.1138156307692311</v>
      </c>
      <c r="DC75" s="5">
        <f t="shared" si="52"/>
        <v>1.1169792000000001</v>
      </c>
      <c r="DD75" s="5">
        <f t="shared" si="52"/>
        <v>1.1237981538461539</v>
      </c>
      <c r="DE75" s="5">
        <f t="shared" si="52"/>
        <v>1.1342060307692305</v>
      </c>
      <c r="DF75" s="5">
        <f t="shared" si="52"/>
        <v>1.1414636307692305</v>
      </c>
      <c r="DG75" s="5">
        <f t="shared" si="52"/>
        <v>1.1438695384615385</v>
      </c>
      <c r="DH75" s="5">
        <f t="shared" si="52"/>
        <v>1.1520575999999998</v>
      </c>
      <c r="DI75" s="5">
        <f t="shared" si="52"/>
        <v>1.1642865230769233</v>
      </c>
      <c r="DJ75" s="5">
        <f t="shared" si="52"/>
        <v>1.1834274461538459</v>
      </c>
      <c r="DK75" s="5">
        <f t="shared" si="52"/>
        <v>1.201730953846154</v>
      </c>
      <c r="DL75" s="5">
        <f t="shared" si="52"/>
        <v>1.2153954461538463</v>
      </c>
      <c r="DM75" s="5">
        <f t="shared" si="52"/>
        <v>1.2311867076923082</v>
      </c>
      <c r="DN75" s="5">
        <f t="shared" si="52"/>
        <v>1.257532061538462</v>
      </c>
      <c r="DO75" s="5">
        <f t="shared" si="52"/>
        <v>1.2991635692307695</v>
      </c>
      <c r="DP75" s="5">
        <f t="shared" si="52"/>
        <v>1.3412204307692306</v>
      </c>
      <c r="DQ75" s="5">
        <f t="shared" si="52"/>
        <v>1.3633920000000004</v>
      </c>
      <c r="DR75" s="5">
        <f t="shared" si="52"/>
        <v>1.3780799999999997</v>
      </c>
      <c r="DS75" s="5">
        <f t="shared" si="52"/>
        <v>1.3873181538461532</v>
      </c>
      <c r="DT75" s="5">
        <f t="shared" si="52"/>
        <v>1.3698254769230762</v>
      </c>
      <c r="DU75" s="5">
        <f t="shared" si="52"/>
        <v>1.3551640615384617</v>
      </c>
      <c r="DV75" s="5">
        <f t="shared" si="52"/>
        <v>1.379090215384615</v>
      </c>
      <c r="DW75" s="5">
        <f t="shared" si="52"/>
        <v>1.3988691692307682</v>
      </c>
      <c r="DX75" s="5">
        <f t="shared" si="52"/>
        <v>1.4345058461538465</v>
      </c>
      <c r="DY75" s="5">
        <f t="shared" si="52"/>
        <v>1.4598409846153848</v>
      </c>
      <c r="DZ75" s="5">
        <f t="shared" si="52"/>
        <v>1.4928059076923073</v>
      </c>
      <c r="EA75" s="5">
        <f t="shared" ref="EA75:GL75" si="53">AVERAGE(EA3:EA69)</f>
        <v>1.5209988923076925</v>
      </c>
      <c r="EB75" s="5">
        <f t="shared" si="53"/>
        <v>1.5368167384615385</v>
      </c>
      <c r="EC75" s="5">
        <f t="shared" si="53"/>
        <v>1.5356071384615384</v>
      </c>
      <c r="ED75" s="5">
        <f t="shared" si="53"/>
        <v>1.5292135384615388</v>
      </c>
      <c r="EE75" s="5">
        <f t="shared" si="53"/>
        <v>1.5607827692307694</v>
      </c>
      <c r="EF75" s="5">
        <f t="shared" si="53"/>
        <v>1.5886301538461536</v>
      </c>
      <c r="EG75" s="5">
        <f t="shared" si="53"/>
        <v>1.611213784615384</v>
      </c>
      <c r="EH75" s="5">
        <f t="shared" si="53"/>
        <v>1.6398321230769226</v>
      </c>
      <c r="EI75" s="5">
        <f t="shared" si="53"/>
        <v>1.6782070153846151</v>
      </c>
      <c r="EJ75" s="5">
        <f t="shared" si="53"/>
        <v>1.715824246153846</v>
      </c>
      <c r="EK75" s="5">
        <f t="shared" si="53"/>
        <v>1.7295153230769229</v>
      </c>
      <c r="EL75" s="5">
        <f t="shared" si="53"/>
        <v>1.7509956923076924</v>
      </c>
      <c r="EM75" s="5">
        <f t="shared" si="53"/>
        <v>1.7674781538461539</v>
      </c>
      <c r="EN75" s="5">
        <f t="shared" si="53"/>
        <v>1.8090697846153849</v>
      </c>
      <c r="EO75" s="5">
        <f t="shared" si="53"/>
        <v>1.8458230153846156</v>
      </c>
      <c r="EP75" s="5">
        <f t="shared" si="53"/>
        <v>1.8740824615384615</v>
      </c>
      <c r="EQ75" s="5">
        <f t="shared" si="53"/>
        <v>1.890697846153846</v>
      </c>
      <c r="ER75" s="5">
        <f t="shared" si="53"/>
        <v>1.9131618461538462</v>
      </c>
      <c r="ES75" s="5">
        <f t="shared" si="53"/>
        <v>1.9580898461538461</v>
      </c>
      <c r="ET75" s="5">
        <f t="shared" si="53"/>
        <v>2.0230892307692301</v>
      </c>
      <c r="EU75" s="5">
        <f t="shared" si="53"/>
        <v>2.0721378461538453</v>
      </c>
      <c r="EV75" s="5">
        <f t="shared" si="53"/>
        <v>2.1040393846153842</v>
      </c>
      <c r="EW75" s="5">
        <f t="shared" si="53"/>
        <v>2.1393969230769225</v>
      </c>
      <c r="EX75" s="5">
        <f t="shared" si="53"/>
        <v>2.1990793846153838</v>
      </c>
      <c r="EY75" s="5">
        <f t="shared" si="53"/>
        <v>2.2816644923076916</v>
      </c>
      <c r="EZ75" s="5">
        <f t="shared" si="53"/>
        <v>2.3717464615384611</v>
      </c>
      <c r="FA75" s="5">
        <f t="shared" si="53"/>
        <v>2.4011224615384625</v>
      </c>
      <c r="FB75" s="5">
        <f t="shared" si="53"/>
        <v>2.4484430769230774</v>
      </c>
      <c r="FC75" s="5">
        <f t="shared" si="53"/>
        <v>2.5065304615384618</v>
      </c>
      <c r="FD75" s="5">
        <f t="shared" si="53"/>
        <v>2.572327384615384</v>
      </c>
      <c r="FE75" s="5">
        <f t="shared" si="53"/>
        <v>2.6381243076923075</v>
      </c>
      <c r="FF75" s="5">
        <f t="shared" si="53"/>
        <v>2.6955470769230772</v>
      </c>
      <c r="FG75" s="5">
        <f t="shared" si="53"/>
        <v>2.7528369230769227</v>
      </c>
      <c r="FH75" s="5">
        <f t="shared" si="53"/>
        <v>2.8212923076923078</v>
      </c>
      <c r="FI75" s="5">
        <f t="shared" si="53"/>
        <v>2.8838990769230763</v>
      </c>
      <c r="FJ75" s="5">
        <f t="shared" si="53"/>
        <v>2.9518227692307688</v>
      </c>
      <c r="FK75" s="5">
        <f t="shared" si="53"/>
        <v>3.0408812307692319</v>
      </c>
      <c r="FL75" s="5">
        <f t="shared" si="53"/>
        <v>3.2005218461538472</v>
      </c>
      <c r="FM75" s="5">
        <f t="shared" si="53"/>
        <v>3.3640172307692331</v>
      </c>
      <c r="FN75" s="5">
        <f t="shared" si="53"/>
        <v>3.4949464615384622</v>
      </c>
      <c r="FO75" s="5">
        <f t="shared" si="53"/>
        <v>3.6339839999999999</v>
      </c>
      <c r="FP75" s="5">
        <f t="shared" si="53"/>
        <v>3.8447999999999998</v>
      </c>
      <c r="FQ75" s="5">
        <f t="shared" si="53"/>
        <v>4.0249107692307682</v>
      </c>
      <c r="FR75" s="5">
        <f t="shared" si="53"/>
        <v>4.2324036923076935</v>
      </c>
      <c r="FS75" s="5">
        <f t="shared" si="53"/>
        <v>4.4740578461538476</v>
      </c>
      <c r="FT75" s="5">
        <f t="shared" si="53"/>
        <v>4.543443692307692</v>
      </c>
      <c r="FU75" s="5">
        <f t="shared" si="53"/>
        <v>4.5795987692307705</v>
      </c>
      <c r="FV75" s="5">
        <f t="shared" si="53"/>
        <v>4.7312640000000004</v>
      </c>
      <c r="FW75" s="5">
        <f t="shared" si="53"/>
        <v>4.9598916923076919</v>
      </c>
      <c r="FX75" s="5">
        <f t="shared" si="53"/>
        <v>5.1280393846153842</v>
      </c>
      <c r="FY75" s="5">
        <f t="shared" si="53"/>
        <v>5.3691618461538475</v>
      </c>
      <c r="FZ75" s="5">
        <f t="shared" si="53"/>
        <v>5.533853538461539</v>
      </c>
      <c r="GA75" s="5">
        <f t="shared" si="53"/>
        <v>5.6182596923076922</v>
      </c>
      <c r="GB75" s="5">
        <f t="shared" si="53"/>
        <v>5.83758276923077</v>
      </c>
      <c r="GC75" s="5">
        <f t="shared" si="53"/>
        <v>5.9933686153846146</v>
      </c>
      <c r="GD75" s="5">
        <f t="shared" si="53"/>
        <v>6.1155249230769204</v>
      </c>
      <c r="GE75" s="5">
        <f t="shared" si="53"/>
        <v>6.1716184615384631</v>
      </c>
      <c r="GF75" s="5">
        <f t="shared" si="53"/>
        <v>6.2307692307692317</v>
      </c>
      <c r="GG75" s="5">
        <f t="shared" si="53"/>
        <v>6.4357366153846147</v>
      </c>
      <c r="GH75" s="5">
        <f t="shared" si="53"/>
        <v>6.5856738461538473</v>
      </c>
      <c r="GI75" s="5">
        <f t="shared" si="53"/>
        <v>6.8081870769230761</v>
      </c>
      <c r="GJ75" s="5">
        <f t="shared" si="53"/>
        <v>7.038144</v>
      </c>
      <c r="GK75" s="5">
        <f t="shared" si="53"/>
        <v>7.2098806153846162</v>
      </c>
      <c r="GL75" s="5">
        <f t="shared" si="53"/>
        <v>7.2711581538461543</v>
      </c>
      <c r="GM75" s="5">
        <f t="shared" ref="GM75:IX75" si="54">AVERAGE(GM3:GM69)</f>
        <v>7.3655335384615377</v>
      </c>
      <c r="GN75" s="5">
        <f t="shared" si="54"/>
        <v>7.3098387692307689</v>
      </c>
      <c r="GO75" s="5">
        <f t="shared" si="54"/>
        <v>7.2719556923076913</v>
      </c>
      <c r="GP75" s="5">
        <f t="shared" si="54"/>
        <v>7.394510769230771</v>
      </c>
      <c r="GQ75" s="5">
        <f t="shared" si="54"/>
        <v>7.6848147692307691</v>
      </c>
      <c r="GR75" s="5">
        <f t="shared" si="54"/>
        <v>7.6772381538461536</v>
      </c>
      <c r="GS75" s="5">
        <f t="shared" si="54"/>
        <v>7.5911040000000014</v>
      </c>
      <c r="GT75" s="5">
        <f t="shared" si="54"/>
        <v>7.5286301538461533</v>
      </c>
      <c r="GU75" s="5">
        <f t="shared" si="54"/>
        <v>7.5207876923076933</v>
      </c>
      <c r="GV75" s="5">
        <f t="shared" si="54"/>
        <v>7.428804923076922</v>
      </c>
      <c r="GW75" s="5">
        <f t="shared" si="54"/>
        <v>7.3113009230769217</v>
      </c>
      <c r="GX75" s="5">
        <f t="shared" si="54"/>
        <v>7.3364233846153839</v>
      </c>
      <c r="GY75" s="5">
        <f t="shared" si="54"/>
        <v>7.5076283076923067</v>
      </c>
      <c r="GZ75" s="5">
        <f t="shared" si="54"/>
        <v>7.5502966153846147</v>
      </c>
      <c r="HA75" s="5">
        <f t="shared" si="54"/>
        <v>7.5110843076923075</v>
      </c>
      <c r="HB75" s="5">
        <f t="shared" si="54"/>
        <v>7.5036406153846142</v>
      </c>
      <c r="HC75" s="5">
        <f t="shared" si="54"/>
        <v>7.5298264615384589</v>
      </c>
      <c r="HD75" s="5">
        <f t="shared" si="54"/>
        <v>7.4692135384615366</v>
      </c>
      <c r="HE75" s="5">
        <f t="shared" si="54"/>
        <v>7.4105944615384614</v>
      </c>
      <c r="HF75" s="5">
        <f t="shared" si="54"/>
        <v>7.4720049230769234</v>
      </c>
      <c r="HG75" s="5">
        <f t="shared" si="54"/>
        <v>7.6061243076923066</v>
      </c>
      <c r="HH75" s="5">
        <f t="shared" si="54"/>
        <v>7.6801624615384609</v>
      </c>
      <c r="HI75" s="5">
        <f t="shared" si="54"/>
        <v>7.7052849230769267</v>
      </c>
      <c r="HJ75" s="5">
        <f t="shared" si="54"/>
        <v>7.7270843076923077</v>
      </c>
      <c r="HK75" s="5">
        <f t="shared" si="54"/>
        <v>7.7503458461538441</v>
      </c>
      <c r="HL75" s="5">
        <f t="shared" si="54"/>
        <v>7.7006326153846141</v>
      </c>
      <c r="HM75" s="5">
        <f t="shared" si="54"/>
        <v>7.6485267692307684</v>
      </c>
      <c r="HN75" s="5">
        <f t="shared" si="54"/>
        <v>7.5582719999999988</v>
      </c>
      <c r="HO75" s="5">
        <f t="shared" si="54"/>
        <v>7.474796307692305</v>
      </c>
      <c r="HP75" s="5">
        <f t="shared" si="54"/>
        <v>7.4617698461538469</v>
      </c>
      <c r="HQ75" s="5">
        <f t="shared" si="54"/>
        <v>7.5483027692307703</v>
      </c>
      <c r="HR75" s="5">
        <f t="shared" si="54"/>
        <v>7.6315126153846142</v>
      </c>
      <c r="HS75" s="5">
        <f t="shared" si="54"/>
        <v>7.7226978461538467</v>
      </c>
      <c r="HT75" s="5">
        <f t="shared" si="54"/>
        <v>7.7120639999999989</v>
      </c>
      <c r="HU75" s="5">
        <f t="shared" si="54"/>
        <v>7.6232713846153839</v>
      </c>
      <c r="HV75" s="5">
        <f t="shared" si="54"/>
        <v>7.5251741538461561</v>
      </c>
      <c r="HW75" s="5">
        <f t="shared" si="54"/>
        <v>7.5686400000000011</v>
      </c>
      <c r="HX75" s="5">
        <f t="shared" si="54"/>
        <v>7.6842830769230774</v>
      </c>
      <c r="HY75" s="5">
        <f t="shared" si="54"/>
        <v>7.7910203076923077</v>
      </c>
      <c r="HZ75" s="5">
        <f t="shared" si="54"/>
        <v>7.7171150769230774</v>
      </c>
      <c r="IA75" s="5">
        <f t="shared" si="54"/>
        <v>7.6230055384615376</v>
      </c>
      <c r="IB75" s="5">
        <f t="shared" si="54"/>
        <v>7.5001846153846161</v>
      </c>
      <c r="IC75" s="5">
        <f t="shared" si="54"/>
        <v>7.4559212307692304</v>
      </c>
      <c r="ID75" s="5">
        <f t="shared" si="54"/>
        <v>7.4876898461538479</v>
      </c>
      <c r="IE75" s="5">
        <f t="shared" si="54"/>
        <v>7.6200812307692294</v>
      </c>
      <c r="IF75" s="5">
        <f t="shared" si="54"/>
        <v>7.7814498461538451</v>
      </c>
      <c r="IG75" s="5">
        <f t="shared" si="54"/>
        <v>7.913841230769231</v>
      </c>
      <c r="IH75" s="5">
        <f t="shared" si="54"/>
        <v>8.0713550769230782</v>
      </c>
      <c r="II75" s="5">
        <f t="shared" si="54"/>
        <v>8.2602387692307691</v>
      </c>
      <c r="IJ75" s="5">
        <f t="shared" si="54"/>
        <v>8.2647581538461541</v>
      </c>
      <c r="IK75" s="5">
        <f t="shared" si="54"/>
        <v>8.2797784615384611</v>
      </c>
      <c r="IL75" s="5">
        <f t="shared" si="54"/>
        <v>8.3130092307692305</v>
      </c>
      <c r="IM75" s="5">
        <f t="shared" si="54"/>
        <v>8.3471704615384592</v>
      </c>
      <c r="IN75" s="5">
        <f t="shared" si="54"/>
        <v>8.2547889230769211</v>
      </c>
      <c r="IO75" s="5">
        <f t="shared" si="54"/>
        <v>8.2827027692307666</v>
      </c>
      <c r="IP75" s="5">
        <f t="shared" si="54"/>
        <v>8.1856689230769248</v>
      </c>
      <c r="IQ75" s="5">
        <f t="shared" si="54"/>
        <v>8.0236356923076926</v>
      </c>
      <c r="IR75" s="5">
        <f t="shared" si="54"/>
        <v>7.9878793846153853</v>
      </c>
      <c r="IS75" s="5">
        <f t="shared" si="54"/>
        <v>7.9571741538461538</v>
      </c>
      <c r="IT75" s="5">
        <f t="shared" si="54"/>
        <v>7.8201304615384641</v>
      </c>
      <c r="IU75" s="5">
        <f t="shared" si="54"/>
        <v>7.618884923076922</v>
      </c>
      <c r="IV75" s="5">
        <f t="shared" si="54"/>
        <v>7.5290289230769227</v>
      </c>
      <c r="IW75" s="5">
        <f t="shared" si="54"/>
        <v>7.5080270769230788</v>
      </c>
      <c r="IX75" s="5">
        <f t="shared" si="54"/>
        <v>7.5275667692307708</v>
      </c>
      <c r="IY75" s="5">
        <f t="shared" ref="IY75:LJ75" si="55">AVERAGE(IY3:IY69)</f>
        <v>7.5428529230769215</v>
      </c>
      <c r="IZ75" s="5">
        <f t="shared" si="55"/>
        <v>7.5758178461538472</v>
      </c>
      <c r="JA75" s="5">
        <f t="shared" si="55"/>
        <v>7.5561452307692303</v>
      </c>
      <c r="JB75" s="5">
        <f t="shared" si="55"/>
        <v>7.5807359999999999</v>
      </c>
      <c r="JC75" s="5">
        <f t="shared" si="55"/>
        <v>7.6388233846153843</v>
      </c>
      <c r="JD75" s="5">
        <f t="shared" si="55"/>
        <v>7.7698855384615362</v>
      </c>
      <c r="JE75" s="5">
        <f t="shared" si="55"/>
        <v>7.828637538461539</v>
      </c>
      <c r="JF75" s="5">
        <f t="shared" si="55"/>
        <v>7.7641698461538491</v>
      </c>
      <c r="JG75" s="5">
        <f t="shared" si="55"/>
        <v>7.5845907692307701</v>
      </c>
      <c r="JH75" s="5">
        <f t="shared" si="55"/>
        <v>7.4423630769230771</v>
      </c>
      <c r="JI75" s="5">
        <f t="shared" si="55"/>
        <v>7.3034584615384608</v>
      </c>
      <c r="JJ75" s="5">
        <f t="shared" si="55"/>
        <v>7.1899421538461539</v>
      </c>
      <c r="JK75" s="5">
        <f t="shared" si="55"/>
        <v>7.0510375384615385</v>
      </c>
      <c r="JL75" s="5">
        <f t="shared" si="55"/>
        <v>6.8843520000000007</v>
      </c>
      <c r="JM75" s="5">
        <f t="shared" si="55"/>
        <v>6.7119507692307687</v>
      </c>
      <c r="JN75" s="5">
        <f t="shared" si="55"/>
        <v>6.6844356923076935</v>
      </c>
      <c r="JO75" s="5">
        <f t="shared" si="55"/>
        <v>6.5562978461538481</v>
      </c>
      <c r="JP75" s="5">
        <f t="shared" si="55"/>
        <v>6.403170461538461</v>
      </c>
      <c r="JQ75" s="5">
        <f t="shared" si="55"/>
        <v>6.298427076923077</v>
      </c>
      <c r="JR75" s="5">
        <f t="shared" si="55"/>
        <v>6.2525686153846172</v>
      </c>
      <c r="JS75" s="5">
        <f t="shared" si="55"/>
        <v>6.1409132307692289</v>
      </c>
      <c r="JT75" s="5">
        <f t="shared" si="55"/>
        <v>6.1286843076923079</v>
      </c>
      <c r="JU75" s="5">
        <f t="shared" si="55"/>
        <v>6.0675396923076903</v>
      </c>
      <c r="JV75" s="5">
        <f t="shared" si="55"/>
        <v>5.9939003076923081</v>
      </c>
      <c r="JW75" s="5">
        <f t="shared" si="55"/>
        <v>5.9847286153846166</v>
      </c>
      <c r="JX75" s="5">
        <f t="shared" si="55"/>
        <v>5.9625304615384653</v>
      </c>
      <c r="JY75" s="5">
        <f t="shared" si="55"/>
        <v>5.803421538461536</v>
      </c>
      <c r="JZ75" s="5">
        <f t="shared" si="55"/>
        <v>5.6897723076923095</v>
      </c>
      <c r="KA75" s="5">
        <f t="shared" si="55"/>
        <v>5.5048763076923057</v>
      </c>
      <c r="KB75" s="5">
        <f t="shared" si="55"/>
        <v>5.3351335384615357</v>
      </c>
      <c r="KC75" s="5">
        <f t="shared" si="55"/>
        <v>5.1312295384615378</v>
      </c>
      <c r="KD75" s="5">
        <f t="shared" si="55"/>
        <v>4.9488590769230782</v>
      </c>
      <c r="KE75" s="5">
        <f t="shared" si="55"/>
        <v>4.8156701538461535</v>
      </c>
      <c r="KF75" s="5">
        <f t="shared" si="55"/>
        <v>4.708401230769228</v>
      </c>
      <c r="KG75" s="5">
        <f t="shared" si="55"/>
        <v>4.6269193846153831</v>
      </c>
      <c r="KH75" s="5">
        <f t="shared" si="55"/>
        <v>4.5580652307692322</v>
      </c>
      <c r="KI75" s="5">
        <f t="shared" si="55"/>
        <v>4.4787101538461531</v>
      </c>
      <c r="KJ75" s="5">
        <f t="shared" si="55"/>
        <v>4.3473821538461559</v>
      </c>
      <c r="KK75" s="5">
        <f t="shared" si="55"/>
        <v>4.2411766153846147</v>
      </c>
      <c r="KL75" s="5">
        <f t="shared" si="55"/>
        <v>4.1450732307692313</v>
      </c>
      <c r="KM75" s="5">
        <f t="shared" si="55"/>
        <v>4.090441846153845</v>
      </c>
      <c r="KN75" s="5">
        <f t="shared" si="55"/>
        <v>3.9864959999999998</v>
      </c>
      <c r="KO75" s="5">
        <f t="shared" si="55"/>
        <v>3.9371815384615383</v>
      </c>
      <c r="KP75" s="5">
        <f t="shared" si="55"/>
        <v>3.8090436923076934</v>
      </c>
      <c r="KQ75" s="5">
        <f t="shared" si="55"/>
        <v>3.6870203076923067</v>
      </c>
      <c r="KR75" s="5">
        <f t="shared" si="55"/>
        <v>3.6137796923076926</v>
      </c>
      <c r="KS75" s="5">
        <f t="shared" si="55"/>
        <v>3.4928196923076937</v>
      </c>
      <c r="KT75" s="5">
        <f t="shared" si="55"/>
        <v>3.4186486153846141</v>
      </c>
      <c r="KU75" s="5">
        <f t="shared" si="55"/>
        <v>3.3551113846153857</v>
      </c>
      <c r="KV75" s="5">
        <f t="shared" si="55"/>
        <v>3.2715027692307679</v>
      </c>
      <c r="KW75" s="5">
        <f t="shared" si="55"/>
        <v>3.2013193846153847</v>
      </c>
      <c r="KX75" s="5">
        <f t="shared" si="55"/>
        <v>3.1167803076923075</v>
      </c>
      <c r="KY75" s="5">
        <f t="shared" si="55"/>
        <v>3.0339692307692308</v>
      </c>
      <c r="KZ75" s="5">
        <f t="shared" si="55"/>
        <v>2.9607286153846157</v>
      </c>
      <c r="LA75" s="5">
        <f t="shared" si="55"/>
        <v>2.8982547692307703</v>
      </c>
      <c r="LB75" s="5">
        <f t="shared" si="55"/>
        <v>2.8383064615384619</v>
      </c>
      <c r="LC75" s="5">
        <f t="shared" si="55"/>
        <v>2.790852923076923</v>
      </c>
      <c r="LD75" s="5">
        <f t="shared" si="55"/>
        <v>2.7492479999999988</v>
      </c>
      <c r="LE75" s="5">
        <f t="shared" si="55"/>
        <v>2.7001993846153849</v>
      </c>
      <c r="LF75" s="5">
        <f t="shared" si="55"/>
        <v>2.635864615384615</v>
      </c>
      <c r="LG75" s="5">
        <f t="shared" si="55"/>
        <v>2.5840246153846156</v>
      </c>
      <c r="LH75" s="5">
        <f t="shared" si="55"/>
        <v>2.5325833846153842</v>
      </c>
      <c r="LI75" s="5">
        <f t="shared" si="55"/>
        <v>2.4807433846153848</v>
      </c>
      <c r="LJ75" s="5">
        <f t="shared" si="55"/>
        <v>2.4250486153846156</v>
      </c>
      <c r="LK75" s="5">
        <f t="shared" ref="LK75:NU75" si="56">AVERAGE(LK3:LK69)</f>
        <v>2.3781267692307693</v>
      </c>
      <c r="LL75" s="5">
        <f t="shared" si="56"/>
        <v>2.3363889230769224</v>
      </c>
      <c r="LM75" s="5">
        <f t="shared" si="56"/>
        <v>2.3095384615384615</v>
      </c>
      <c r="LN75" s="5">
        <f t="shared" si="56"/>
        <v>2.2963790769230763</v>
      </c>
      <c r="LO75" s="5">
        <f t="shared" si="56"/>
        <v>2.2723200000000001</v>
      </c>
      <c r="LP75" s="5">
        <f t="shared" si="56"/>
        <v>2.2248664615384621</v>
      </c>
      <c r="LQ75" s="5">
        <f t="shared" si="56"/>
        <v>2.1990793846153851</v>
      </c>
      <c r="LR75" s="5">
        <f t="shared" si="56"/>
        <v>2.1659815384615384</v>
      </c>
      <c r="LS75" s="5">
        <f t="shared" si="56"/>
        <v>2.1160024615384612</v>
      </c>
      <c r="LT75" s="5">
        <f t="shared" si="56"/>
        <v>2.0809107692307696</v>
      </c>
      <c r="LU75" s="5">
        <f t="shared" si="56"/>
        <v>2.056851692307692</v>
      </c>
      <c r="LV75" s="5">
        <f t="shared" si="56"/>
        <v>2.0184369230769228</v>
      </c>
      <c r="LW75" s="5">
        <f t="shared" si="56"/>
        <v>1.9610141538461545</v>
      </c>
      <c r="LX75" s="5">
        <f t="shared" si="56"/>
        <v>1.9106363076923079</v>
      </c>
      <c r="LY75" s="5">
        <f t="shared" si="56"/>
        <v>1.8764750769230769</v>
      </c>
      <c r="LZ75" s="5">
        <f t="shared" si="56"/>
        <v>1.8591950769230774</v>
      </c>
      <c r="MA75" s="5">
        <f t="shared" si="56"/>
        <v>1.8335409230769231</v>
      </c>
      <c r="MB75" s="5">
        <f t="shared" si="56"/>
        <v>1.8122865230769234</v>
      </c>
      <c r="MC75" s="5">
        <f t="shared" si="56"/>
        <v>1.7753604923076924</v>
      </c>
      <c r="MD75" s="5">
        <f t="shared" si="56"/>
        <v>1.7339017846153852</v>
      </c>
      <c r="ME75" s="5">
        <f t="shared" si="56"/>
        <v>1.7100952615384617</v>
      </c>
      <c r="MF75" s="5">
        <f t="shared" si="56"/>
        <v>1.6963776000000002</v>
      </c>
      <c r="MG75" s="5">
        <f t="shared" si="56"/>
        <v>1.6764524307692308</v>
      </c>
      <c r="MH75" s="5">
        <f t="shared" si="56"/>
        <v>1.643966030769231</v>
      </c>
      <c r="MI75" s="5">
        <f t="shared" si="56"/>
        <v>1.6283076923076927</v>
      </c>
      <c r="MJ75" s="5">
        <f t="shared" si="56"/>
        <v>1.6214488615384617</v>
      </c>
      <c r="MK75" s="5">
        <f t="shared" si="56"/>
        <v>1.6122372923076926</v>
      </c>
      <c r="ML75" s="5">
        <f t="shared" si="56"/>
        <v>1.5927374769230769</v>
      </c>
      <c r="MM75" s="5">
        <f t="shared" si="56"/>
        <v>1.5644514461538463</v>
      </c>
      <c r="MN75" s="5">
        <f t="shared" si="56"/>
        <v>1.5486336000000003</v>
      </c>
      <c r="MO75" s="5">
        <f t="shared" si="56"/>
        <v>1.5357666461538459</v>
      </c>
      <c r="MP75" s="5">
        <f t="shared" si="56"/>
        <v>1.5117341538461539</v>
      </c>
      <c r="MQ75" s="5">
        <f t="shared" si="56"/>
        <v>1.495783384615385</v>
      </c>
      <c r="MR75" s="5">
        <f t="shared" si="56"/>
        <v>1.476908307692308</v>
      </c>
      <c r="MS75" s="5">
        <f t="shared" si="56"/>
        <v>1.4674707692307691</v>
      </c>
      <c r="MT75" s="5">
        <f t="shared" si="56"/>
        <v>1.4511212307692312</v>
      </c>
      <c r="MU75" s="5">
        <f t="shared" si="56"/>
        <v>1.4431458461538462</v>
      </c>
      <c r="MV75" s="5">
        <f t="shared" si="56"/>
        <v>1.4197513846153844</v>
      </c>
      <c r="MW75" s="5">
        <f t="shared" si="56"/>
        <v>1.3959581538461536</v>
      </c>
      <c r="MX75" s="5">
        <f t="shared" si="56"/>
        <v>1.3991483076923079</v>
      </c>
      <c r="MY75" s="5">
        <f t="shared" si="56"/>
        <v>1.3910400000000003</v>
      </c>
      <c r="MZ75" s="5">
        <f t="shared" si="56"/>
        <v>1.3870523076923085</v>
      </c>
      <c r="NA75" s="5">
        <f t="shared" si="56"/>
        <v>1.3743049846153845</v>
      </c>
      <c r="NB75" s="5">
        <f t="shared" si="56"/>
        <v>1.3527847384615386</v>
      </c>
      <c r="NC75" s="5">
        <f t="shared" si="56"/>
        <v>1.3534305882352942</v>
      </c>
      <c r="ND75" s="5">
        <f t="shared" si="56"/>
        <v>39.233615261538461</v>
      </c>
      <c r="NE75" s="5">
        <f t="shared" si="56"/>
        <v>30.97377526153846</v>
      </c>
      <c r="NF75" s="5">
        <f t="shared" si="56"/>
        <v>32.411112369230757</v>
      </c>
      <c r="NG75" s="5">
        <f t="shared" si="56"/>
        <v>34.705284923076924</v>
      </c>
      <c r="NH75" s="5">
        <f t="shared" si="56"/>
        <v>52.083342276923091</v>
      </c>
      <c r="NI75" s="5">
        <f t="shared" si="56"/>
        <v>107.30082461538457</v>
      </c>
      <c r="NJ75" s="5">
        <f t="shared" si="56"/>
        <v>221.06277415384616</v>
      </c>
      <c r="NK75" s="5">
        <f t="shared" si="56"/>
        <v>239.11106953846161</v>
      </c>
      <c r="NL75" s="5">
        <f t="shared" si="56"/>
        <v>228.05612307692303</v>
      </c>
      <c r="NM75" s="5">
        <f t="shared" si="56"/>
        <v>153.61242092307688</v>
      </c>
      <c r="NN75" s="5">
        <f t="shared" si="56"/>
        <v>75.901735384615392</v>
      </c>
      <c r="NO75" s="5">
        <f t="shared" si="56"/>
        <v>48.62326153846152</v>
      </c>
      <c r="NP75" s="5">
        <f t="shared" si="56"/>
        <v>1263.0753393230768</v>
      </c>
      <c r="NQ75" s="5">
        <f t="shared" si="56"/>
        <v>13.381897846153851</v>
      </c>
      <c r="NR75" s="5">
        <f t="shared" si="56"/>
        <v>42597.584615384614</v>
      </c>
      <c r="NS75" s="5">
        <f t="shared" si="56"/>
        <v>0.91315495384615386</v>
      </c>
      <c r="NT75" s="5">
        <f t="shared" si="56"/>
        <v>42465.953846153847</v>
      </c>
      <c r="NU75" s="5">
        <f t="shared" si="56"/>
        <v>4002.1611341245043</v>
      </c>
      <c r="NV75" s="5"/>
      <c r="NW75" s="5">
        <f t="shared" ref="NW75:OE75" si="57">AVERAGE(NW3:NW69)</f>
        <v>1001.2265545846154</v>
      </c>
      <c r="NX75" s="5">
        <f t="shared" si="57"/>
        <v>78.996791250764531</v>
      </c>
      <c r="NY75" s="5">
        <f t="shared" si="57"/>
        <v>795.53079138461544</v>
      </c>
      <c r="NZ75" s="5">
        <f t="shared" si="57"/>
        <v>62.63632012843977</v>
      </c>
      <c r="OA75" s="5">
        <f t="shared" si="57"/>
        <v>261.84878473846157</v>
      </c>
      <c r="OB75" s="5">
        <f t="shared" si="57"/>
        <v>21.003208749235473</v>
      </c>
      <c r="OC75" s="5">
        <f t="shared" si="57"/>
        <v>271.85254892307694</v>
      </c>
      <c r="OD75" s="5">
        <f t="shared" si="57"/>
        <v>21.391719395847911</v>
      </c>
      <c r="OE75" s="5">
        <f t="shared" si="57"/>
        <v>295.11106058950406</v>
      </c>
      <c r="OF75" s="5">
        <f t="shared" ref="OF75" si="58">AVERAGE(OF3:OF69)</f>
        <v>9.3579103434013202</v>
      </c>
    </row>
    <row r="76" spans="1:396" customFormat="1" ht="15.75" x14ac:dyDescent="0.25">
      <c r="A76" s="16" t="s">
        <v>52</v>
      </c>
      <c r="B76" s="17">
        <f>STDEVP(B3:B69,B75)</f>
        <v>0.20542924227242002</v>
      </c>
      <c r="C76" s="17">
        <f t="shared" ref="C76:BN76" si="59">STDEVP(C3:C69,C75)</f>
        <v>0.22169038780990699</v>
      </c>
      <c r="D76" s="17">
        <f t="shared" si="59"/>
        <v>0.24758300523936924</v>
      </c>
      <c r="E76" s="17">
        <f t="shared" si="59"/>
        <v>0.24945661465185939</v>
      </c>
      <c r="F76" s="17">
        <f t="shared" si="59"/>
        <v>0.24580542587170934</v>
      </c>
      <c r="G76" s="17">
        <f t="shared" si="59"/>
        <v>0.24851628922818908</v>
      </c>
      <c r="H76" s="17">
        <f t="shared" si="59"/>
        <v>0.24622674478861276</v>
      </c>
      <c r="I76" s="17">
        <f t="shared" si="59"/>
        <v>0.2504248653770802</v>
      </c>
      <c r="J76" s="17">
        <f t="shared" si="59"/>
        <v>0.25057512666179149</v>
      </c>
      <c r="K76" s="17">
        <f t="shared" si="59"/>
        <v>0.24936008857789688</v>
      </c>
      <c r="L76" s="17">
        <f t="shared" si="59"/>
        <v>0.24059736744806384</v>
      </c>
      <c r="M76" s="17">
        <f t="shared" si="59"/>
        <v>0.24704132469372492</v>
      </c>
      <c r="N76" s="17">
        <f t="shared" si="59"/>
        <v>0.26129688021491909</v>
      </c>
      <c r="O76" s="17">
        <f t="shared" si="59"/>
        <v>0.24924872238330972</v>
      </c>
      <c r="P76" s="17">
        <f t="shared" si="59"/>
        <v>0.24103811672893227</v>
      </c>
      <c r="Q76" s="17">
        <f t="shared" si="59"/>
        <v>0.26399918551838908</v>
      </c>
      <c r="R76" s="17">
        <f t="shared" si="59"/>
        <v>0.25201214553908263</v>
      </c>
      <c r="S76" s="17">
        <f t="shared" si="59"/>
        <v>0.25956087125000787</v>
      </c>
      <c r="T76" s="17">
        <f t="shared" si="59"/>
        <v>0.27642372350333294</v>
      </c>
      <c r="U76" s="17">
        <f t="shared" si="59"/>
        <v>0.27067900392462824</v>
      </c>
      <c r="V76" s="17">
        <f t="shared" si="59"/>
        <v>0.26678423289949355</v>
      </c>
      <c r="W76" s="17">
        <f t="shared" si="59"/>
        <v>0.26434682618131639</v>
      </c>
      <c r="X76" s="17">
        <f t="shared" si="59"/>
        <v>0.25958302016615115</v>
      </c>
      <c r="Y76" s="17">
        <f t="shared" si="59"/>
        <v>0.26966039384872981</v>
      </c>
      <c r="Z76" s="17">
        <f t="shared" si="59"/>
        <v>0.27618919741608772</v>
      </c>
      <c r="AA76" s="17">
        <f t="shared" si="59"/>
        <v>0.277933443292391</v>
      </c>
      <c r="AB76" s="17">
        <f t="shared" si="59"/>
        <v>0.28860019395251074</v>
      </c>
      <c r="AC76" s="17">
        <f t="shared" si="59"/>
        <v>0.28739227171319265</v>
      </c>
      <c r="AD76" s="17">
        <f t="shared" si="59"/>
        <v>0.28385396098209487</v>
      </c>
      <c r="AE76" s="17">
        <f t="shared" si="59"/>
        <v>0.28236032748294904</v>
      </c>
      <c r="AF76" s="17">
        <f t="shared" si="59"/>
        <v>0.28323507625281447</v>
      </c>
      <c r="AG76" s="17">
        <f t="shared" si="59"/>
        <v>0.2880344097150237</v>
      </c>
      <c r="AH76" s="17">
        <f t="shared" si="59"/>
        <v>0.29000441904919572</v>
      </c>
      <c r="AI76" s="17">
        <f t="shared" si="59"/>
        <v>0.29069291650977069</v>
      </c>
      <c r="AJ76" s="17">
        <f t="shared" si="59"/>
        <v>0.28589579571481483</v>
      </c>
      <c r="AK76" s="17">
        <f t="shared" si="59"/>
        <v>0.28254180809267987</v>
      </c>
      <c r="AL76" s="17">
        <f t="shared" si="59"/>
        <v>0.27976764914459629</v>
      </c>
      <c r="AM76" s="17">
        <f t="shared" si="59"/>
        <v>0.26944196924749325</v>
      </c>
      <c r="AN76" s="17">
        <f t="shared" si="59"/>
        <v>0.26346030859887681</v>
      </c>
      <c r="AO76" s="17">
        <f t="shared" si="59"/>
        <v>0.24092352922224317</v>
      </c>
      <c r="AP76" s="17">
        <f t="shared" si="59"/>
        <v>0.23645445006406682</v>
      </c>
      <c r="AQ76" s="17">
        <f t="shared" si="59"/>
        <v>0.24377634494942471</v>
      </c>
      <c r="AR76" s="17">
        <f t="shared" si="59"/>
        <v>0.26010565673389963</v>
      </c>
      <c r="AS76" s="17">
        <f t="shared" si="59"/>
        <v>0.2678413188327548</v>
      </c>
      <c r="AT76" s="17">
        <f t="shared" si="59"/>
        <v>0.26134520710375686</v>
      </c>
      <c r="AU76" s="17">
        <f t="shared" si="59"/>
        <v>0.25699614467506338</v>
      </c>
      <c r="AV76" s="17">
        <f t="shared" si="59"/>
        <v>0.25894948475744345</v>
      </c>
      <c r="AW76" s="17">
        <f t="shared" si="59"/>
        <v>0.26585596525111643</v>
      </c>
      <c r="AX76" s="17">
        <f t="shared" si="59"/>
        <v>0.24806134156058837</v>
      </c>
      <c r="AY76" s="17">
        <f t="shared" si="59"/>
        <v>0.2350134769415273</v>
      </c>
      <c r="AZ76" s="17">
        <f t="shared" si="59"/>
        <v>0.23104413650675876</v>
      </c>
      <c r="BA76" s="17">
        <f t="shared" si="59"/>
        <v>0.23153815117755133</v>
      </c>
      <c r="BB76" s="17">
        <f t="shared" si="59"/>
        <v>0.22410495162108804</v>
      </c>
      <c r="BC76" s="17">
        <f t="shared" si="59"/>
        <v>0.21969661316408617</v>
      </c>
      <c r="BD76" s="17">
        <f t="shared" si="59"/>
        <v>0.21969677553211928</v>
      </c>
      <c r="BE76" s="17">
        <f t="shared" si="59"/>
        <v>0.21509341494440803</v>
      </c>
      <c r="BF76" s="17">
        <f t="shared" si="59"/>
        <v>0.22032111519257017</v>
      </c>
      <c r="BG76" s="17">
        <f t="shared" si="59"/>
        <v>0.2201126925299596</v>
      </c>
      <c r="BH76" s="17">
        <f t="shared" si="59"/>
        <v>0.22923725073017187</v>
      </c>
      <c r="BI76" s="17">
        <f t="shared" si="59"/>
        <v>0.23269802438454459</v>
      </c>
      <c r="BJ76" s="17">
        <f t="shared" si="59"/>
        <v>0.22674377846217858</v>
      </c>
      <c r="BK76" s="17">
        <f t="shared" si="59"/>
        <v>0.22968293377173563</v>
      </c>
      <c r="BL76" s="17">
        <f t="shared" si="59"/>
        <v>0.22901750765852014</v>
      </c>
      <c r="BM76" s="17">
        <f t="shared" si="59"/>
        <v>0.22881306335126425</v>
      </c>
      <c r="BN76" s="17">
        <f t="shared" si="59"/>
        <v>0.23791635503812944</v>
      </c>
      <c r="BO76" s="17">
        <f t="shared" ref="BO76:DZ76" si="60">STDEVP(BO3:BO69,BO75)</f>
        <v>0.2318106099531419</v>
      </c>
      <c r="BP76" s="17">
        <f t="shared" si="60"/>
        <v>0.22348312174043006</v>
      </c>
      <c r="BQ76" s="17">
        <f t="shared" si="60"/>
        <v>0.22365182780539608</v>
      </c>
      <c r="BR76" s="17">
        <f t="shared" si="60"/>
        <v>0.23336896243081773</v>
      </c>
      <c r="BS76" s="17">
        <f t="shared" si="60"/>
        <v>0.2469342831128773</v>
      </c>
      <c r="BT76" s="17">
        <f t="shared" si="60"/>
        <v>0.25830907382653834</v>
      </c>
      <c r="BU76" s="17">
        <f t="shared" si="60"/>
        <v>0.2606919754628742</v>
      </c>
      <c r="BV76" s="17">
        <f t="shared" si="60"/>
        <v>0.26747573537094832</v>
      </c>
      <c r="BW76" s="17">
        <f t="shared" si="60"/>
        <v>0.24804028735091535</v>
      </c>
      <c r="BX76" s="17">
        <f t="shared" si="60"/>
        <v>0.24880981159813931</v>
      </c>
      <c r="BY76" s="17">
        <f t="shared" si="60"/>
        <v>0.24093352936708759</v>
      </c>
      <c r="BZ76" s="17">
        <f t="shared" si="60"/>
        <v>0.24476615108475305</v>
      </c>
      <c r="CA76" s="17">
        <f t="shared" si="60"/>
        <v>0.24919591430906268</v>
      </c>
      <c r="CB76" s="17">
        <f t="shared" si="60"/>
        <v>0.24994838517851817</v>
      </c>
      <c r="CC76" s="17">
        <f t="shared" si="60"/>
        <v>0.26210233548104156</v>
      </c>
      <c r="CD76" s="17">
        <f t="shared" si="60"/>
        <v>0.27164419164941156</v>
      </c>
      <c r="CE76" s="17">
        <f t="shared" si="60"/>
        <v>0.26659251126814909</v>
      </c>
      <c r="CF76" s="17">
        <f t="shared" si="60"/>
        <v>0.27836843027563579</v>
      </c>
      <c r="CG76" s="17">
        <f t="shared" si="60"/>
        <v>0.27507896607657506</v>
      </c>
      <c r="CH76" s="17">
        <f t="shared" si="60"/>
        <v>0.27444010987390882</v>
      </c>
      <c r="CI76" s="17">
        <f t="shared" si="60"/>
        <v>0.29266948572655538</v>
      </c>
      <c r="CJ76" s="17">
        <f t="shared" si="60"/>
        <v>0.28147066079685878</v>
      </c>
      <c r="CK76" s="17">
        <f t="shared" si="60"/>
        <v>0.28146474383266779</v>
      </c>
      <c r="CL76" s="17">
        <f t="shared" si="60"/>
        <v>0.28826785420482492</v>
      </c>
      <c r="CM76" s="17">
        <f t="shared" si="60"/>
        <v>0.26430478253761858</v>
      </c>
      <c r="CN76" s="17">
        <f t="shared" si="60"/>
        <v>0.2632505414595826</v>
      </c>
      <c r="CO76" s="17">
        <f t="shared" si="60"/>
        <v>0.25863566964187246</v>
      </c>
      <c r="CP76" s="17">
        <f t="shared" si="60"/>
        <v>0.25775340214238096</v>
      </c>
      <c r="CQ76" s="17">
        <f t="shared" si="60"/>
        <v>0.23369010106417556</v>
      </c>
      <c r="CR76" s="17">
        <f t="shared" si="60"/>
        <v>0.22823717411234995</v>
      </c>
      <c r="CS76" s="17">
        <f t="shared" si="60"/>
        <v>0.23109433757011741</v>
      </c>
      <c r="CT76" s="17">
        <f t="shared" si="60"/>
        <v>0.22684124019060284</v>
      </c>
      <c r="CU76" s="17">
        <f t="shared" si="60"/>
        <v>0.21491199769759783</v>
      </c>
      <c r="CV76" s="17">
        <f t="shared" si="60"/>
        <v>0.20796157604945839</v>
      </c>
      <c r="CW76" s="17">
        <f t="shared" si="60"/>
        <v>0.23421401233348038</v>
      </c>
      <c r="CX76" s="17">
        <f t="shared" si="60"/>
        <v>0.24991428130308882</v>
      </c>
      <c r="CY76" s="17">
        <f t="shared" si="60"/>
        <v>0.22536780878984264</v>
      </c>
      <c r="CZ76" s="17">
        <f t="shared" si="60"/>
        <v>0.21695312022757418</v>
      </c>
      <c r="DA76" s="17">
        <f t="shared" si="60"/>
        <v>0.21521645299955999</v>
      </c>
      <c r="DB76" s="17">
        <f t="shared" si="60"/>
        <v>0.21965283594852381</v>
      </c>
      <c r="DC76" s="17">
        <f t="shared" si="60"/>
        <v>0.20639301075692593</v>
      </c>
      <c r="DD76" s="17">
        <f t="shared" si="60"/>
        <v>0.20741742421658729</v>
      </c>
      <c r="DE76" s="17">
        <f t="shared" si="60"/>
        <v>0.21397139906991913</v>
      </c>
      <c r="DF76" s="17">
        <f t="shared" si="60"/>
        <v>0.22231973125014795</v>
      </c>
      <c r="DG76" s="17">
        <f t="shared" si="60"/>
        <v>0.22225151915048449</v>
      </c>
      <c r="DH76" s="17">
        <f t="shared" si="60"/>
        <v>0.22973533874233376</v>
      </c>
      <c r="DI76" s="17">
        <f t="shared" si="60"/>
        <v>0.22584776459947303</v>
      </c>
      <c r="DJ76" s="17">
        <f t="shared" si="60"/>
        <v>0.23405223566559316</v>
      </c>
      <c r="DK76" s="17">
        <f t="shared" si="60"/>
        <v>0.25523848863963067</v>
      </c>
      <c r="DL76" s="17">
        <f t="shared" si="60"/>
        <v>0.25291279798033794</v>
      </c>
      <c r="DM76" s="17">
        <f t="shared" si="60"/>
        <v>0.24822346007760721</v>
      </c>
      <c r="DN76" s="17">
        <f t="shared" si="60"/>
        <v>0.26303919401234199</v>
      </c>
      <c r="DO76" s="17">
        <f t="shared" si="60"/>
        <v>0.28165188369838223</v>
      </c>
      <c r="DP76" s="17">
        <f t="shared" si="60"/>
        <v>0.30613345604273134</v>
      </c>
      <c r="DQ76" s="17">
        <f t="shared" si="60"/>
        <v>0.32089549755191238</v>
      </c>
      <c r="DR76" s="17">
        <f t="shared" si="60"/>
        <v>0.33943815995901888</v>
      </c>
      <c r="DS76" s="17">
        <f t="shared" si="60"/>
        <v>0.34170963909610536</v>
      </c>
      <c r="DT76" s="17">
        <f t="shared" si="60"/>
        <v>0.29168872466511725</v>
      </c>
      <c r="DU76" s="17">
        <f t="shared" si="60"/>
        <v>0.26975142463138685</v>
      </c>
      <c r="DV76" s="17">
        <f t="shared" si="60"/>
        <v>0.26179859156695007</v>
      </c>
      <c r="DW76" s="17">
        <f t="shared" si="60"/>
        <v>0.26543278084848304</v>
      </c>
      <c r="DX76" s="17">
        <f t="shared" si="60"/>
        <v>0.2911804272835084</v>
      </c>
      <c r="DY76" s="17">
        <f t="shared" si="60"/>
        <v>0.31116519550332195</v>
      </c>
      <c r="DZ76" s="17">
        <f t="shared" si="60"/>
        <v>0.32879329113343791</v>
      </c>
      <c r="EA76" s="17">
        <f t="shared" ref="EA76:GL76" si="61">STDEVP(EA3:EA69,EA75)</f>
        <v>0.33609182341230859</v>
      </c>
      <c r="EB76" s="17">
        <f t="shared" si="61"/>
        <v>0.34424674534965027</v>
      </c>
      <c r="EC76" s="17">
        <f t="shared" si="61"/>
        <v>0.35275297991103705</v>
      </c>
      <c r="ED76" s="17">
        <f t="shared" si="61"/>
        <v>0.34758940418881423</v>
      </c>
      <c r="EE76" s="17">
        <f t="shared" si="61"/>
        <v>0.38473638092936968</v>
      </c>
      <c r="EF76" s="17">
        <f t="shared" si="61"/>
        <v>0.40855297227288273</v>
      </c>
      <c r="EG76" s="17">
        <f t="shared" si="61"/>
        <v>0.4078841966506534</v>
      </c>
      <c r="EH76" s="17">
        <f t="shared" si="61"/>
        <v>0.40159424420960915</v>
      </c>
      <c r="EI76" s="17">
        <f t="shared" si="61"/>
        <v>0.43120143827838686</v>
      </c>
      <c r="EJ76" s="17">
        <f t="shared" si="61"/>
        <v>0.45773448456945243</v>
      </c>
      <c r="EK76" s="17">
        <f t="shared" si="61"/>
        <v>0.45258782940214387</v>
      </c>
      <c r="EL76" s="17">
        <f t="shared" si="61"/>
        <v>0.48130230405095098</v>
      </c>
      <c r="EM76" s="17">
        <f t="shared" si="61"/>
        <v>0.46681197857606083</v>
      </c>
      <c r="EN76" s="17">
        <f t="shared" si="61"/>
        <v>0.52264747715825866</v>
      </c>
      <c r="EO76" s="17">
        <f t="shared" si="61"/>
        <v>0.54672051595031945</v>
      </c>
      <c r="EP76" s="17">
        <f t="shared" si="61"/>
        <v>0.56884336023098703</v>
      </c>
      <c r="EQ76" s="17">
        <f t="shared" si="61"/>
        <v>0.56729800264724595</v>
      </c>
      <c r="ER76" s="17">
        <f t="shared" si="61"/>
        <v>0.57671491409716202</v>
      </c>
      <c r="ES76" s="17">
        <f t="shared" si="61"/>
        <v>0.58008929277255894</v>
      </c>
      <c r="ET76" s="17">
        <f t="shared" si="61"/>
        <v>0.58818423989557822</v>
      </c>
      <c r="EU76" s="17">
        <f t="shared" si="61"/>
        <v>0.58835600906896246</v>
      </c>
      <c r="EV76" s="17">
        <f t="shared" si="61"/>
        <v>0.58592209855524646</v>
      </c>
      <c r="EW76" s="17">
        <f t="shared" si="61"/>
        <v>0.59717168035748347</v>
      </c>
      <c r="EX76" s="17">
        <f t="shared" si="61"/>
        <v>0.65420005423204464</v>
      </c>
      <c r="EY76" s="17">
        <f t="shared" si="61"/>
        <v>0.73440281673174546</v>
      </c>
      <c r="EZ76" s="17">
        <f t="shared" si="61"/>
        <v>0.78816262153001537</v>
      </c>
      <c r="FA76" s="17">
        <f t="shared" si="61"/>
        <v>0.77873476920565721</v>
      </c>
      <c r="FB76" s="17">
        <f t="shared" si="61"/>
        <v>0.77701460482534634</v>
      </c>
      <c r="FC76" s="17">
        <f t="shared" si="61"/>
        <v>0.80846122660429232</v>
      </c>
      <c r="FD76" s="17">
        <f t="shared" si="61"/>
        <v>0.84596694812983808</v>
      </c>
      <c r="FE76" s="17">
        <f t="shared" si="61"/>
        <v>0.9032307268070503</v>
      </c>
      <c r="FF76" s="17">
        <f t="shared" si="61"/>
        <v>0.90676539280068347</v>
      </c>
      <c r="FG76" s="17">
        <f t="shared" si="61"/>
        <v>0.90864221027514713</v>
      </c>
      <c r="FH76" s="17">
        <f t="shared" si="61"/>
        <v>0.92986836716974841</v>
      </c>
      <c r="FI76" s="17">
        <f t="shared" si="61"/>
        <v>0.95538822268944934</v>
      </c>
      <c r="FJ76" s="17">
        <f t="shared" si="61"/>
        <v>0.93143172213128334</v>
      </c>
      <c r="FK76" s="17">
        <f t="shared" si="61"/>
        <v>0.94496055008165636</v>
      </c>
      <c r="FL76" s="17">
        <f t="shared" si="61"/>
        <v>1.0064855186585489</v>
      </c>
      <c r="FM76" s="17">
        <f t="shared" si="61"/>
        <v>1.1257542846593107</v>
      </c>
      <c r="FN76" s="17">
        <f t="shared" si="61"/>
        <v>1.177864744579153</v>
      </c>
      <c r="FO76" s="17">
        <f t="shared" si="61"/>
        <v>1.2085024839091343</v>
      </c>
      <c r="FP76" s="17">
        <f t="shared" si="61"/>
        <v>1.2613978573284197</v>
      </c>
      <c r="FQ76" s="17">
        <f t="shared" si="61"/>
        <v>1.316590953301779</v>
      </c>
      <c r="FR76" s="17">
        <f t="shared" si="61"/>
        <v>1.5029437996343349</v>
      </c>
      <c r="FS76" s="17">
        <f t="shared" si="61"/>
        <v>1.7159461126811999</v>
      </c>
      <c r="FT76" s="17">
        <f t="shared" si="61"/>
        <v>1.7306095853367147</v>
      </c>
      <c r="FU76" s="17">
        <f t="shared" si="61"/>
        <v>1.6541129898450904</v>
      </c>
      <c r="FV76" s="17">
        <f t="shared" si="61"/>
        <v>1.619896351593352</v>
      </c>
      <c r="FW76" s="17">
        <f t="shared" si="61"/>
        <v>1.7274146566644935</v>
      </c>
      <c r="FX76" s="17">
        <f t="shared" si="61"/>
        <v>1.8180045904864872</v>
      </c>
      <c r="FY76" s="17">
        <f t="shared" si="61"/>
        <v>2.0170109085016867</v>
      </c>
      <c r="FZ76" s="17">
        <f t="shared" si="61"/>
        <v>1.9940325925700426</v>
      </c>
      <c r="GA76" s="17">
        <f t="shared" si="61"/>
        <v>2.0134774551039878</v>
      </c>
      <c r="GB76" s="17">
        <f t="shared" si="61"/>
        <v>2.0792581517392801</v>
      </c>
      <c r="GC76" s="17">
        <f t="shared" si="61"/>
        <v>2.0953170633002589</v>
      </c>
      <c r="GD76" s="17">
        <f t="shared" si="61"/>
        <v>2.1965582330436701</v>
      </c>
      <c r="GE76" s="17">
        <f t="shared" si="61"/>
        <v>2.1517857662776847</v>
      </c>
      <c r="GF76" s="17">
        <f t="shared" si="61"/>
        <v>2.1411840287746688</v>
      </c>
      <c r="GG76" s="17">
        <f t="shared" si="61"/>
        <v>2.1703883177526628</v>
      </c>
      <c r="GH76" s="17">
        <f t="shared" si="61"/>
        <v>2.3733063963731533</v>
      </c>
      <c r="GI76" s="17">
        <f t="shared" si="61"/>
        <v>2.4749616398237753</v>
      </c>
      <c r="GJ76" s="17">
        <f t="shared" si="61"/>
        <v>2.6065901222471455</v>
      </c>
      <c r="GK76" s="17">
        <f t="shared" si="61"/>
        <v>2.745837058923414</v>
      </c>
      <c r="GL76" s="17">
        <f t="shared" si="61"/>
        <v>2.7635990447629699</v>
      </c>
      <c r="GM76" s="17">
        <f t="shared" ref="GM76:IX76" si="62">STDEVP(GM3:GM69,GM75)</f>
        <v>2.7198282536711726</v>
      </c>
      <c r="GN76" s="17">
        <f t="shared" si="62"/>
        <v>2.5516679274209646</v>
      </c>
      <c r="GO76" s="17">
        <f t="shared" si="62"/>
        <v>2.3900056362872397</v>
      </c>
      <c r="GP76" s="17">
        <f t="shared" si="62"/>
        <v>2.5217088228976161</v>
      </c>
      <c r="GQ76" s="17">
        <f t="shared" si="62"/>
        <v>2.693753030470122</v>
      </c>
      <c r="GR76" s="17">
        <f t="shared" si="62"/>
        <v>2.7875861367394763</v>
      </c>
      <c r="GS76" s="17">
        <f t="shared" si="62"/>
        <v>2.7344754351422429</v>
      </c>
      <c r="GT76" s="17">
        <f t="shared" si="62"/>
        <v>2.6684304838115649</v>
      </c>
      <c r="GU76" s="17">
        <f t="shared" si="62"/>
        <v>2.7346835964512008</v>
      </c>
      <c r="GV76" s="17">
        <f t="shared" si="62"/>
        <v>2.6478719596939979</v>
      </c>
      <c r="GW76" s="17">
        <f t="shared" si="62"/>
        <v>2.559014622413561</v>
      </c>
      <c r="GX76" s="17">
        <f t="shared" si="62"/>
        <v>2.4795867233254301</v>
      </c>
      <c r="GY76" s="17">
        <f t="shared" si="62"/>
        <v>2.6097337542754744</v>
      </c>
      <c r="GZ76" s="17">
        <f t="shared" si="62"/>
        <v>2.7572868631353904</v>
      </c>
      <c r="HA76" s="17">
        <f t="shared" si="62"/>
        <v>2.7418171801053974</v>
      </c>
      <c r="HB76" s="17">
        <f t="shared" si="62"/>
        <v>2.614211785670594</v>
      </c>
      <c r="HC76" s="17">
        <f t="shared" si="62"/>
        <v>2.6788919716002693</v>
      </c>
      <c r="HD76" s="17">
        <f t="shared" si="62"/>
        <v>2.6895350057068486</v>
      </c>
      <c r="HE76" s="17">
        <f t="shared" si="62"/>
        <v>2.6830844434728824</v>
      </c>
      <c r="HF76" s="17">
        <f t="shared" si="62"/>
        <v>2.6392327309599004</v>
      </c>
      <c r="HG76" s="17">
        <f t="shared" si="62"/>
        <v>2.5925459542509524</v>
      </c>
      <c r="HH76" s="17">
        <f t="shared" si="62"/>
        <v>2.6504429729878538</v>
      </c>
      <c r="HI76" s="17">
        <f t="shared" si="62"/>
        <v>2.7370292585321199</v>
      </c>
      <c r="HJ76" s="17">
        <f t="shared" si="62"/>
        <v>2.8657810081076027</v>
      </c>
      <c r="HK76" s="17">
        <f t="shared" si="62"/>
        <v>2.9106243664198006</v>
      </c>
      <c r="HL76" s="17">
        <f t="shared" si="62"/>
        <v>3.0159651622687953</v>
      </c>
      <c r="HM76" s="17">
        <f t="shared" si="62"/>
        <v>3.0399271072247318</v>
      </c>
      <c r="HN76" s="17">
        <f t="shared" si="62"/>
        <v>2.9861242694326324</v>
      </c>
      <c r="HO76" s="17">
        <f t="shared" si="62"/>
        <v>3.0255581187887346</v>
      </c>
      <c r="HP76" s="17">
        <f t="shared" si="62"/>
        <v>3.23313608450038</v>
      </c>
      <c r="HQ76" s="17">
        <f t="shared" si="62"/>
        <v>3.512645338334019</v>
      </c>
      <c r="HR76" s="17">
        <f t="shared" si="62"/>
        <v>3.5673009531196187</v>
      </c>
      <c r="HS76" s="17">
        <f t="shared" si="62"/>
        <v>3.5174449825597578</v>
      </c>
      <c r="HT76" s="17">
        <f t="shared" si="62"/>
        <v>3.4215086935252832</v>
      </c>
      <c r="HU76" s="17">
        <f t="shared" si="62"/>
        <v>3.3237753789728748</v>
      </c>
      <c r="HV76" s="17">
        <f t="shared" si="62"/>
        <v>3.2653346555036253</v>
      </c>
      <c r="HW76" s="17">
        <f t="shared" si="62"/>
        <v>3.2913544666982495</v>
      </c>
      <c r="HX76" s="17">
        <f t="shared" si="62"/>
        <v>3.2818857170678073</v>
      </c>
      <c r="HY76" s="17">
        <f t="shared" si="62"/>
        <v>3.3441417953997252</v>
      </c>
      <c r="HZ76" s="17">
        <f t="shared" si="62"/>
        <v>3.1280813416340596</v>
      </c>
      <c r="IA76" s="17">
        <f t="shared" si="62"/>
        <v>2.9219739913295193</v>
      </c>
      <c r="IB76" s="17">
        <f t="shared" si="62"/>
        <v>2.7177632416310296</v>
      </c>
      <c r="IC76" s="17">
        <f t="shared" si="62"/>
        <v>2.6317071039936497</v>
      </c>
      <c r="ID76" s="17">
        <f t="shared" si="62"/>
        <v>2.651524050330349</v>
      </c>
      <c r="IE76" s="17">
        <f t="shared" si="62"/>
        <v>2.7728675422535689</v>
      </c>
      <c r="IF76" s="17">
        <f t="shared" si="62"/>
        <v>3.0613568362155896</v>
      </c>
      <c r="IG76" s="17">
        <f t="shared" si="62"/>
        <v>3.2371300502046396</v>
      </c>
      <c r="IH76" s="17">
        <f t="shared" si="62"/>
        <v>3.3647178816151837</v>
      </c>
      <c r="II76" s="17">
        <f t="shared" si="62"/>
        <v>3.3765281829675646</v>
      </c>
      <c r="IJ76" s="17">
        <f t="shared" si="62"/>
        <v>3.5237329792857048</v>
      </c>
      <c r="IK76" s="17">
        <f t="shared" si="62"/>
        <v>3.6596933041830808</v>
      </c>
      <c r="IL76" s="17">
        <f t="shared" si="62"/>
        <v>3.7070092231078933</v>
      </c>
      <c r="IM76" s="17">
        <f t="shared" si="62"/>
        <v>3.6151332636639886</v>
      </c>
      <c r="IN76" s="17">
        <f t="shared" si="62"/>
        <v>3.4691369240341827</v>
      </c>
      <c r="IO76" s="17">
        <f t="shared" si="62"/>
        <v>3.4282776075844867</v>
      </c>
      <c r="IP76" s="17">
        <f t="shared" si="62"/>
        <v>3.3961787760025293</v>
      </c>
      <c r="IQ76" s="17">
        <f t="shared" si="62"/>
        <v>3.1200882848746376</v>
      </c>
      <c r="IR76" s="17">
        <f t="shared" si="62"/>
        <v>3.0645290688445987</v>
      </c>
      <c r="IS76" s="17">
        <f t="shared" si="62"/>
        <v>2.9191725652433371</v>
      </c>
      <c r="IT76" s="17">
        <f t="shared" si="62"/>
        <v>2.6913540630988764</v>
      </c>
      <c r="IU76" s="17">
        <f t="shared" si="62"/>
        <v>2.455401757081551</v>
      </c>
      <c r="IV76" s="17">
        <f t="shared" si="62"/>
        <v>2.3605500476154573</v>
      </c>
      <c r="IW76" s="17">
        <f t="shared" si="62"/>
        <v>2.2877168478437619</v>
      </c>
      <c r="IX76" s="17">
        <f t="shared" si="62"/>
        <v>2.2621495604771531</v>
      </c>
      <c r="IY76" s="17">
        <f t="shared" ref="IY76:LJ76" si="63">STDEVP(IY3:IY69,IY75)</f>
        <v>2.2967712288616093</v>
      </c>
      <c r="IZ76" s="17">
        <f t="shared" si="63"/>
        <v>2.2771076075559891</v>
      </c>
      <c r="JA76" s="17">
        <f t="shared" si="63"/>
        <v>2.203883203984129</v>
      </c>
      <c r="JB76" s="17">
        <f t="shared" si="63"/>
        <v>2.166818399022362</v>
      </c>
      <c r="JC76" s="17">
        <f t="shared" si="63"/>
        <v>2.1399017577324226</v>
      </c>
      <c r="JD76" s="17">
        <f t="shared" si="63"/>
        <v>2.2617253744485342</v>
      </c>
      <c r="JE76" s="17">
        <f t="shared" si="63"/>
        <v>2.4035443824574019</v>
      </c>
      <c r="JF76" s="17">
        <f t="shared" si="63"/>
        <v>2.3373500205046214</v>
      </c>
      <c r="JG76" s="17">
        <f t="shared" si="63"/>
        <v>2.1949136480648908</v>
      </c>
      <c r="JH76" s="17">
        <f t="shared" si="63"/>
        <v>2.0931824576430538</v>
      </c>
      <c r="JI76" s="17">
        <f t="shared" si="63"/>
        <v>2.0203866233675445</v>
      </c>
      <c r="JJ76" s="17">
        <f t="shared" si="63"/>
        <v>1.9854214411207691</v>
      </c>
      <c r="JK76" s="17">
        <f t="shared" si="63"/>
        <v>1.8620314504635092</v>
      </c>
      <c r="JL76" s="17">
        <f t="shared" si="63"/>
        <v>1.7156980134532023</v>
      </c>
      <c r="JM76" s="17">
        <f t="shared" si="63"/>
        <v>1.730903239433019</v>
      </c>
      <c r="JN76" s="17">
        <f t="shared" si="63"/>
        <v>1.8229477265614731</v>
      </c>
      <c r="JO76" s="17">
        <f t="shared" si="63"/>
        <v>1.7601388092648411</v>
      </c>
      <c r="JP76" s="17">
        <f t="shared" si="63"/>
        <v>1.7488763743653915</v>
      </c>
      <c r="JQ76" s="17">
        <f t="shared" si="63"/>
        <v>1.7266167140232953</v>
      </c>
      <c r="JR76" s="17">
        <f t="shared" si="63"/>
        <v>1.7677189362290089</v>
      </c>
      <c r="JS76" s="17">
        <f t="shared" si="63"/>
        <v>1.7942717482851596</v>
      </c>
      <c r="JT76" s="17">
        <f t="shared" si="63"/>
        <v>1.7852861771596971</v>
      </c>
      <c r="JU76" s="17">
        <f t="shared" si="63"/>
        <v>1.8296110093363471</v>
      </c>
      <c r="JV76" s="17">
        <f t="shared" si="63"/>
        <v>1.8917004335093104</v>
      </c>
      <c r="JW76" s="17">
        <f t="shared" si="63"/>
        <v>1.8701009199731622</v>
      </c>
      <c r="JX76" s="17">
        <f t="shared" si="63"/>
        <v>1.8785780777479557</v>
      </c>
      <c r="JY76" s="17">
        <f t="shared" si="63"/>
        <v>1.883461704365083</v>
      </c>
      <c r="JZ76" s="17">
        <f t="shared" si="63"/>
        <v>1.8710925258228699</v>
      </c>
      <c r="KA76" s="17">
        <f t="shared" si="63"/>
        <v>1.8048871934896562</v>
      </c>
      <c r="KB76" s="17">
        <f t="shared" si="63"/>
        <v>1.6294807076474618</v>
      </c>
      <c r="KC76" s="17">
        <f t="shared" si="63"/>
        <v>1.4405987503732873</v>
      </c>
      <c r="KD76" s="17">
        <f t="shared" si="63"/>
        <v>1.2806878647391204</v>
      </c>
      <c r="KE76" s="17">
        <f t="shared" si="63"/>
        <v>1.1822626283023088</v>
      </c>
      <c r="KF76" s="17">
        <f t="shared" si="63"/>
        <v>1.174842109210549</v>
      </c>
      <c r="KG76" s="17">
        <f t="shared" si="63"/>
        <v>1.2085888728945375</v>
      </c>
      <c r="KH76" s="17">
        <f t="shared" si="63"/>
        <v>1.1722713132142941</v>
      </c>
      <c r="KI76" s="17">
        <f t="shared" si="63"/>
        <v>1.1705628205068677</v>
      </c>
      <c r="KJ76" s="17">
        <f t="shared" si="63"/>
        <v>1.1144560484943848</v>
      </c>
      <c r="KK76" s="17">
        <f t="shared" si="63"/>
        <v>1.0728164375142866</v>
      </c>
      <c r="KL76" s="17">
        <f t="shared" si="63"/>
        <v>1.0457440011101666</v>
      </c>
      <c r="KM76" s="17">
        <f t="shared" si="63"/>
        <v>1.0581239533834979</v>
      </c>
      <c r="KN76" s="17">
        <f t="shared" si="63"/>
        <v>0.99420177191919867</v>
      </c>
      <c r="KO76" s="17">
        <f t="shared" si="63"/>
        <v>0.97793813551814068</v>
      </c>
      <c r="KP76" s="17">
        <f t="shared" si="63"/>
        <v>0.94299967013646424</v>
      </c>
      <c r="KQ76" s="17">
        <f t="shared" si="63"/>
        <v>0.8984256532164937</v>
      </c>
      <c r="KR76" s="17">
        <f t="shared" si="63"/>
        <v>0.89438294752874281</v>
      </c>
      <c r="KS76" s="17">
        <f t="shared" si="63"/>
        <v>0.84199311270840138</v>
      </c>
      <c r="KT76" s="17">
        <f t="shared" si="63"/>
        <v>0.81429922816712419</v>
      </c>
      <c r="KU76" s="17">
        <f t="shared" si="63"/>
        <v>0.7969364653887302</v>
      </c>
      <c r="KV76" s="17">
        <f t="shared" si="63"/>
        <v>0.81763614182020883</v>
      </c>
      <c r="KW76" s="17">
        <f t="shared" si="63"/>
        <v>0.79830628661442671</v>
      </c>
      <c r="KX76" s="17">
        <f t="shared" si="63"/>
        <v>0.74003867286737102</v>
      </c>
      <c r="KY76" s="17">
        <f t="shared" si="63"/>
        <v>0.70582047647187995</v>
      </c>
      <c r="KZ76" s="17">
        <f t="shared" si="63"/>
        <v>0.66946799294318926</v>
      </c>
      <c r="LA76" s="17">
        <f t="shared" si="63"/>
        <v>0.64340895368038009</v>
      </c>
      <c r="LB76" s="17">
        <f t="shared" si="63"/>
        <v>0.61145494089155616</v>
      </c>
      <c r="LC76" s="17">
        <f t="shared" si="63"/>
        <v>0.61910103512275461</v>
      </c>
      <c r="LD76" s="17">
        <f t="shared" si="63"/>
        <v>0.65407572032046424</v>
      </c>
      <c r="LE76" s="17">
        <f t="shared" si="63"/>
        <v>0.65301121124506556</v>
      </c>
      <c r="LF76" s="17">
        <f t="shared" si="63"/>
        <v>0.63044970930348043</v>
      </c>
      <c r="LG76" s="17">
        <f t="shared" si="63"/>
        <v>0.5625624802446606</v>
      </c>
      <c r="LH76" s="17">
        <f t="shared" si="63"/>
        <v>0.52763520947106113</v>
      </c>
      <c r="LI76" s="17">
        <f t="shared" si="63"/>
        <v>0.49994836557108752</v>
      </c>
      <c r="LJ76" s="17">
        <f t="shared" si="63"/>
        <v>0.47004301773437562</v>
      </c>
      <c r="LK76" s="17">
        <f t="shared" ref="LK76:NU76" si="64">STDEVP(LK3:LK69,LK75)</f>
        <v>0.46685331572492766</v>
      </c>
      <c r="LL76" s="17">
        <f t="shared" si="64"/>
        <v>0.46301170064449632</v>
      </c>
      <c r="LM76" s="17">
        <f t="shared" si="64"/>
        <v>0.47765693641011653</v>
      </c>
      <c r="LN76" s="17">
        <f t="shared" si="64"/>
        <v>0.50670553132158691</v>
      </c>
      <c r="LO76" s="17">
        <f t="shared" si="64"/>
        <v>0.51698643639672126</v>
      </c>
      <c r="LP76" s="17">
        <f t="shared" si="64"/>
        <v>0.51011959155295294</v>
      </c>
      <c r="LQ76" s="17">
        <f t="shared" si="64"/>
        <v>0.50198620290069396</v>
      </c>
      <c r="LR76" s="17">
        <f t="shared" si="64"/>
        <v>0.49752044083248648</v>
      </c>
      <c r="LS76" s="17">
        <f t="shared" si="64"/>
        <v>0.46578049567538826</v>
      </c>
      <c r="LT76" s="17">
        <f t="shared" si="64"/>
        <v>0.47351956149253449</v>
      </c>
      <c r="LU76" s="17">
        <f t="shared" si="64"/>
        <v>0.42649257154911041</v>
      </c>
      <c r="LV76" s="17">
        <f t="shared" si="64"/>
        <v>0.38809446474593373</v>
      </c>
      <c r="LW76" s="17">
        <f t="shared" si="64"/>
        <v>0.35266549352596616</v>
      </c>
      <c r="LX76" s="17">
        <f t="shared" si="64"/>
        <v>0.33879069771659942</v>
      </c>
      <c r="LY76" s="17">
        <f t="shared" si="64"/>
        <v>0.33847678414690902</v>
      </c>
      <c r="LZ76" s="17">
        <f t="shared" si="64"/>
        <v>0.3372280633570155</v>
      </c>
      <c r="MA76" s="17">
        <f t="shared" si="64"/>
        <v>0.34342494860803757</v>
      </c>
      <c r="MB76" s="17">
        <f t="shared" si="64"/>
        <v>0.33670701655463603</v>
      </c>
      <c r="MC76" s="17">
        <f t="shared" si="64"/>
        <v>0.32616536262714918</v>
      </c>
      <c r="MD76" s="17">
        <f t="shared" si="64"/>
        <v>0.31771640331860368</v>
      </c>
      <c r="ME76" s="17">
        <f t="shared" si="64"/>
        <v>0.31140805524615173</v>
      </c>
      <c r="MF76" s="17">
        <f t="shared" si="64"/>
        <v>0.3144602784907935</v>
      </c>
      <c r="MG76" s="17">
        <f t="shared" si="64"/>
        <v>0.30593846445491218</v>
      </c>
      <c r="MH76" s="17">
        <f t="shared" si="64"/>
        <v>0.29577059317274207</v>
      </c>
      <c r="MI76" s="17">
        <f t="shared" si="64"/>
        <v>0.28873115581049391</v>
      </c>
      <c r="MJ76" s="17">
        <f t="shared" si="64"/>
        <v>0.28872651042517594</v>
      </c>
      <c r="MK76" s="17">
        <f t="shared" si="64"/>
        <v>0.29341691379485912</v>
      </c>
      <c r="ML76" s="17">
        <f t="shared" si="64"/>
        <v>0.29979234447748221</v>
      </c>
      <c r="MM76" s="17">
        <f t="shared" si="64"/>
        <v>0.28368119837026368</v>
      </c>
      <c r="MN76" s="17">
        <f t="shared" si="64"/>
        <v>0.2843581543990521</v>
      </c>
      <c r="MO76" s="17">
        <f t="shared" si="64"/>
        <v>0.27326384451420105</v>
      </c>
      <c r="MP76" s="17">
        <f t="shared" si="64"/>
        <v>0.26354454637483105</v>
      </c>
      <c r="MQ76" s="17">
        <f t="shared" si="64"/>
        <v>0.25582460117133826</v>
      </c>
      <c r="MR76" s="17">
        <f t="shared" si="64"/>
        <v>0.25240344671545895</v>
      </c>
      <c r="MS76" s="17">
        <f t="shared" si="64"/>
        <v>0.25265584984626582</v>
      </c>
      <c r="MT76" s="17">
        <f t="shared" si="64"/>
        <v>0.24819897101041608</v>
      </c>
      <c r="MU76" s="17">
        <f t="shared" si="64"/>
        <v>0.23988689743351904</v>
      </c>
      <c r="MV76" s="17">
        <f t="shared" si="64"/>
        <v>0.22906301311077215</v>
      </c>
      <c r="MW76" s="17">
        <f t="shared" si="64"/>
        <v>0.22752150411116662</v>
      </c>
      <c r="MX76" s="17">
        <f t="shared" si="64"/>
        <v>0.25973563676314243</v>
      </c>
      <c r="MY76" s="17">
        <f t="shared" si="64"/>
        <v>0.26448716703702546</v>
      </c>
      <c r="MZ76" s="17">
        <f t="shared" si="64"/>
        <v>0.2581728459230862</v>
      </c>
      <c r="NA76" s="17">
        <f t="shared" si="64"/>
        <v>0.24624654854744804</v>
      </c>
      <c r="NB76" s="17">
        <f t="shared" si="64"/>
        <v>0.22512221010619959</v>
      </c>
      <c r="NC76" s="17">
        <f t="shared" si="64"/>
        <v>0.25480988068384902</v>
      </c>
      <c r="ND76" s="17">
        <f t="shared" si="64"/>
        <v>7.4204481833690412</v>
      </c>
      <c r="NE76" s="17">
        <f t="shared" si="64"/>
        <v>6.6432318416498788</v>
      </c>
      <c r="NF76" s="17">
        <f t="shared" si="64"/>
        <v>7.5348584693551546</v>
      </c>
      <c r="NG76" s="17">
        <f t="shared" si="64"/>
        <v>6.037588046065121</v>
      </c>
      <c r="NH76" s="17">
        <f t="shared" si="64"/>
        <v>9.6486024479968631</v>
      </c>
      <c r="NI76" s="17">
        <f t="shared" si="64"/>
        <v>29.715102252813622</v>
      </c>
      <c r="NJ76" s="17">
        <f t="shared" si="64"/>
        <v>57.603329274816126</v>
      </c>
      <c r="NK76" s="17">
        <f t="shared" si="64"/>
        <v>74.735378143258473</v>
      </c>
      <c r="NL76" s="17">
        <f t="shared" si="64"/>
        <v>59.111227284201149</v>
      </c>
      <c r="NM76" s="17">
        <f t="shared" si="64"/>
        <v>36.832422641806488</v>
      </c>
      <c r="NN76" s="17">
        <f t="shared" si="64"/>
        <v>15.524915492478925</v>
      </c>
      <c r="NO76" s="17">
        <f t="shared" si="64"/>
        <v>8.1750822767966014</v>
      </c>
      <c r="NP76" s="17">
        <f t="shared" si="64"/>
        <v>204.51608658482922</v>
      </c>
      <c r="NQ76" s="17">
        <f t="shared" si="64"/>
        <v>3.0394182782338377</v>
      </c>
      <c r="NR76" s="17">
        <f t="shared" si="64"/>
        <v>22.968946300875331</v>
      </c>
      <c r="NS76" s="17">
        <f t="shared" si="64"/>
        <v>0.13312255343973844</v>
      </c>
      <c r="NT76" s="17">
        <f t="shared" si="64"/>
        <v>70.088349174286364</v>
      </c>
      <c r="NU76" s="17">
        <f t="shared" si="64"/>
        <v>648.61263711178572</v>
      </c>
      <c r="NV76" s="17"/>
      <c r="NW76" s="17">
        <f t="shared" ref="NW76:OF76" si="65">STDEVP(NW3:NW69,NW75)</f>
        <v>185.83928602819216</v>
      </c>
      <c r="NX76" s="17">
        <f t="shared" si="65"/>
        <v>2.9624071579560747</v>
      </c>
      <c r="NY76" s="17">
        <f t="shared" si="65"/>
        <v>163.17444011632566</v>
      </c>
      <c r="NZ76" s="17">
        <f t="shared" si="65"/>
        <v>4.0186420458905605</v>
      </c>
      <c r="OA76" s="17">
        <f t="shared" si="65"/>
        <v>37.989608351448396</v>
      </c>
      <c r="OB76" s="17">
        <f t="shared" si="65"/>
        <v>2.9624071579560911</v>
      </c>
      <c r="OC76" s="17">
        <f t="shared" si="65"/>
        <v>62.454854738935289</v>
      </c>
      <c r="OD76" s="17">
        <f t="shared" si="65"/>
        <v>2.4928220805353711</v>
      </c>
      <c r="OE76" s="17">
        <f t="shared" si="65"/>
        <v>47.784132379632318</v>
      </c>
      <c r="OF76" s="17">
        <f t="shared" si="65"/>
        <v>1.5152248978828009</v>
      </c>
    </row>
    <row r="77" spans="1:396" customFormat="1" ht="15.75" x14ac:dyDescent="0.25">
      <c r="A77" s="16" t="s">
        <v>53</v>
      </c>
      <c r="B77" s="17">
        <f>B76/B75</f>
        <v>0.15318260534410735</v>
      </c>
      <c r="C77" s="17">
        <f t="shared" ref="C77:BN77" si="66">C76/C75</f>
        <v>0.16403179024689668</v>
      </c>
      <c r="D77" s="17">
        <f t="shared" si="66"/>
        <v>0.18177062822089535</v>
      </c>
      <c r="E77" s="17">
        <f t="shared" si="66"/>
        <v>0.1833430117781791</v>
      </c>
      <c r="F77" s="17">
        <f t="shared" si="66"/>
        <v>0.18154630222378926</v>
      </c>
      <c r="G77" s="17">
        <f t="shared" si="66"/>
        <v>0.18381917816258975</v>
      </c>
      <c r="H77" s="17">
        <f t="shared" si="66"/>
        <v>0.18373705876738267</v>
      </c>
      <c r="I77" s="17">
        <f t="shared" si="66"/>
        <v>0.18786854691887186</v>
      </c>
      <c r="J77" s="17">
        <f t="shared" si="66"/>
        <v>0.18974281085420824</v>
      </c>
      <c r="K77" s="17">
        <f t="shared" si="66"/>
        <v>0.19046956997592332</v>
      </c>
      <c r="L77" s="17">
        <f t="shared" si="66"/>
        <v>0.18581764083422869</v>
      </c>
      <c r="M77" s="17">
        <f t="shared" si="66"/>
        <v>0.19110439727570264</v>
      </c>
      <c r="N77" s="17">
        <f t="shared" si="66"/>
        <v>0.20228394411403267</v>
      </c>
      <c r="O77" s="17">
        <f t="shared" si="66"/>
        <v>0.19529402018687395</v>
      </c>
      <c r="P77" s="17">
        <f t="shared" si="66"/>
        <v>0.19095896857682465</v>
      </c>
      <c r="Q77" s="17">
        <f t="shared" si="66"/>
        <v>0.20860913416506016</v>
      </c>
      <c r="R77" s="17">
        <f t="shared" si="66"/>
        <v>0.20189171380747023</v>
      </c>
      <c r="S77" s="17">
        <f t="shared" si="66"/>
        <v>0.20837627256951877</v>
      </c>
      <c r="T77" s="17">
        <f t="shared" si="66"/>
        <v>0.22190198296750985</v>
      </c>
      <c r="U77" s="17">
        <f t="shared" si="66"/>
        <v>0.21819838492147445</v>
      </c>
      <c r="V77" s="17">
        <f t="shared" si="66"/>
        <v>0.21691585242069339</v>
      </c>
      <c r="W77" s="17">
        <f t="shared" si="66"/>
        <v>0.21737499298867732</v>
      </c>
      <c r="X77" s="17">
        <f t="shared" si="66"/>
        <v>0.21484081425028703</v>
      </c>
      <c r="Y77" s="17">
        <f t="shared" si="66"/>
        <v>0.22292617744601523</v>
      </c>
      <c r="Z77" s="17">
        <f t="shared" si="66"/>
        <v>0.22950375535200351</v>
      </c>
      <c r="AA77" s="17">
        <f t="shared" si="66"/>
        <v>0.23226153504177624</v>
      </c>
      <c r="AB77" s="17">
        <f t="shared" si="66"/>
        <v>0.24064084396664204</v>
      </c>
      <c r="AC77" s="17">
        <f t="shared" si="66"/>
        <v>0.24308766701496404</v>
      </c>
      <c r="AD77" s="17">
        <f t="shared" si="66"/>
        <v>0.24283875013156581</v>
      </c>
      <c r="AE77" s="17">
        <f t="shared" si="66"/>
        <v>0.24274238084948596</v>
      </c>
      <c r="AF77" s="17">
        <f t="shared" si="66"/>
        <v>0.24450583368545006</v>
      </c>
      <c r="AG77" s="17">
        <f t="shared" si="66"/>
        <v>0.2482643282254878</v>
      </c>
      <c r="AH77" s="17">
        <f t="shared" si="66"/>
        <v>0.25140828155065464</v>
      </c>
      <c r="AI77" s="17">
        <f t="shared" si="66"/>
        <v>0.25261645083460571</v>
      </c>
      <c r="AJ77" s="17">
        <f t="shared" si="66"/>
        <v>0.24926251924893966</v>
      </c>
      <c r="AK77" s="17">
        <f t="shared" si="66"/>
        <v>0.24949866545300481</v>
      </c>
      <c r="AL77" s="17">
        <f t="shared" si="66"/>
        <v>0.24767689329998357</v>
      </c>
      <c r="AM77" s="17">
        <f t="shared" si="66"/>
        <v>0.23923096964283497</v>
      </c>
      <c r="AN77" s="17">
        <f t="shared" si="66"/>
        <v>0.23540356454383474</v>
      </c>
      <c r="AO77" s="17">
        <f t="shared" si="66"/>
        <v>0.21805601505198866</v>
      </c>
      <c r="AP77" s="17">
        <f t="shared" si="66"/>
        <v>0.21479410974919383</v>
      </c>
      <c r="AQ77" s="17">
        <f t="shared" si="66"/>
        <v>0.22060355066141274</v>
      </c>
      <c r="AR77" s="17">
        <f t="shared" si="66"/>
        <v>0.23504418937221416</v>
      </c>
      <c r="AS77" s="17">
        <f t="shared" si="66"/>
        <v>0.24278690544902665</v>
      </c>
      <c r="AT77" s="17">
        <f t="shared" si="66"/>
        <v>0.23842966588853315</v>
      </c>
      <c r="AU77" s="17">
        <f t="shared" si="66"/>
        <v>0.23483785617556374</v>
      </c>
      <c r="AV77" s="17">
        <f t="shared" si="66"/>
        <v>0.236476291464886</v>
      </c>
      <c r="AW77" s="17">
        <f t="shared" si="66"/>
        <v>0.24362325208632171</v>
      </c>
      <c r="AX77" s="17">
        <f t="shared" si="66"/>
        <v>0.22917870838618271</v>
      </c>
      <c r="AY77" s="17">
        <f t="shared" si="66"/>
        <v>0.21750067092011327</v>
      </c>
      <c r="AZ77" s="17">
        <f t="shared" si="66"/>
        <v>0.21514782370359081</v>
      </c>
      <c r="BA77" s="17">
        <f t="shared" si="66"/>
        <v>0.21664292986133041</v>
      </c>
      <c r="BB77" s="17">
        <f t="shared" si="66"/>
        <v>0.2107073363468123</v>
      </c>
      <c r="BC77" s="17">
        <f t="shared" si="66"/>
        <v>0.20878569135578673</v>
      </c>
      <c r="BD77" s="17">
        <f t="shared" si="66"/>
        <v>0.20898383952035485</v>
      </c>
      <c r="BE77" s="17">
        <f t="shared" si="66"/>
        <v>0.20465152729453448</v>
      </c>
      <c r="BF77" s="17">
        <f t="shared" si="66"/>
        <v>0.2097554308043329</v>
      </c>
      <c r="BG77" s="17">
        <f t="shared" si="66"/>
        <v>0.20990232031418896</v>
      </c>
      <c r="BH77" s="17">
        <f t="shared" si="66"/>
        <v>0.2175474680623237</v>
      </c>
      <c r="BI77" s="17">
        <f t="shared" si="66"/>
        <v>0.21966843021156282</v>
      </c>
      <c r="BJ77" s="17">
        <f t="shared" si="66"/>
        <v>0.21480180283600528</v>
      </c>
      <c r="BK77" s="17">
        <f t="shared" si="66"/>
        <v>0.21839744408625825</v>
      </c>
      <c r="BL77" s="17">
        <f t="shared" si="66"/>
        <v>0.21865459835205656</v>
      </c>
      <c r="BM77" s="17">
        <f t="shared" si="66"/>
        <v>0.21925241667810885</v>
      </c>
      <c r="BN77" s="17">
        <f t="shared" si="66"/>
        <v>0.22730077920112518</v>
      </c>
      <c r="BO77" s="17">
        <f t="shared" ref="BO77:DZ77" si="67">BO76/BO75</f>
        <v>0.22178291060878666</v>
      </c>
      <c r="BP77" s="17">
        <f t="shared" si="67"/>
        <v>0.21443195549681582</v>
      </c>
      <c r="BQ77" s="17">
        <f t="shared" si="67"/>
        <v>0.21581594271437915</v>
      </c>
      <c r="BR77" s="17">
        <f t="shared" si="67"/>
        <v>0.22411464136774759</v>
      </c>
      <c r="BS77" s="17">
        <f t="shared" si="67"/>
        <v>0.23568587383153605</v>
      </c>
      <c r="BT77" s="17">
        <f t="shared" si="67"/>
        <v>0.24516772184194399</v>
      </c>
      <c r="BU77" s="17">
        <f t="shared" si="67"/>
        <v>0.24810549949911503</v>
      </c>
      <c r="BV77" s="17">
        <f t="shared" si="67"/>
        <v>0.2545585122178034</v>
      </c>
      <c r="BW77" s="17">
        <f t="shared" si="67"/>
        <v>0.23918732419634101</v>
      </c>
      <c r="BX77" s="17">
        <f t="shared" si="67"/>
        <v>0.24075333102234514</v>
      </c>
      <c r="BY77" s="17">
        <f t="shared" si="67"/>
        <v>0.23255181803174146</v>
      </c>
      <c r="BZ77" s="17">
        <f t="shared" si="67"/>
        <v>0.23601492114464168</v>
      </c>
      <c r="CA77" s="17">
        <f t="shared" si="67"/>
        <v>0.24043730842614133</v>
      </c>
      <c r="CB77" s="17">
        <f t="shared" si="67"/>
        <v>0.24160643604419807</v>
      </c>
      <c r="CC77" s="17">
        <f t="shared" si="67"/>
        <v>0.25150952803565091</v>
      </c>
      <c r="CD77" s="17">
        <f t="shared" si="67"/>
        <v>0.26102199396657072</v>
      </c>
      <c r="CE77" s="17">
        <f t="shared" si="67"/>
        <v>0.25763879421641966</v>
      </c>
      <c r="CF77" s="17">
        <f t="shared" si="67"/>
        <v>0.26743205556661603</v>
      </c>
      <c r="CG77" s="17">
        <f t="shared" si="67"/>
        <v>0.26494850901744937</v>
      </c>
      <c r="CH77" s="17">
        <f t="shared" si="67"/>
        <v>0.2632580111919966</v>
      </c>
      <c r="CI77" s="17">
        <f t="shared" si="67"/>
        <v>0.27606649024063468</v>
      </c>
      <c r="CJ77" s="17">
        <f t="shared" si="67"/>
        <v>0.26659937056603755</v>
      </c>
      <c r="CK77" s="17">
        <f t="shared" si="67"/>
        <v>0.26552069196274908</v>
      </c>
      <c r="CL77" s="17">
        <f t="shared" si="67"/>
        <v>0.27218416525869055</v>
      </c>
      <c r="CM77" s="17">
        <f t="shared" si="67"/>
        <v>0.25102625081044105</v>
      </c>
      <c r="CN77" s="17">
        <f t="shared" si="67"/>
        <v>0.24876561617352358</v>
      </c>
      <c r="CO77" s="17">
        <f t="shared" si="67"/>
        <v>0.24322842845498069</v>
      </c>
      <c r="CP77" s="17">
        <f t="shared" si="67"/>
        <v>0.24057031573802345</v>
      </c>
      <c r="CQ77" s="17">
        <f t="shared" si="67"/>
        <v>0.21816532246218354</v>
      </c>
      <c r="CR77" s="17">
        <f t="shared" si="67"/>
        <v>0.21113062989682288</v>
      </c>
      <c r="CS77" s="17">
        <f t="shared" si="67"/>
        <v>0.21326230192318038</v>
      </c>
      <c r="CT77" s="17">
        <f t="shared" si="67"/>
        <v>0.21048635939459553</v>
      </c>
      <c r="CU77" s="17">
        <f t="shared" si="67"/>
        <v>0.19951562835414713</v>
      </c>
      <c r="CV77" s="17">
        <f t="shared" si="67"/>
        <v>0.19308458134749143</v>
      </c>
      <c r="CW77" s="17">
        <f t="shared" si="67"/>
        <v>0.21267416363797301</v>
      </c>
      <c r="CX77" s="17">
        <f t="shared" si="67"/>
        <v>0.22535024481986621</v>
      </c>
      <c r="CY77" s="17">
        <f t="shared" si="67"/>
        <v>0.20215999109904975</v>
      </c>
      <c r="CZ77" s="17">
        <f t="shared" si="67"/>
        <v>0.19566635473710517</v>
      </c>
      <c r="DA77" s="17">
        <f t="shared" si="67"/>
        <v>0.194578272083577</v>
      </c>
      <c r="DB77" s="17">
        <f t="shared" si="67"/>
        <v>0.1972075358619502</v>
      </c>
      <c r="DC77" s="17">
        <f t="shared" si="67"/>
        <v>0.18477784613798173</v>
      </c>
      <c r="DD77" s="17">
        <f t="shared" si="67"/>
        <v>0.18456821939661452</v>
      </c>
      <c r="DE77" s="17">
        <f t="shared" si="67"/>
        <v>0.18865302534566974</v>
      </c>
      <c r="DF77" s="17">
        <f t="shared" si="67"/>
        <v>0.19476724904526921</v>
      </c>
      <c r="DG77" s="17">
        <f t="shared" si="67"/>
        <v>0.19429796115508455</v>
      </c>
      <c r="DH77" s="17">
        <f t="shared" si="67"/>
        <v>0.19941306644939785</v>
      </c>
      <c r="DI77" s="17">
        <f t="shared" si="67"/>
        <v>0.193979540364869</v>
      </c>
      <c r="DJ77" s="17">
        <f t="shared" si="67"/>
        <v>0.19777489226421602</v>
      </c>
      <c r="DK77" s="17">
        <f t="shared" si="67"/>
        <v>0.21239237270433692</v>
      </c>
      <c r="DL77" s="17">
        <f t="shared" si="67"/>
        <v>0.2080909540846872</v>
      </c>
      <c r="DM77" s="17">
        <f t="shared" si="67"/>
        <v>0.20161317412439278</v>
      </c>
      <c r="DN77" s="17">
        <f t="shared" si="67"/>
        <v>0.20917096434944205</v>
      </c>
      <c r="DO77" s="17">
        <f t="shared" si="67"/>
        <v>0.21679478271173153</v>
      </c>
      <c r="DP77" s="17">
        <f t="shared" si="67"/>
        <v>0.22824992001289043</v>
      </c>
      <c r="DQ77" s="17">
        <f t="shared" si="67"/>
        <v>0.23536554237659624</v>
      </c>
      <c r="DR77" s="17">
        <f t="shared" si="67"/>
        <v>0.24631237661022506</v>
      </c>
      <c r="DS77" s="17">
        <f t="shared" si="67"/>
        <v>0.24630949876116109</v>
      </c>
      <c r="DT77" s="17">
        <f t="shared" si="67"/>
        <v>0.21293860391640043</v>
      </c>
      <c r="DU77" s="17">
        <f t="shared" si="67"/>
        <v>0.19905444092514468</v>
      </c>
      <c r="DV77" s="17">
        <f t="shared" si="67"/>
        <v>0.18983427526816074</v>
      </c>
      <c r="DW77" s="17">
        <f t="shared" si="67"/>
        <v>0.18974810989253793</v>
      </c>
      <c r="DX77" s="17">
        <f t="shared" si="67"/>
        <v>0.20298308861146333</v>
      </c>
      <c r="DY77" s="17">
        <f t="shared" si="67"/>
        <v>0.2131500613988466</v>
      </c>
      <c r="DZ77" s="17">
        <f t="shared" si="67"/>
        <v>0.22025186893968793</v>
      </c>
      <c r="EA77" s="17">
        <f t="shared" ref="EA77:GL77" si="68">EA76/EA75</f>
        <v>0.22096782917598498</v>
      </c>
      <c r="EB77" s="17">
        <f t="shared" si="68"/>
        <v>0.2239998672153099</v>
      </c>
      <c r="EC77" s="17">
        <f t="shared" si="68"/>
        <v>0.22971564215600465</v>
      </c>
      <c r="ED77" s="17">
        <f t="shared" si="68"/>
        <v>0.22729945520787478</v>
      </c>
      <c r="EE77" s="17">
        <f t="shared" si="68"/>
        <v>0.24650219653500322</v>
      </c>
      <c r="EF77" s="17">
        <f t="shared" si="68"/>
        <v>0.25717311942226162</v>
      </c>
      <c r="EG77" s="17">
        <f t="shared" si="68"/>
        <v>0.25315336831481999</v>
      </c>
      <c r="EH77" s="17">
        <f t="shared" si="68"/>
        <v>0.24489960805016553</v>
      </c>
      <c r="EI77" s="17">
        <f t="shared" si="68"/>
        <v>0.25694174456752772</v>
      </c>
      <c r="EJ77" s="17">
        <f t="shared" si="68"/>
        <v>0.26677236062813542</v>
      </c>
      <c r="EK77" s="17">
        <f t="shared" si="68"/>
        <v>0.26168477570754328</v>
      </c>
      <c r="EL77" s="17">
        <f t="shared" si="68"/>
        <v>0.27487349407275097</v>
      </c>
      <c r="EM77" s="17">
        <f t="shared" si="68"/>
        <v>0.26411188028561816</v>
      </c>
      <c r="EN77" s="17">
        <f t="shared" si="68"/>
        <v>0.28890398900193642</v>
      </c>
      <c r="EO77" s="17">
        <f t="shared" si="68"/>
        <v>0.2961933573227219</v>
      </c>
      <c r="EP77" s="17">
        <f t="shared" si="68"/>
        <v>0.30353165984169944</v>
      </c>
      <c r="EQ77" s="17">
        <f t="shared" si="68"/>
        <v>0.30004688681550701</v>
      </c>
      <c r="ER77" s="17">
        <f t="shared" si="68"/>
        <v>0.301445962481726</v>
      </c>
      <c r="ES77" s="17">
        <f t="shared" si="68"/>
        <v>0.29625264331562323</v>
      </c>
      <c r="ET77" s="17">
        <f t="shared" si="68"/>
        <v>0.2907356882483802</v>
      </c>
      <c r="EU77" s="17">
        <f t="shared" si="68"/>
        <v>0.28393671307197393</v>
      </c>
      <c r="EV77" s="17">
        <f t="shared" si="68"/>
        <v>0.27847487211478805</v>
      </c>
      <c r="EW77" s="17">
        <f t="shared" si="68"/>
        <v>0.27913084940714017</v>
      </c>
      <c r="EX77" s="17">
        <f t="shared" si="68"/>
        <v>0.29748814836280385</v>
      </c>
      <c r="EY77" s="17">
        <f t="shared" si="68"/>
        <v>0.32187151932621139</v>
      </c>
      <c r="EZ77" s="17">
        <f t="shared" si="68"/>
        <v>0.33231318537259014</v>
      </c>
      <c r="FA77" s="17">
        <f t="shared" si="68"/>
        <v>0.32432113800089202</v>
      </c>
      <c r="FB77" s="17">
        <f t="shared" si="68"/>
        <v>0.31735048780542174</v>
      </c>
      <c r="FC77" s="17">
        <f t="shared" si="68"/>
        <v>0.32254195151814508</v>
      </c>
      <c r="FD77" s="17">
        <f t="shared" si="68"/>
        <v>0.32887219301454801</v>
      </c>
      <c r="FE77" s="17">
        <f t="shared" si="68"/>
        <v>0.3423761056950152</v>
      </c>
      <c r="FF77" s="17">
        <f t="shared" si="68"/>
        <v>0.33639382541808222</v>
      </c>
      <c r="FG77" s="17">
        <f t="shared" si="68"/>
        <v>0.33007484121490654</v>
      </c>
      <c r="FH77" s="17">
        <f t="shared" si="68"/>
        <v>0.32958951634839267</v>
      </c>
      <c r="FI77" s="17">
        <f t="shared" si="68"/>
        <v>0.33128351485475122</v>
      </c>
      <c r="FJ77" s="17">
        <f t="shared" si="68"/>
        <v>0.31554459564454479</v>
      </c>
      <c r="FK77" s="17">
        <f t="shared" si="68"/>
        <v>0.31075220581456775</v>
      </c>
      <c r="FL77" s="17">
        <f t="shared" si="68"/>
        <v>0.31447544089351226</v>
      </c>
      <c r="FM77" s="17">
        <f t="shared" si="68"/>
        <v>0.33464581404712068</v>
      </c>
      <c r="FN77" s="17">
        <f t="shared" si="68"/>
        <v>0.33701939573078937</v>
      </c>
      <c r="FO77" s="17">
        <f t="shared" si="68"/>
        <v>0.33255580759550246</v>
      </c>
      <c r="FP77" s="17">
        <f t="shared" si="68"/>
        <v>0.32807892668758315</v>
      </c>
      <c r="FQ77" s="17">
        <f t="shared" si="68"/>
        <v>0.32711059419421684</v>
      </c>
      <c r="FR77" s="17">
        <f t="shared" si="68"/>
        <v>0.35510407534279026</v>
      </c>
      <c r="FS77" s="17">
        <f t="shared" si="68"/>
        <v>0.38353239311743004</v>
      </c>
      <c r="FT77" s="17">
        <f t="shared" si="68"/>
        <v>0.38090261540309939</v>
      </c>
      <c r="FU77" s="17">
        <f t="shared" si="68"/>
        <v>0.36119168363802528</v>
      </c>
      <c r="FV77" s="17">
        <f t="shared" si="68"/>
        <v>0.3423813068967092</v>
      </c>
      <c r="FW77" s="17">
        <f t="shared" si="68"/>
        <v>0.34827668905422776</v>
      </c>
      <c r="FX77" s="17">
        <f t="shared" si="68"/>
        <v>0.3545223533073239</v>
      </c>
      <c r="FY77" s="17">
        <f t="shared" si="68"/>
        <v>0.37566587975859861</v>
      </c>
      <c r="FZ77" s="17">
        <f t="shared" si="68"/>
        <v>0.36033345998607719</v>
      </c>
      <c r="GA77" s="17">
        <f t="shared" si="68"/>
        <v>0.35838098724072237</v>
      </c>
      <c r="GB77" s="17">
        <f t="shared" si="68"/>
        <v>0.35618478297195399</v>
      </c>
      <c r="GC77" s="17">
        <f t="shared" si="68"/>
        <v>0.34960590575418754</v>
      </c>
      <c r="GD77" s="17">
        <f t="shared" si="68"/>
        <v>0.35917738226443363</v>
      </c>
      <c r="GE77" s="17">
        <f t="shared" si="68"/>
        <v>0.34865826195958438</v>
      </c>
      <c r="GF77" s="17">
        <f t="shared" si="68"/>
        <v>0.34364681943297148</v>
      </c>
      <c r="GG77" s="17">
        <f t="shared" si="68"/>
        <v>0.33724007793674377</v>
      </c>
      <c r="GH77" s="17">
        <f t="shared" si="68"/>
        <v>0.36037411688087273</v>
      </c>
      <c r="GI77" s="17">
        <f t="shared" si="68"/>
        <v>0.36352726678338004</v>
      </c>
      <c r="GJ77" s="17">
        <f t="shared" si="68"/>
        <v>0.37035191696094105</v>
      </c>
      <c r="GK77" s="17">
        <f t="shared" si="68"/>
        <v>0.38084362354964396</v>
      </c>
      <c r="GL77" s="17">
        <f t="shared" si="68"/>
        <v>0.38007687170181215</v>
      </c>
      <c r="GM77" s="17">
        <f t="shared" ref="GM77:IX77" si="69">GM76/GM75</f>
        <v>0.36926425485251024</v>
      </c>
      <c r="GN77" s="17">
        <f t="shared" si="69"/>
        <v>0.34907307917127733</v>
      </c>
      <c r="GO77" s="17">
        <f t="shared" si="69"/>
        <v>0.32866064335559675</v>
      </c>
      <c r="GP77" s="17">
        <f t="shared" si="69"/>
        <v>0.34102443036403096</v>
      </c>
      <c r="GQ77" s="17">
        <f t="shared" si="69"/>
        <v>0.3505293375782641</v>
      </c>
      <c r="GR77" s="17">
        <f t="shared" si="69"/>
        <v>0.36309752034238346</v>
      </c>
      <c r="GS77" s="17">
        <f t="shared" si="69"/>
        <v>0.36022104757651091</v>
      </c>
      <c r="GT77" s="17">
        <f t="shared" si="69"/>
        <v>0.35443771699269133</v>
      </c>
      <c r="GU77" s="17">
        <f t="shared" si="69"/>
        <v>0.36361664606597677</v>
      </c>
      <c r="GV77" s="17">
        <f t="shared" si="69"/>
        <v>0.3564330988782084</v>
      </c>
      <c r="GW77" s="17">
        <f t="shared" si="69"/>
        <v>0.35000811064094645</v>
      </c>
      <c r="GX77" s="17">
        <f t="shared" si="69"/>
        <v>0.3379830461427798</v>
      </c>
      <c r="GY77" s="17">
        <f t="shared" si="69"/>
        <v>0.3476109428062048</v>
      </c>
      <c r="GZ77" s="17">
        <f t="shared" si="69"/>
        <v>0.36518921091352824</v>
      </c>
      <c r="HA77" s="17">
        <f t="shared" si="69"/>
        <v>0.36503613430319604</v>
      </c>
      <c r="HB77" s="17">
        <f t="shared" si="69"/>
        <v>0.34839245636454264</v>
      </c>
      <c r="HC77" s="17">
        <f t="shared" si="69"/>
        <v>0.35577074522019336</v>
      </c>
      <c r="HD77" s="17">
        <f t="shared" si="69"/>
        <v>0.3600827572886372</v>
      </c>
      <c r="HE77" s="17">
        <f t="shared" si="69"/>
        <v>0.3620606224505053</v>
      </c>
      <c r="HF77" s="17">
        <f t="shared" si="69"/>
        <v>0.35321613919294387</v>
      </c>
      <c r="HG77" s="17">
        <f t="shared" si="69"/>
        <v>0.34084980068351384</v>
      </c>
      <c r="HH77" s="17">
        <f t="shared" si="69"/>
        <v>0.34510246186340793</v>
      </c>
      <c r="HI77" s="17">
        <f t="shared" si="69"/>
        <v>0.3552145424674511</v>
      </c>
      <c r="HJ77" s="17">
        <f t="shared" si="69"/>
        <v>0.37087482082403572</v>
      </c>
      <c r="HK77" s="17">
        <f t="shared" si="69"/>
        <v>0.37554767544524681</v>
      </c>
      <c r="HL77" s="17">
        <f t="shared" si="69"/>
        <v>0.39165161005647592</v>
      </c>
      <c r="HM77" s="17">
        <f t="shared" si="69"/>
        <v>0.39745263355212979</v>
      </c>
      <c r="HN77" s="17">
        <f t="shared" si="69"/>
        <v>0.39508028679473733</v>
      </c>
      <c r="HO77" s="17">
        <f t="shared" si="69"/>
        <v>0.4047679688174427</v>
      </c>
      <c r="HP77" s="17">
        <f t="shared" si="69"/>
        <v>0.43329346135848629</v>
      </c>
      <c r="HQ77" s="17">
        <f t="shared" si="69"/>
        <v>0.46535564957100739</v>
      </c>
      <c r="HR77" s="17">
        <f t="shared" si="69"/>
        <v>0.46744349815109798</v>
      </c>
      <c r="HS77" s="17">
        <f t="shared" si="69"/>
        <v>0.45546841953833</v>
      </c>
      <c r="HT77" s="17">
        <f t="shared" si="69"/>
        <v>0.44365667783945822</v>
      </c>
      <c r="HU77" s="17">
        <f t="shared" si="69"/>
        <v>0.43600381139265565</v>
      </c>
      <c r="HV77" s="17">
        <f t="shared" si="69"/>
        <v>0.43392147327709296</v>
      </c>
      <c r="HW77" s="17">
        <f t="shared" si="69"/>
        <v>0.4348673561826496</v>
      </c>
      <c r="HX77" s="17">
        <f t="shared" si="69"/>
        <v>0.42709068422059382</v>
      </c>
      <c r="HY77" s="17">
        <f t="shared" si="69"/>
        <v>0.42923027579557888</v>
      </c>
      <c r="HZ77" s="17">
        <f t="shared" si="69"/>
        <v>0.40534335829565854</v>
      </c>
      <c r="IA77" s="17">
        <f t="shared" si="69"/>
        <v>0.38330996568044307</v>
      </c>
      <c r="IB77" s="17">
        <f t="shared" si="69"/>
        <v>0.36235951259869892</v>
      </c>
      <c r="IC77" s="17">
        <f t="shared" si="69"/>
        <v>0.3529687375361576</v>
      </c>
      <c r="ID77" s="17">
        <f t="shared" si="69"/>
        <v>0.3541177726121148</v>
      </c>
      <c r="IE77" s="17">
        <f t="shared" si="69"/>
        <v>0.36388949911150154</v>
      </c>
      <c r="IF77" s="17">
        <f t="shared" si="69"/>
        <v>0.39341728042219964</v>
      </c>
      <c r="IG77" s="17">
        <f t="shared" si="69"/>
        <v>0.40904662550198628</v>
      </c>
      <c r="IH77" s="17">
        <f t="shared" si="69"/>
        <v>0.41687149797625617</v>
      </c>
      <c r="II77" s="17">
        <f t="shared" si="69"/>
        <v>0.40876883553839477</v>
      </c>
      <c r="IJ77" s="17">
        <f t="shared" si="69"/>
        <v>0.42635645395695848</v>
      </c>
      <c r="IK77" s="17">
        <f t="shared" si="69"/>
        <v>0.442003771137504</v>
      </c>
      <c r="IL77" s="17">
        <f t="shared" si="69"/>
        <v>0.44592867879744569</v>
      </c>
      <c r="IM77" s="17">
        <f t="shared" si="69"/>
        <v>0.43309685363699724</v>
      </c>
      <c r="IN77" s="17">
        <f t="shared" si="69"/>
        <v>0.4202574961469861</v>
      </c>
      <c r="IO77" s="17">
        <f t="shared" si="69"/>
        <v>0.41390808086463288</v>
      </c>
      <c r="IP77" s="17">
        <f t="shared" si="69"/>
        <v>0.4148932491550042</v>
      </c>
      <c r="IQ77" s="17">
        <f t="shared" si="69"/>
        <v>0.38886215732175938</v>
      </c>
      <c r="IR77" s="17">
        <f t="shared" si="69"/>
        <v>0.38364738891111277</v>
      </c>
      <c r="IS77" s="17">
        <f t="shared" si="69"/>
        <v>0.3668604593544475</v>
      </c>
      <c r="IT77" s="17">
        <f t="shared" si="69"/>
        <v>0.34415718207460733</v>
      </c>
      <c r="IU77" s="17">
        <f t="shared" si="69"/>
        <v>0.32227836249952513</v>
      </c>
      <c r="IV77" s="17">
        <f t="shared" si="69"/>
        <v>0.31352649481531814</v>
      </c>
      <c r="IW77" s="17">
        <f t="shared" si="69"/>
        <v>0.30470279667415751</v>
      </c>
      <c r="IX77" s="17">
        <f t="shared" si="69"/>
        <v>0.3005153763263555</v>
      </c>
      <c r="IY77" s="17">
        <f t="shared" ref="IY77:LJ77" si="70">IY76/IY75</f>
        <v>0.30449635599214336</v>
      </c>
      <c r="IZ77" s="17">
        <f t="shared" si="70"/>
        <v>0.30057581290870788</v>
      </c>
      <c r="JA77" s="17">
        <f t="shared" si="70"/>
        <v>0.29166766078155032</v>
      </c>
      <c r="JB77" s="17">
        <f t="shared" si="70"/>
        <v>0.28583219347334637</v>
      </c>
      <c r="JC77" s="17">
        <f t="shared" si="70"/>
        <v>0.28013499592649199</v>
      </c>
      <c r="JD77" s="17">
        <f t="shared" si="70"/>
        <v>0.2910886348650592</v>
      </c>
      <c r="JE77" s="17">
        <f t="shared" si="70"/>
        <v>0.30701949996394129</v>
      </c>
      <c r="JF77" s="17">
        <f t="shared" si="70"/>
        <v>0.30104313362779905</v>
      </c>
      <c r="JG77" s="17">
        <f t="shared" si="70"/>
        <v>0.28939117677505216</v>
      </c>
      <c r="JH77" s="17">
        <f t="shared" si="70"/>
        <v>0.28125239739156149</v>
      </c>
      <c r="JI77" s="17">
        <f t="shared" si="70"/>
        <v>0.27663423212541333</v>
      </c>
      <c r="JJ77" s="17">
        <f t="shared" si="70"/>
        <v>0.27613872248731475</v>
      </c>
      <c r="JK77" s="17">
        <f t="shared" si="70"/>
        <v>0.26407907209493947</v>
      </c>
      <c r="JL77" s="17">
        <f t="shared" si="70"/>
        <v>0.24921706697350776</v>
      </c>
      <c r="JM77" s="17">
        <f t="shared" si="70"/>
        <v>0.25788378057954547</v>
      </c>
      <c r="JN77" s="17">
        <f t="shared" si="70"/>
        <v>0.2727152762736999</v>
      </c>
      <c r="JO77" s="17">
        <f t="shared" si="70"/>
        <v>0.26846535202750127</v>
      </c>
      <c r="JP77" s="17">
        <f t="shared" si="70"/>
        <v>0.27312663076366028</v>
      </c>
      <c r="JQ77" s="17">
        <f t="shared" si="70"/>
        <v>0.27413458835611165</v>
      </c>
      <c r="JR77" s="17">
        <f t="shared" si="70"/>
        <v>0.28271883844336992</v>
      </c>
      <c r="JS77" s="17">
        <f t="shared" si="70"/>
        <v>0.29218321133327652</v>
      </c>
      <c r="JT77" s="17">
        <f t="shared" si="70"/>
        <v>0.29130007152088538</v>
      </c>
      <c r="JU77" s="17">
        <f t="shared" si="70"/>
        <v>0.30154083897562178</v>
      </c>
      <c r="JV77" s="17">
        <f t="shared" si="70"/>
        <v>0.3156042537246716</v>
      </c>
      <c r="JW77" s="17">
        <f t="shared" si="70"/>
        <v>0.31247881736287847</v>
      </c>
      <c r="JX77" s="17">
        <f t="shared" si="70"/>
        <v>0.31506389608670288</v>
      </c>
      <c r="JY77" s="17">
        <f t="shared" si="70"/>
        <v>0.32454332188048868</v>
      </c>
      <c r="JZ77" s="17">
        <f t="shared" si="70"/>
        <v>0.32885191614666887</v>
      </c>
      <c r="KA77" s="17">
        <f t="shared" si="70"/>
        <v>0.32787061735929929</v>
      </c>
      <c r="KB77" s="17">
        <f t="shared" si="70"/>
        <v>0.30542454015449938</v>
      </c>
      <c r="KC77" s="17">
        <f t="shared" si="70"/>
        <v>0.28075118050657549</v>
      </c>
      <c r="KD77" s="17">
        <f t="shared" si="70"/>
        <v>0.25878446826483087</v>
      </c>
      <c r="KE77" s="17">
        <f t="shared" si="70"/>
        <v>0.24550324057349851</v>
      </c>
      <c r="KF77" s="17">
        <f t="shared" si="70"/>
        <v>0.2495203895396593</v>
      </c>
      <c r="KG77" s="17">
        <f t="shared" si="70"/>
        <v>0.26120811114909936</v>
      </c>
      <c r="KH77" s="17">
        <f t="shared" si="70"/>
        <v>0.25718616427445429</v>
      </c>
      <c r="KI77" s="17">
        <f t="shared" si="70"/>
        <v>0.26136159302508805</v>
      </c>
      <c r="KJ77" s="17">
        <f t="shared" si="70"/>
        <v>0.25635106578068334</v>
      </c>
      <c r="KK77" s="17">
        <f t="shared" si="70"/>
        <v>0.25295254944646944</v>
      </c>
      <c r="KL77" s="17">
        <f t="shared" si="70"/>
        <v>0.25228601351298691</v>
      </c>
      <c r="KM77" s="17">
        <f t="shared" si="70"/>
        <v>0.25868206741001076</v>
      </c>
      <c r="KN77" s="17">
        <f t="shared" si="70"/>
        <v>0.24939239169415917</v>
      </c>
      <c r="KO77" s="17">
        <f t="shared" si="70"/>
        <v>0.24838532995363785</v>
      </c>
      <c r="KP77" s="17">
        <f t="shared" si="70"/>
        <v>0.24756861467376653</v>
      </c>
      <c r="KQ77" s="17">
        <f t="shared" si="70"/>
        <v>0.24367255350942593</v>
      </c>
      <c r="KR77" s="17">
        <f t="shared" si="70"/>
        <v>0.24749238295641826</v>
      </c>
      <c r="KS77" s="17">
        <f t="shared" si="70"/>
        <v>0.24106400755891852</v>
      </c>
      <c r="KT77" s="17">
        <f t="shared" si="70"/>
        <v>0.23819330963194404</v>
      </c>
      <c r="KU77" s="17">
        <f t="shared" si="70"/>
        <v>0.23752906357834294</v>
      </c>
      <c r="KV77" s="17">
        <f t="shared" si="70"/>
        <v>0.24992677662090457</v>
      </c>
      <c r="KW77" s="17">
        <f t="shared" si="70"/>
        <v>0.24936789826433936</v>
      </c>
      <c r="KX77" s="17">
        <f t="shared" si="70"/>
        <v>0.23743690597663664</v>
      </c>
      <c r="KY77" s="17">
        <f t="shared" si="70"/>
        <v>0.23263929947401829</v>
      </c>
      <c r="KZ77" s="17">
        <f t="shared" si="70"/>
        <v>0.22611595992435177</v>
      </c>
      <c r="LA77" s="17">
        <f t="shared" si="70"/>
        <v>0.22199875611734027</v>
      </c>
      <c r="LB77" s="17">
        <f t="shared" si="70"/>
        <v>0.21542949966020444</v>
      </c>
      <c r="LC77" s="17">
        <f t="shared" si="70"/>
        <v>0.22183219688990061</v>
      </c>
      <c r="LD77" s="17">
        <f t="shared" si="70"/>
        <v>0.23791077426280369</v>
      </c>
      <c r="LE77" s="17">
        <f t="shared" si="70"/>
        <v>0.24183814534795184</v>
      </c>
      <c r="LF77" s="17">
        <f t="shared" si="70"/>
        <v>0.23918136979561361</v>
      </c>
      <c r="LG77" s="17">
        <f t="shared" si="70"/>
        <v>0.21770786427316086</v>
      </c>
      <c r="LH77" s="17">
        <f t="shared" si="70"/>
        <v>0.20833873138245812</v>
      </c>
      <c r="LI77" s="17">
        <f t="shared" si="70"/>
        <v>0.20153167339740771</v>
      </c>
      <c r="LJ77" s="17">
        <f t="shared" si="70"/>
        <v>0.19382828647326983</v>
      </c>
      <c r="LK77" s="17">
        <f t="shared" ref="LK77:NU77" si="71">LK76/LK75</f>
        <v>0.19631136647771574</v>
      </c>
      <c r="LL77" s="17">
        <f t="shared" si="71"/>
        <v>0.19817406942450749</v>
      </c>
      <c r="LM77" s="17">
        <f t="shared" si="71"/>
        <v>0.20681921707072726</v>
      </c>
      <c r="LN77" s="17">
        <f t="shared" si="71"/>
        <v>0.22065413172137191</v>
      </c>
      <c r="LO77" s="17">
        <f t="shared" si="71"/>
        <v>0.22751480266719531</v>
      </c>
      <c r="LP77" s="17">
        <f t="shared" si="71"/>
        <v>0.22928099298158003</v>
      </c>
      <c r="LQ77" s="17">
        <f t="shared" si="71"/>
        <v>0.22827106943594508</v>
      </c>
      <c r="LR77" s="17">
        <f t="shared" si="71"/>
        <v>0.22969745217028359</v>
      </c>
      <c r="LS77" s="17">
        <f t="shared" si="71"/>
        <v>0.22012285152860256</v>
      </c>
      <c r="LT77" s="17">
        <f t="shared" si="71"/>
        <v>0.22755399630498138</v>
      </c>
      <c r="LU77" s="17">
        <f t="shared" si="71"/>
        <v>0.20735212613730333</v>
      </c>
      <c r="LV77" s="17">
        <f t="shared" si="71"/>
        <v>0.19227475493973781</v>
      </c>
      <c r="LW77" s="17">
        <f t="shared" si="71"/>
        <v>0.17983832132689109</v>
      </c>
      <c r="LX77" s="17">
        <f t="shared" si="71"/>
        <v>0.17731825588816291</v>
      </c>
      <c r="LY77" s="17">
        <f t="shared" si="71"/>
        <v>0.18037904596202869</v>
      </c>
      <c r="LZ77" s="17">
        <f t="shared" si="71"/>
        <v>0.18138390507956795</v>
      </c>
      <c r="MA77" s="17">
        <f t="shared" si="71"/>
        <v>0.18730149094884957</v>
      </c>
      <c r="MB77" s="17">
        <f t="shared" si="71"/>
        <v>0.18579127100883061</v>
      </c>
      <c r="MC77" s="17">
        <f t="shared" si="71"/>
        <v>0.18371782183976898</v>
      </c>
      <c r="MD77" s="17">
        <f t="shared" si="71"/>
        <v>0.18323783165669885</v>
      </c>
      <c r="ME77" s="17">
        <f t="shared" si="71"/>
        <v>0.18209982931944863</v>
      </c>
      <c r="MF77" s="17">
        <f t="shared" si="71"/>
        <v>0.18537162863432852</v>
      </c>
      <c r="MG77" s="17">
        <f t="shared" si="71"/>
        <v>0.18249158690087858</v>
      </c>
      <c r="MH77" s="17">
        <f t="shared" si="71"/>
        <v>0.17991283739259961</v>
      </c>
      <c r="MI77" s="17">
        <f t="shared" si="71"/>
        <v>0.17731977633864418</v>
      </c>
      <c r="MJ77" s="17">
        <f t="shared" si="71"/>
        <v>0.17806698519694708</v>
      </c>
      <c r="MK77" s="17">
        <f t="shared" si="71"/>
        <v>0.18199362785789042</v>
      </c>
      <c r="ML77" s="17">
        <f t="shared" si="71"/>
        <v>0.18822458115108509</v>
      </c>
      <c r="MM77" s="17">
        <f t="shared" si="71"/>
        <v>0.18132949991365011</v>
      </c>
      <c r="MN77" s="17">
        <f t="shared" si="71"/>
        <v>0.18361874261223057</v>
      </c>
      <c r="MO77" s="17">
        <f t="shared" si="71"/>
        <v>0.17793318092859972</v>
      </c>
      <c r="MP77" s="17">
        <f t="shared" si="71"/>
        <v>0.17433260054641289</v>
      </c>
      <c r="MQ77" s="17">
        <f t="shared" si="71"/>
        <v>0.17103051404540048</v>
      </c>
      <c r="MR77" s="17">
        <f t="shared" si="71"/>
        <v>0.17089987604568577</v>
      </c>
      <c r="MS77" s="17">
        <f t="shared" si="71"/>
        <v>0.17217095913856262</v>
      </c>
      <c r="MT77" s="17">
        <f t="shared" si="71"/>
        <v>0.17103944573869076</v>
      </c>
      <c r="MU77" s="17">
        <f t="shared" si="71"/>
        <v>0.16622498555696633</v>
      </c>
      <c r="MV77" s="17">
        <f t="shared" si="71"/>
        <v>0.16134022871393508</v>
      </c>
      <c r="MW77" s="17">
        <f t="shared" si="71"/>
        <v>0.16298590576250283</v>
      </c>
      <c r="MX77" s="17">
        <f t="shared" si="71"/>
        <v>0.1856383882503054</v>
      </c>
      <c r="MY77" s="17">
        <f t="shared" si="71"/>
        <v>0.19013627720053011</v>
      </c>
      <c r="MZ77" s="17">
        <f t="shared" si="71"/>
        <v>0.18613057668504093</v>
      </c>
      <c r="NA77" s="17">
        <f t="shared" si="71"/>
        <v>0.17917896777210848</v>
      </c>
      <c r="NB77" s="17">
        <f t="shared" si="71"/>
        <v>0.16641391915924553</v>
      </c>
      <c r="NC77" s="17">
        <f t="shared" si="71"/>
        <v>0.1882696334032834</v>
      </c>
      <c r="ND77" s="17">
        <f t="shared" si="71"/>
        <v>0.18913495822148876</v>
      </c>
      <c r="NE77" s="17">
        <f t="shared" si="71"/>
        <v>0.21447924205413477</v>
      </c>
      <c r="NF77" s="17">
        <f t="shared" si="71"/>
        <v>0.23247762630042637</v>
      </c>
      <c r="NG77" s="17">
        <f t="shared" si="71"/>
        <v>0.17396739601611766</v>
      </c>
      <c r="NH77" s="17">
        <f t="shared" si="71"/>
        <v>0.18525313519044137</v>
      </c>
      <c r="NI77" s="17">
        <f t="shared" si="71"/>
        <v>0.2769326550781524</v>
      </c>
      <c r="NJ77" s="17">
        <f t="shared" si="71"/>
        <v>0.26057453361517907</v>
      </c>
      <c r="NK77" s="17">
        <f t="shared" si="71"/>
        <v>0.31255507445771807</v>
      </c>
      <c r="NL77" s="17">
        <f t="shared" si="71"/>
        <v>0.25919596670624367</v>
      </c>
      <c r="NM77" s="17">
        <f t="shared" si="71"/>
        <v>0.23977502874100742</v>
      </c>
      <c r="NN77" s="17">
        <f t="shared" si="71"/>
        <v>0.20453966452558459</v>
      </c>
      <c r="NO77" s="17">
        <f t="shared" si="71"/>
        <v>0.16813109647796917</v>
      </c>
      <c r="NP77" s="17">
        <f t="shared" si="71"/>
        <v>0.16191915099414106</v>
      </c>
      <c r="NQ77" s="17">
        <f t="shared" si="71"/>
        <v>0.22712908984785068</v>
      </c>
      <c r="NR77" s="17">
        <f t="shared" si="71"/>
        <v>5.3920771584264492E-4</v>
      </c>
      <c r="NS77" s="17">
        <f t="shared" si="71"/>
        <v>0.14578309286833985</v>
      </c>
      <c r="NT77" s="17">
        <f t="shared" si="71"/>
        <v>1.6504597878150402E-3</v>
      </c>
      <c r="NU77" s="17">
        <f t="shared" si="71"/>
        <v>0.16206559790443656</v>
      </c>
      <c r="NV77" s="17"/>
      <c r="NW77" s="17">
        <f t="shared" ref="NW77:OF77" si="72">NW76/NW75</f>
        <v>0.18561162324074831</v>
      </c>
      <c r="NX77" s="17">
        <f t="shared" si="72"/>
        <v>3.7500347938846247E-2</v>
      </c>
      <c r="NY77" s="17">
        <f t="shared" si="72"/>
        <v>0.20511392127553196</v>
      </c>
      <c r="NZ77" s="17">
        <f t="shared" si="72"/>
        <v>6.4158335573515149E-2</v>
      </c>
      <c r="OA77" s="17">
        <f t="shared" si="72"/>
        <v>0.14508224045948115</v>
      </c>
      <c r="OB77" s="17">
        <f t="shared" si="72"/>
        <v>0.14104545611698138</v>
      </c>
      <c r="OC77" s="17">
        <f t="shared" si="72"/>
        <v>0.22973797739379459</v>
      </c>
      <c r="OD77" s="17">
        <f t="shared" si="72"/>
        <v>0.11653210452167874</v>
      </c>
      <c r="OE77" s="17">
        <f t="shared" si="72"/>
        <v>0.16191915099413867</v>
      </c>
      <c r="OF77" s="17">
        <f t="shared" si="72"/>
        <v>0.16191915099413765</v>
      </c>
    </row>
    <row r="78" spans="1:396" customFormat="1" ht="15.75" x14ac:dyDescent="0.25">
      <c r="A78" s="16"/>
      <c r="B78" s="17"/>
      <c r="C78" s="17"/>
      <c r="D78" s="17"/>
      <c r="E78" s="17"/>
      <c r="F78" s="17"/>
      <c r="G78" s="17"/>
      <c r="H78" s="17"/>
      <c r="I78" s="17"/>
      <c r="J78" s="17"/>
      <c r="K78" s="17"/>
      <c r="L78" s="17"/>
      <c r="M78" s="17"/>
      <c r="N78" s="17"/>
      <c r="O78" s="17"/>
      <c r="P78" s="17"/>
      <c r="Q78" s="17"/>
      <c r="R78" s="17"/>
      <c r="S78" s="17"/>
      <c r="T78" s="17"/>
      <c r="U78" s="17"/>
      <c r="V78" s="17"/>
      <c r="W78" s="17"/>
      <c r="X78" s="17"/>
      <c r="Y78" s="17"/>
      <c r="Z78" s="17"/>
      <c r="AA78" s="17"/>
      <c r="AB78" s="17"/>
      <c r="AC78" s="17"/>
      <c r="AD78" s="17"/>
      <c r="AE78" s="17"/>
      <c r="AF78" s="17"/>
      <c r="AG78" s="17"/>
      <c r="AH78" s="17"/>
      <c r="AI78" s="17"/>
      <c r="AJ78" s="17"/>
      <c r="AK78" s="17"/>
      <c r="AL78" s="17"/>
      <c r="AM78" s="17"/>
      <c r="AN78" s="17"/>
      <c r="AO78" s="17"/>
      <c r="AP78" s="17"/>
      <c r="AQ78" s="17"/>
      <c r="AR78" s="17"/>
      <c r="AS78" s="17"/>
      <c r="AT78" s="17"/>
      <c r="AU78" s="17"/>
      <c r="AV78" s="17"/>
      <c r="AW78" s="17"/>
      <c r="AX78" s="17"/>
      <c r="AY78" s="17"/>
      <c r="AZ78" s="17"/>
      <c r="BA78" s="17"/>
      <c r="BB78" s="17"/>
      <c r="BC78" s="17"/>
      <c r="BD78" s="17"/>
      <c r="BE78" s="17"/>
      <c r="BF78" s="17"/>
      <c r="BG78" s="17"/>
      <c r="BH78" s="17"/>
      <c r="BI78" s="17"/>
      <c r="BJ78" s="17"/>
      <c r="BK78" s="17"/>
      <c r="BL78" s="17"/>
      <c r="BM78" s="17"/>
      <c r="BN78" s="17"/>
      <c r="BO78" s="17"/>
      <c r="BP78" s="17"/>
      <c r="BQ78" s="17"/>
      <c r="BR78" s="17"/>
      <c r="BS78" s="17"/>
      <c r="BT78" s="17"/>
      <c r="BU78" s="17"/>
      <c r="BV78" s="17"/>
      <c r="BW78" s="17"/>
      <c r="BX78" s="17"/>
      <c r="BY78" s="17"/>
      <c r="BZ78" s="17"/>
      <c r="CA78" s="17"/>
      <c r="CB78" s="17"/>
      <c r="CC78" s="17"/>
      <c r="CD78" s="17"/>
      <c r="CE78" s="17"/>
      <c r="CF78" s="17"/>
      <c r="CG78" s="17"/>
      <c r="CH78" s="17"/>
      <c r="CI78" s="17"/>
      <c r="CJ78" s="17"/>
      <c r="CK78" s="17"/>
      <c r="CL78" s="17"/>
      <c r="CM78" s="17"/>
      <c r="CN78" s="17"/>
      <c r="CO78" s="17"/>
      <c r="CP78" s="17"/>
      <c r="CQ78" s="17"/>
      <c r="CR78" s="17"/>
      <c r="CS78" s="17"/>
      <c r="CT78" s="17"/>
      <c r="CU78" s="17"/>
      <c r="CV78" s="17"/>
      <c r="CW78" s="17"/>
      <c r="CX78" s="17"/>
      <c r="CY78" s="17"/>
      <c r="CZ78" s="17"/>
      <c r="DA78" s="17"/>
      <c r="DB78" s="17"/>
      <c r="DC78" s="17"/>
      <c r="DD78" s="17"/>
      <c r="DE78" s="17"/>
      <c r="DF78" s="17"/>
      <c r="DG78" s="17"/>
      <c r="DH78" s="17"/>
      <c r="DI78" s="17"/>
      <c r="DJ78" s="17"/>
      <c r="DK78" s="17"/>
      <c r="DL78" s="17"/>
      <c r="DM78" s="17"/>
      <c r="DN78" s="17"/>
      <c r="DO78" s="17"/>
      <c r="DP78" s="17"/>
      <c r="DQ78" s="17"/>
      <c r="DR78" s="17"/>
      <c r="DS78" s="17"/>
      <c r="DT78" s="17"/>
      <c r="DU78" s="17"/>
      <c r="DV78" s="17"/>
      <c r="DW78" s="17"/>
      <c r="DX78" s="17"/>
      <c r="DY78" s="17"/>
      <c r="DZ78" s="17"/>
      <c r="EA78" s="17"/>
      <c r="EB78" s="17"/>
      <c r="EC78" s="17"/>
      <c r="ED78" s="17"/>
      <c r="EE78" s="17"/>
      <c r="EF78" s="17"/>
      <c r="EG78" s="17"/>
      <c r="EH78" s="17"/>
      <c r="EI78" s="17"/>
      <c r="EJ78" s="17"/>
      <c r="EK78" s="17"/>
      <c r="EL78" s="17"/>
      <c r="EM78" s="17"/>
      <c r="EN78" s="17"/>
      <c r="EO78" s="17"/>
      <c r="EP78" s="17"/>
      <c r="EQ78" s="17"/>
      <c r="ER78" s="17"/>
      <c r="ES78" s="17"/>
      <c r="ET78" s="17"/>
      <c r="EU78" s="17"/>
      <c r="EV78" s="17"/>
      <c r="EW78" s="17"/>
      <c r="EX78" s="17"/>
      <c r="EY78" s="17"/>
      <c r="EZ78" s="17"/>
      <c r="FA78" s="17"/>
      <c r="FB78" s="17"/>
      <c r="FC78" s="17"/>
      <c r="FD78" s="17"/>
      <c r="FE78" s="17"/>
      <c r="FF78" s="17"/>
      <c r="FG78" s="17"/>
      <c r="FH78" s="17"/>
      <c r="FI78" s="17"/>
      <c r="FJ78" s="17"/>
      <c r="FK78" s="17"/>
      <c r="FL78" s="17"/>
      <c r="FM78" s="17"/>
      <c r="FN78" s="17"/>
      <c r="FO78" s="17"/>
      <c r="FP78" s="17"/>
      <c r="FQ78" s="17"/>
      <c r="FR78" s="17"/>
      <c r="FS78" s="17"/>
      <c r="FT78" s="17"/>
      <c r="FU78" s="17"/>
      <c r="FV78" s="17"/>
      <c r="FW78" s="17"/>
      <c r="FX78" s="17"/>
      <c r="FY78" s="17"/>
      <c r="FZ78" s="17"/>
      <c r="GA78" s="17"/>
      <c r="GB78" s="17"/>
      <c r="GC78" s="17"/>
      <c r="GD78" s="17"/>
      <c r="GE78" s="17"/>
      <c r="GF78" s="17"/>
      <c r="GG78" s="17"/>
      <c r="GH78" s="17"/>
      <c r="GI78" s="17"/>
      <c r="GJ78" s="17"/>
      <c r="GK78" s="17"/>
      <c r="GL78" s="17"/>
      <c r="GM78" s="17"/>
      <c r="GN78" s="17"/>
      <c r="GO78" s="17"/>
      <c r="GP78" s="17"/>
      <c r="GQ78" s="17"/>
      <c r="GR78" s="17"/>
      <c r="GS78" s="17"/>
      <c r="GT78" s="17"/>
      <c r="GU78" s="17"/>
      <c r="GV78" s="17"/>
      <c r="GW78" s="17"/>
      <c r="GX78" s="17"/>
      <c r="GY78" s="17"/>
      <c r="GZ78" s="17"/>
      <c r="HA78" s="17"/>
      <c r="HB78" s="17"/>
      <c r="HC78" s="17"/>
      <c r="HD78" s="17"/>
      <c r="HE78" s="17"/>
      <c r="HF78" s="17"/>
      <c r="HG78" s="17"/>
      <c r="HH78" s="17"/>
      <c r="HI78" s="17"/>
      <c r="HJ78" s="17"/>
      <c r="HK78" s="17"/>
      <c r="HL78" s="17"/>
      <c r="HM78" s="17"/>
      <c r="HN78" s="17"/>
      <c r="HO78" s="17"/>
      <c r="HP78" s="17"/>
      <c r="HQ78" s="17"/>
      <c r="HR78" s="17"/>
      <c r="HS78" s="17"/>
      <c r="HT78" s="17"/>
      <c r="HU78" s="17"/>
      <c r="HV78" s="17"/>
      <c r="HW78" s="17"/>
      <c r="HX78" s="17"/>
      <c r="HY78" s="17"/>
      <c r="HZ78" s="17"/>
      <c r="IA78" s="17"/>
      <c r="IB78" s="17"/>
      <c r="IC78" s="17"/>
      <c r="ID78" s="17"/>
      <c r="IE78" s="17"/>
      <c r="IF78" s="17"/>
      <c r="IG78" s="17"/>
      <c r="IH78" s="17"/>
      <c r="II78" s="17"/>
      <c r="IJ78" s="17"/>
      <c r="IK78" s="17"/>
      <c r="IL78" s="17"/>
      <c r="IM78" s="17"/>
      <c r="IN78" s="17"/>
      <c r="IO78" s="17"/>
      <c r="IP78" s="17"/>
      <c r="IQ78" s="17"/>
      <c r="IR78" s="17"/>
      <c r="IS78" s="17"/>
      <c r="IT78" s="17"/>
      <c r="IU78" s="17"/>
      <c r="IV78" s="17"/>
      <c r="IW78" s="17"/>
      <c r="IX78" s="17"/>
      <c r="IY78" s="17"/>
      <c r="IZ78" s="17"/>
      <c r="JA78" s="17"/>
      <c r="JB78" s="17"/>
      <c r="JC78" s="17"/>
      <c r="JD78" s="17"/>
      <c r="JE78" s="17"/>
      <c r="JF78" s="17"/>
      <c r="JG78" s="17"/>
      <c r="JH78" s="17"/>
      <c r="JI78" s="17"/>
      <c r="JJ78" s="17"/>
      <c r="JK78" s="17"/>
      <c r="JL78" s="17"/>
      <c r="JM78" s="17"/>
      <c r="JN78" s="17"/>
      <c r="JO78" s="17"/>
      <c r="JP78" s="17"/>
      <c r="JQ78" s="17"/>
      <c r="JR78" s="17"/>
      <c r="JS78" s="17"/>
      <c r="JT78" s="17"/>
      <c r="JU78" s="17"/>
      <c r="JV78" s="17"/>
      <c r="JW78" s="17"/>
      <c r="JX78" s="17"/>
      <c r="JY78" s="17"/>
      <c r="JZ78" s="17"/>
      <c r="KA78" s="17"/>
      <c r="KB78" s="17"/>
      <c r="KC78" s="17"/>
      <c r="KD78" s="17"/>
      <c r="KE78" s="17"/>
      <c r="KF78" s="17"/>
      <c r="KG78" s="17"/>
      <c r="KH78" s="17"/>
      <c r="KI78" s="17"/>
      <c r="KJ78" s="17"/>
      <c r="KK78" s="17"/>
      <c r="KL78" s="17"/>
      <c r="KM78" s="17"/>
      <c r="KN78" s="17"/>
      <c r="KO78" s="17"/>
      <c r="KP78" s="17"/>
      <c r="KQ78" s="17"/>
      <c r="KR78" s="17"/>
      <c r="KS78" s="17"/>
      <c r="KT78" s="17"/>
      <c r="KU78" s="17"/>
      <c r="KV78" s="17"/>
      <c r="KW78" s="17"/>
      <c r="KX78" s="17"/>
      <c r="KY78" s="17"/>
      <c r="KZ78" s="17"/>
      <c r="LA78" s="17"/>
      <c r="LB78" s="17"/>
      <c r="LC78" s="17"/>
      <c r="LD78" s="17"/>
      <c r="LE78" s="17"/>
      <c r="LF78" s="17"/>
      <c r="LG78" s="17"/>
      <c r="LH78" s="17"/>
      <c r="LI78" s="17"/>
      <c r="LJ78" s="17"/>
      <c r="LK78" s="17"/>
      <c r="LL78" s="17"/>
      <c r="LM78" s="17"/>
      <c r="LN78" s="17"/>
      <c r="LO78" s="17"/>
      <c r="LP78" s="17"/>
      <c r="LQ78" s="17"/>
      <c r="LR78" s="17"/>
      <c r="LS78" s="17"/>
      <c r="LT78" s="17"/>
      <c r="LU78" s="17"/>
      <c r="LV78" s="17"/>
      <c r="LW78" s="17"/>
      <c r="LX78" s="17"/>
      <c r="LY78" s="17"/>
      <c r="LZ78" s="17"/>
      <c r="MA78" s="17"/>
      <c r="MB78" s="17"/>
      <c r="MC78" s="17"/>
      <c r="MD78" s="17"/>
      <c r="ME78" s="17"/>
      <c r="MF78" s="17"/>
      <c r="MG78" s="17"/>
      <c r="MH78" s="17"/>
      <c r="MI78" s="17"/>
      <c r="MJ78" s="17"/>
      <c r="MK78" s="17"/>
      <c r="ML78" s="17"/>
      <c r="MM78" s="17"/>
      <c r="MN78" s="17"/>
      <c r="MO78" s="17"/>
      <c r="MP78" s="17"/>
      <c r="MQ78" s="17"/>
      <c r="MR78" s="17"/>
      <c r="MS78" s="17"/>
      <c r="MT78" s="17"/>
      <c r="MU78" s="17"/>
      <c r="MV78" s="17"/>
      <c r="MW78" s="17"/>
      <c r="MX78" s="17"/>
      <c r="MY78" s="17"/>
      <c r="MZ78" s="17"/>
      <c r="NA78" s="17"/>
      <c r="NB78" s="17"/>
      <c r="NC78" s="17"/>
      <c r="ND78" s="17"/>
      <c r="NE78" s="17"/>
      <c r="NF78" s="17"/>
      <c r="NG78" s="17"/>
      <c r="NH78" s="17"/>
      <c r="NI78" s="17"/>
      <c r="NJ78" s="17"/>
      <c r="NK78" s="17"/>
      <c r="NL78" s="17"/>
      <c r="NM78" s="17"/>
      <c r="NN78" s="17"/>
      <c r="NO78" s="17"/>
      <c r="NP78" s="17"/>
      <c r="NQ78" s="17"/>
      <c r="NR78" s="17"/>
      <c r="NS78" s="17"/>
      <c r="NT78" s="17"/>
      <c r="NU78" s="17"/>
      <c r="NV78" s="17"/>
      <c r="NW78" s="17"/>
      <c r="NX78" s="17"/>
      <c r="NY78" s="17"/>
      <c r="NZ78" s="17"/>
      <c r="OA78" s="17"/>
      <c r="OB78" s="17"/>
      <c r="OC78" s="17"/>
      <c r="OD78" s="17"/>
      <c r="OE78" s="17"/>
      <c r="OF78" s="17"/>
    </row>
    <row r="79" spans="1:396" customFormat="1" x14ac:dyDescent="0.15">
      <c r="A79" s="9" t="s">
        <v>41</v>
      </c>
      <c r="B79" s="5">
        <f>AVERAGE(B3:B13)</f>
        <v>1.4121600000000001</v>
      </c>
      <c r="C79" s="5">
        <f t="shared" ref="C79:BN79" si="73">AVERAGE(C3:C13)</f>
        <v>1.4016000000000002</v>
      </c>
      <c r="D79" s="5">
        <f t="shared" si="73"/>
        <v>1.3900800000000002</v>
      </c>
      <c r="E79" s="5">
        <f t="shared" si="73"/>
        <v>1.3823999999999999</v>
      </c>
      <c r="F79" s="5">
        <f t="shared" si="73"/>
        <v>1.37568</v>
      </c>
      <c r="G79" s="5">
        <f t="shared" si="73"/>
        <v>1.3632</v>
      </c>
      <c r="H79" s="5">
        <f t="shared" si="73"/>
        <v>1.35456</v>
      </c>
      <c r="I79" s="5">
        <f t="shared" si="73"/>
        <v>1.3439999999999999</v>
      </c>
      <c r="J79" s="5">
        <f t="shared" si="73"/>
        <v>1.3392000000000002</v>
      </c>
      <c r="K79" s="5">
        <f t="shared" si="73"/>
        <v>1.3267199999999999</v>
      </c>
      <c r="L79" s="5">
        <f t="shared" si="73"/>
        <v>1.3161599999999998</v>
      </c>
      <c r="M79" s="5">
        <f t="shared" si="73"/>
        <v>1.3075199999999998</v>
      </c>
      <c r="N79" s="5">
        <f t="shared" si="73"/>
        <v>1.3036799999999999</v>
      </c>
      <c r="O79" s="5">
        <f t="shared" si="73"/>
        <v>1.3008</v>
      </c>
      <c r="P79" s="5">
        <f t="shared" si="73"/>
        <v>1.29216</v>
      </c>
      <c r="Q79" s="5">
        <f t="shared" si="73"/>
        <v>1.28352</v>
      </c>
      <c r="R79" s="5">
        <f t="shared" si="73"/>
        <v>1.27488</v>
      </c>
      <c r="S79" s="5">
        <f t="shared" si="73"/>
        <v>1.26336</v>
      </c>
      <c r="T79" s="5">
        <f t="shared" si="73"/>
        <v>1.2556799999999997</v>
      </c>
      <c r="U79" s="5">
        <f t="shared" si="73"/>
        <v>1.25088</v>
      </c>
      <c r="V79" s="5">
        <f t="shared" si="73"/>
        <v>1.2412800000000002</v>
      </c>
      <c r="W79" s="5">
        <f t="shared" si="73"/>
        <v>1.2316799999999999</v>
      </c>
      <c r="X79" s="5">
        <f t="shared" si="73"/>
        <v>1.22112</v>
      </c>
      <c r="Y79" s="5">
        <f t="shared" si="73"/>
        <v>1.2172799999999997</v>
      </c>
      <c r="Z79" s="5">
        <f t="shared" si="73"/>
        <v>1.2086399999999999</v>
      </c>
      <c r="AA79" s="5">
        <f t="shared" si="73"/>
        <v>1.2047999999999999</v>
      </c>
      <c r="AB79" s="5">
        <f t="shared" si="73"/>
        <v>1.19808</v>
      </c>
      <c r="AC79" s="5">
        <f t="shared" si="73"/>
        <v>1.1913600000000002</v>
      </c>
      <c r="AD79" s="5">
        <f t="shared" si="73"/>
        <v>1.1856</v>
      </c>
      <c r="AE79" s="5">
        <f t="shared" si="73"/>
        <v>1.1779200000000001</v>
      </c>
      <c r="AF79" s="5">
        <f t="shared" si="73"/>
        <v>1.1702400000000002</v>
      </c>
      <c r="AG79" s="5">
        <f t="shared" si="73"/>
        <v>1.16448</v>
      </c>
      <c r="AH79" s="5">
        <f t="shared" si="73"/>
        <v>1.1577599999999999</v>
      </c>
      <c r="AI79" s="5">
        <f t="shared" si="73"/>
        <v>1.15584</v>
      </c>
      <c r="AJ79" s="5">
        <f t="shared" si="73"/>
        <v>1.1520000000000001</v>
      </c>
      <c r="AK79" s="5">
        <f t="shared" si="73"/>
        <v>1.1472</v>
      </c>
      <c r="AL79" s="5">
        <f t="shared" si="73"/>
        <v>1.1414400000000002</v>
      </c>
      <c r="AM79" s="5">
        <f t="shared" si="73"/>
        <v>1.1366399999999999</v>
      </c>
      <c r="AN79" s="5">
        <f t="shared" si="73"/>
        <v>1.1318399999999997</v>
      </c>
      <c r="AO79" s="5">
        <f t="shared" si="73"/>
        <v>1.12704</v>
      </c>
      <c r="AP79" s="5">
        <f t="shared" si="73"/>
        <v>1.12416</v>
      </c>
      <c r="AQ79" s="5">
        <f t="shared" si="73"/>
        <v>1.1222400000000001</v>
      </c>
      <c r="AR79" s="5">
        <f t="shared" si="73"/>
        <v>1.1193600000000001</v>
      </c>
      <c r="AS79" s="5">
        <f t="shared" si="73"/>
        <v>1.11744</v>
      </c>
      <c r="AT79" s="5">
        <f t="shared" si="73"/>
        <v>1.11168</v>
      </c>
      <c r="AU79" s="5">
        <f t="shared" si="73"/>
        <v>1.1097600000000001</v>
      </c>
      <c r="AV79" s="5">
        <f t="shared" si="73"/>
        <v>1.1049599999999999</v>
      </c>
      <c r="AW79" s="5">
        <f t="shared" si="73"/>
        <v>1.1049599999999997</v>
      </c>
      <c r="AX79" s="5">
        <f t="shared" si="73"/>
        <v>1.1020799999999999</v>
      </c>
      <c r="AY79" s="5">
        <f t="shared" si="73"/>
        <v>1.1040000000000001</v>
      </c>
      <c r="AZ79" s="5">
        <f t="shared" si="73"/>
        <v>1.1011199999999999</v>
      </c>
      <c r="BA79" s="5">
        <f t="shared" si="73"/>
        <v>1.0982399999999999</v>
      </c>
      <c r="BB79" s="5">
        <f t="shared" si="73"/>
        <v>1.0982399999999999</v>
      </c>
      <c r="BC79" s="5">
        <f t="shared" si="73"/>
        <v>1.0944</v>
      </c>
      <c r="BD79" s="5">
        <f t="shared" si="73"/>
        <v>1.0944</v>
      </c>
      <c r="BE79" s="5">
        <f t="shared" si="73"/>
        <v>1.09152</v>
      </c>
      <c r="BF79" s="5">
        <f t="shared" si="73"/>
        <v>1.08768</v>
      </c>
      <c r="BG79" s="5">
        <f t="shared" si="73"/>
        <v>1.08768</v>
      </c>
      <c r="BH79" s="5">
        <f t="shared" si="73"/>
        <v>1.0899840000000001</v>
      </c>
      <c r="BI79" s="5">
        <f t="shared" si="73"/>
        <v>1.023552</v>
      </c>
      <c r="BJ79" s="5">
        <f t="shared" si="73"/>
        <v>1.0875839999999999</v>
      </c>
      <c r="BK79" s="5">
        <f t="shared" si="73"/>
        <v>1.0842239999999999</v>
      </c>
      <c r="BL79" s="5">
        <f t="shared" si="73"/>
        <v>1.0775040000000002</v>
      </c>
      <c r="BM79" s="5">
        <f t="shared" si="73"/>
        <v>1.0717439999999998</v>
      </c>
      <c r="BN79" s="5">
        <f t="shared" si="73"/>
        <v>1.068864</v>
      </c>
      <c r="BO79" s="5">
        <f t="shared" ref="BO79:DZ79" si="74">AVERAGE(BO3:BO13)</f>
        <v>1.0698239999999999</v>
      </c>
      <c r="BP79" s="5">
        <f t="shared" si="74"/>
        <v>1.0687679999999999</v>
      </c>
      <c r="BQ79" s="5">
        <f t="shared" si="74"/>
        <v>1.0678080000000001</v>
      </c>
      <c r="BR79" s="5">
        <f t="shared" si="74"/>
        <v>1.0630080000000002</v>
      </c>
      <c r="BS79" s="5">
        <f t="shared" si="74"/>
        <v>1.0606080000000002</v>
      </c>
      <c r="BT79" s="5">
        <f t="shared" si="74"/>
        <v>1.058208</v>
      </c>
      <c r="BU79" s="5">
        <f t="shared" si="74"/>
        <v>1.060128</v>
      </c>
      <c r="BV79" s="5">
        <f t="shared" si="74"/>
        <v>1.060128</v>
      </c>
      <c r="BW79" s="5">
        <f t="shared" si="74"/>
        <v>1.0548480000000002</v>
      </c>
      <c r="BX79" s="5">
        <f t="shared" si="74"/>
        <v>1.0529280000000003</v>
      </c>
      <c r="BY79" s="5">
        <f t="shared" si="74"/>
        <v>1.051968</v>
      </c>
      <c r="BZ79" s="5">
        <f t="shared" si="74"/>
        <v>1.054368</v>
      </c>
      <c r="CA79" s="5">
        <f t="shared" si="74"/>
        <v>1.0505279999999999</v>
      </c>
      <c r="CB79" s="5">
        <f t="shared" si="74"/>
        <v>1.051488</v>
      </c>
      <c r="CC79" s="5">
        <f t="shared" si="74"/>
        <v>1.0505279999999999</v>
      </c>
      <c r="CD79" s="5">
        <f t="shared" si="74"/>
        <v>1.048608</v>
      </c>
      <c r="CE79" s="5">
        <f t="shared" si="74"/>
        <v>1.0447680000000001</v>
      </c>
      <c r="CF79" s="5">
        <f t="shared" si="74"/>
        <v>1.049088</v>
      </c>
      <c r="CG79" s="5">
        <f t="shared" si="74"/>
        <v>1.0562879999999999</v>
      </c>
      <c r="CH79" s="5">
        <f t="shared" si="74"/>
        <v>1.061088</v>
      </c>
      <c r="CI79" s="5">
        <f t="shared" si="74"/>
        <v>1.0678080000000001</v>
      </c>
      <c r="CJ79" s="5">
        <f t="shared" si="74"/>
        <v>1.0649279999999999</v>
      </c>
      <c r="CK79" s="5">
        <f t="shared" si="74"/>
        <v>1.0678080000000001</v>
      </c>
      <c r="CL79" s="5">
        <f t="shared" si="74"/>
        <v>1.069728</v>
      </c>
      <c r="CM79" s="5">
        <f t="shared" si="74"/>
        <v>1.0745279999999999</v>
      </c>
      <c r="CN79" s="5">
        <f t="shared" si="74"/>
        <v>1.0769280000000001</v>
      </c>
      <c r="CO79" s="5">
        <f t="shared" si="74"/>
        <v>1.0841280000000002</v>
      </c>
      <c r="CP79" s="5">
        <f t="shared" si="74"/>
        <v>1.087008</v>
      </c>
      <c r="CQ79" s="5">
        <f t="shared" si="74"/>
        <v>1.0913279999999999</v>
      </c>
      <c r="CR79" s="5">
        <f t="shared" si="74"/>
        <v>1.0975679999999999</v>
      </c>
      <c r="CS79" s="5">
        <f t="shared" si="74"/>
        <v>1.106784</v>
      </c>
      <c r="CT79" s="5">
        <f t="shared" si="74"/>
        <v>1.1097600000000003</v>
      </c>
      <c r="CU79" s="5">
        <f t="shared" si="74"/>
        <v>1.1097600000000003</v>
      </c>
      <c r="CV79" s="5">
        <f t="shared" si="74"/>
        <v>1.1097600000000003</v>
      </c>
      <c r="CW79" s="5">
        <f t="shared" si="74"/>
        <v>1.1116800000000002</v>
      </c>
      <c r="CX79" s="5">
        <f t="shared" si="74"/>
        <v>1.1111040000000001</v>
      </c>
      <c r="CY79" s="5">
        <f t="shared" si="74"/>
        <v>1.1091839999999999</v>
      </c>
      <c r="CZ79" s="5">
        <f t="shared" si="74"/>
        <v>1.1120639999999999</v>
      </c>
      <c r="DA79" s="5">
        <f t="shared" si="74"/>
        <v>1.1191680000000002</v>
      </c>
      <c r="DB79" s="5">
        <f t="shared" si="74"/>
        <v>1.128768</v>
      </c>
      <c r="DC79" s="5">
        <f t="shared" si="74"/>
        <v>1.1330879999999999</v>
      </c>
      <c r="DD79" s="5">
        <f t="shared" si="74"/>
        <v>1.140768</v>
      </c>
      <c r="DE79" s="5">
        <f t="shared" si="74"/>
        <v>1.1503679999999998</v>
      </c>
      <c r="DF79" s="5">
        <f t="shared" si="74"/>
        <v>1.1599679999999999</v>
      </c>
      <c r="DG79" s="5">
        <f t="shared" si="74"/>
        <v>1.1714879999999999</v>
      </c>
      <c r="DH79" s="5">
        <f t="shared" si="74"/>
        <v>1.1946240000000001</v>
      </c>
      <c r="DI79" s="5">
        <f t="shared" si="74"/>
        <v>1.2220800000000001</v>
      </c>
      <c r="DJ79" s="5">
        <f t="shared" si="74"/>
        <v>1.2527999999999999</v>
      </c>
      <c r="DK79" s="5">
        <f t="shared" si="74"/>
        <v>1.28064</v>
      </c>
      <c r="DL79" s="5">
        <f t="shared" si="74"/>
        <v>1.29216</v>
      </c>
      <c r="DM79" s="5">
        <f t="shared" si="74"/>
        <v>1.2959999999999998</v>
      </c>
      <c r="DN79" s="5">
        <f t="shared" si="74"/>
        <v>1.2902399999999998</v>
      </c>
      <c r="DO79" s="5">
        <f t="shared" si="74"/>
        <v>1.3084800000000003</v>
      </c>
      <c r="DP79" s="5">
        <f t="shared" si="74"/>
        <v>1.3123199999999997</v>
      </c>
      <c r="DQ79" s="5">
        <f t="shared" si="74"/>
        <v>1.3161599999999998</v>
      </c>
      <c r="DR79" s="5">
        <f t="shared" si="74"/>
        <v>1.31616</v>
      </c>
      <c r="DS79" s="5">
        <f t="shared" si="74"/>
        <v>1.3171200000000001</v>
      </c>
      <c r="DT79" s="5">
        <f t="shared" si="74"/>
        <v>1.3190400000000002</v>
      </c>
      <c r="DU79" s="5">
        <f t="shared" si="74"/>
        <v>1.3324800000000001</v>
      </c>
      <c r="DV79" s="5">
        <f t="shared" si="74"/>
        <v>1.3545600000000002</v>
      </c>
      <c r="DW79" s="5">
        <f t="shared" si="74"/>
        <v>1.36704</v>
      </c>
      <c r="DX79" s="5">
        <f t="shared" si="74"/>
        <v>1.38144</v>
      </c>
      <c r="DY79" s="5">
        <f t="shared" si="74"/>
        <v>1.3833600000000001</v>
      </c>
      <c r="DZ79" s="5">
        <f t="shared" si="74"/>
        <v>1.3939199999999998</v>
      </c>
      <c r="EA79" s="5">
        <f t="shared" ref="EA79:GL79" si="75">AVERAGE(EA3:EA13)</f>
        <v>1.4179199999999998</v>
      </c>
      <c r="EB79" s="5">
        <f t="shared" si="75"/>
        <v>1.4438400000000002</v>
      </c>
      <c r="EC79" s="5">
        <f t="shared" si="75"/>
        <v>1.4563200000000001</v>
      </c>
      <c r="ED79" s="5">
        <f t="shared" si="75"/>
        <v>1.4601599999999999</v>
      </c>
      <c r="EE79" s="5">
        <f t="shared" si="75"/>
        <v>1.47648</v>
      </c>
      <c r="EF79" s="5">
        <f t="shared" si="75"/>
        <v>1.4918400000000001</v>
      </c>
      <c r="EG79" s="5">
        <f t="shared" si="75"/>
        <v>1.5014399999999997</v>
      </c>
      <c r="EH79" s="5">
        <f t="shared" si="75"/>
        <v>1.512</v>
      </c>
      <c r="EI79" s="5">
        <f t="shared" si="75"/>
        <v>1.5398400000000001</v>
      </c>
      <c r="EJ79" s="5">
        <f t="shared" si="75"/>
        <v>1.5753599999999999</v>
      </c>
      <c r="EK79" s="5">
        <f t="shared" si="75"/>
        <v>1.6176000000000001</v>
      </c>
      <c r="EL79" s="5">
        <f t="shared" si="75"/>
        <v>1.6320000000000001</v>
      </c>
      <c r="EM79" s="5">
        <f t="shared" si="75"/>
        <v>1.6233600000000004</v>
      </c>
      <c r="EN79" s="5">
        <f t="shared" si="75"/>
        <v>1.6069439999999997</v>
      </c>
      <c r="EO79" s="5">
        <f t="shared" si="75"/>
        <v>1.6189439999999999</v>
      </c>
      <c r="EP79" s="5">
        <f t="shared" si="75"/>
        <v>1.6291199999999997</v>
      </c>
      <c r="EQ79" s="5">
        <f t="shared" si="75"/>
        <v>1.63968</v>
      </c>
      <c r="ER79" s="5">
        <f t="shared" si="75"/>
        <v>1.6944000000000001</v>
      </c>
      <c r="ES79" s="5">
        <f t="shared" si="75"/>
        <v>1.7644799999999998</v>
      </c>
      <c r="ET79" s="5">
        <f t="shared" si="75"/>
        <v>1.8134399999999999</v>
      </c>
      <c r="EU79" s="5">
        <f t="shared" si="75"/>
        <v>1.8950399999999996</v>
      </c>
      <c r="EV79" s="5">
        <f t="shared" si="75"/>
        <v>1.9795199999999999</v>
      </c>
      <c r="EW79" s="5">
        <f t="shared" si="75"/>
        <v>2.0064000000000006</v>
      </c>
      <c r="EX79" s="5">
        <f t="shared" si="75"/>
        <v>2.06304</v>
      </c>
      <c r="EY79" s="5">
        <f t="shared" si="75"/>
        <v>2.0831999999999997</v>
      </c>
      <c r="EZ79" s="5">
        <f t="shared" si="75"/>
        <v>2.14656</v>
      </c>
      <c r="FA79" s="5">
        <f t="shared" si="75"/>
        <v>2.2060799999999996</v>
      </c>
      <c r="FB79" s="5">
        <f t="shared" si="75"/>
        <v>2.2569600000000003</v>
      </c>
      <c r="FC79" s="5">
        <f t="shared" si="75"/>
        <v>2.3356800000000004</v>
      </c>
      <c r="FD79" s="5">
        <f t="shared" si="75"/>
        <v>2.4019200000000001</v>
      </c>
      <c r="FE79" s="5">
        <f t="shared" si="75"/>
        <v>2.448</v>
      </c>
      <c r="FF79" s="5">
        <f t="shared" si="75"/>
        <v>2.5180799999999999</v>
      </c>
      <c r="FG79" s="5">
        <f t="shared" si="75"/>
        <v>2.5382400000000001</v>
      </c>
      <c r="FH79" s="5">
        <f t="shared" si="75"/>
        <v>2.5766399999999998</v>
      </c>
      <c r="FI79" s="5">
        <f t="shared" si="75"/>
        <v>2.6188799999999994</v>
      </c>
      <c r="FJ79" s="5">
        <f t="shared" si="75"/>
        <v>2.7052800000000001</v>
      </c>
      <c r="FK79" s="5">
        <f t="shared" si="75"/>
        <v>2.8531199999999997</v>
      </c>
      <c r="FL79" s="5">
        <f t="shared" si="75"/>
        <v>3.0345599999999999</v>
      </c>
      <c r="FM79" s="5">
        <f t="shared" si="75"/>
        <v>3.3456000000000001</v>
      </c>
      <c r="FN79" s="5">
        <f t="shared" si="75"/>
        <v>3.5433599999999998</v>
      </c>
      <c r="FO79" s="5">
        <f t="shared" si="75"/>
        <v>3.6028800000000007</v>
      </c>
      <c r="FP79" s="5">
        <f t="shared" si="75"/>
        <v>3.6009599999999997</v>
      </c>
      <c r="FQ79" s="5">
        <f t="shared" si="75"/>
        <v>3.76512</v>
      </c>
      <c r="FR79" s="5">
        <f t="shared" si="75"/>
        <v>3.984</v>
      </c>
      <c r="FS79" s="5">
        <f t="shared" si="75"/>
        <v>4.0924800000000001</v>
      </c>
      <c r="FT79" s="5">
        <f t="shared" si="75"/>
        <v>4.2384000000000004</v>
      </c>
      <c r="FU79" s="5">
        <f t="shared" si="75"/>
        <v>4.4649599999999996</v>
      </c>
      <c r="FV79" s="5">
        <f t="shared" si="75"/>
        <v>4.7251200000000004</v>
      </c>
      <c r="FW79" s="5">
        <f t="shared" si="75"/>
        <v>4.9843199999999994</v>
      </c>
      <c r="FX79" s="5">
        <f t="shared" si="75"/>
        <v>5.2118399999999996</v>
      </c>
      <c r="FY79" s="5">
        <f t="shared" si="75"/>
        <v>5.4134399999999987</v>
      </c>
      <c r="FZ79" s="5">
        <f t="shared" si="75"/>
        <v>5.3328000000000007</v>
      </c>
      <c r="GA79" s="5">
        <f t="shared" si="75"/>
        <v>5.2540800000000001</v>
      </c>
      <c r="GB79" s="5">
        <f t="shared" si="75"/>
        <v>5.4652799999999999</v>
      </c>
      <c r="GC79" s="5">
        <f t="shared" si="75"/>
        <v>6.0345599999999999</v>
      </c>
      <c r="GD79" s="5">
        <f t="shared" si="75"/>
        <v>6.3936000000000002</v>
      </c>
      <c r="GE79" s="5">
        <f t="shared" si="75"/>
        <v>6.8486399999999996</v>
      </c>
      <c r="GF79" s="5">
        <f t="shared" si="75"/>
        <v>6.9081600000000005</v>
      </c>
      <c r="GG79" s="5">
        <f t="shared" si="75"/>
        <v>6.8688000000000002</v>
      </c>
      <c r="GH79" s="5">
        <f t="shared" si="75"/>
        <v>7.129920000000002</v>
      </c>
      <c r="GI79" s="5">
        <f t="shared" si="75"/>
        <v>7.4975999999999994</v>
      </c>
      <c r="GJ79" s="5">
        <f t="shared" si="75"/>
        <v>7.7337600000000002</v>
      </c>
      <c r="GK79" s="5">
        <f t="shared" si="75"/>
        <v>7.53024</v>
      </c>
      <c r="GL79" s="5">
        <f t="shared" si="75"/>
        <v>7.3968000000000007</v>
      </c>
      <c r="GM79" s="5">
        <f t="shared" ref="GM79:IX79" si="76">AVERAGE(GM3:GM13)</f>
        <v>7.3872000000000009</v>
      </c>
      <c r="GN79" s="5">
        <f t="shared" si="76"/>
        <v>6.9628800000000002</v>
      </c>
      <c r="GO79" s="5">
        <f t="shared" si="76"/>
        <v>6.7075199999999997</v>
      </c>
      <c r="GP79" s="5">
        <f t="shared" si="76"/>
        <v>6.6566399999999994</v>
      </c>
      <c r="GQ79" s="5">
        <f t="shared" si="76"/>
        <v>6.7872000000000003</v>
      </c>
      <c r="GR79" s="5">
        <f t="shared" si="76"/>
        <v>6.6220799999999995</v>
      </c>
      <c r="GS79" s="5">
        <f t="shared" si="76"/>
        <v>6.4627200000000009</v>
      </c>
      <c r="GT79" s="5">
        <f t="shared" si="76"/>
        <v>6.3235200000000003</v>
      </c>
      <c r="GU79" s="5">
        <f t="shared" si="76"/>
        <v>6.4809599999999996</v>
      </c>
      <c r="GV79" s="5">
        <f t="shared" si="76"/>
        <v>6.9398400000000002</v>
      </c>
      <c r="GW79" s="5">
        <f t="shared" si="76"/>
        <v>6.8937600000000003</v>
      </c>
      <c r="GX79" s="5">
        <f t="shared" si="76"/>
        <v>7.3007999999999997</v>
      </c>
      <c r="GY79" s="5">
        <f t="shared" si="76"/>
        <v>7.8988799999999992</v>
      </c>
      <c r="GZ79" s="5">
        <f t="shared" si="76"/>
        <v>8.3145600000000002</v>
      </c>
      <c r="HA79" s="5">
        <f t="shared" si="76"/>
        <v>8.2118400000000005</v>
      </c>
      <c r="HB79" s="5">
        <f t="shared" si="76"/>
        <v>7.92096</v>
      </c>
      <c r="HC79" s="5">
        <f t="shared" si="76"/>
        <v>7.7865599999999988</v>
      </c>
      <c r="HD79" s="5">
        <f t="shared" si="76"/>
        <v>7.8931200000000006</v>
      </c>
      <c r="HE79" s="5">
        <f t="shared" si="76"/>
        <v>8.2915199999999984</v>
      </c>
      <c r="HF79" s="5">
        <f t="shared" si="76"/>
        <v>8.5574399999999997</v>
      </c>
      <c r="HG79" s="5">
        <f t="shared" si="76"/>
        <v>8.5248000000000026</v>
      </c>
      <c r="HH79" s="5">
        <f t="shared" si="76"/>
        <v>8.6947199999999984</v>
      </c>
      <c r="HI79" s="5">
        <f t="shared" si="76"/>
        <v>8.8271999999999995</v>
      </c>
      <c r="HJ79" s="5">
        <f t="shared" si="76"/>
        <v>9.2083200000000005</v>
      </c>
      <c r="HK79" s="5">
        <f t="shared" si="76"/>
        <v>9.1612800000000014</v>
      </c>
      <c r="HL79" s="5">
        <f t="shared" si="76"/>
        <v>9.1929599999999994</v>
      </c>
      <c r="HM79" s="5">
        <f t="shared" si="76"/>
        <v>9.2860800000000001</v>
      </c>
      <c r="HN79" s="5">
        <f t="shared" si="76"/>
        <v>8.8079999999999998</v>
      </c>
      <c r="HO79" s="5">
        <f t="shared" si="76"/>
        <v>8.2339199999999995</v>
      </c>
      <c r="HP79" s="5">
        <f t="shared" si="76"/>
        <v>7.9171200000000006</v>
      </c>
      <c r="HQ79" s="5">
        <f t="shared" si="76"/>
        <v>8.0054400000000001</v>
      </c>
      <c r="HR79" s="5">
        <f t="shared" si="76"/>
        <v>8.228159999999999</v>
      </c>
      <c r="HS79" s="5">
        <f t="shared" si="76"/>
        <v>8.5353600000000007</v>
      </c>
      <c r="HT79" s="5">
        <f t="shared" si="76"/>
        <v>8.8041600000000013</v>
      </c>
      <c r="HU79" s="5">
        <f t="shared" si="76"/>
        <v>8.8598399999999984</v>
      </c>
      <c r="HV79" s="5">
        <f t="shared" si="76"/>
        <v>8.6544000000000025</v>
      </c>
      <c r="HW79" s="5">
        <f t="shared" si="76"/>
        <v>8.716800000000001</v>
      </c>
      <c r="HX79" s="5">
        <f t="shared" si="76"/>
        <v>9.0652799999999996</v>
      </c>
      <c r="HY79" s="5">
        <f t="shared" si="76"/>
        <v>9.239040000000001</v>
      </c>
      <c r="HZ79" s="5">
        <f t="shared" si="76"/>
        <v>8.7043199999999992</v>
      </c>
      <c r="IA79" s="5">
        <f t="shared" si="76"/>
        <v>8.157119999999999</v>
      </c>
      <c r="IB79" s="5">
        <f t="shared" si="76"/>
        <v>7.9411199999999997</v>
      </c>
      <c r="IC79" s="5">
        <f t="shared" si="76"/>
        <v>7.8700799999999997</v>
      </c>
      <c r="ID79" s="5">
        <f t="shared" si="76"/>
        <v>8.0131200000000007</v>
      </c>
      <c r="IE79" s="5">
        <f t="shared" si="76"/>
        <v>8.1187199999999997</v>
      </c>
      <c r="IF79" s="5">
        <f t="shared" si="76"/>
        <v>8.2454400000000003</v>
      </c>
      <c r="IG79" s="5">
        <f t="shared" si="76"/>
        <v>8.1187199999999997</v>
      </c>
      <c r="IH79" s="5">
        <f t="shared" si="76"/>
        <v>8.2041599999999999</v>
      </c>
      <c r="II79" s="5">
        <f t="shared" si="76"/>
        <v>8.3510399999999994</v>
      </c>
      <c r="IJ79" s="5">
        <f t="shared" si="76"/>
        <v>8.1052800000000005</v>
      </c>
      <c r="IK79" s="5">
        <f t="shared" si="76"/>
        <v>7.8815999999999997</v>
      </c>
      <c r="IL79" s="5">
        <f t="shared" si="76"/>
        <v>7.7827200000000012</v>
      </c>
      <c r="IM79" s="5">
        <f t="shared" si="76"/>
        <v>7.8153600000000001</v>
      </c>
      <c r="IN79" s="5">
        <f t="shared" si="76"/>
        <v>7.5206399999999984</v>
      </c>
      <c r="IO79" s="5">
        <f t="shared" si="76"/>
        <v>7.2240000000000002</v>
      </c>
      <c r="IP79" s="5">
        <f t="shared" si="76"/>
        <v>7.1596800000000007</v>
      </c>
      <c r="IQ79" s="5">
        <f t="shared" si="76"/>
        <v>7.0972799999999996</v>
      </c>
      <c r="IR79" s="5">
        <f t="shared" si="76"/>
        <v>7.1654399999999994</v>
      </c>
      <c r="IS79" s="5">
        <f t="shared" si="76"/>
        <v>7.3440000000000003</v>
      </c>
      <c r="IT79" s="5">
        <f t="shared" si="76"/>
        <v>7.3276800000000009</v>
      </c>
      <c r="IU79" s="5">
        <f t="shared" si="76"/>
        <v>7.2710399999999993</v>
      </c>
      <c r="IV79" s="5">
        <f t="shared" si="76"/>
        <v>7.3401600000000009</v>
      </c>
      <c r="IW79" s="5">
        <f t="shared" si="76"/>
        <v>7.4515200000000004</v>
      </c>
      <c r="IX79" s="5">
        <f t="shared" si="76"/>
        <v>7.5705600000000004</v>
      </c>
      <c r="IY79" s="5">
        <f t="shared" ref="IY79:LJ79" si="77">AVERAGE(IY3:IY13)</f>
        <v>7.6800000000000006</v>
      </c>
      <c r="IZ79" s="5">
        <f t="shared" si="77"/>
        <v>7.6665599999999996</v>
      </c>
      <c r="JA79" s="5">
        <f t="shared" si="77"/>
        <v>7.516799999999999</v>
      </c>
      <c r="JB79" s="5">
        <f t="shared" si="77"/>
        <v>7.3353599999999988</v>
      </c>
      <c r="JC79" s="5">
        <f t="shared" si="77"/>
        <v>7.6118400000000008</v>
      </c>
      <c r="JD79" s="5">
        <f t="shared" si="77"/>
        <v>7.5878399999999999</v>
      </c>
      <c r="JE79" s="5">
        <f t="shared" si="77"/>
        <v>7.6540799999999996</v>
      </c>
      <c r="JF79" s="5">
        <f t="shared" si="77"/>
        <v>7.5628800000000007</v>
      </c>
      <c r="JG79" s="5">
        <f t="shared" si="77"/>
        <v>7.4428800000000006</v>
      </c>
      <c r="JH79" s="5">
        <f t="shared" si="77"/>
        <v>7.3209599999999995</v>
      </c>
      <c r="JI79" s="5">
        <f t="shared" si="77"/>
        <v>7.317120000000001</v>
      </c>
      <c r="JJ79" s="5">
        <f t="shared" si="77"/>
        <v>7.0617599999999996</v>
      </c>
      <c r="JK79" s="5">
        <f t="shared" si="77"/>
        <v>6.8495999999999997</v>
      </c>
      <c r="JL79" s="5">
        <f t="shared" si="77"/>
        <v>6.7142399999999993</v>
      </c>
      <c r="JM79" s="5">
        <f t="shared" si="77"/>
        <v>6.5088000000000008</v>
      </c>
      <c r="JN79" s="5">
        <f t="shared" si="77"/>
        <v>6.3811200000000001</v>
      </c>
      <c r="JO79" s="5">
        <f t="shared" si="77"/>
        <v>6.3139199999999995</v>
      </c>
      <c r="JP79" s="5">
        <f t="shared" si="77"/>
        <v>6.3494399999999995</v>
      </c>
      <c r="JQ79" s="5">
        <f t="shared" si="77"/>
        <v>6.4444800000000004</v>
      </c>
      <c r="JR79" s="5">
        <f t="shared" si="77"/>
        <v>6.3715199999999994</v>
      </c>
      <c r="JS79" s="5">
        <f t="shared" si="77"/>
        <v>6.2428800000000004</v>
      </c>
      <c r="JT79" s="5">
        <f t="shared" si="77"/>
        <v>6.1334399999999993</v>
      </c>
      <c r="JU79" s="5">
        <f t="shared" si="77"/>
        <v>6.07104</v>
      </c>
      <c r="JV79" s="5">
        <f t="shared" si="77"/>
        <v>5.9222400000000004</v>
      </c>
      <c r="JW79" s="5">
        <f t="shared" si="77"/>
        <v>5.7484799999999989</v>
      </c>
      <c r="JX79" s="5">
        <f t="shared" si="77"/>
        <v>5.6841599999999994</v>
      </c>
      <c r="JY79" s="5">
        <f t="shared" si="77"/>
        <v>5.4720000000000004</v>
      </c>
      <c r="JZ79" s="5">
        <f t="shared" si="77"/>
        <v>5.8243200000000002</v>
      </c>
      <c r="KA79" s="5">
        <f t="shared" si="77"/>
        <v>6.0403200000000004</v>
      </c>
      <c r="KB79" s="5">
        <f t="shared" si="77"/>
        <v>5.9001599999999996</v>
      </c>
      <c r="KC79" s="5">
        <f t="shared" si="77"/>
        <v>5.7129599999999998</v>
      </c>
      <c r="KD79" s="5">
        <f t="shared" si="77"/>
        <v>5.4720000000000004</v>
      </c>
      <c r="KE79" s="5">
        <f t="shared" si="77"/>
        <v>5.2857599999999998</v>
      </c>
      <c r="KF79" s="5">
        <f t="shared" si="77"/>
        <v>5.1926399999999999</v>
      </c>
      <c r="KG79" s="5">
        <f t="shared" si="77"/>
        <v>5.1427200000000006</v>
      </c>
      <c r="KH79" s="5">
        <f t="shared" si="77"/>
        <v>5.1436799999999998</v>
      </c>
      <c r="KI79" s="5">
        <f t="shared" si="77"/>
        <v>5.0140799999999999</v>
      </c>
      <c r="KJ79" s="5">
        <f t="shared" si="77"/>
        <v>4.8576000000000006</v>
      </c>
      <c r="KK79" s="5">
        <f t="shared" si="77"/>
        <v>4.6867200000000002</v>
      </c>
      <c r="KL79" s="5">
        <f t="shared" si="77"/>
        <v>4.5676799999999993</v>
      </c>
      <c r="KM79" s="5">
        <f t="shared" si="77"/>
        <v>4.445759999999999</v>
      </c>
      <c r="KN79" s="5">
        <f t="shared" si="77"/>
        <v>4.3267199999999999</v>
      </c>
      <c r="KO79" s="5">
        <f t="shared" si="77"/>
        <v>4.3132799999999998</v>
      </c>
      <c r="KP79" s="5">
        <f t="shared" si="77"/>
        <v>4.2431999999999999</v>
      </c>
      <c r="KQ79" s="5">
        <f t="shared" si="77"/>
        <v>4.1865600000000009</v>
      </c>
      <c r="KR79" s="5">
        <f t="shared" si="77"/>
        <v>4.1155200000000001</v>
      </c>
      <c r="KS79" s="5">
        <f t="shared" si="77"/>
        <v>3.9926399999999997</v>
      </c>
      <c r="KT79" s="5">
        <f t="shared" si="77"/>
        <v>3.8899200000000005</v>
      </c>
      <c r="KU79" s="5">
        <f t="shared" si="77"/>
        <v>3.7967999999999993</v>
      </c>
      <c r="KV79" s="5">
        <f t="shared" si="77"/>
        <v>3.6710400000000001</v>
      </c>
      <c r="KW79" s="5">
        <f t="shared" si="77"/>
        <v>3.5548799999999994</v>
      </c>
      <c r="KX79" s="5">
        <f t="shared" si="77"/>
        <v>3.4598399999999998</v>
      </c>
      <c r="KY79" s="5">
        <f t="shared" si="77"/>
        <v>3.3638400000000002</v>
      </c>
      <c r="KZ79" s="5">
        <f t="shared" si="77"/>
        <v>3.28416</v>
      </c>
      <c r="LA79" s="5">
        <f t="shared" si="77"/>
        <v>3.2035199999999997</v>
      </c>
      <c r="LB79" s="5">
        <f t="shared" si="77"/>
        <v>3.1689600000000002</v>
      </c>
      <c r="LC79" s="5">
        <f t="shared" si="77"/>
        <v>3.2236799999999999</v>
      </c>
      <c r="LD79" s="5">
        <f t="shared" si="77"/>
        <v>3.2544</v>
      </c>
      <c r="LE79" s="5">
        <f t="shared" si="77"/>
        <v>3.2150399999999997</v>
      </c>
      <c r="LF79" s="5">
        <f t="shared" si="77"/>
        <v>3.1180800000000004</v>
      </c>
      <c r="LG79" s="5">
        <f t="shared" si="77"/>
        <v>2.9999999999999996</v>
      </c>
      <c r="LH79" s="5">
        <f t="shared" si="77"/>
        <v>2.8972800000000003</v>
      </c>
      <c r="LI79" s="5">
        <f t="shared" si="77"/>
        <v>2.8128000000000006</v>
      </c>
      <c r="LJ79" s="5">
        <f t="shared" si="77"/>
        <v>2.7350399999999997</v>
      </c>
      <c r="LK79" s="5">
        <f t="shared" ref="LK79:NU79" si="78">AVERAGE(LK3:LK13)</f>
        <v>2.6668799999999999</v>
      </c>
      <c r="LL79" s="5">
        <f t="shared" si="78"/>
        <v>2.6073600000000003</v>
      </c>
      <c r="LM79" s="5">
        <f t="shared" si="78"/>
        <v>2.5507199999999992</v>
      </c>
      <c r="LN79" s="5">
        <f t="shared" si="78"/>
        <v>2.4959999999999996</v>
      </c>
      <c r="LO79" s="5">
        <f t="shared" si="78"/>
        <v>2.4403200000000003</v>
      </c>
      <c r="LP79" s="5">
        <f t="shared" si="78"/>
        <v>2.3923199999999998</v>
      </c>
      <c r="LQ79" s="5">
        <f t="shared" si="78"/>
        <v>2.3472</v>
      </c>
      <c r="LR79" s="5">
        <f t="shared" si="78"/>
        <v>2.3020800000000001</v>
      </c>
      <c r="LS79" s="5">
        <f t="shared" si="78"/>
        <v>2.2579199999999999</v>
      </c>
      <c r="LT79" s="5">
        <f t="shared" si="78"/>
        <v>2.2156799999999999</v>
      </c>
      <c r="LU79" s="5">
        <f t="shared" si="78"/>
        <v>2.1782400000000002</v>
      </c>
      <c r="LV79" s="5">
        <f t="shared" si="78"/>
        <v>2.1417599999999997</v>
      </c>
      <c r="LW79" s="5">
        <f t="shared" si="78"/>
        <v>2.1033599999999999</v>
      </c>
      <c r="LX79" s="5">
        <f t="shared" si="78"/>
        <v>2.0640000000000001</v>
      </c>
      <c r="LY79" s="5">
        <f t="shared" si="78"/>
        <v>2.0323200000000003</v>
      </c>
      <c r="LZ79" s="5">
        <f t="shared" si="78"/>
        <v>2.0015999999999998</v>
      </c>
      <c r="MA79" s="5">
        <f t="shared" si="78"/>
        <v>1.9670399999999999</v>
      </c>
      <c r="MB79" s="5">
        <f t="shared" si="78"/>
        <v>1.9372799999999997</v>
      </c>
      <c r="MC79" s="5">
        <f t="shared" si="78"/>
        <v>1.9036800000000003</v>
      </c>
      <c r="MD79" s="5">
        <f t="shared" si="78"/>
        <v>1.8672</v>
      </c>
      <c r="ME79" s="5">
        <f t="shared" si="78"/>
        <v>1.8355199999999998</v>
      </c>
      <c r="MF79" s="5">
        <f t="shared" si="78"/>
        <v>1.8124799999999999</v>
      </c>
      <c r="MG79" s="5">
        <f t="shared" si="78"/>
        <v>1.78464</v>
      </c>
      <c r="MH79" s="5">
        <f t="shared" si="78"/>
        <v>1.76352</v>
      </c>
      <c r="MI79" s="5">
        <f t="shared" si="78"/>
        <v>1.7500799999999999</v>
      </c>
      <c r="MJ79" s="5">
        <f t="shared" si="78"/>
        <v>1.7299200000000001</v>
      </c>
      <c r="MK79" s="5">
        <f t="shared" si="78"/>
        <v>1.7097600000000002</v>
      </c>
      <c r="ML79" s="5">
        <f t="shared" si="78"/>
        <v>1.6848000000000001</v>
      </c>
      <c r="MM79" s="5">
        <f t="shared" si="78"/>
        <v>1.6617600000000001</v>
      </c>
      <c r="MN79" s="5">
        <f t="shared" si="78"/>
        <v>1.63104</v>
      </c>
      <c r="MO79" s="5">
        <f t="shared" si="78"/>
        <v>1.5993599999999999</v>
      </c>
      <c r="MP79" s="5">
        <f t="shared" si="78"/>
        <v>1.5763199999999999</v>
      </c>
      <c r="MQ79" s="5">
        <f t="shared" si="78"/>
        <v>1.55328</v>
      </c>
      <c r="MR79" s="5">
        <f t="shared" si="78"/>
        <v>1.5369599999999999</v>
      </c>
      <c r="MS79" s="5">
        <f t="shared" si="78"/>
        <v>1.5263999999999998</v>
      </c>
      <c r="MT79" s="5">
        <f t="shared" si="78"/>
        <v>1.5158399999999999</v>
      </c>
      <c r="MU79" s="5">
        <f t="shared" si="78"/>
        <v>1.50528</v>
      </c>
      <c r="MV79" s="5">
        <f t="shared" si="78"/>
        <v>1.4870399999999999</v>
      </c>
      <c r="MW79" s="5">
        <f t="shared" si="78"/>
        <v>1.4687999999999999</v>
      </c>
      <c r="MX79" s="5">
        <f t="shared" si="78"/>
        <v>1.4534400000000001</v>
      </c>
      <c r="MY79" s="5">
        <f t="shared" si="78"/>
        <v>1.4361600000000001</v>
      </c>
      <c r="MZ79" s="5">
        <f t="shared" si="78"/>
        <v>1.4217600000000001</v>
      </c>
      <c r="NA79" s="5">
        <f t="shared" si="78"/>
        <v>1.4035199999999999</v>
      </c>
      <c r="NB79" s="5">
        <f t="shared" si="78"/>
        <v>1.3881600000000001</v>
      </c>
      <c r="NC79" s="5">
        <f t="shared" si="78"/>
        <v>1.3248</v>
      </c>
      <c r="ND79" s="5">
        <f t="shared" si="78"/>
        <v>39.789119999999997</v>
      </c>
      <c r="NE79" s="5">
        <f t="shared" si="78"/>
        <v>31.615680000000005</v>
      </c>
      <c r="NF79" s="5">
        <f t="shared" si="78"/>
        <v>32.923487999999999</v>
      </c>
      <c r="NG79" s="5">
        <f t="shared" si="78"/>
        <v>35.308799999999991</v>
      </c>
      <c r="NH79" s="5">
        <f t="shared" si="78"/>
        <v>48.240960000000001</v>
      </c>
      <c r="NI79" s="5">
        <f t="shared" si="78"/>
        <v>102.4128</v>
      </c>
      <c r="NJ79" s="5">
        <f t="shared" si="78"/>
        <v>222.33695999999998</v>
      </c>
      <c r="NK79" s="5">
        <f t="shared" si="78"/>
        <v>263.88192000000004</v>
      </c>
      <c r="NL79" s="5">
        <f t="shared" si="78"/>
        <v>218.67840000000004</v>
      </c>
      <c r="NM79" s="5">
        <f t="shared" si="78"/>
        <v>162.78720000000004</v>
      </c>
      <c r="NN79" s="5">
        <f t="shared" si="78"/>
        <v>84.528000000000006</v>
      </c>
      <c r="NO79" s="5">
        <f t="shared" si="78"/>
        <v>51.30624000000001</v>
      </c>
      <c r="NP79" s="5">
        <f t="shared" si="78"/>
        <v>1293.8095679999999</v>
      </c>
      <c r="NQ79" s="5">
        <f t="shared" si="78"/>
        <v>14.217600000000003</v>
      </c>
      <c r="NR79" s="5">
        <f t="shared" si="78"/>
        <v>42597.888888888891</v>
      </c>
      <c r="NS79" s="5">
        <f t="shared" si="78"/>
        <v>1.0198080000000003</v>
      </c>
      <c r="NT79" s="5">
        <f t="shared" si="78"/>
        <v>42451.777777777781</v>
      </c>
      <c r="NU79" s="5">
        <f t="shared" si="78"/>
        <v>4097.8804800758544</v>
      </c>
      <c r="NV79" s="5"/>
      <c r="NW79" s="5">
        <f t="shared" ref="NW79:OE79" si="79">AVERAGE(NW3:NW13)</f>
        <v>1018.3382399999999</v>
      </c>
      <c r="NX79" s="5">
        <f t="shared" si="79"/>
        <v>78.444653008423728</v>
      </c>
      <c r="NY79" s="5">
        <f t="shared" si="79"/>
        <v>807.31008000000008</v>
      </c>
      <c r="NZ79" s="5">
        <f t="shared" si="79"/>
        <v>62.1312274028394</v>
      </c>
      <c r="OA79" s="5">
        <f t="shared" si="79"/>
        <v>275.47132800000009</v>
      </c>
      <c r="OB79" s="5">
        <f t="shared" si="79"/>
        <v>21.555346991576275</v>
      </c>
      <c r="OC79" s="5">
        <f t="shared" si="79"/>
        <v>286.50432000000001</v>
      </c>
      <c r="OD79" s="5">
        <f t="shared" si="79"/>
        <v>21.94561712742162</v>
      </c>
      <c r="OE79" s="5">
        <f t="shared" si="79"/>
        <v>302.29195514018699</v>
      </c>
      <c r="OF79" s="5">
        <f t="shared" ref="OF79" si="80">AVERAGE(OF3:OF13)</f>
        <v>9.5856150158608227</v>
      </c>
    </row>
    <row r="80" spans="1:396" customFormat="1" x14ac:dyDescent="0.15">
      <c r="A80" s="9" t="s">
        <v>42</v>
      </c>
      <c r="B80" s="5">
        <f>AVERAGE(B14:B23)</f>
        <v>1.3072319999999999</v>
      </c>
      <c r="C80" s="5">
        <f t="shared" ref="C80:BN80" si="81">AVERAGE(C14:C23)</f>
        <v>1.2951360000000001</v>
      </c>
      <c r="D80" s="5">
        <f t="shared" si="81"/>
        <v>1.2830400000000002</v>
      </c>
      <c r="E80" s="5">
        <f t="shared" si="81"/>
        <v>1.2709440000000001</v>
      </c>
      <c r="F80" s="5">
        <f t="shared" si="81"/>
        <v>1.2597119999999999</v>
      </c>
      <c r="G80" s="5">
        <f t="shared" si="81"/>
        <v>1.2519359999999999</v>
      </c>
      <c r="H80" s="5">
        <f t="shared" si="81"/>
        <v>1.2398399999999998</v>
      </c>
      <c r="I80" s="5">
        <f t="shared" si="81"/>
        <v>1.2286079999999999</v>
      </c>
      <c r="J80" s="5">
        <f t="shared" si="81"/>
        <v>1.2156480000000003</v>
      </c>
      <c r="K80" s="5">
        <f t="shared" si="81"/>
        <v>1.2078720000000001</v>
      </c>
      <c r="L80" s="5">
        <f t="shared" si="81"/>
        <v>1.20096</v>
      </c>
      <c r="M80" s="5">
        <f t="shared" si="81"/>
        <v>1.1914560000000001</v>
      </c>
      <c r="N80" s="5">
        <f t="shared" si="81"/>
        <v>1.184544</v>
      </c>
      <c r="O80" s="5">
        <f t="shared" si="81"/>
        <v>1.1802240000000002</v>
      </c>
      <c r="P80" s="5">
        <f t="shared" si="81"/>
        <v>1.1750400000000001</v>
      </c>
      <c r="Q80" s="5">
        <f t="shared" si="81"/>
        <v>1.1707199999999998</v>
      </c>
      <c r="R80" s="5">
        <f t="shared" si="81"/>
        <v>1.1681280000000001</v>
      </c>
      <c r="S80" s="5">
        <f t="shared" si="81"/>
        <v>1.1603520000000001</v>
      </c>
      <c r="T80" s="5">
        <f t="shared" si="81"/>
        <v>1.152576</v>
      </c>
      <c r="U80" s="5">
        <f t="shared" si="81"/>
        <v>1.1361599999999998</v>
      </c>
      <c r="V80" s="5">
        <f t="shared" si="81"/>
        <v>1.1249280000000002</v>
      </c>
      <c r="W80" s="5">
        <f t="shared" si="81"/>
        <v>1.1145600000000002</v>
      </c>
      <c r="X80" s="5">
        <f t="shared" si="81"/>
        <v>1.1033279999999999</v>
      </c>
      <c r="Y80" s="5">
        <f t="shared" si="81"/>
        <v>1.0929600000000002</v>
      </c>
      <c r="Z80" s="5">
        <f t="shared" si="81"/>
        <v>1.0877760000000001</v>
      </c>
      <c r="AA80" s="5">
        <f t="shared" si="81"/>
        <v>1.0791360000000001</v>
      </c>
      <c r="AB80" s="5">
        <f t="shared" si="81"/>
        <v>1.0722240000000001</v>
      </c>
      <c r="AC80" s="5">
        <f t="shared" si="81"/>
        <v>1.0696319999999999</v>
      </c>
      <c r="AD80" s="5">
        <f t="shared" si="81"/>
        <v>1.0644480000000001</v>
      </c>
      <c r="AE80" s="5">
        <f t="shared" si="81"/>
        <v>1.060128</v>
      </c>
      <c r="AF80" s="5">
        <f t="shared" si="81"/>
        <v>1.0609920000000002</v>
      </c>
      <c r="AG80" s="5">
        <f t="shared" si="81"/>
        <v>1.0584</v>
      </c>
      <c r="AH80" s="5">
        <f t="shared" si="81"/>
        <v>1.0549440000000001</v>
      </c>
      <c r="AI80" s="5">
        <f t="shared" si="81"/>
        <v>1.0480320000000001</v>
      </c>
      <c r="AJ80" s="5">
        <f t="shared" si="81"/>
        <v>1.043712</v>
      </c>
      <c r="AK80" s="5">
        <f t="shared" si="81"/>
        <v>1.034208</v>
      </c>
      <c r="AL80" s="5">
        <f t="shared" si="81"/>
        <v>1.0307520000000001</v>
      </c>
      <c r="AM80" s="5">
        <f t="shared" si="81"/>
        <v>1.025568</v>
      </c>
      <c r="AN80" s="5">
        <f t="shared" si="81"/>
        <v>1.0221119999999999</v>
      </c>
      <c r="AO80" s="5">
        <f t="shared" si="81"/>
        <v>1.0177919999999998</v>
      </c>
      <c r="AP80" s="5">
        <f t="shared" si="81"/>
        <v>1.0134719999999999</v>
      </c>
      <c r="AQ80" s="5">
        <f t="shared" si="81"/>
        <v>1.009152</v>
      </c>
      <c r="AR80" s="5">
        <f t="shared" si="81"/>
        <v>1.0059552</v>
      </c>
      <c r="AS80" s="5">
        <f t="shared" si="81"/>
        <v>1.0028447999999999</v>
      </c>
      <c r="AT80" s="5">
        <f t="shared" si="81"/>
        <v>0.99895679999999998</v>
      </c>
      <c r="AU80" s="5">
        <f t="shared" si="81"/>
        <v>0.99671040000000011</v>
      </c>
      <c r="AV80" s="5">
        <f t="shared" si="81"/>
        <v>0.99282239999999999</v>
      </c>
      <c r="AW80" s="5">
        <f t="shared" si="81"/>
        <v>0.98366399999999987</v>
      </c>
      <c r="AX80" s="5">
        <f t="shared" si="81"/>
        <v>0.98063999999999985</v>
      </c>
      <c r="AY80" s="5">
        <f t="shared" si="81"/>
        <v>0.97891199999999989</v>
      </c>
      <c r="AZ80" s="5">
        <f t="shared" si="81"/>
        <v>0.97666559999999991</v>
      </c>
      <c r="BA80" s="5">
        <f t="shared" si="81"/>
        <v>0.9722592000000001</v>
      </c>
      <c r="BB80" s="5">
        <f t="shared" si="81"/>
        <v>0.96923520000000019</v>
      </c>
      <c r="BC80" s="5">
        <f t="shared" si="81"/>
        <v>0.96577920000000006</v>
      </c>
      <c r="BD80" s="5">
        <f t="shared" si="81"/>
        <v>0.96353280000000008</v>
      </c>
      <c r="BE80" s="5">
        <f t="shared" si="81"/>
        <v>0.96275520000000014</v>
      </c>
      <c r="BF80" s="5">
        <f t="shared" si="81"/>
        <v>0.96076800000000007</v>
      </c>
      <c r="BG80" s="5">
        <f t="shared" si="81"/>
        <v>0.96102719999999997</v>
      </c>
      <c r="BH80" s="5">
        <f t="shared" si="81"/>
        <v>0.96068160000000002</v>
      </c>
      <c r="BI80" s="5">
        <f t="shared" si="81"/>
        <v>0.93614399999999998</v>
      </c>
      <c r="BJ80" s="5">
        <f t="shared" si="81"/>
        <v>0.95826240000000007</v>
      </c>
      <c r="BK80" s="5">
        <f t="shared" si="81"/>
        <v>0.9544608</v>
      </c>
      <c r="BL80" s="5">
        <f t="shared" si="81"/>
        <v>0.94919040000000021</v>
      </c>
      <c r="BM80" s="5">
        <f t="shared" si="81"/>
        <v>0.94417920000000011</v>
      </c>
      <c r="BN80" s="5">
        <f t="shared" si="81"/>
        <v>0.94020480000000006</v>
      </c>
      <c r="BO80" s="5">
        <f t="shared" ref="BO80:DZ80" si="82">AVERAGE(BO14:BO23)</f>
        <v>0.93994560000000005</v>
      </c>
      <c r="BP80" s="5">
        <f t="shared" si="82"/>
        <v>0.93968640000000003</v>
      </c>
      <c r="BQ80" s="5">
        <f t="shared" si="82"/>
        <v>0.93597120000000023</v>
      </c>
      <c r="BR80" s="5">
        <f t="shared" si="82"/>
        <v>0.93398400000000004</v>
      </c>
      <c r="BS80" s="5">
        <f t="shared" si="82"/>
        <v>0.93199680000000007</v>
      </c>
      <c r="BT80" s="5">
        <f t="shared" si="82"/>
        <v>0.93061439999999995</v>
      </c>
      <c r="BU80" s="5">
        <f t="shared" si="82"/>
        <v>0.93000959999999999</v>
      </c>
      <c r="BV80" s="5">
        <f t="shared" si="82"/>
        <v>0.9261216000000001</v>
      </c>
      <c r="BW80" s="5">
        <f t="shared" si="82"/>
        <v>0.92439360000000015</v>
      </c>
      <c r="BX80" s="5">
        <f t="shared" si="82"/>
        <v>0.92482560000000014</v>
      </c>
      <c r="BY80" s="5">
        <f t="shared" si="82"/>
        <v>0.92456640000000012</v>
      </c>
      <c r="BZ80" s="5">
        <f t="shared" si="82"/>
        <v>0.92715840000000005</v>
      </c>
      <c r="CA80" s="5">
        <f t="shared" si="82"/>
        <v>0.9254304000000001</v>
      </c>
      <c r="CB80" s="5">
        <f t="shared" si="82"/>
        <v>0.92439359999999993</v>
      </c>
      <c r="CC80" s="5">
        <f t="shared" si="82"/>
        <v>0.92119679999999993</v>
      </c>
      <c r="CD80" s="5">
        <f t="shared" si="82"/>
        <v>0.91869119999999993</v>
      </c>
      <c r="CE80" s="5">
        <f t="shared" si="82"/>
        <v>0.9186048</v>
      </c>
      <c r="CF80" s="5">
        <f t="shared" si="82"/>
        <v>0.92551680000000014</v>
      </c>
      <c r="CG80" s="5">
        <f t="shared" si="82"/>
        <v>0.92940480000000003</v>
      </c>
      <c r="CH80" s="5">
        <f t="shared" si="82"/>
        <v>0.9334655999999999</v>
      </c>
      <c r="CI80" s="5">
        <f t="shared" si="82"/>
        <v>0.93657599999999996</v>
      </c>
      <c r="CJ80" s="5">
        <f t="shared" si="82"/>
        <v>0.93795839999999997</v>
      </c>
      <c r="CK80" s="5">
        <f t="shared" si="82"/>
        <v>0.93864959999999997</v>
      </c>
      <c r="CL80" s="5">
        <f t="shared" si="82"/>
        <v>0.9348479999999999</v>
      </c>
      <c r="CM80" s="5">
        <f t="shared" si="82"/>
        <v>0.93484800000000001</v>
      </c>
      <c r="CN80" s="5">
        <f t="shared" si="82"/>
        <v>0.93605760000000005</v>
      </c>
      <c r="CO80" s="5">
        <f t="shared" si="82"/>
        <v>0.94245120000000004</v>
      </c>
      <c r="CP80" s="5">
        <f t="shared" si="82"/>
        <v>0.94452479999999994</v>
      </c>
      <c r="CQ80" s="5">
        <f t="shared" si="82"/>
        <v>0.94530239999999988</v>
      </c>
      <c r="CR80" s="5">
        <f t="shared" si="82"/>
        <v>0.96232319999999993</v>
      </c>
      <c r="CS80" s="5">
        <f t="shared" si="82"/>
        <v>0.97571520000000012</v>
      </c>
      <c r="CT80" s="5">
        <f t="shared" si="82"/>
        <v>0.97061760000000008</v>
      </c>
      <c r="CU80" s="5">
        <f t="shared" si="82"/>
        <v>0.96888960000000002</v>
      </c>
      <c r="CV80" s="5">
        <f t="shared" si="82"/>
        <v>0.96932160000000001</v>
      </c>
      <c r="CW80" s="5">
        <f t="shared" si="82"/>
        <v>0.97485120000000014</v>
      </c>
      <c r="CX80" s="5">
        <f t="shared" si="82"/>
        <v>0.95990400000000009</v>
      </c>
      <c r="CY80" s="5">
        <f t="shared" si="82"/>
        <v>0.99360000000000015</v>
      </c>
      <c r="CZ80" s="5">
        <f t="shared" si="82"/>
        <v>0.9926495999999998</v>
      </c>
      <c r="DA80" s="5">
        <f t="shared" si="82"/>
        <v>1.0009439999999998</v>
      </c>
      <c r="DB80" s="5">
        <f t="shared" si="82"/>
        <v>1.0109663999999998</v>
      </c>
      <c r="DC80" s="5">
        <f t="shared" si="82"/>
        <v>1.0233215999999998</v>
      </c>
      <c r="DD80" s="5">
        <f t="shared" si="82"/>
        <v>1.0318751999999998</v>
      </c>
      <c r="DE80" s="5">
        <f t="shared" si="82"/>
        <v>1.035936</v>
      </c>
      <c r="DF80" s="5">
        <f t="shared" si="82"/>
        <v>1.0463040000000001</v>
      </c>
      <c r="DG80" s="5">
        <f t="shared" si="82"/>
        <v>1.0644479999999998</v>
      </c>
      <c r="DH80" s="5">
        <f t="shared" si="82"/>
        <v>1.0938240000000001</v>
      </c>
      <c r="DI80" s="5">
        <f t="shared" si="82"/>
        <v>1.1327039999999999</v>
      </c>
      <c r="DJ80" s="5">
        <f t="shared" si="82"/>
        <v>1.1603520000000001</v>
      </c>
      <c r="DK80" s="5">
        <f t="shared" si="82"/>
        <v>1.162944</v>
      </c>
      <c r="DL80" s="5">
        <f t="shared" si="82"/>
        <v>1.1603520000000001</v>
      </c>
      <c r="DM80" s="5">
        <f t="shared" si="82"/>
        <v>1.161216</v>
      </c>
      <c r="DN80" s="5">
        <f t="shared" si="82"/>
        <v>1.1819519999999999</v>
      </c>
      <c r="DO80" s="5">
        <f t="shared" si="82"/>
        <v>1.2061440000000001</v>
      </c>
      <c r="DP80" s="5">
        <f t="shared" si="82"/>
        <v>1.233792</v>
      </c>
      <c r="DQ80" s="5">
        <f t="shared" si="82"/>
        <v>1.25712</v>
      </c>
      <c r="DR80" s="5">
        <f t="shared" si="82"/>
        <v>1.2761280000000002</v>
      </c>
      <c r="DS80" s="5">
        <f t="shared" si="82"/>
        <v>1.2830400000000002</v>
      </c>
      <c r="DT80" s="5">
        <f t="shared" si="82"/>
        <v>1.2782016</v>
      </c>
      <c r="DU80" s="5">
        <f t="shared" si="82"/>
        <v>1.3125024000000001</v>
      </c>
      <c r="DV80" s="5">
        <f t="shared" si="82"/>
        <v>1.3792031999999999</v>
      </c>
      <c r="DW80" s="5">
        <f t="shared" si="82"/>
        <v>1.4436576000000001</v>
      </c>
      <c r="DX80" s="5">
        <f t="shared" si="82"/>
        <v>1.4748480000000002</v>
      </c>
      <c r="DY80" s="5">
        <f t="shared" si="82"/>
        <v>1.5021504000000001</v>
      </c>
      <c r="DZ80" s="5">
        <f t="shared" si="82"/>
        <v>1.5297984</v>
      </c>
      <c r="EA80" s="5">
        <f t="shared" ref="EA80:GL80" si="83">AVERAGE(EA14:EA23)</f>
        <v>1.5290207999999998</v>
      </c>
      <c r="EB80" s="5">
        <f t="shared" si="83"/>
        <v>1.5359327999999999</v>
      </c>
      <c r="EC80" s="5">
        <f t="shared" si="83"/>
        <v>1.5574463999999999</v>
      </c>
      <c r="ED80" s="5">
        <f t="shared" si="83"/>
        <v>1.5400800000000001</v>
      </c>
      <c r="EE80" s="5">
        <f t="shared" si="83"/>
        <v>1.5387839999999999</v>
      </c>
      <c r="EF80" s="5">
        <f t="shared" si="83"/>
        <v>1.5487200000000001</v>
      </c>
      <c r="EG80" s="5">
        <f t="shared" si="83"/>
        <v>1.5685055999999999</v>
      </c>
      <c r="EH80" s="5">
        <f t="shared" si="83"/>
        <v>1.5661727999999999</v>
      </c>
      <c r="EI80" s="5">
        <f t="shared" si="83"/>
        <v>1.5453503999999998</v>
      </c>
      <c r="EJ80" s="5">
        <f t="shared" si="83"/>
        <v>1.5380064</v>
      </c>
      <c r="EK80" s="5">
        <f t="shared" si="83"/>
        <v>1.5477696000000001</v>
      </c>
      <c r="EL80" s="5">
        <f t="shared" si="83"/>
        <v>1.591488</v>
      </c>
      <c r="EM80" s="5">
        <f t="shared" si="83"/>
        <v>1.6113599999999999</v>
      </c>
      <c r="EN80" s="5">
        <f t="shared" si="83"/>
        <v>1.6364160000000001</v>
      </c>
      <c r="EO80" s="5">
        <f t="shared" si="83"/>
        <v>1.6459199999999998</v>
      </c>
      <c r="EP80" s="5">
        <f t="shared" si="83"/>
        <v>1.670112</v>
      </c>
      <c r="EQ80" s="5">
        <f t="shared" si="83"/>
        <v>1.670976</v>
      </c>
      <c r="ER80" s="5">
        <f t="shared" si="83"/>
        <v>1.6891200000000002</v>
      </c>
      <c r="ES80" s="5">
        <f t="shared" si="83"/>
        <v>1.7072639999999999</v>
      </c>
      <c r="ET80" s="5">
        <f t="shared" si="83"/>
        <v>1.7228160000000003</v>
      </c>
      <c r="EU80" s="5">
        <f t="shared" si="83"/>
        <v>1.7305920000000001</v>
      </c>
      <c r="EV80" s="5">
        <f t="shared" si="83"/>
        <v>1.759104</v>
      </c>
      <c r="EW80" s="5">
        <f t="shared" si="83"/>
        <v>1.7928000000000002</v>
      </c>
      <c r="EX80" s="5">
        <f t="shared" si="83"/>
        <v>1.8671040000000001</v>
      </c>
      <c r="EY80" s="5">
        <f t="shared" si="83"/>
        <v>1.9174752000000002</v>
      </c>
      <c r="EZ80" s="5">
        <f t="shared" si="83"/>
        <v>2.0632320000000002</v>
      </c>
      <c r="FA80" s="5">
        <f t="shared" si="83"/>
        <v>2.1280319999999997</v>
      </c>
      <c r="FB80" s="5">
        <f t="shared" si="83"/>
        <v>2.1988799999999999</v>
      </c>
      <c r="FC80" s="5">
        <f t="shared" si="83"/>
        <v>2.261952</v>
      </c>
      <c r="FD80" s="5">
        <f t="shared" si="83"/>
        <v>2.3846400000000001</v>
      </c>
      <c r="FE80" s="5">
        <f t="shared" si="83"/>
        <v>2.5384319999999994</v>
      </c>
      <c r="FF80" s="5">
        <f t="shared" si="83"/>
        <v>2.6343360000000002</v>
      </c>
      <c r="FG80" s="5">
        <f t="shared" si="83"/>
        <v>2.7587520000000003</v>
      </c>
      <c r="FH80" s="5">
        <f t="shared" si="83"/>
        <v>2.8512000000000004</v>
      </c>
      <c r="FI80" s="5">
        <f t="shared" si="83"/>
        <v>2.9928960000000004</v>
      </c>
      <c r="FJ80" s="5">
        <f t="shared" si="83"/>
        <v>3.0905280000000004</v>
      </c>
      <c r="FK80" s="5">
        <f t="shared" si="83"/>
        <v>3.1250879999999999</v>
      </c>
      <c r="FL80" s="5">
        <f t="shared" si="83"/>
        <v>3.1803839999999997</v>
      </c>
      <c r="FM80" s="5">
        <f t="shared" si="83"/>
        <v>3.2693759999999998</v>
      </c>
      <c r="FN80" s="5">
        <f t="shared" si="83"/>
        <v>3.3981120000000002</v>
      </c>
      <c r="FO80" s="5">
        <f t="shared" si="83"/>
        <v>3.3955200000000003</v>
      </c>
      <c r="FP80" s="5">
        <f t="shared" si="83"/>
        <v>3.9847680000000003</v>
      </c>
      <c r="FQ80" s="5">
        <f t="shared" si="83"/>
        <v>4.0832639999999998</v>
      </c>
      <c r="FR80" s="5">
        <f t="shared" si="83"/>
        <v>4.2197760000000004</v>
      </c>
      <c r="FS80" s="5">
        <f t="shared" si="83"/>
        <v>4.5947520000000006</v>
      </c>
      <c r="FT80" s="5">
        <f t="shared" si="83"/>
        <v>4.8660480000000002</v>
      </c>
      <c r="FU80" s="5">
        <f t="shared" si="83"/>
        <v>4.9904640000000002</v>
      </c>
      <c r="FV80" s="5">
        <f t="shared" si="83"/>
        <v>5.3006399999999996</v>
      </c>
      <c r="FW80" s="5">
        <f t="shared" si="83"/>
        <v>5.5883519999999995</v>
      </c>
      <c r="FX80" s="5">
        <f t="shared" si="83"/>
        <v>5.7689280000000007</v>
      </c>
      <c r="FY80" s="5">
        <f t="shared" si="83"/>
        <v>5.8000319999999999</v>
      </c>
      <c r="FZ80" s="5">
        <f t="shared" si="83"/>
        <v>5.7214079999999994</v>
      </c>
      <c r="GA80" s="5">
        <f t="shared" si="83"/>
        <v>5.7144959999999996</v>
      </c>
      <c r="GB80" s="5">
        <f t="shared" si="83"/>
        <v>5.7784319999999987</v>
      </c>
      <c r="GC80" s="5">
        <f t="shared" si="83"/>
        <v>5.958143999999999</v>
      </c>
      <c r="GD80" s="5">
        <f t="shared" si="83"/>
        <v>5.8406399999999996</v>
      </c>
      <c r="GE80" s="5">
        <f t="shared" si="83"/>
        <v>6.0531839999999999</v>
      </c>
      <c r="GF80" s="5">
        <f t="shared" si="83"/>
        <v>6.2251199999999987</v>
      </c>
      <c r="GG80" s="5">
        <f t="shared" si="83"/>
        <v>6.1879679999999997</v>
      </c>
      <c r="GH80" s="5">
        <f t="shared" si="83"/>
        <v>6.2052479999999992</v>
      </c>
      <c r="GI80" s="5">
        <f t="shared" si="83"/>
        <v>6.3071999999999999</v>
      </c>
      <c r="GJ80" s="5">
        <f t="shared" si="83"/>
        <v>6.5689919999999997</v>
      </c>
      <c r="GK80" s="5">
        <f t="shared" si="83"/>
        <v>7.0960319999999992</v>
      </c>
      <c r="GL80" s="5">
        <f t="shared" si="83"/>
        <v>7.5833279999999998</v>
      </c>
      <c r="GM80" s="5">
        <f t="shared" ref="GM80:IX80" si="84">AVERAGE(GM14:GM23)</f>
        <v>7.8658559999999991</v>
      </c>
      <c r="GN80" s="5">
        <f t="shared" si="84"/>
        <v>7.8511679999999995</v>
      </c>
      <c r="GO80" s="5">
        <f t="shared" si="84"/>
        <v>7.7803200000000006</v>
      </c>
      <c r="GP80" s="5">
        <f t="shared" si="84"/>
        <v>7.9747199999999996</v>
      </c>
      <c r="GQ80" s="5">
        <f t="shared" si="84"/>
        <v>8.5190400000000004</v>
      </c>
      <c r="GR80" s="5">
        <f t="shared" si="84"/>
        <v>8.5397759999999998</v>
      </c>
      <c r="GS80" s="5">
        <f t="shared" si="84"/>
        <v>8.2702080000000002</v>
      </c>
      <c r="GT80" s="5">
        <f t="shared" si="84"/>
        <v>8.0879039999999982</v>
      </c>
      <c r="GU80" s="5">
        <f t="shared" si="84"/>
        <v>8.2339199999999995</v>
      </c>
      <c r="GV80" s="5">
        <f t="shared" si="84"/>
        <v>8.0688960000000005</v>
      </c>
      <c r="GW80" s="5">
        <f t="shared" si="84"/>
        <v>7.922880000000001</v>
      </c>
      <c r="GX80" s="5">
        <f t="shared" si="84"/>
        <v>7.6826879999999989</v>
      </c>
      <c r="GY80" s="5">
        <f t="shared" si="84"/>
        <v>7.6550399999999996</v>
      </c>
      <c r="GZ80" s="5">
        <f t="shared" si="84"/>
        <v>7.6265280000000004</v>
      </c>
      <c r="HA80" s="5">
        <f t="shared" si="84"/>
        <v>7.5487680000000008</v>
      </c>
      <c r="HB80" s="5">
        <f t="shared" si="84"/>
        <v>7.6671359999999993</v>
      </c>
      <c r="HC80" s="5">
        <f t="shared" si="84"/>
        <v>7.8287040000000001</v>
      </c>
      <c r="HD80" s="5">
        <f t="shared" si="84"/>
        <v>7.7327999999999992</v>
      </c>
      <c r="HE80" s="5">
        <f t="shared" si="84"/>
        <v>7.6809599999999989</v>
      </c>
      <c r="HF80" s="5">
        <f t="shared" si="84"/>
        <v>7.6818240000000007</v>
      </c>
      <c r="HG80" s="5">
        <f t="shared" si="84"/>
        <v>7.8459839999999996</v>
      </c>
      <c r="HH80" s="5">
        <f t="shared" si="84"/>
        <v>7.7613119999999993</v>
      </c>
      <c r="HI80" s="5">
        <f t="shared" si="84"/>
        <v>7.6896000000000004</v>
      </c>
      <c r="HJ80" s="5">
        <f t="shared" si="84"/>
        <v>7.7889600000000003</v>
      </c>
      <c r="HK80" s="5">
        <f t="shared" si="84"/>
        <v>8.052480000000001</v>
      </c>
      <c r="HL80" s="5">
        <f t="shared" si="84"/>
        <v>8.3116799999999991</v>
      </c>
      <c r="HM80" s="5">
        <f t="shared" si="84"/>
        <v>8.5872959999999985</v>
      </c>
      <c r="HN80" s="5">
        <f t="shared" si="84"/>
        <v>9.0391679999999983</v>
      </c>
      <c r="HO80" s="5">
        <f t="shared" si="84"/>
        <v>9.5376960000000004</v>
      </c>
      <c r="HP80" s="5">
        <f t="shared" si="84"/>
        <v>9.8884799999999995</v>
      </c>
      <c r="HQ80" s="5">
        <f t="shared" si="84"/>
        <v>10.318752</v>
      </c>
      <c r="HR80" s="5">
        <f t="shared" si="84"/>
        <v>10.544255999999999</v>
      </c>
      <c r="HS80" s="5">
        <f t="shared" si="84"/>
        <v>10.3032</v>
      </c>
      <c r="HT80" s="5">
        <f t="shared" si="84"/>
        <v>9.5834879999999991</v>
      </c>
      <c r="HU80" s="5">
        <f t="shared" si="84"/>
        <v>8.9207999999999998</v>
      </c>
      <c r="HV80" s="5">
        <f t="shared" si="84"/>
        <v>8.5017600000000009</v>
      </c>
      <c r="HW80" s="5">
        <f t="shared" si="84"/>
        <v>8.3617919999999994</v>
      </c>
      <c r="HX80" s="5">
        <f t="shared" si="84"/>
        <v>8.6313600000000008</v>
      </c>
      <c r="HY80" s="5">
        <f t="shared" si="84"/>
        <v>8.9985600000000012</v>
      </c>
      <c r="HZ80" s="5">
        <f t="shared" si="84"/>
        <v>9.1851840000000013</v>
      </c>
      <c r="IA80" s="5">
        <f t="shared" si="84"/>
        <v>8.9614080000000005</v>
      </c>
      <c r="IB80" s="5">
        <f t="shared" si="84"/>
        <v>8.5432319999999997</v>
      </c>
      <c r="IC80" s="5">
        <f t="shared" si="84"/>
        <v>8.159615999999998</v>
      </c>
      <c r="ID80" s="5">
        <f t="shared" si="84"/>
        <v>8.3332800000000002</v>
      </c>
      <c r="IE80" s="5">
        <f t="shared" si="84"/>
        <v>8.5760640000000006</v>
      </c>
      <c r="IF80" s="5">
        <f t="shared" si="84"/>
        <v>8.7851519999999983</v>
      </c>
      <c r="IG80" s="5">
        <f t="shared" si="84"/>
        <v>9.1212479999999978</v>
      </c>
      <c r="IH80" s="5">
        <f t="shared" si="84"/>
        <v>9.2724479999999989</v>
      </c>
      <c r="II80" s="5">
        <f t="shared" si="84"/>
        <v>9.1955520000000011</v>
      </c>
      <c r="IJ80" s="5">
        <f t="shared" si="84"/>
        <v>9.1488960000000006</v>
      </c>
      <c r="IK80" s="5">
        <f t="shared" si="84"/>
        <v>9.199008000000001</v>
      </c>
      <c r="IL80" s="5">
        <f t="shared" si="84"/>
        <v>9.2206079999999986</v>
      </c>
      <c r="IM80" s="5">
        <f t="shared" si="84"/>
        <v>9.1126080000000016</v>
      </c>
      <c r="IN80" s="5">
        <f t="shared" si="84"/>
        <v>9.0624959999999994</v>
      </c>
      <c r="IO80" s="5">
        <f t="shared" si="84"/>
        <v>9.1584000000000003</v>
      </c>
      <c r="IP80" s="5">
        <f t="shared" si="84"/>
        <v>9.0279360000000004</v>
      </c>
      <c r="IQ80" s="5">
        <f t="shared" si="84"/>
        <v>8.8032959999999996</v>
      </c>
      <c r="IR80" s="5">
        <f t="shared" si="84"/>
        <v>8.9277120000000014</v>
      </c>
      <c r="IS80" s="5">
        <f t="shared" si="84"/>
        <v>8.7773760000000003</v>
      </c>
      <c r="IT80" s="5">
        <f t="shared" si="84"/>
        <v>8.4300480000000011</v>
      </c>
      <c r="IU80" s="5">
        <f t="shared" si="84"/>
        <v>8.0965439999999997</v>
      </c>
      <c r="IV80" s="5">
        <f t="shared" si="84"/>
        <v>8.0317439999999998</v>
      </c>
      <c r="IW80" s="5">
        <f t="shared" si="84"/>
        <v>7.9894080000000001</v>
      </c>
      <c r="IX80" s="5">
        <f t="shared" si="84"/>
        <v>7.8632639999999991</v>
      </c>
      <c r="IY80" s="5">
        <f t="shared" ref="IY80:LJ80" si="85">AVERAGE(IY14:IY23)</f>
        <v>7.8563519999999993</v>
      </c>
      <c r="IZ80" s="5">
        <f t="shared" si="85"/>
        <v>8.1120959999999993</v>
      </c>
      <c r="JA80" s="5">
        <f t="shared" si="85"/>
        <v>8.2615680000000005</v>
      </c>
      <c r="JB80" s="5">
        <f t="shared" si="85"/>
        <v>8.1622079999999997</v>
      </c>
      <c r="JC80" s="5">
        <f t="shared" si="85"/>
        <v>8.0066880000000005</v>
      </c>
      <c r="JD80" s="5">
        <f t="shared" si="85"/>
        <v>8.0153280000000002</v>
      </c>
      <c r="JE80" s="5">
        <f t="shared" si="85"/>
        <v>8.0429759999999995</v>
      </c>
      <c r="JF80" s="5">
        <f t="shared" si="85"/>
        <v>8.2235519999999998</v>
      </c>
      <c r="JG80" s="5">
        <f t="shared" si="85"/>
        <v>8.1103679999999994</v>
      </c>
      <c r="JH80" s="5">
        <f t="shared" si="85"/>
        <v>8.2036800000000003</v>
      </c>
      <c r="JI80" s="5">
        <f t="shared" si="85"/>
        <v>7.9159680000000012</v>
      </c>
      <c r="JJ80" s="5">
        <f t="shared" si="85"/>
        <v>7.8148799999999996</v>
      </c>
      <c r="JK80" s="5">
        <f t="shared" si="85"/>
        <v>7.6835520000000006</v>
      </c>
      <c r="JL80" s="5">
        <f t="shared" si="85"/>
        <v>7.4390400000000003</v>
      </c>
      <c r="JM80" s="5">
        <f t="shared" si="85"/>
        <v>7.2593279999999991</v>
      </c>
      <c r="JN80" s="5">
        <f t="shared" si="85"/>
        <v>7.3604160000000007</v>
      </c>
      <c r="JO80" s="5">
        <f t="shared" si="85"/>
        <v>7.2048959999999997</v>
      </c>
      <c r="JP80" s="5">
        <f t="shared" si="85"/>
        <v>7.0968959999999992</v>
      </c>
      <c r="JQ80" s="5">
        <f t="shared" si="85"/>
        <v>6.9793919999999998</v>
      </c>
      <c r="JR80" s="5">
        <f t="shared" si="85"/>
        <v>6.8903999999999996</v>
      </c>
      <c r="JS80" s="5">
        <f t="shared" si="85"/>
        <v>6.7080960000000003</v>
      </c>
      <c r="JT80" s="5">
        <f t="shared" si="85"/>
        <v>6.5715839999999988</v>
      </c>
      <c r="JU80" s="5">
        <f t="shared" si="85"/>
        <v>6.5448000000000004</v>
      </c>
      <c r="JV80" s="5">
        <f t="shared" si="85"/>
        <v>6.6916800000000007</v>
      </c>
      <c r="JW80" s="5">
        <f t="shared" si="85"/>
        <v>6.7210559999999999</v>
      </c>
      <c r="JX80" s="5">
        <f t="shared" si="85"/>
        <v>6.6398399999999995</v>
      </c>
      <c r="JY80" s="5">
        <f t="shared" si="85"/>
        <v>6.3106560000000007</v>
      </c>
      <c r="JZ80" s="5">
        <f t="shared" si="85"/>
        <v>5.9771519999999994</v>
      </c>
      <c r="KA80" s="5">
        <f t="shared" si="85"/>
        <v>5.7075839999999998</v>
      </c>
      <c r="KB80" s="5">
        <f t="shared" si="85"/>
        <v>5.5140479999999998</v>
      </c>
      <c r="KC80" s="5">
        <f t="shared" si="85"/>
        <v>5.3196479999999999</v>
      </c>
      <c r="KD80" s="5">
        <f t="shared" si="85"/>
        <v>5.1295680000000008</v>
      </c>
      <c r="KE80" s="5">
        <f t="shared" si="85"/>
        <v>4.9541760000000004</v>
      </c>
      <c r="KF80" s="5">
        <f t="shared" si="85"/>
        <v>4.7865599999999997</v>
      </c>
      <c r="KG80" s="5">
        <f t="shared" si="85"/>
        <v>4.6284480000000006</v>
      </c>
      <c r="KH80" s="5">
        <f t="shared" si="85"/>
        <v>4.5040320000000005</v>
      </c>
      <c r="KI80" s="5">
        <f t="shared" si="85"/>
        <v>4.3666559999999999</v>
      </c>
      <c r="KJ80" s="5">
        <f t="shared" si="85"/>
        <v>4.262112000000001</v>
      </c>
      <c r="KK80" s="5">
        <f t="shared" si="85"/>
        <v>4.2387839999999999</v>
      </c>
      <c r="KL80" s="5">
        <f t="shared" si="85"/>
        <v>4.2526079999999995</v>
      </c>
      <c r="KM80" s="5">
        <f t="shared" si="85"/>
        <v>4.3182720000000003</v>
      </c>
      <c r="KN80" s="5">
        <f t="shared" si="85"/>
        <v>4.2223680000000003</v>
      </c>
      <c r="KO80" s="5">
        <f t="shared" si="85"/>
        <v>4.140288</v>
      </c>
      <c r="KP80" s="5">
        <f t="shared" si="85"/>
        <v>4.0322879999999994</v>
      </c>
      <c r="KQ80" s="5">
        <f t="shared" si="85"/>
        <v>3.8871360000000004</v>
      </c>
      <c r="KR80" s="5">
        <f t="shared" si="85"/>
        <v>3.7480319999999998</v>
      </c>
      <c r="KS80" s="5">
        <f t="shared" si="85"/>
        <v>3.6115199999999996</v>
      </c>
      <c r="KT80" s="5">
        <f t="shared" si="85"/>
        <v>3.487968</v>
      </c>
      <c r="KU80" s="5">
        <f t="shared" si="85"/>
        <v>3.3972479999999998</v>
      </c>
      <c r="KV80" s="5">
        <f t="shared" si="85"/>
        <v>3.3333120000000003</v>
      </c>
      <c r="KW80" s="5">
        <f t="shared" si="85"/>
        <v>3.2486400000000004</v>
      </c>
      <c r="KX80" s="5">
        <f t="shared" si="85"/>
        <v>3.1769279999999998</v>
      </c>
      <c r="KY80" s="5">
        <f t="shared" si="85"/>
        <v>3.0931199999999999</v>
      </c>
      <c r="KZ80" s="5">
        <f t="shared" si="85"/>
        <v>3.0162240000000002</v>
      </c>
      <c r="LA80" s="5">
        <f t="shared" si="85"/>
        <v>2.9427840000000001</v>
      </c>
      <c r="LB80" s="5">
        <f t="shared" si="85"/>
        <v>2.8667520000000004</v>
      </c>
      <c r="LC80" s="5">
        <f t="shared" si="85"/>
        <v>2.8045439999999999</v>
      </c>
      <c r="LD80" s="5">
        <f t="shared" si="85"/>
        <v>2.7492480000000001</v>
      </c>
      <c r="LE80" s="5">
        <f t="shared" si="85"/>
        <v>2.6896320000000005</v>
      </c>
      <c r="LF80" s="5">
        <f t="shared" si="85"/>
        <v>2.6395199999999996</v>
      </c>
      <c r="LG80" s="5">
        <f t="shared" si="85"/>
        <v>2.5920000000000001</v>
      </c>
      <c r="LH80" s="5">
        <f t="shared" si="85"/>
        <v>2.5332479999999995</v>
      </c>
      <c r="LI80" s="5">
        <f t="shared" si="85"/>
        <v>2.484</v>
      </c>
      <c r="LJ80" s="5">
        <f t="shared" si="85"/>
        <v>2.451168</v>
      </c>
      <c r="LK80" s="5">
        <f t="shared" ref="LK80:NU80" si="86">AVERAGE(LK14:LK23)</f>
        <v>2.4096959999999998</v>
      </c>
      <c r="LL80" s="5">
        <f t="shared" si="86"/>
        <v>2.3647680000000002</v>
      </c>
      <c r="LM80" s="5">
        <f t="shared" si="86"/>
        <v>2.3155200000000002</v>
      </c>
      <c r="LN80" s="5">
        <f t="shared" si="86"/>
        <v>2.274912</v>
      </c>
      <c r="LO80" s="5">
        <f t="shared" si="86"/>
        <v>2.2351679999999998</v>
      </c>
      <c r="LP80" s="5">
        <f t="shared" si="86"/>
        <v>2.2006079999999999</v>
      </c>
      <c r="LQ80" s="5">
        <f t="shared" si="86"/>
        <v>2.1738240000000006</v>
      </c>
      <c r="LR80" s="5">
        <f t="shared" si="86"/>
        <v>2.1332160000000004</v>
      </c>
      <c r="LS80" s="5">
        <f t="shared" si="86"/>
        <v>2.0951999999999997</v>
      </c>
      <c r="LT80" s="5">
        <f t="shared" si="86"/>
        <v>2.068416</v>
      </c>
      <c r="LU80" s="5">
        <f t="shared" si="86"/>
        <v>2.0450879999999998</v>
      </c>
      <c r="LV80" s="5">
        <f t="shared" si="86"/>
        <v>2.0139840000000002</v>
      </c>
      <c r="LW80" s="5">
        <f t="shared" si="86"/>
        <v>1.9716480000000001</v>
      </c>
      <c r="LX80" s="5">
        <f t="shared" si="86"/>
        <v>1.93536</v>
      </c>
      <c r="LY80" s="5">
        <f t="shared" si="86"/>
        <v>1.9077119999999996</v>
      </c>
      <c r="LZ80" s="5">
        <f t="shared" si="86"/>
        <v>1.8904319999999999</v>
      </c>
      <c r="MA80" s="5">
        <f t="shared" si="86"/>
        <v>1.88784</v>
      </c>
      <c r="MB80" s="5">
        <f t="shared" si="86"/>
        <v>1.8636480000000002</v>
      </c>
      <c r="MC80" s="5">
        <f t="shared" si="86"/>
        <v>1.8308159999999998</v>
      </c>
      <c r="MD80" s="5">
        <f t="shared" si="86"/>
        <v>1.7979840000000002</v>
      </c>
      <c r="ME80" s="5">
        <f t="shared" si="86"/>
        <v>1.767744</v>
      </c>
      <c r="MF80" s="5">
        <f t="shared" si="86"/>
        <v>1.73664</v>
      </c>
      <c r="MG80" s="5">
        <f t="shared" si="86"/>
        <v>1.7107199999999998</v>
      </c>
      <c r="MH80" s="5">
        <f t="shared" si="86"/>
        <v>1.678752</v>
      </c>
      <c r="MI80" s="5">
        <f t="shared" si="86"/>
        <v>1.6545600000000005</v>
      </c>
      <c r="MJ80" s="5">
        <f t="shared" si="86"/>
        <v>1.6372799999999998</v>
      </c>
      <c r="MK80" s="5">
        <f t="shared" si="86"/>
        <v>1.614816</v>
      </c>
      <c r="ML80" s="5">
        <f t="shared" si="86"/>
        <v>1.591488</v>
      </c>
      <c r="MM80" s="5">
        <f t="shared" si="86"/>
        <v>1.5759359999999998</v>
      </c>
      <c r="MN80" s="5">
        <f t="shared" si="86"/>
        <v>1.5655680000000001</v>
      </c>
      <c r="MO80" s="5">
        <f t="shared" si="86"/>
        <v>1.5698880000000002</v>
      </c>
      <c r="MP80" s="5">
        <f t="shared" si="86"/>
        <v>1.5543360000000002</v>
      </c>
      <c r="MQ80" s="5">
        <f t="shared" si="86"/>
        <v>1.536192</v>
      </c>
      <c r="MR80" s="5">
        <f t="shared" si="86"/>
        <v>1.5163200000000001</v>
      </c>
      <c r="MS80" s="5">
        <f t="shared" si="86"/>
        <v>1.4929919999999999</v>
      </c>
      <c r="MT80" s="5">
        <f t="shared" si="86"/>
        <v>1.4687999999999999</v>
      </c>
      <c r="MU80" s="5">
        <f t="shared" si="86"/>
        <v>1.448928</v>
      </c>
      <c r="MV80" s="5">
        <f t="shared" si="86"/>
        <v>1.4307840000000001</v>
      </c>
      <c r="MW80" s="5">
        <f t="shared" si="86"/>
        <v>1.41696</v>
      </c>
      <c r="MX80" s="5">
        <f t="shared" si="86"/>
        <v>1.401408</v>
      </c>
      <c r="MY80" s="5">
        <f t="shared" si="86"/>
        <v>1.385856</v>
      </c>
      <c r="MZ80" s="5">
        <f t="shared" si="86"/>
        <v>1.3720319999999999</v>
      </c>
      <c r="NA80" s="5">
        <f t="shared" si="86"/>
        <v>1.3573439999999999</v>
      </c>
      <c r="NB80" s="5">
        <f t="shared" si="86"/>
        <v>1.346112</v>
      </c>
      <c r="NC80" s="5">
        <f t="shared" si="86"/>
        <v>1.3391999999999999</v>
      </c>
      <c r="ND80" s="5">
        <f t="shared" si="86"/>
        <v>36.238751999999998</v>
      </c>
      <c r="NE80" s="5">
        <f t="shared" si="86"/>
        <v>28.1617344</v>
      </c>
      <c r="NF80" s="5">
        <f t="shared" si="86"/>
        <v>28.929398400000004</v>
      </c>
      <c r="NG80" s="5">
        <f t="shared" si="86"/>
        <v>31.803839999999997</v>
      </c>
      <c r="NH80" s="5">
        <f t="shared" si="86"/>
        <v>48.497788799999995</v>
      </c>
      <c r="NI80" s="5">
        <f t="shared" si="86"/>
        <v>108.68256000000001</v>
      </c>
      <c r="NJ80" s="5">
        <f t="shared" si="86"/>
        <v>228.03897599999999</v>
      </c>
      <c r="NK80" s="5">
        <f t="shared" si="86"/>
        <v>275.2056</v>
      </c>
      <c r="NL80" s="5">
        <f t="shared" si="86"/>
        <v>246.29184000000004</v>
      </c>
      <c r="NM80" s="5">
        <f t="shared" si="86"/>
        <v>162.23068799999999</v>
      </c>
      <c r="NN80" s="5">
        <f t="shared" si="86"/>
        <v>76.256639999999976</v>
      </c>
      <c r="NO80" s="5">
        <f t="shared" si="86"/>
        <v>49.309343999999996</v>
      </c>
      <c r="NP80" s="5">
        <f t="shared" si="86"/>
        <v>1319.6471616000003</v>
      </c>
      <c r="NQ80" s="5">
        <f t="shared" si="86"/>
        <v>14.605056000000001</v>
      </c>
      <c r="NR80" s="5">
        <f t="shared" si="86"/>
        <v>42600.3</v>
      </c>
      <c r="NS80" s="5">
        <f t="shared" si="86"/>
        <v>0.88810559999999972</v>
      </c>
      <c r="NT80" s="5">
        <f t="shared" si="86"/>
        <v>42454.2</v>
      </c>
      <c r="NU80" s="5">
        <f t="shared" si="86"/>
        <v>4181.6373268957259</v>
      </c>
      <c r="NV80" s="5"/>
      <c r="NW80" s="5">
        <f t="shared" ref="NW80:OE80" si="87">AVERAGE(NW14:NW23)</f>
        <v>1068.9474527999998</v>
      </c>
      <c r="NX80" s="5">
        <f t="shared" si="87"/>
        <v>80.694978003554056</v>
      </c>
      <c r="NY80" s="5">
        <f t="shared" si="87"/>
        <v>858.21897600000011</v>
      </c>
      <c r="NZ80" s="5">
        <f t="shared" si="87"/>
        <v>64.631936307035318</v>
      </c>
      <c r="OA80" s="5">
        <f t="shared" si="87"/>
        <v>250.6997088</v>
      </c>
      <c r="OB80" s="5">
        <f t="shared" si="87"/>
        <v>19.305021996445937</v>
      </c>
      <c r="OC80" s="5">
        <f t="shared" si="87"/>
        <v>287.45539200000002</v>
      </c>
      <c r="OD80" s="5">
        <f t="shared" si="87"/>
        <v>21.653596035163595</v>
      </c>
      <c r="OE80" s="5">
        <f t="shared" si="87"/>
        <v>308.32877607476638</v>
      </c>
      <c r="OF80" s="5">
        <f t="shared" ref="OF80" si="88">AVERAGE(OF14:OF23)</f>
        <v>9.7770413519395731</v>
      </c>
    </row>
    <row r="81" spans="1:396" customFormat="1" x14ac:dyDescent="0.15">
      <c r="A81" s="9" t="s">
        <v>43</v>
      </c>
      <c r="B81" s="5">
        <f>AVERAGE(B24:B33)</f>
        <v>1.2277439999999999</v>
      </c>
      <c r="C81" s="5">
        <f t="shared" ref="C81:BN81" si="89">AVERAGE(C24:C33)</f>
        <v>1.2199679999999999</v>
      </c>
      <c r="D81" s="5">
        <f t="shared" si="89"/>
        <v>1.2130560000000001</v>
      </c>
      <c r="E81" s="5">
        <f t="shared" si="89"/>
        <v>1.2044159999999999</v>
      </c>
      <c r="F81" s="5">
        <f t="shared" si="89"/>
        <v>1.193184</v>
      </c>
      <c r="G81" s="5">
        <f t="shared" si="89"/>
        <v>1.17936</v>
      </c>
      <c r="H81" s="5">
        <f t="shared" si="89"/>
        <v>1.1672639999999999</v>
      </c>
      <c r="I81" s="5">
        <f t="shared" si="89"/>
        <v>1.161216</v>
      </c>
      <c r="J81" s="5">
        <f t="shared" si="89"/>
        <v>1.1491199999999999</v>
      </c>
      <c r="K81" s="5">
        <f t="shared" si="89"/>
        <v>1.1396159999999997</v>
      </c>
      <c r="L81" s="5">
        <f t="shared" si="89"/>
        <v>1.13184</v>
      </c>
      <c r="M81" s="5">
        <f t="shared" si="89"/>
        <v>1.1223360000000002</v>
      </c>
      <c r="N81" s="5">
        <f t="shared" si="89"/>
        <v>1.1102399999999999</v>
      </c>
      <c r="O81" s="5">
        <f t="shared" si="89"/>
        <v>1.099872</v>
      </c>
      <c r="P81" s="5">
        <f t="shared" si="89"/>
        <v>1.0877760000000001</v>
      </c>
      <c r="Q81" s="5">
        <f t="shared" si="89"/>
        <v>1.0791360000000001</v>
      </c>
      <c r="R81" s="5">
        <f t="shared" si="89"/>
        <v>1.0704959999999999</v>
      </c>
      <c r="S81" s="5">
        <f t="shared" si="89"/>
        <v>1.065312</v>
      </c>
      <c r="T81" s="5">
        <f t="shared" si="89"/>
        <v>1.0627200000000001</v>
      </c>
      <c r="U81" s="5">
        <f t="shared" si="89"/>
        <v>1.0575360000000003</v>
      </c>
      <c r="V81" s="5">
        <f t="shared" si="89"/>
        <v>1.0540800000000001</v>
      </c>
      <c r="W81" s="5">
        <f t="shared" si="89"/>
        <v>1.0480319999999999</v>
      </c>
      <c r="X81" s="5">
        <f t="shared" si="89"/>
        <v>1.043712</v>
      </c>
      <c r="Y81" s="5">
        <f t="shared" si="89"/>
        <v>1.035936</v>
      </c>
      <c r="Z81" s="5">
        <f t="shared" si="89"/>
        <v>1.0281599999999997</v>
      </c>
      <c r="AA81" s="5">
        <f t="shared" si="89"/>
        <v>1.0186559999999998</v>
      </c>
      <c r="AB81" s="5">
        <f t="shared" si="89"/>
        <v>1.0143360000000001</v>
      </c>
      <c r="AC81" s="5">
        <f t="shared" si="89"/>
        <v>1.003104</v>
      </c>
      <c r="AD81" s="5">
        <f t="shared" si="89"/>
        <v>0.99610560000000015</v>
      </c>
      <c r="AE81" s="5">
        <f t="shared" si="89"/>
        <v>0.99100800000000011</v>
      </c>
      <c r="AF81" s="5">
        <f t="shared" si="89"/>
        <v>0.98772480000000018</v>
      </c>
      <c r="AG81" s="5">
        <f t="shared" si="89"/>
        <v>0.98184959999999999</v>
      </c>
      <c r="AH81" s="5">
        <f t="shared" si="89"/>
        <v>0.97416000000000014</v>
      </c>
      <c r="AI81" s="5">
        <f t="shared" si="89"/>
        <v>0.97286400000000006</v>
      </c>
      <c r="AJ81" s="5">
        <f t="shared" si="89"/>
        <v>0.97070400000000012</v>
      </c>
      <c r="AK81" s="5">
        <f t="shared" si="89"/>
        <v>0.967248</v>
      </c>
      <c r="AL81" s="5">
        <f t="shared" si="89"/>
        <v>0.96517439999999988</v>
      </c>
      <c r="AM81" s="5">
        <f t="shared" si="89"/>
        <v>0.96068160000000002</v>
      </c>
      <c r="AN81" s="5">
        <f t="shared" si="89"/>
        <v>0.95618879999999995</v>
      </c>
      <c r="AO81" s="5">
        <f t="shared" si="89"/>
        <v>0.95368320000000006</v>
      </c>
      <c r="AP81" s="5">
        <f t="shared" si="89"/>
        <v>0.95195520000000011</v>
      </c>
      <c r="AQ81" s="5">
        <f t="shared" si="89"/>
        <v>0.94849919999999999</v>
      </c>
      <c r="AR81" s="5">
        <f t="shared" si="89"/>
        <v>0.94608000000000003</v>
      </c>
      <c r="AS81" s="5">
        <f t="shared" si="89"/>
        <v>0.94227839999999996</v>
      </c>
      <c r="AT81" s="5">
        <f t="shared" si="89"/>
        <v>0.94115519999999986</v>
      </c>
      <c r="AU81" s="5">
        <f t="shared" si="89"/>
        <v>0.93692160000000002</v>
      </c>
      <c r="AV81" s="5">
        <f t="shared" si="89"/>
        <v>0.93191039999999992</v>
      </c>
      <c r="AW81" s="5">
        <f t="shared" si="89"/>
        <v>0.92845440000000001</v>
      </c>
      <c r="AX81" s="5">
        <f t="shared" si="89"/>
        <v>0.92577599999999993</v>
      </c>
      <c r="AY81" s="5">
        <f t="shared" si="89"/>
        <v>0.92136960000000001</v>
      </c>
      <c r="AZ81" s="5">
        <f t="shared" si="89"/>
        <v>0.91895039999999995</v>
      </c>
      <c r="BA81" s="5">
        <f t="shared" si="89"/>
        <v>0.91687680000000005</v>
      </c>
      <c r="BB81" s="5">
        <f t="shared" si="89"/>
        <v>0.91454400000000002</v>
      </c>
      <c r="BC81" s="5">
        <f t="shared" si="89"/>
        <v>0.91203839999999992</v>
      </c>
      <c r="BD81" s="5">
        <f t="shared" si="89"/>
        <v>0.9085823999999999</v>
      </c>
      <c r="BE81" s="5">
        <f t="shared" si="89"/>
        <v>0.90460799999999997</v>
      </c>
      <c r="BF81" s="5">
        <f t="shared" si="89"/>
        <v>0.90020160000000016</v>
      </c>
      <c r="BG81" s="5">
        <f t="shared" si="89"/>
        <v>0.89570880000000008</v>
      </c>
      <c r="BH81" s="5">
        <f t="shared" si="89"/>
        <v>0.89285759999999992</v>
      </c>
      <c r="BI81" s="5">
        <f t="shared" si="89"/>
        <v>0.879552</v>
      </c>
      <c r="BJ81" s="5">
        <f t="shared" si="89"/>
        <v>0.89104320000000004</v>
      </c>
      <c r="BK81" s="5">
        <f t="shared" si="89"/>
        <v>0.88819199999999987</v>
      </c>
      <c r="BL81" s="5">
        <f t="shared" si="89"/>
        <v>0.88698239999999995</v>
      </c>
      <c r="BM81" s="5">
        <f t="shared" si="89"/>
        <v>0.88603199999999993</v>
      </c>
      <c r="BN81" s="5">
        <f t="shared" si="89"/>
        <v>0.88534079999999982</v>
      </c>
      <c r="BO81" s="5">
        <f t="shared" ref="BO81:DZ81" si="90">AVERAGE(BO24:BO33)</f>
        <v>0.88801920000000012</v>
      </c>
      <c r="BP81" s="5">
        <f t="shared" si="90"/>
        <v>0.88819199999999987</v>
      </c>
      <c r="BQ81" s="5">
        <f t="shared" si="90"/>
        <v>0.88499519999999998</v>
      </c>
      <c r="BR81" s="5">
        <f t="shared" si="90"/>
        <v>0.8802432</v>
      </c>
      <c r="BS81" s="5">
        <f t="shared" si="90"/>
        <v>0.88076159999999992</v>
      </c>
      <c r="BT81" s="5">
        <f t="shared" si="90"/>
        <v>0.87825599999999981</v>
      </c>
      <c r="BU81" s="5">
        <f t="shared" si="90"/>
        <v>0.87912000000000001</v>
      </c>
      <c r="BV81" s="5">
        <f t="shared" si="90"/>
        <v>0.87782400000000005</v>
      </c>
      <c r="BW81" s="5">
        <f t="shared" si="90"/>
        <v>0.87531840000000005</v>
      </c>
      <c r="BX81" s="5">
        <f t="shared" si="90"/>
        <v>0.87298560000000003</v>
      </c>
      <c r="BY81" s="5">
        <f t="shared" si="90"/>
        <v>0.87082560000000009</v>
      </c>
      <c r="BZ81" s="5">
        <f t="shared" si="90"/>
        <v>0.87039359999999988</v>
      </c>
      <c r="CA81" s="5">
        <f t="shared" si="90"/>
        <v>0.87168960000000006</v>
      </c>
      <c r="CB81" s="5">
        <f t="shared" si="90"/>
        <v>0.87186240000000004</v>
      </c>
      <c r="CC81" s="5">
        <f t="shared" si="90"/>
        <v>0.87350399999999995</v>
      </c>
      <c r="CD81" s="5">
        <f t="shared" si="90"/>
        <v>0.8724672</v>
      </c>
      <c r="CE81" s="5">
        <f t="shared" si="90"/>
        <v>0.87160320000000002</v>
      </c>
      <c r="CF81" s="5">
        <f t="shared" si="90"/>
        <v>0.87402239999999998</v>
      </c>
      <c r="CG81" s="5">
        <f t="shared" si="90"/>
        <v>0.87540479999999987</v>
      </c>
      <c r="CH81" s="5">
        <f t="shared" si="90"/>
        <v>0.87488639999999995</v>
      </c>
      <c r="CI81" s="5">
        <f t="shared" si="90"/>
        <v>0.87523200000000012</v>
      </c>
      <c r="CJ81" s="5">
        <f t="shared" si="90"/>
        <v>0.88041600000000009</v>
      </c>
      <c r="CK81" s="5">
        <f t="shared" si="90"/>
        <v>0.87868800000000002</v>
      </c>
      <c r="CL81" s="5">
        <f t="shared" si="90"/>
        <v>0.87333119999999997</v>
      </c>
      <c r="CM81" s="5">
        <f t="shared" si="90"/>
        <v>0.87462720000000016</v>
      </c>
      <c r="CN81" s="5">
        <f t="shared" si="90"/>
        <v>0.88240319999999994</v>
      </c>
      <c r="CO81" s="5">
        <f t="shared" si="90"/>
        <v>0.90218880000000001</v>
      </c>
      <c r="CP81" s="5">
        <f t="shared" si="90"/>
        <v>0.93070079999999999</v>
      </c>
      <c r="CQ81" s="5">
        <f t="shared" si="90"/>
        <v>0.94538879999999992</v>
      </c>
      <c r="CR81" s="5">
        <f t="shared" si="90"/>
        <v>0.95238719999999988</v>
      </c>
      <c r="CS81" s="5">
        <f t="shared" si="90"/>
        <v>0.95532479999999997</v>
      </c>
      <c r="CT81" s="5">
        <f t="shared" si="90"/>
        <v>0.95437440000000007</v>
      </c>
      <c r="CU81" s="5">
        <f t="shared" si="90"/>
        <v>0.96240959999999998</v>
      </c>
      <c r="CV81" s="5">
        <f t="shared" si="90"/>
        <v>0.96344640000000015</v>
      </c>
      <c r="CW81" s="5">
        <f t="shared" si="90"/>
        <v>0.97511039999999993</v>
      </c>
      <c r="CX81" s="5">
        <f t="shared" si="90"/>
        <v>0.98461439999999989</v>
      </c>
      <c r="CY81" s="5">
        <f t="shared" si="90"/>
        <v>0.99947519999999979</v>
      </c>
      <c r="CZ81" s="5">
        <f t="shared" si="90"/>
        <v>1.0149408</v>
      </c>
      <c r="DA81" s="5">
        <f t="shared" si="90"/>
        <v>1.0231488</v>
      </c>
      <c r="DB81" s="5">
        <f t="shared" si="90"/>
        <v>1.0286784</v>
      </c>
      <c r="DC81" s="5">
        <f t="shared" si="90"/>
        <v>1.0403423999999999</v>
      </c>
      <c r="DD81" s="5">
        <f t="shared" si="90"/>
        <v>1.0479455999999998</v>
      </c>
      <c r="DE81" s="5">
        <f t="shared" si="90"/>
        <v>1.0546848</v>
      </c>
      <c r="DF81" s="5">
        <f t="shared" si="90"/>
        <v>1.0618559999999999</v>
      </c>
      <c r="DG81" s="5">
        <f t="shared" si="90"/>
        <v>1.0687679999999999</v>
      </c>
      <c r="DH81" s="5">
        <f t="shared" si="90"/>
        <v>1.0825919999999998</v>
      </c>
      <c r="DI81" s="5">
        <f t="shared" si="90"/>
        <v>1.1033280000000001</v>
      </c>
      <c r="DJ81" s="5">
        <f t="shared" si="90"/>
        <v>1.1352959999999999</v>
      </c>
      <c r="DK81" s="5">
        <f t="shared" si="90"/>
        <v>1.1499839999999999</v>
      </c>
      <c r="DL81" s="5">
        <f t="shared" si="90"/>
        <v>1.1586240000000001</v>
      </c>
      <c r="DM81" s="5">
        <f t="shared" si="90"/>
        <v>1.1819519999999997</v>
      </c>
      <c r="DN81" s="5">
        <f t="shared" si="90"/>
        <v>1.225152</v>
      </c>
      <c r="DO81" s="5">
        <f t="shared" si="90"/>
        <v>1.2761279999999999</v>
      </c>
      <c r="DP81" s="5">
        <f t="shared" si="90"/>
        <v>1.303776</v>
      </c>
      <c r="DQ81" s="5">
        <f t="shared" si="90"/>
        <v>1.3305599999999997</v>
      </c>
      <c r="DR81" s="5">
        <f t="shared" si="90"/>
        <v>1.3538880000000002</v>
      </c>
      <c r="DS81" s="5">
        <f t="shared" si="90"/>
        <v>1.3746239999999998</v>
      </c>
      <c r="DT81" s="5">
        <f t="shared" si="90"/>
        <v>1.393632</v>
      </c>
      <c r="DU81" s="5">
        <f t="shared" si="90"/>
        <v>1.3962239999999999</v>
      </c>
      <c r="DV81" s="5">
        <f t="shared" si="90"/>
        <v>1.3893120000000001</v>
      </c>
      <c r="DW81" s="5">
        <f t="shared" si="90"/>
        <v>1.3910400000000001</v>
      </c>
      <c r="DX81" s="5">
        <f t="shared" si="90"/>
        <v>1.4299200000000001</v>
      </c>
      <c r="DY81" s="5">
        <f t="shared" si="90"/>
        <v>1.4592960000000001</v>
      </c>
      <c r="DZ81" s="5">
        <f t="shared" si="90"/>
        <v>1.463616</v>
      </c>
      <c r="EA81" s="5">
        <f t="shared" ref="EA81:GL81" si="91">AVERAGE(EA24:EA33)</f>
        <v>1.4601599999999999</v>
      </c>
      <c r="EB81" s="5">
        <f t="shared" si="91"/>
        <v>1.46448</v>
      </c>
      <c r="EC81" s="5">
        <f t="shared" si="91"/>
        <v>1.4765760000000001</v>
      </c>
      <c r="ED81" s="5">
        <f t="shared" si="91"/>
        <v>1.4947199999999998</v>
      </c>
      <c r="EE81" s="5">
        <f t="shared" si="91"/>
        <v>1.5301440000000002</v>
      </c>
      <c r="EF81" s="5">
        <f t="shared" si="91"/>
        <v>1.5413760000000001</v>
      </c>
      <c r="EG81" s="5">
        <f t="shared" si="91"/>
        <v>1.5612479999999997</v>
      </c>
      <c r="EH81" s="5">
        <f t="shared" si="91"/>
        <v>1.5629760000000001</v>
      </c>
      <c r="EI81" s="5">
        <f t="shared" si="91"/>
        <v>1.5949439999999999</v>
      </c>
      <c r="EJ81" s="5">
        <f t="shared" si="91"/>
        <v>1.6225919999999998</v>
      </c>
      <c r="EK81" s="5">
        <f t="shared" si="91"/>
        <v>1.655424</v>
      </c>
      <c r="EL81" s="5">
        <f t="shared" si="91"/>
        <v>1.6882560000000002</v>
      </c>
      <c r="EM81" s="5">
        <f t="shared" si="91"/>
        <v>1.7392320000000001</v>
      </c>
      <c r="EN81" s="5">
        <f t="shared" si="91"/>
        <v>1.8446399999999996</v>
      </c>
      <c r="EO81" s="5">
        <f t="shared" si="91"/>
        <v>1.9267200000000002</v>
      </c>
      <c r="EP81" s="5">
        <f t="shared" si="91"/>
        <v>1.9267200000000002</v>
      </c>
      <c r="EQ81" s="5">
        <f t="shared" si="91"/>
        <v>1.910304</v>
      </c>
      <c r="ER81" s="5">
        <f t="shared" si="91"/>
        <v>1.9405439999999998</v>
      </c>
      <c r="ES81" s="5">
        <f t="shared" si="91"/>
        <v>1.989792</v>
      </c>
      <c r="ET81" s="5">
        <f t="shared" si="91"/>
        <v>2.0399039999999999</v>
      </c>
      <c r="EU81" s="5">
        <f t="shared" si="91"/>
        <v>2.0848319999999996</v>
      </c>
      <c r="EV81" s="5">
        <f t="shared" si="91"/>
        <v>2.16432</v>
      </c>
      <c r="EW81" s="5">
        <f t="shared" si="91"/>
        <v>2.228256</v>
      </c>
      <c r="EX81" s="5">
        <f t="shared" si="91"/>
        <v>2.2075199999999997</v>
      </c>
      <c r="EY81" s="5">
        <f t="shared" si="91"/>
        <v>2.212704</v>
      </c>
      <c r="EZ81" s="5">
        <f t="shared" si="91"/>
        <v>2.2792319999999999</v>
      </c>
      <c r="FA81" s="5">
        <f t="shared" si="91"/>
        <v>2.3621759999999998</v>
      </c>
      <c r="FB81" s="5">
        <f t="shared" si="91"/>
        <v>2.3915519999999999</v>
      </c>
      <c r="FC81" s="5">
        <f t="shared" si="91"/>
        <v>2.4226559999999999</v>
      </c>
      <c r="FD81" s="5">
        <f t="shared" si="91"/>
        <v>2.5107839999999997</v>
      </c>
      <c r="FE81" s="5">
        <f t="shared" si="91"/>
        <v>2.6559359999999996</v>
      </c>
      <c r="FF81" s="5">
        <f t="shared" si="91"/>
        <v>2.7466560000000002</v>
      </c>
      <c r="FG81" s="5">
        <f t="shared" si="91"/>
        <v>2.7907199999999999</v>
      </c>
      <c r="FH81" s="5">
        <f t="shared" si="91"/>
        <v>2.802816</v>
      </c>
      <c r="FI81" s="5">
        <f t="shared" si="91"/>
        <v>2.8563839999999998</v>
      </c>
      <c r="FJ81" s="5">
        <f t="shared" si="91"/>
        <v>2.9998080000000003</v>
      </c>
      <c r="FK81" s="5">
        <f t="shared" si="91"/>
        <v>3.151872</v>
      </c>
      <c r="FL81" s="5">
        <f t="shared" si="91"/>
        <v>3.3186239999999998</v>
      </c>
      <c r="FM81" s="5">
        <f t="shared" si="91"/>
        <v>3.566592</v>
      </c>
      <c r="FN81" s="5">
        <f t="shared" si="91"/>
        <v>3.8041920000000005</v>
      </c>
      <c r="FO81" s="5">
        <f t="shared" si="91"/>
        <v>4.0789439999999999</v>
      </c>
      <c r="FP81" s="5">
        <f t="shared" si="91"/>
        <v>4.3053119999999998</v>
      </c>
      <c r="FQ81" s="5">
        <f t="shared" si="91"/>
        <v>4.4953920000000007</v>
      </c>
      <c r="FR81" s="5">
        <f t="shared" si="91"/>
        <v>4.7710080000000001</v>
      </c>
      <c r="FS81" s="5">
        <f t="shared" si="91"/>
        <v>5.0302079999999991</v>
      </c>
      <c r="FT81" s="5">
        <f t="shared" si="91"/>
        <v>5.0837759999999994</v>
      </c>
      <c r="FU81" s="5">
        <f t="shared" si="91"/>
        <v>4.9645440000000001</v>
      </c>
      <c r="FV81" s="5">
        <f t="shared" si="91"/>
        <v>4.8029760000000001</v>
      </c>
      <c r="FW81" s="5">
        <f t="shared" si="91"/>
        <v>4.7424960000000009</v>
      </c>
      <c r="FX81" s="5">
        <f t="shared" si="91"/>
        <v>4.904064</v>
      </c>
      <c r="FY81" s="5">
        <f t="shared" si="91"/>
        <v>5.1675839999999997</v>
      </c>
      <c r="FZ81" s="5">
        <f t="shared" si="91"/>
        <v>5.5287360000000003</v>
      </c>
      <c r="GA81" s="5">
        <f t="shared" si="91"/>
        <v>5.604768</v>
      </c>
      <c r="GB81" s="5">
        <f t="shared" si="91"/>
        <v>5.6851199999999995</v>
      </c>
      <c r="GC81" s="5">
        <f t="shared" si="91"/>
        <v>5.5961280000000011</v>
      </c>
      <c r="GD81" s="5">
        <f t="shared" si="91"/>
        <v>5.5935360000000003</v>
      </c>
      <c r="GE81" s="5">
        <f t="shared" si="91"/>
        <v>5.4803519999999999</v>
      </c>
      <c r="GF81" s="5">
        <f t="shared" si="91"/>
        <v>5.4216000000000006</v>
      </c>
      <c r="GG81" s="5">
        <f t="shared" si="91"/>
        <v>5.5753919999999999</v>
      </c>
      <c r="GH81" s="5">
        <f t="shared" si="91"/>
        <v>5.7836160000000003</v>
      </c>
      <c r="GI81" s="5">
        <f t="shared" si="91"/>
        <v>5.8380480000000006</v>
      </c>
      <c r="GJ81" s="5">
        <f t="shared" si="91"/>
        <v>5.8207679999999993</v>
      </c>
      <c r="GK81" s="5">
        <f t="shared" si="91"/>
        <v>5.6185919999999996</v>
      </c>
      <c r="GL81" s="5">
        <f t="shared" si="91"/>
        <v>5.4587519999999987</v>
      </c>
      <c r="GM81" s="5">
        <f t="shared" ref="GM81:IX81" si="92">AVERAGE(GM24:GM33)</f>
        <v>5.5667519999999993</v>
      </c>
      <c r="GN81" s="5">
        <f t="shared" si="92"/>
        <v>5.8976640000000007</v>
      </c>
      <c r="GO81" s="5">
        <f t="shared" si="92"/>
        <v>6.178464</v>
      </c>
      <c r="GP81" s="5">
        <f t="shared" si="92"/>
        <v>6.5689919999999997</v>
      </c>
      <c r="GQ81" s="5">
        <f t="shared" si="92"/>
        <v>6.781536</v>
      </c>
      <c r="GR81" s="5">
        <f t="shared" si="92"/>
        <v>6.6208320000000001</v>
      </c>
      <c r="GS81" s="5">
        <f t="shared" si="92"/>
        <v>6.4281600000000001</v>
      </c>
      <c r="GT81" s="5">
        <f t="shared" si="92"/>
        <v>6.3262080000000003</v>
      </c>
      <c r="GU81" s="5">
        <f t="shared" si="92"/>
        <v>6.2640000000000002</v>
      </c>
      <c r="GV81" s="5">
        <f t="shared" si="92"/>
        <v>6.0445439999999993</v>
      </c>
      <c r="GW81" s="5">
        <f t="shared" si="92"/>
        <v>5.8752000000000004</v>
      </c>
      <c r="GX81" s="5">
        <f t="shared" si="92"/>
        <v>5.855328000000001</v>
      </c>
      <c r="GY81" s="5">
        <f t="shared" si="92"/>
        <v>5.8008959999999998</v>
      </c>
      <c r="GZ81" s="5">
        <f t="shared" si="92"/>
        <v>5.7456000000000005</v>
      </c>
      <c r="HA81" s="5">
        <f t="shared" si="92"/>
        <v>5.895935999999999</v>
      </c>
      <c r="HB81" s="5">
        <f t="shared" si="92"/>
        <v>6.1836479999999998</v>
      </c>
      <c r="HC81" s="5">
        <f t="shared" si="92"/>
        <v>6.7858559999999999</v>
      </c>
      <c r="HD81" s="5">
        <f t="shared" si="92"/>
        <v>7.0873919999999995</v>
      </c>
      <c r="HE81" s="5">
        <f t="shared" si="92"/>
        <v>7.2368640000000015</v>
      </c>
      <c r="HF81" s="5">
        <f t="shared" si="92"/>
        <v>7.4010239999999996</v>
      </c>
      <c r="HG81" s="5">
        <f t="shared" si="92"/>
        <v>7.615295999999999</v>
      </c>
      <c r="HH81" s="5">
        <f t="shared" si="92"/>
        <v>7.8822719999999986</v>
      </c>
      <c r="HI81" s="5">
        <f t="shared" si="92"/>
        <v>8.0740800000000021</v>
      </c>
      <c r="HJ81" s="5">
        <f t="shared" si="92"/>
        <v>8.3833919999999988</v>
      </c>
      <c r="HK81" s="5">
        <f t="shared" si="92"/>
        <v>8.3799359999999989</v>
      </c>
      <c r="HL81" s="5">
        <f t="shared" si="92"/>
        <v>8.1440640000000002</v>
      </c>
      <c r="HM81" s="5">
        <f t="shared" si="92"/>
        <v>7.7690879999999991</v>
      </c>
      <c r="HN81" s="5">
        <f t="shared" si="92"/>
        <v>7.3474559999999993</v>
      </c>
      <c r="HO81" s="5">
        <f t="shared" si="92"/>
        <v>7.2204480000000002</v>
      </c>
      <c r="HP81" s="5">
        <f t="shared" si="92"/>
        <v>7.0588799999999994</v>
      </c>
      <c r="HQ81" s="5">
        <f t="shared" si="92"/>
        <v>6.8713920000000002</v>
      </c>
      <c r="HR81" s="5">
        <f t="shared" si="92"/>
        <v>6.7435200000000011</v>
      </c>
      <c r="HS81" s="5">
        <f t="shared" si="92"/>
        <v>6.5318399999999999</v>
      </c>
      <c r="HT81" s="5">
        <f t="shared" si="92"/>
        <v>6.5145600000000004</v>
      </c>
      <c r="HU81" s="5">
        <f t="shared" si="92"/>
        <v>6.4592640000000001</v>
      </c>
      <c r="HV81" s="5">
        <f t="shared" si="92"/>
        <v>6.5465280000000003</v>
      </c>
      <c r="HW81" s="5">
        <f t="shared" si="92"/>
        <v>6.8731200000000001</v>
      </c>
      <c r="HX81" s="5">
        <f t="shared" si="92"/>
        <v>7.0415999999999999</v>
      </c>
      <c r="HY81" s="5">
        <f t="shared" si="92"/>
        <v>7.2213120000000002</v>
      </c>
      <c r="HZ81" s="5">
        <f t="shared" si="92"/>
        <v>7.0545600000000004</v>
      </c>
      <c r="IA81" s="5">
        <f t="shared" si="92"/>
        <v>7.0925759999999993</v>
      </c>
      <c r="IB81" s="5">
        <f t="shared" si="92"/>
        <v>7.1357759999999999</v>
      </c>
      <c r="IC81" s="5">
        <f t="shared" si="92"/>
        <v>7.069248</v>
      </c>
      <c r="ID81" s="5">
        <f t="shared" si="92"/>
        <v>6.941376</v>
      </c>
      <c r="IE81" s="5">
        <f t="shared" si="92"/>
        <v>7.009631999999999</v>
      </c>
      <c r="IF81" s="5">
        <f t="shared" si="92"/>
        <v>6.9439679999999999</v>
      </c>
      <c r="IG81" s="5">
        <f t="shared" si="92"/>
        <v>6.9888959999999996</v>
      </c>
      <c r="IH81" s="5">
        <f t="shared" si="92"/>
        <v>7.1219519999999985</v>
      </c>
      <c r="II81" s="5">
        <f t="shared" si="92"/>
        <v>7.2601920000000009</v>
      </c>
      <c r="IJ81" s="5">
        <f t="shared" si="92"/>
        <v>7.2671040000000007</v>
      </c>
      <c r="IK81" s="5">
        <f t="shared" si="92"/>
        <v>7.2878400000000001</v>
      </c>
      <c r="IL81" s="5">
        <f t="shared" si="92"/>
        <v>7.3733759999999986</v>
      </c>
      <c r="IM81" s="5">
        <f t="shared" si="92"/>
        <v>7.6740480000000009</v>
      </c>
      <c r="IN81" s="5">
        <f t="shared" si="92"/>
        <v>7.4459520000000001</v>
      </c>
      <c r="IO81" s="5">
        <f t="shared" si="92"/>
        <v>7.0519680000000005</v>
      </c>
      <c r="IP81" s="5">
        <f t="shared" si="92"/>
        <v>6.6951359999999998</v>
      </c>
      <c r="IQ81" s="5">
        <f t="shared" si="92"/>
        <v>6.4990080000000008</v>
      </c>
      <c r="IR81" s="5">
        <f t="shared" si="92"/>
        <v>6.6588480000000008</v>
      </c>
      <c r="IS81" s="5">
        <f t="shared" si="92"/>
        <v>6.878304</v>
      </c>
      <c r="IT81" s="5">
        <f t="shared" si="92"/>
        <v>6.9310080000000003</v>
      </c>
      <c r="IU81" s="5">
        <f t="shared" si="92"/>
        <v>6.8169599999999999</v>
      </c>
      <c r="IV81" s="5">
        <f t="shared" si="92"/>
        <v>6.5387520000000006</v>
      </c>
      <c r="IW81" s="5">
        <f t="shared" si="92"/>
        <v>6.3789119999999997</v>
      </c>
      <c r="IX81" s="5">
        <f t="shared" si="92"/>
        <v>6.4091520000000006</v>
      </c>
      <c r="IY81" s="5">
        <f t="shared" ref="IY81:LJ81" si="93">AVERAGE(IY24:IY33)</f>
        <v>6.305472</v>
      </c>
      <c r="IZ81" s="5">
        <f t="shared" si="93"/>
        <v>6.2752319999999999</v>
      </c>
      <c r="JA81" s="5">
        <f t="shared" si="93"/>
        <v>6.4523520000000003</v>
      </c>
      <c r="JB81" s="5">
        <f t="shared" si="93"/>
        <v>6.7452479999999992</v>
      </c>
      <c r="JC81" s="5">
        <f t="shared" si="93"/>
        <v>6.9353280000000002</v>
      </c>
      <c r="JD81" s="5">
        <f t="shared" si="93"/>
        <v>7.4278079999999989</v>
      </c>
      <c r="JE81" s="5">
        <f t="shared" si="93"/>
        <v>7.5634559999999995</v>
      </c>
      <c r="JF81" s="5">
        <f t="shared" si="93"/>
        <v>7.3059839999999996</v>
      </c>
      <c r="JG81" s="5">
        <f t="shared" si="93"/>
        <v>7.194528</v>
      </c>
      <c r="JH81" s="5">
        <f t="shared" si="93"/>
        <v>7.159968000000001</v>
      </c>
      <c r="JI81" s="5">
        <f t="shared" si="93"/>
        <v>7.2005760000000008</v>
      </c>
      <c r="JJ81" s="5">
        <f t="shared" si="93"/>
        <v>7.1530559999999994</v>
      </c>
      <c r="JK81" s="5">
        <f t="shared" si="93"/>
        <v>7.0917119999999993</v>
      </c>
      <c r="JL81" s="5">
        <f t="shared" si="93"/>
        <v>6.8238719999999997</v>
      </c>
      <c r="JM81" s="5">
        <f t="shared" si="93"/>
        <v>6.559488</v>
      </c>
      <c r="JN81" s="5">
        <f t="shared" si="93"/>
        <v>6.3763200000000007</v>
      </c>
      <c r="JO81" s="5">
        <f t="shared" si="93"/>
        <v>6.1283519999999996</v>
      </c>
      <c r="JP81" s="5">
        <f t="shared" si="93"/>
        <v>5.9918399999999998</v>
      </c>
      <c r="JQ81" s="5">
        <f t="shared" si="93"/>
        <v>5.8389119999999988</v>
      </c>
      <c r="JR81" s="5">
        <f t="shared" si="93"/>
        <v>5.6324160000000001</v>
      </c>
      <c r="JS81" s="5">
        <f t="shared" si="93"/>
        <v>5.6203200000000004</v>
      </c>
      <c r="JT81" s="5">
        <f t="shared" si="93"/>
        <v>5.7767039999999996</v>
      </c>
      <c r="JU81" s="5">
        <f t="shared" si="93"/>
        <v>5.8726079999999996</v>
      </c>
      <c r="JV81" s="5">
        <f t="shared" si="93"/>
        <v>5.8380479999999997</v>
      </c>
      <c r="JW81" s="5">
        <f t="shared" si="93"/>
        <v>5.7559679999999993</v>
      </c>
      <c r="JX81" s="5">
        <f t="shared" si="93"/>
        <v>5.6963519999999992</v>
      </c>
      <c r="JY81" s="5">
        <f t="shared" si="93"/>
        <v>5.6946239999999992</v>
      </c>
      <c r="JZ81" s="5">
        <f t="shared" si="93"/>
        <v>5.4699839999999993</v>
      </c>
      <c r="KA81" s="5">
        <f t="shared" si="93"/>
        <v>5.2004159999999997</v>
      </c>
      <c r="KB81" s="5">
        <f t="shared" si="93"/>
        <v>5.0042879999999998</v>
      </c>
      <c r="KC81" s="5">
        <f t="shared" si="93"/>
        <v>4.868640000000001</v>
      </c>
      <c r="KD81" s="5">
        <f t="shared" si="93"/>
        <v>4.7191679999999998</v>
      </c>
      <c r="KE81" s="5">
        <f t="shared" si="93"/>
        <v>4.5696960000000004</v>
      </c>
      <c r="KF81" s="5">
        <f t="shared" si="93"/>
        <v>4.4297279999999999</v>
      </c>
      <c r="KG81" s="5">
        <f t="shared" si="93"/>
        <v>4.2837120000000004</v>
      </c>
      <c r="KH81" s="5">
        <f t="shared" si="93"/>
        <v>4.1592959999999994</v>
      </c>
      <c r="KI81" s="5">
        <f t="shared" si="93"/>
        <v>4.0167359999999999</v>
      </c>
      <c r="KJ81" s="5">
        <f t="shared" si="93"/>
        <v>3.8854080000000004</v>
      </c>
      <c r="KK81" s="5">
        <f t="shared" si="93"/>
        <v>3.7895039999999995</v>
      </c>
      <c r="KL81" s="5">
        <f t="shared" si="93"/>
        <v>3.8733119999999999</v>
      </c>
      <c r="KM81" s="5">
        <f t="shared" si="93"/>
        <v>3.8119679999999994</v>
      </c>
      <c r="KN81" s="5">
        <f t="shared" si="93"/>
        <v>3.6685439999999998</v>
      </c>
      <c r="KO81" s="5">
        <f t="shared" si="93"/>
        <v>3.5769599999999997</v>
      </c>
      <c r="KP81" s="5">
        <f t="shared" si="93"/>
        <v>3.469824</v>
      </c>
      <c r="KQ81" s="5">
        <f t="shared" si="93"/>
        <v>3.358368</v>
      </c>
      <c r="KR81" s="5">
        <f t="shared" si="93"/>
        <v>3.3073920000000001</v>
      </c>
      <c r="KS81" s="5">
        <f t="shared" si="93"/>
        <v>3.2088960000000002</v>
      </c>
      <c r="KT81" s="5">
        <f t="shared" si="93"/>
        <v>3.104352</v>
      </c>
      <c r="KU81" s="5">
        <f t="shared" si="93"/>
        <v>3.0153599999999998</v>
      </c>
      <c r="KV81" s="5">
        <f t="shared" si="93"/>
        <v>2.9376000000000002</v>
      </c>
      <c r="KW81" s="5">
        <f t="shared" si="93"/>
        <v>2.8684799999999999</v>
      </c>
      <c r="KX81" s="5">
        <f t="shared" si="93"/>
        <v>2.7933119999999998</v>
      </c>
      <c r="KY81" s="5">
        <f t="shared" si="93"/>
        <v>2.738016</v>
      </c>
      <c r="KZ81" s="5">
        <f t="shared" si="93"/>
        <v>2.6835840000000002</v>
      </c>
      <c r="LA81" s="5">
        <f t="shared" si="93"/>
        <v>2.6308799999999994</v>
      </c>
      <c r="LB81" s="5">
        <f t="shared" si="93"/>
        <v>2.6170559999999998</v>
      </c>
      <c r="LC81" s="5">
        <f t="shared" si="93"/>
        <v>2.5911359999999997</v>
      </c>
      <c r="LD81" s="5">
        <f t="shared" si="93"/>
        <v>2.5090559999999997</v>
      </c>
      <c r="LE81" s="5">
        <f t="shared" si="93"/>
        <v>2.4399359999999999</v>
      </c>
      <c r="LF81" s="5">
        <f t="shared" si="93"/>
        <v>2.38896</v>
      </c>
      <c r="LG81" s="5">
        <f t="shared" si="93"/>
        <v>2.3500799999999997</v>
      </c>
      <c r="LH81" s="5">
        <f t="shared" si="93"/>
        <v>2.3181120000000002</v>
      </c>
      <c r="LI81" s="5">
        <f t="shared" si="93"/>
        <v>2.2749119999999996</v>
      </c>
      <c r="LJ81" s="5">
        <f t="shared" si="93"/>
        <v>2.2239360000000001</v>
      </c>
      <c r="LK81" s="5">
        <f t="shared" ref="LK81:NU81" si="94">AVERAGE(LK24:LK33)</f>
        <v>2.1841920000000004</v>
      </c>
      <c r="LL81" s="5">
        <f t="shared" si="94"/>
        <v>2.1461759999999996</v>
      </c>
      <c r="LM81" s="5">
        <f t="shared" si="94"/>
        <v>2.115936</v>
      </c>
      <c r="LN81" s="5">
        <f t="shared" si="94"/>
        <v>2.1055679999999999</v>
      </c>
      <c r="LO81" s="5">
        <f t="shared" si="94"/>
        <v>2.0917440000000003</v>
      </c>
      <c r="LP81" s="5">
        <f t="shared" si="94"/>
        <v>2.0519999999999996</v>
      </c>
      <c r="LQ81" s="5">
        <f t="shared" si="94"/>
        <v>2.0036160000000001</v>
      </c>
      <c r="LR81" s="5">
        <f t="shared" si="94"/>
        <v>1.958688</v>
      </c>
      <c r="LS81" s="5">
        <f t="shared" si="94"/>
        <v>1.9198079999999997</v>
      </c>
      <c r="LT81" s="5">
        <f t="shared" si="94"/>
        <v>1.8852480000000003</v>
      </c>
      <c r="LU81" s="5">
        <f t="shared" si="94"/>
        <v>1.8524159999999998</v>
      </c>
      <c r="LV81" s="5">
        <f t="shared" si="94"/>
        <v>1.8264959999999999</v>
      </c>
      <c r="LW81" s="5">
        <f t="shared" si="94"/>
        <v>1.8040319999999999</v>
      </c>
      <c r="LX81" s="5">
        <f t="shared" si="94"/>
        <v>1.783296</v>
      </c>
      <c r="LY81" s="5">
        <f t="shared" si="94"/>
        <v>1.7616959999999999</v>
      </c>
      <c r="LZ81" s="5">
        <f t="shared" si="94"/>
        <v>1.744416</v>
      </c>
      <c r="MA81" s="5">
        <f t="shared" si="94"/>
        <v>1.7219520000000004</v>
      </c>
      <c r="MB81" s="5">
        <f t="shared" si="94"/>
        <v>1.696896</v>
      </c>
      <c r="MC81" s="5">
        <f t="shared" si="94"/>
        <v>1.6770239999999998</v>
      </c>
      <c r="MD81" s="5">
        <f t="shared" si="94"/>
        <v>1.6493760000000002</v>
      </c>
      <c r="ME81" s="5">
        <f t="shared" si="94"/>
        <v>1.6234560000000002</v>
      </c>
      <c r="MF81" s="5">
        <f t="shared" si="94"/>
        <v>1.6018560000000002</v>
      </c>
      <c r="MG81" s="5">
        <f t="shared" si="94"/>
        <v>1.5811200000000001</v>
      </c>
      <c r="MH81" s="5">
        <f t="shared" si="94"/>
        <v>1.5595199999999998</v>
      </c>
      <c r="MI81" s="5">
        <f t="shared" si="94"/>
        <v>1.5482880000000001</v>
      </c>
      <c r="MJ81" s="5">
        <f t="shared" si="94"/>
        <v>1.5327359999999999</v>
      </c>
      <c r="MK81" s="5">
        <f t="shared" si="94"/>
        <v>1.5102720000000001</v>
      </c>
      <c r="ML81" s="5">
        <f t="shared" si="94"/>
        <v>1.487808</v>
      </c>
      <c r="MM81" s="5">
        <f t="shared" si="94"/>
        <v>1.4644800000000002</v>
      </c>
      <c r="MN81" s="5">
        <f t="shared" si="94"/>
        <v>1.4428800000000002</v>
      </c>
      <c r="MO81" s="5">
        <f t="shared" si="94"/>
        <v>1.4238719999999998</v>
      </c>
      <c r="MP81" s="5">
        <f t="shared" si="94"/>
        <v>1.4065919999999998</v>
      </c>
      <c r="MQ81" s="5">
        <f t="shared" si="94"/>
        <v>1.3884479999999999</v>
      </c>
      <c r="MR81" s="5">
        <f t="shared" si="94"/>
        <v>1.3711679999999999</v>
      </c>
      <c r="MS81" s="5">
        <f t="shared" si="94"/>
        <v>1.35216</v>
      </c>
      <c r="MT81" s="5">
        <f t="shared" si="94"/>
        <v>1.3322880000000001</v>
      </c>
      <c r="MU81" s="5">
        <f t="shared" si="94"/>
        <v>1.3175999999999999</v>
      </c>
      <c r="MV81" s="5">
        <f t="shared" si="94"/>
        <v>1.3029119999999998</v>
      </c>
      <c r="MW81" s="5">
        <f t="shared" si="94"/>
        <v>1.2916799999999999</v>
      </c>
      <c r="MX81" s="5">
        <f t="shared" si="94"/>
        <v>1.2778560000000003</v>
      </c>
      <c r="MY81" s="5">
        <f t="shared" si="94"/>
        <v>1.2692159999999999</v>
      </c>
      <c r="MZ81" s="5">
        <f t="shared" si="94"/>
        <v>1.257984</v>
      </c>
      <c r="NA81" s="5">
        <f t="shared" si="94"/>
        <v>1.2484800000000003</v>
      </c>
      <c r="NB81" s="5">
        <f t="shared" si="94"/>
        <v>1.2372479999999999</v>
      </c>
      <c r="NC81" s="5">
        <f t="shared" si="94"/>
        <v>1.21824</v>
      </c>
      <c r="ND81" s="5">
        <f t="shared" si="94"/>
        <v>33.988895999999997</v>
      </c>
      <c r="NE81" s="5">
        <f t="shared" si="94"/>
        <v>26.473219200000006</v>
      </c>
      <c r="NF81" s="5">
        <f t="shared" si="94"/>
        <v>27.220579200000003</v>
      </c>
      <c r="NG81" s="5">
        <f t="shared" si="94"/>
        <v>32.218560000000004</v>
      </c>
      <c r="NH81" s="5">
        <f t="shared" si="94"/>
        <v>51.746688000000006</v>
      </c>
      <c r="NI81" s="5">
        <f t="shared" si="94"/>
        <v>110.5488</v>
      </c>
      <c r="NJ81" s="5">
        <f t="shared" si="94"/>
        <v>188.47900800000002</v>
      </c>
      <c r="NK81" s="5">
        <f t="shared" si="94"/>
        <v>224.02137600000006</v>
      </c>
      <c r="NL81" s="5">
        <f t="shared" si="94"/>
        <v>206.06399999999999</v>
      </c>
      <c r="NM81" s="5">
        <f t="shared" si="94"/>
        <v>143.53545600000001</v>
      </c>
      <c r="NN81" s="5">
        <f t="shared" si="94"/>
        <v>69.102720000000005</v>
      </c>
      <c r="NO81" s="5">
        <f t="shared" si="94"/>
        <v>45.264959999999995</v>
      </c>
      <c r="NP81" s="5">
        <f t="shared" si="94"/>
        <v>1158.6642624000001</v>
      </c>
      <c r="NQ81" s="5">
        <f t="shared" si="94"/>
        <v>12.493439999999998</v>
      </c>
      <c r="NR81" s="5">
        <f t="shared" si="94"/>
        <v>42599.1</v>
      </c>
      <c r="NS81" s="5">
        <f t="shared" si="94"/>
        <v>0.85155839999999983</v>
      </c>
      <c r="NT81" s="5">
        <f t="shared" si="94"/>
        <v>42448.3</v>
      </c>
      <c r="NU81" s="5">
        <f t="shared" si="94"/>
        <v>3670.354062429823</v>
      </c>
      <c r="NV81" s="5"/>
      <c r="NW81" s="5">
        <f t="shared" ref="NW81:OE81" si="95">AVERAGE(NW24:NW33)</f>
        <v>924.39532799999995</v>
      </c>
      <c r="NX81" s="5">
        <f t="shared" si="95"/>
        <v>79.499674580173064</v>
      </c>
      <c r="NY81" s="5">
        <f t="shared" si="95"/>
        <v>729.11318400000005</v>
      </c>
      <c r="NZ81" s="5">
        <f t="shared" si="95"/>
        <v>62.597339763897573</v>
      </c>
      <c r="OA81" s="5">
        <f t="shared" si="95"/>
        <v>234.26893440000003</v>
      </c>
      <c r="OB81" s="5">
        <f t="shared" si="95"/>
        <v>20.50032541982694</v>
      </c>
      <c r="OC81" s="5">
        <f t="shared" si="95"/>
        <v>236.83622399999999</v>
      </c>
      <c r="OD81" s="5">
        <f t="shared" si="95"/>
        <v>20.389992814177795</v>
      </c>
      <c r="OE81" s="5">
        <f t="shared" si="95"/>
        <v>270.71594915887852</v>
      </c>
      <c r="OF81" s="5">
        <f t="shared" ref="OF81" si="96">AVERAGE(OF24:OF33)</f>
        <v>8.5843464345154281</v>
      </c>
    </row>
    <row r="82" spans="1:396" customFormat="1" x14ac:dyDescent="0.15">
      <c r="A82" s="9" t="s">
        <v>44</v>
      </c>
      <c r="B82" s="5">
        <f>AVERAGE(B34:B43)</f>
        <v>1.2787200000000001</v>
      </c>
      <c r="C82" s="5">
        <f t="shared" ref="C82:BN82" si="97">AVERAGE(C34:C43)</f>
        <v>1.2648959999999998</v>
      </c>
      <c r="D82" s="5">
        <f t="shared" si="97"/>
        <v>1.2502080000000002</v>
      </c>
      <c r="E82" s="5">
        <f t="shared" si="97"/>
        <v>1.2389760000000003</v>
      </c>
      <c r="F82" s="5">
        <f t="shared" si="97"/>
        <v>1.22688</v>
      </c>
      <c r="G82" s="5">
        <f t="shared" si="97"/>
        <v>1.2165120000000003</v>
      </c>
      <c r="H82" s="5">
        <f t="shared" si="97"/>
        <v>1.208736</v>
      </c>
      <c r="I82" s="5">
        <f t="shared" si="97"/>
        <v>1.1966399999999999</v>
      </c>
      <c r="J82" s="5">
        <f t="shared" si="97"/>
        <v>1.184544</v>
      </c>
      <c r="K82" s="5">
        <f t="shared" si="97"/>
        <v>1.1724479999999999</v>
      </c>
      <c r="L82" s="5">
        <f t="shared" si="97"/>
        <v>1.162944</v>
      </c>
      <c r="M82" s="5">
        <f t="shared" si="97"/>
        <v>1.155168</v>
      </c>
      <c r="N82" s="5">
        <f t="shared" si="97"/>
        <v>1.1465280000000002</v>
      </c>
      <c r="O82" s="5">
        <f t="shared" si="97"/>
        <v>1.138752</v>
      </c>
      <c r="P82" s="5">
        <f t="shared" si="97"/>
        <v>1.1327039999999999</v>
      </c>
      <c r="Q82" s="5">
        <f t="shared" si="97"/>
        <v>1.1257919999999999</v>
      </c>
      <c r="R82" s="5">
        <f t="shared" si="97"/>
        <v>1.1180159999999999</v>
      </c>
      <c r="S82" s="5">
        <f t="shared" si="97"/>
        <v>1.1102400000000001</v>
      </c>
      <c r="T82" s="5">
        <f t="shared" si="97"/>
        <v>1.1024639999999999</v>
      </c>
      <c r="U82" s="5">
        <f t="shared" si="97"/>
        <v>1.0965023999999999</v>
      </c>
      <c r="V82" s="5">
        <f t="shared" si="97"/>
        <v>1.0866528</v>
      </c>
      <c r="W82" s="5">
        <f t="shared" si="97"/>
        <v>1.0790496000000001</v>
      </c>
      <c r="X82" s="5">
        <f t="shared" si="97"/>
        <v>1.0675583999999998</v>
      </c>
      <c r="Y82" s="5">
        <f t="shared" si="97"/>
        <v>1.0603872000000001</v>
      </c>
      <c r="Z82" s="5">
        <f t="shared" si="97"/>
        <v>1.0539935999999999</v>
      </c>
      <c r="AA82" s="5">
        <f t="shared" si="97"/>
        <v>1.0462175999999999</v>
      </c>
      <c r="AB82" s="5">
        <f t="shared" si="97"/>
        <v>1.0399103999999999</v>
      </c>
      <c r="AC82" s="5">
        <f t="shared" si="97"/>
        <v>1.0327392</v>
      </c>
      <c r="AD82" s="5">
        <f t="shared" si="97"/>
        <v>1.0253952</v>
      </c>
      <c r="AE82" s="5">
        <f t="shared" si="97"/>
        <v>1.0185696</v>
      </c>
      <c r="AF82" s="5">
        <f t="shared" si="97"/>
        <v>1.0145951999999998</v>
      </c>
      <c r="AG82" s="5">
        <f t="shared" si="97"/>
        <v>1.0085472</v>
      </c>
      <c r="AH82" s="5">
        <f t="shared" si="97"/>
        <v>1.0028447999999999</v>
      </c>
      <c r="AI82" s="5">
        <f t="shared" si="97"/>
        <v>0.99869759999999985</v>
      </c>
      <c r="AJ82" s="5">
        <f t="shared" si="97"/>
        <v>0.99826559999999986</v>
      </c>
      <c r="AK82" s="5">
        <f t="shared" si="97"/>
        <v>0.99368639999999997</v>
      </c>
      <c r="AL82" s="5">
        <f t="shared" si="97"/>
        <v>0.99195840000000002</v>
      </c>
      <c r="AM82" s="5">
        <f t="shared" si="97"/>
        <v>0.99005760000000009</v>
      </c>
      <c r="AN82" s="5">
        <f t="shared" si="97"/>
        <v>0.9850464000000001</v>
      </c>
      <c r="AO82" s="5">
        <f t="shared" si="97"/>
        <v>0.98435519999999987</v>
      </c>
      <c r="AP82" s="5">
        <f t="shared" si="97"/>
        <v>0.97787519999999994</v>
      </c>
      <c r="AQ82" s="5">
        <f t="shared" si="97"/>
        <v>0.97277760000000002</v>
      </c>
      <c r="AR82" s="5">
        <f t="shared" si="97"/>
        <v>0.96966719999999995</v>
      </c>
      <c r="AS82" s="5">
        <f t="shared" si="97"/>
        <v>0.96923519999999996</v>
      </c>
      <c r="AT82" s="5">
        <f t="shared" si="97"/>
        <v>0.96249600000000013</v>
      </c>
      <c r="AU82" s="5">
        <f t="shared" si="97"/>
        <v>0.95428800000000003</v>
      </c>
      <c r="AV82" s="5">
        <f t="shared" si="97"/>
        <v>0.94685759999999985</v>
      </c>
      <c r="AW82" s="5">
        <f t="shared" si="97"/>
        <v>0.94305600000000001</v>
      </c>
      <c r="AX82" s="5">
        <f t="shared" si="97"/>
        <v>0.93864960000000008</v>
      </c>
      <c r="AY82" s="5">
        <f t="shared" si="97"/>
        <v>0.93648960000000014</v>
      </c>
      <c r="AZ82" s="5">
        <f t="shared" si="97"/>
        <v>0.93242879999999995</v>
      </c>
      <c r="BA82" s="5">
        <f t="shared" si="97"/>
        <v>0.9284543999999999</v>
      </c>
      <c r="BB82" s="5">
        <f t="shared" si="97"/>
        <v>0.92447999999999997</v>
      </c>
      <c r="BC82" s="5">
        <f t="shared" si="97"/>
        <v>0.91730880000000004</v>
      </c>
      <c r="BD82" s="5">
        <f t="shared" si="97"/>
        <v>0.91272959999999992</v>
      </c>
      <c r="BE82" s="5">
        <f t="shared" si="97"/>
        <v>0.90935999999999984</v>
      </c>
      <c r="BF82" s="5">
        <f t="shared" si="97"/>
        <v>0.90460799999999997</v>
      </c>
      <c r="BG82" s="5">
        <f t="shared" si="97"/>
        <v>0.90167040000000009</v>
      </c>
      <c r="BH82" s="5">
        <f t="shared" si="97"/>
        <v>0.90115200000000006</v>
      </c>
      <c r="BI82" s="5">
        <f t="shared" si="97"/>
        <v>0.87609599999999999</v>
      </c>
      <c r="BJ82" s="5">
        <f t="shared" si="97"/>
        <v>0.89916479999999999</v>
      </c>
      <c r="BK82" s="5">
        <f t="shared" si="97"/>
        <v>0.89881920000000015</v>
      </c>
      <c r="BL82" s="5">
        <f t="shared" si="97"/>
        <v>0.89640000000000009</v>
      </c>
      <c r="BM82" s="5">
        <f t="shared" si="97"/>
        <v>0.89432640000000008</v>
      </c>
      <c r="BN82" s="5">
        <f t="shared" si="97"/>
        <v>0.89251199999999997</v>
      </c>
      <c r="BO82" s="5">
        <f t="shared" ref="BO82:DZ82" si="98">AVERAGE(BO34:BO43)</f>
        <v>0.8923392</v>
      </c>
      <c r="BP82" s="5">
        <f t="shared" si="98"/>
        <v>0.89035200000000003</v>
      </c>
      <c r="BQ82" s="5">
        <f t="shared" si="98"/>
        <v>0.89104320000000004</v>
      </c>
      <c r="BR82" s="5">
        <f t="shared" si="98"/>
        <v>0.89078400000000002</v>
      </c>
      <c r="BS82" s="5">
        <f t="shared" si="98"/>
        <v>0.88542719999999986</v>
      </c>
      <c r="BT82" s="5">
        <f t="shared" si="98"/>
        <v>0.88197119999999996</v>
      </c>
      <c r="BU82" s="5">
        <f t="shared" si="98"/>
        <v>0.879552</v>
      </c>
      <c r="BV82" s="5">
        <f t="shared" si="98"/>
        <v>0.87644160000000004</v>
      </c>
      <c r="BW82" s="5">
        <f t="shared" si="98"/>
        <v>0.87644160000000004</v>
      </c>
      <c r="BX82" s="5">
        <f t="shared" si="98"/>
        <v>0.8767872000000001</v>
      </c>
      <c r="BY82" s="5">
        <f t="shared" si="98"/>
        <v>0.87860159999999998</v>
      </c>
      <c r="BZ82" s="5">
        <f t="shared" si="98"/>
        <v>0.88413120000000001</v>
      </c>
      <c r="CA82" s="5">
        <f t="shared" si="98"/>
        <v>0.89242559999999993</v>
      </c>
      <c r="CB82" s="5">
        <f t="shared" si="98"/>
        <v>0.90391679999999996</v>
      </c>
      <c r="CC82" s="5">
        <f t="shared" si="98"/>
        <v>0.90892800000000007</v>
      </c>
      <c r="CD82" s="5">
        <f t="shared" si="98"/>
        <v>0.90141120000000008</v>
      </c>
      <c r="CE82" s="5">
        <f t="shared" si="98"/>
        <v>0.89112959999999997</v>
      </c>
      <c r="CF82" s="5">
        <f t="shared" si="98"/>
        <v>0.88395840000000003</v>
      </c>
      <c r="CG82" s="5">
        <f t="shared" si="98"/>
        <v>0.88516799999999995</v>
      </c>
      <c r="CH82" s="5">
        <f t="shared" si="98"/>
        <v>0.89251199999999997</v>
      </c>
      <c r="CI82" s="5">
        <f t="shared" si="98"/>
        <v>0.89449919999999994</v>
      </c>
      <c r="CJ82" s="5">
        <f t="shared" si="98"/>
        <v>0.89095679999999999</v>
      </c>
      <c r="CK82" s="5">
        <f t="shared" si="98"/>
        <v>0.88793279999999997</v>
      </c>
      <c r="CL82" s="5">
        <f t="shared" si="98"/>
        <v>0.8868959999999998</v>
      </c>
      <c r="CM82" s="5">
        <f t="shared" si="98"/>
        <v>0.88715519999999992</v>
      </c>
      <c r="CN82" s="5">
        <f t="shared" si="98"/>
        <v>0.891648</v>
      </c>
      <c r="CO82" s="5">
        <f t="shared" si="98"/>
        <v>0.89363519999999996</v>
      </c>
      <c r="CP82" s="5">
        <f t="shared" si="98"/>
        <v>0.89864639999999996</v>
      </c>
      <c r="CQ82" s="5">
        <f t="shared" si="98"/>
        <v>0.90676800000000013</v>
      </c>
      <c r="CR82" s="5">
        <f t="shared" si="98"/>
        <v>0.91549440000000004</v>
      </c>
      <c r="CS82" s="5">
        <f t="shared" si="98"/>
        <v>0.92404799999999998</v>
      </c>
      <c r="CT82" s="5">
        <f t="shared" si="98"/>
        <v>0.92689920000000003</v>
      </c>
      <c r="CU82" s="5">
        <f t="shared" si="98"/>
        <v>0.93787200000000015</v>
      </c>
      <c r="CV82" s="5">
        <f t="shared" si="98"/>
        <v>0.95031360000000009</v>
      </c>
      <c r="CW82" s="5">
        <f t="shared" si="98"/>
        <v>0.96249600000000013</v>
      </c>
      <c r="CX82" s="5">
        <f t="shared" si="98"/>
        <v>0.97631999999999997</v>
      </c>
      <c r="CY82" s="5">
        <f t="shared" si="98"/>
        <v>0.97977599999999998</v>
      </c>
      <c r="CZ82" s="5">
        <f t="shared" si="98"/>
        <v>0.97977599999999998</v>
      </c>
      <c r="DA82" s="5">
        <f t="shared" si="98"/>
        <v>0.978912</v>
      </c>
      <c r="DB82" s="5">
        <f t="shared" si="98"/>
        <v>0.97545599999999999</v>
      </c>
      <c r="DC82" s="5">
        <f t="shared" si="98"/>
        <v>0.99619200000000008</v>
      </c>
      <c r="DD82" s="5">
        <f t="shared" si="98"/>
        <v>1.0229759999999999</v>
      </c>
      <c r="DE82" s="5">
        <f t="shared" si="98"/>
        <v>1.0393919999999999</v>
      </c>
      <c r="DF82" s="5">
        <f t="shared" si="98"/>
        <v>1.0454399999999999</v>
      </c>
      <c r="DG82" s="5">
        <f t="shared" si="98"/>
        <v>1.0506239999999998</v>
      </c>
      <c r="DH82" s="5">
        <f t="shared" si="98"/>
        <v>1.0506240000000002</v>
      </c>
      <c r="DI82" s="5">
        <f t="shared" si="98"/>
        <v>1.0558080000000001</v>
      </c>
      <c r="DJ82" s="5">
        <f t="shared" si="98"/>
        <v>1.0644479999999998</v>
      </c>
      <c r="DK82" s="5">
        <f t="shared" si="98"/>
        <v>1.08</v>
      </c>
      <c r="DL82" s="5">
        <f t="shared" si="98"/>
        <v>1.1007359999999999</v>
      </c>
      <c r="DM82" s="5">
        <f t="shared" si="98"/>
        <v>1.1102399999999999</v>
      </c>
      <c r="DN82" s="5">
        <f t="shared" si="98"/>
        <v>1.1197440000000001</v>
      </c>
      <c r="DO82" s="5">
        <f t="shared" si="98"/>
        <v>1.1283840000000001</v>
      </c>
      <c r="DP82" s="5">
        <f t="shared" si="98"/>
        <v>1.1447999999999998</v>
      </c>
      <c r="DQ82" s="5">
        <f t="shared" si="98"/>
        <v>1.1802240000000002</v>
      </c>
      <c r="DR82" s="5">
        <f t="shared" si="98"/>
        <v>1.2121919999999999</v>
      </c>
      <c r="DS82" s="5">
        <f t="shared" si="98"/>
        <v>1.2294720000000001</v>
      </c>
      <c r="DT82" s="5">
        <f t="shared" si="98"/>
        <v>1.2476160000000001</v>
      </c>
      <c r="DU82" s="5">
        <f t="shared" si="98"/>
        <v>1.2623039999999999</v>
      </c>
      <c r="DV82" s="5">
        <f t="shared" si="98"/>
        <v>1.2795839999999998</v>
      </c>
      <c r="DW82" s="5">
        <f t="shared" si="98"/>
        <v>1.289088</v>
      </c>
      <c r="DX82" s="5">
        <f t="shared" si="98"/>
        <v>1.3011840000000001</v>
      </c>
      <c r="DY82" s="5">
        <f t="shared" si="98"/>
        <v>1.3245119999999999</v>
      </c>
      <c r="DZ82" s="5">
        <f t="shared" si="98"/>
        <v>1.3487040000000003</v>
      </c>
      <c r="EA82" s="5">
        <f t="shared" ref="EA82:GL82" si="99">AVERAGE(EA34:EA43)</f>
        <v>1.3789440000000002</v>
      </c>
      <c r="EB82" s="5">
        <f t="shared" si="99"/>
        <v>1.4005439999999998</v>
      </c>
      <c r="EC82" s="5">
        <f t="shared" si="99"/>
        <v>1.416096</v>
      </c>
      <c r="ED82" s="5">
        <f t="shared" si="99"/>
        <v>1.4368320000000001</v>
      </c>
      <c r="EE82" s="5">
        <f t="shared" si="99"/>
        <v>1.4713919999999998</v>
      </c>
      <c r="EF82" s="5">
        <f t="shared" si="99"/>
        <v>1.512864</v>
      </c>
      <c r="EG82" s="5">
        <f t="shared" si="99"/>
        <v>1.5491519999999999</v>
      </c>
      <c r="EH82" s="5">
        <f t="shared" si="99"/>
        <v>1.6286400000000001</v>
      </c>
      <c r="EI82" s="5">
        <f t="shared" si="99"/>
        <v>1.7495999999999998</v>
      </c>
      <c r="EJ82" s="5">
        <f t="shared" si="99"/>
        <v>1.797984</v>
      </c>
      <c r="EK82" s="5">
        <f t="shared" si="99"/>
        <v>1.8031679999999999</v>
      </c>
      <c r="EL82" s="5">
        <f t="shared" si="99"/>
        <v>1.7763840000000002</v>
      </c>
      <c r="EM82" s="5">
        <f t="shared" si="99"/>
        <v>1.7487359999999998</v>
      </c>
      <c r="EN82" s="5">
        <f t="shared" si="99"/>
        <v>1.7452799999999999</v>
      </c>
      <c r="EO82" s="5">
        <f t="shared" si="99"/>
        <v>1.7737920000000003</v>
      </c>
      <c r="EP82" s="5">
        <f t="shared" si="99"/>
        <v>1.8731520000000004</v>
      </c>
      <c r="EQ82" s="5">
        <f t="shared" si="99"/>
        <v>2.006208</v>
      </c>
      <c r="ER82" s="5">
        <f t="shared" si="99"/>
        <v>2.0640960000000002</v>
      </c>
      <c r="ES82" s="5">
        <f t="shared" si="99"/>
        <v>2.1124799999999997</v>
      </c>
      <c r="ET82" s="5">
        <f t="shared" si="99"/>
        <v>2.1107520000000006</v>
      </c>
      <c r="EU82" s="5">
        <f t="shared" si="99"/>
        <v>2.1841920000000004</v>
      </c>
      <c r="EV82" s="5">
        <f t="shared" si="99"/>
        <v>2.2204800000000002</v>
      </c>
      <c r="EW82" s="5">
        <f t="shared" si="99"/>
        <v>2.2973759999999999</v>
      </c>
      <c r="EX82" s="5">
        <f t="shared" si="99"/>
        <v>2.3371200000000001</v>
      </c>
      <c r="EY82" s="5">
        <f t="shared" si="99"/>
        <v>2.3544</v>
      </c>
      <c r="EZ82" s="5">
        <f t="shared" si="99"/>
        <v>2.3760000000000003</v>
      </c>
      <c r="FA82" s="5">
        <f t="shared" si="99"/>
        <v>2.4105599999999998</v>
      </c>
      <c r="FB82" s="5">
        <f t="shared" si="99"/>
        <v>2.5047359999999999</v>
      </c>
      <c r="FC82" s="5">
        <f t="shared" si="99"/>
        <v>2.5012799999999999</v>
      </c>
      <c r="FD82" s="5">
        <f t="shared" si="99"/>
        <v>2.4649920000000001</v>
      </c>
      <c r="FE82" s="5">
        <f t="shared" si="99"/>
        <v>2.4615360000000002</v>
      </c>
      <c r="FF82" s="5">
        <f t="shared" si="99"/>
        <v>2.5591680000000006</v>
      </c>
      <c r="FG82" s="5">
        <f t="shared" si="99"/>
        <v>2.7622079999999998</v>
      </c>
      <c r="FH82" s="5">
        <f t="shared" si="99"/>
        <v>2.9004479999999999</v>
      </c>
      <c r="FI82" s="5">
        <f t="shared" si="99"/>
        <v>3.0300479999999999</v>
      </c>
      <c r="FJ82" s="5">
        <f t="shared" si="99"/>
        <v>3.0352319999999997</v>
      </c>
      <c r="FK82" s="5">
        <f t="shared" si="99"/>
        <v>2.9704319999999997</v>
      </c>
      <c r="FL82" s="5">
        <f t="shared" si="99"/>
        <v>2.9842559999999998</v>
      </c>
      <c r="FM82" s="5">
        <f t="shared" si="99"/>
        <v>3.0697919999999996</v>
      </c>
      <c r="FN82" s="5">
        <f t="shared" si="99"/>
        <v>2.9972159999999999</v>
      </c>
      <c r="FO82" s="5">
        <f t="shared" si="99"/>
        <v>3.1086719999999994</v>
      </c>
      <c r="FP82" s="5">
        <f t="shared" si="99"/>
        <v>3.4318080000000002</v>
      </c>
      <c r="FQ82" s="5">
        <f t="shared" si="99"/>
        <v>3.8257920000000007</v>
      </c>
      <c r="FR82" s="5">
        <f t="shared" si="99"/>
        <v>4.1705279999999991</v>
      </c>
      <c r="FS82" s="5">
        <f t="shared" si="99"/>
        <v>4.520448</v>
      </c>
      <c r="FT82" s="5">
        <f t="shared" si="99"/>
        <v>4.6103039999999993</v>
      </c>
      <c r="FU82" s="5">
        <f t="shared" si="99"/>
        <v>4.5990719999999996</v>
      </c>
      <c r="FV82" s="5">
        <f t="shared" si="99"/>
        <v>4.7226240000000006</v>
      </c>
      <c r="FW82" s="5">
        <f t="shared" si="99"/>
        <v>5.1451200000000004</v>
      </c>
      <c r="FX82" s="5">
        <f t="shared" si="99"/>
        <v>5.5149119999999998</v>
      </c>
      <c r="FY82" s="5">
        <f t="shared" si="99"/>
        <v>5.9944320000000006</v>
      </c>
      <c r="FZ82" s="5">
        <f t="shared" si="99"/>
        <v>6.0082560000000012</v>
      </c>
      <c r="GA82" s="5">
        <f t="shared" si="99"/>
        <v>6.1300799999999995</v>
      </c>
      <c r="GB82" s="5">
        <f t="shared" si="99"/>
        <v>6.2925119999999994</v>
      </c>
      <c r="GC82" s="5">
        <f t="shared" si="99"/>
        <v>6.335712</v>
      </c>
      <c r="GD82" s="5">
        <f t="shared" si="99"/>
        <v>6.4419840000000006</v>
      </c>
      <c r="GE82" s="5">
        <f t="shared" si="99"/>
        <v>6.3452159999999997</v>
      </c>
      <c r="GF82" s="5">
        <f t="shared" si="99"/>
        <v>6.1948800000000004</v>
      </c>
      <c r="GG82" s="5">
        <f t="shared" si="99"/>
        <v>6.5361600000000006</v>
      </c>
      <c r="GH82" s="5">
        <f t="shared" si="99"/>
        <v>6.9042239999999993</v>
      </c>
      <c r="GI82" s="5">
        <f t="shared" si="99"/>
        <v>6.9863040000000014</v>
      </c>
      <c r="GJ82" s="5">
        <f t="shared" si="99"/>
        <v>6.9137280000000008</v>
      </c>
      <c r="GK82" s="5">
        <f t="shared" si="99"/>
        <v>7.2575999999999992</v>
      </c>
      <c r="GL82" s="5">
        <f t="shared" si="99"/>
        <v>7.1884800000000011</v>
      </c>
      <c r="GM82" s="5">
        <f t="shared" ref="GM82:IX82" si="100">AVERAGE(GM34:GM43)</f>
        <v>7.0390079999999999</v>
      </c>
      <c r="GN82" s="5">
        <f t="shared" si="100"/>
        <v>6.9672960000000002</v>
      </c>
      <c r="GO82" s="5">
        <f t="shared" si="100"/>
        <v>6.9655680000000002</v>
      </c>
      <c r="GP82" s="5">
        <f t="shared" si="100"/>
        <v>7.1357759999999999</v>
      </c>
      <c r="GQ82" s="5">
        <f t="shared" si="100"/>
        <v>7.4355840000000004</v>
      </c>
      <c r="GR82" s="5">
        <f t="shared" si="100"/>
        <v>7.6230719999999987</v>
      </c>
      <c r="GS82" s="5">
        <f t="shared" si="100"/>
        <v>7.7250240000000003</v>
      </c>
      <c r="GT82" s="5">
        <f t="shared" si="100"/>
        <v>8.0274239999999999</v>
      </c>
      <c r="GU82" s="5">
        <f t="shared" si="100"/>
        <v>7.9470720000000004</v>
      </c>
      <c r="GV82" s="5">
        <f t="shared" si="100"/>
        <v>7.9176959999999994</v>
      </c>
      <c r="GW82" s="5">
        <f t="shared" si="100"/>
        <v>8.1164159999999992</v>
      </c>
      <c r="GX82" s="5">
        <f t="shared" si="100"/>
        <v>8.2105920000000001</v>
      </c>
      <c r="GY82" s="5">
        <f t="shared" si="100"/>
        <v>8.3073599999999992</v>
      </c>
      <c r="GZ82" s="5">
        <f t="shared" si="100"/>
        <v>8.2987199999999994</v>
      </c>
      <c r="HA82" s="5">
        <f t="shared" si="100"/>
        <v>8.2252799999999979</v>
      </c>
      <c r="HB82" s="5">
        <f t="shared" si="100"/>
        <v>8.2313279999999995</v>
      </c>
      <c r="HC82" s="5">
        <f t="shared" si="100"/>
        <v>8.0887679999999982</v>
      </c>
      <c r="HD82" s="5">
        <f t="shared" si="100"/>
        <v>7.8304320000000018</v>
      </c>
      <c r="HE82" s="5">
        <f t="shared" si="100"/>
        <v>7.7621760000000011</v>
      </c>
      <c r="HF82" s="5">
        <f t="shared" si="100"/>
        <v>7.7906880000000003</v>
      </c>
      <c r="HG82" s="5">
        <f t="shared" si="100"/>
        <v>7.7310719999999993</v>
      </c>
      <c r="HH82" s="5">
        <f t="shared" si="100"/>
        <v>7.4623679999999997</v>
      </c>
      <c r="HI82" s="5">
        <f t="shared" si="100"/>
        <v>7.2861120000000001</v>
      </c>
      <c r="HJ82" s="5">
        <f t="shared" si="100"/>
        <v>6.9603840000000003</v>
      </c>
      <c r="HK82" s="5">
        <f t="shared" si="100"/>
        <v>6.5750399999999996</v>
      </c>
      <c r="HL82" s="5">
        <f t="shared" si="100"/>
        <v>6.2346239999999984</v>
      </c>
      <c r="HM82" s="5">
        <f t="shared" si="100"/>
        <v>5.984064</v>
      </c>
      <c r="HN82" s="5">
        <f t="shared" si="100"/>
        <v>5.920992</v>
      </c>
      <c r="HO82" s="5">
        <f t="shared" si="100"/>
        <v>5.7697919999999998</v>
      </c>
      <c r="HP82" s="5">
        <f t="shared" si="100"/>
        <v>5.6263680000000003</v>
      </c>
      <c r="HQ82" s="5">
        <f t="shared" si="100"/>
        <v>5.509728</v>
      </c>
      <c r="HR82" s="5">
        <f t="shared" si="100"/>
        <v>5.4492479999999999</v>
      </c>
      <c r="HS82" s="5">
        <f t="shared" si="100"/>
        <v>5.4889920000000005</v>
      </c>
      <c r="HT82" s="5">
        <f t="shared" si="100"/>
        <v>5.5002239999999993</v>
      </c>
      <c r="HU82" s="5">
        <f t="shared" si="100"/>
        <v>5.4259199999999996</v>
      </c>
      <c r="HV82" s="5">
        <f t="shared" si="100"/>
        <v>5.4069120000000002</v>
      </c>
      <c r="HW82" s="5">
        <f t="shared" si="100"/>
        <v>5.3904960000000006</v>
      </c>
      <c r="HX82" s="5">
        <f t="shared" si="100"/>
        <v>5.505408000000001</v>
      </c>
      <c r="HY82" s="5">
        <f t="shared" si="100"/>
        <v>5.5166400000000007</v>
      </c>
      <c r="HZ82" s="5">
        <f t="shared" si="100"/>
        <v>5.7974399999999999</v>
      </c>
      <c r="IA82" s="5">
        <f t="shared" si="100"/>
        <v>6.2026559999999993</v>
      </c>
      <c r="IB82" s="5">
        <f t="shared" si="100"/>
        <v>6.4670399999999999</v>
      </c>
      <c r="IC82" s="5">
        <f t="shared" si="100"/>
        <v>6.7590720000000006</v>
      </c>
      <c r="ID82" s="5">
        <f t="shared" si="100"/>
        <v>6.813504</v>
      </c>
      <c r="IE82" s="5">
        <f t="shared" si="100"/>
        <v>6.9906239999999995</v>
      </c>
      <c r="IF82" s="5">
        <f t="shared" si="100"/>
        <v>7.2187199999999994</v>
      </c>
      <c r="IG82" s="5">
        <f t="shared" si="100"/>
        <v>7.2342719999999998</v>
      </c>
      <c r="IH82" s="5">
        <f t="shared" si="100"/>
        <v>7.2973439999999998</v>
      </c>
      <c r="II82" s="5">
        <f t="shared" si="100"/>
        <v>7.5219840000000007</v>
      </c>
      <c r="IJ82" s="5">
        <f t="shared" si="100"/>
        <v>7.5548160000000006</v>
      </c>
      <c r="IK82" s="5">
        <f t="shared" si="100"/>
        <v>7.517663999999999</v>
      </c>
      <c r="IL82" s="5">
        <f t="shared" si="100"/>
        <v>7.5997439999999994</v>
      </c>
      <c r="IM82" s="5">
        <f t="shared" si="100"/>
        <v>7.9937279999999999</v>
      </c>
      <c r="IN82" s="5">
        <f t="shared" si="100"/>
        <v>7.8468479999999996</v>
      </c>
      <c r="IO82" s="5">
        <f t="shared" si="100"/>
        <v>7.8442559999999997</v>
      </c>
      <c r="IP82" s="5">
        <f t="shared" si="100"/>
        <v>8.095679999999998</v>
      </c>
      <c r="IQ82" s="5">
        <f t="shared" si="100"/>
        <v>8.0516159999999992</v>
      </c>
      <c r="IR82" s="5">
        <f t="shared" si="100"/>
        <v>7.7034240000000009</v>
      </c>
      <c r="IS82" s="5">
        <f t="shared" si="100"/>
        <v>7.516799999999999</v>
      </c>
      <c r="IT82" s="5">
        <f t="shared" si="100"/>
        <v>7.5288959999999987</v>
      </c>
      <c r="IU82" s="5">
        <f t="shared" si="100"/>
        <v>7.5047039999999994</v>
      </c>
      <c r="IV82" s="5">
        <f t="shared" si="100"/>
        <v>7.3673280000000005</v>
      </c>
      <c r="IW82" s="5">
        <f t="shared" si="100"/>
        <v>7.3439999999999994</v>
      </c>
      <c r="IX82" s="5">
        <f t="shared" si="100"/>
        <v>7.3535039999999992</v>
      </c>
      <c r="IY82" s="5">
        <f t="shared" ref="IY82:LJ82" si="101">AVERAGE(IY34:IY43)</f>
        <v>7.4649600000000005</v>
      </c>
      <c r="IZ82" s="5">
        <f t="shared" si="101"/>
        <v>7.7483519999999997</v>
      </c>
      <c r="JA82" s="5">
        <f t="shared" si="101"/>
        <v>7.8217919999999994</v>
      </c>
      <c r="JB82" s="5">
        <f t="shared" si="101"/>
        <v>7.9021439999999998</v>
      </c>
      <c r="JC82" s="5">
        <f t="shared" si="101"/>
        <v>8.4032639999999983</v>
      </c>
      <c r="JD82" s="5">
        <f t="shared" si="101"/>
        <v>9.043488</v>
      </c>
      <c r="JE82" s="5">
        <f t="shared" si="101"/>
        <v>9.0400320000000001</v>
      </c>
      <c r="JF82" s="5">
        <f t="shared" si="101"/>
        <v>8.9112960000000001</v>
      </c>
      <c r="JG82" s="5">
        <f t="shared" si="101"/>
        <v>8.6054399999999998</v>
      </c>
      <c r="JH82" s="5">
        <f t="shared" si="101"/>
        <v>8.0801279999999984</v>
      </c>
      <c r="JI82" s="5">
        <f t="shared" si="101"/>
        <v>7.7604480000000011</v>
      </c>
      <c r="JJ82" s="5">
        <f t="shared" si="101"/>
        <v>7.3863360000000018</v>
      </c>
      <c r="JK82" s="5">
        <f t="shared" si="101"/>
        <v>7.0286400000000002</v>
      </c>
      <c r="JL82" s="5">
        <f t="shared" si="101"/>
        <v>6.8757119999999983</v>
      </c>
      <c r="JM82" s="5">
        <f t="shared" si="101"/>
        <v>6.878304</v>
      </c>
      <c r="JN82" s="5">
        <f t="shared" si="101"/>
        <v>6.8765759999999982</v>
      </c>
      <c r="JO82" s="5">
        <f t="shared" si="101"/>
        <v>6.7754880000000002</v>
      </c>
      <c r="JP82" s="5">
        <f t="shared" si="101"/>
        <v>6.7055040000000004</v>
      </c>
      <c r="JQ82" s="5">
        <f t="shared" si="101"/>
        <v>6.6908159999999999</v>
      </c>
      <c r="JR82" s="5">
        <f t="shared" si="101"/>
        <v>6.684768</v>
      </c>
      <c r="JS82" s="5">
        <f t="shared" si="101"/>
        <v>6.6752640000000003</v>
      </c>
      <c r="JT82" s="5">
        <f t="shared" si="101"/>
        <v>6.6191040000000001</v>
      </c>
      <c r="JU82" s="5">
        <f t="shared" si="101"/>
        <v>6.5646719999999998</v>
      </c>
      <c r="JV82" s="5">
        <f t="shared" si="101"/>
        <v>6.4238400000000002</v>
      </c>
      <c r="JW82" s="5">
        <f t="shared" si="101"/>
        <v>6.3892799999999994</v>
      </c>
      <c r="JX82" s="5">
        <f t="shared" si="101"/>
        <v>6.4558079999999993</v>
      </c>
      <c r="JY82" s="5">
        <f t="shared" si="101"/>
        <v>6.5266560000000009</v>
      </c>
      <c r="JZ82" s="5">
        <f t="shared" si="101"/>
        <v>6.4679039999999999</v>
      </c>
      <c r="KA82" s="5">
        <f t="shared" si="101"/>
        <v>6.2303040000000003</v>
      </c>
      <c r="KB82" s="5">
        <f t="shared" si="101"/>
        <v>5.8648320000000007</v>
      </c>
      <c r="KC82" s="5">
        <f t="shared" si="101"/>
        <v>5.5218240000000005</v>
      </c>
      <c r="KD82" s="5">
        <f t="shared" si="101"/>
        <v>5.2332479999999997</v>
      </c>
      <c r="KE82" s="5">
        <f t="shared" si="101"/>
        <v>5.0276160000000001</v>
      </c>
      <c r="KF82" s="5">
        <f t="shared" si="101"/>
        <v>5.0094720000000006</v>
      </c>
      <c r="KG82" s="5">
        <f t="shared" si="101"/>
        <v>5.0690879999999998</v>
      </c>
      <c r="KH82" s="5">
        <f t="shared" si="101"/>
        <v>5.0276159999999992</v>
      </c>
      <c r="KI82" s="5">
        <f t="shared" si="101"/>
        <v>5.0232959999999993</v>
      </c>
      <c r="KJ82" s="5">
        <f t="shared" si="101"/>
        <v>4.9325759999999992</v>
      </c>
      <c r="KK82" s="5">
        <f t="shared" si="101"/>
        <v>4.745088</v>
      </c>
      <c r="KL82" s="5">
        <f t="shared" si="101"/>
        <v>4.5403199999999995</v>
      </c>
      <c r="KM82" s="5">
        <f t="shared" si="101"/>
        <v>4.3355519999999999</v>
      </c>
      <c r="KN82" s="5">
        <f t="shared" si="101"/>
        <v>4.1636160000000002</v>
      </c>
      <c r="KO82" s="5">
        <f t="shared" si="101"/>
        <v>4.01328</v>
      </c>
      <c r="KP82" s="5">
        <f t="shared" si="101"/>
        <v>3.8603520000000002</v>
      </c>
      <c r="KQ82" s="5">
        <f t="shared" si="101"/>
        <v>3.7160639999999994</v>
      </c>
      <c r="KR82" s="5">
        <f t="shared" si="101"/>
        <v>3.5916480000000002</v>
      </c>
      <c r="KS82" s="5">
        <f t="shared" si="101"/>
        <v>3.487968</v>
      </c>
      <c r="KT82" s="5">
        <f t="shared" si="101"/>
        <v>3.3842879999999993</v>
      </c>
      <c r="KU82" s="5">
        <f t="shared" si="101"/>
        <v>3.2918400000000005</v>
      </c>
      <c r="KV82" s="5">
        <f t="shared" si="101"/>
        <v>3.1985280000000005</v>
      </c>
      <c r="KW82" s="5">
        <f t="shared" si="101"/>
        <v>3.1155839999999997</v>
      </c>
      <c r="KX82" s="5">
        <f t="shared" si="101"/>
        <v>3.0360960000000001</v>
      </c>
      <c r="KY82" s="5">
        <f t="shared" si="101"/>
        <v>2.960928</v>
      </c>
      <c r="KZ82" s="5">
        <f t="shared" si="101"/>
        <v>2.8944000000000001</v>
      </c>
      <c r="LA82" s="5">
        <f t="shared" si="101"/>
        <v>2.8304640000000001</v>
      </c>
      <c r="LB82" s="5">
        <f t="shared" si="101"/>
        <v>2.7673920000000001</v>
      </c>
      <c r="LC82" s="5">
        <f t="shared" si="101"/>
        <v>2.7043200000000001</v>
      </c>
      <c r="LD82" s="5">
        <f t="shared" si="101"/>
        <v>2.6567999999999996</v>
      </c>
      <c r="LE82" s="5">
        <f t="shared" si="101"/>
        <v>2.6231040000000001</v>
      </c>
      <c r="LF82" s="5">
        <f t="shared" si="101"/>
        <v>2.5919999999999996</v>
      </c>
      <c r="LG82" s="5">
        <f t="shared" si="101"/>
        <v>2.5323840000000004</v>
      </c>
      <c r="LH82" s="5">
        <f t="shared" si="101"/>
        <v>2.4701759999999999</v>
      </c>
      <c r="LI82" s="5">
        <f t="shared" si="101"/>
        <v>2.4166079999999996</v>
      </c>
      <c r="LJ82" s="5">
        <f t="shared" si="101"/>
        <v>2.3742719999999999</v>
      </c>
      <c r="LK82" s="5">
        <f t="shared" ref="LK82:NU82" si="102">AVERAGE(LK34:LK43)</f>
        <v>2.3397120000000005</v>
      </c>
      <c r="LL82" s="5">
        <f t="shared" si="102"/>
        <v>2.2991039999999998</v>
      </c>
      <c r="LM82" s="5">
        <f t="shared" si="102"/>
        <v>2.2559040000000001</v>
      </c>
      <c r="LN82" s="5">
        <f t="shared" si="102"/>
        <v>2.2144319999999995</v>
      </c>
      <c r="LO82" s="5">
        <f t="shared" si="102"/>
        <v>2.179872</v>
      </c>
      <c r="LP82" s="5">
        <f t="shared" si="102"/>
        <v>2.1409919999999998</v>
      </c>
      <c r="LQ82" s="5">
        <f t="shared" si="102"/>
        <v>2.0995200000000001</v>
      </c>
      <c r="LR82" s="5">
        <f t="shared" si="102"/>
        <v>2.0606400000000002</v>
      </c>
      <c r="LS82" s="5">
        <f t="shared" si="102"/>
        <v>2.0321280000000002</v>
      </c>
      <c r="LT82" s="5">
        <f t="shared" si="102"/>
        <v>2.0010240000000001</v>
      </c>
      <c r="LU82" s="5">
        <f t="shared" si="102"/>
        <v>1.9699200000000001</v>
      </c>
      <c r="LV82" s="5">
        <f t="shared" si="102"/>
        <v>1.932768</v>
      </c>
      <c r="LW82" s="5">
        <f t="shared" si="102"/>
        <v>1.9059839999999997</v>
      </c>
      <c r="LX82" s="5">
        <f t="shared" si="102"/>
        <v>1.8783360000000002</v>
      </c>
      <c r="LY82" s="5">
        <f t="shared" si="102"/>
        <v>1.8498240000000004</v>
      </c>
      <c r="LZ82" s="5">
        <f t="shared" si="102"/>
        <v>1.821312</v>
      </c>
      <c r="MA82" s="5">
        <f t="shared" si="102"/>
        <v>1.7953920000000001</v>
      </c>
      <c r="MB82" s="5">
        <f t="shared" si="102"/>
        <v>1.7755199999999998</v>
      </c>
      <c r="MC82" s="5">
        <f t="shared" si="102"/>
        <v>1.7470079999999999</v>
      </c>
      <c r="MD82" s="5">
        <f t="shared" si="102"/>
        <v>1.7133120000000002</v>
      </c>
      <c r="ME82" s="5">
        <f t="shared" si="102"/>
        <v>1.6813439999999999</v>
      </c>
      <c r="MF82" s="5">
        <f t="shared" si="102"/>
        <v>1.655424</v>
      </c>
      <c r="MG82" s="5">
        <f t="shared" si="102"/>
        <v>1.6286400000000001</v>
      </c>
      <c r="MH82" s="5">
        <f t="shared" si="102"/>
        <v>1.6053120000000001</v>
      </c>
      <c r="MI82" s="5">
        <f t="shared" si="102"/>
        <v>1.5802559999999999</v>
      </c>
      <c r="MJ82" s="5">
        <f t="shared" si="102"/>
        <v>1.5621119999999997</v>
      </c>
      <c r="MK82" s="5">
        <f t="shared" si="102"/>
        <v>1.543968</v>
      </c>
      <c r="ML82" s="5">
        <f t="shared" si="102"/>
        <v>1.5301440000000002</v>
      </c>
      <c r="MM82" s="5">
        <f t="shared" si="102"/>
        <v>1.5154560000000001</v>
      </c>
      <c r="MN82" s="5">
        <f t="shared" si="102"/>
        <v>1.5042240000000002</v>
      </c>
      <c r="MO82" s="5">
        <f t="shared" si="102"/>
        <v>1.4904000000000002</v>
      </c>
      <c r="MP82" s="5">
        <f t="shared" si="102"/>
        <v>1.4748480000000002</v>
      </c>
      <c r="MQ82" s="5">
        <f t="shared" si="102"/>
        <v>1.4592959999999999</v>
      </c>
      <c r="MR82" s="5">
        <f t="shared" si="102"/>
        <v>1.4428799999999999</v>
      </c>
      <c r="MS82" s="5">
        <f t="shared" si="102"/>
        <v>1.426464</v>
      </c>
      <c r="MT82" s="5">
        <f t="shared" si="102"/>
        <v>1.415232</v>
      </c>
      <c r="MU82" s="5">
        <f t="shared" si="102"/>
        <v>1.3988160000000001</v>
      </c>
      <c r="MV82" s="5">
        <f t="shared" si="102"/>
        <v>1.384128</v>
      </c>
      <c r="MW82" s="5">
        <f t="shared" si="102"/>
        <v>1.3694399999999998</v>
      </c>
      <c r="MX82" s="5">
        <f t="shared" si="102"/>
        <v>1.3487040000000001</v>
      </c>
      <c r="MY82" s="5">
        <f t="shared" si="102"/>
        <v>1.33056</v>
      </c>
      <c r="MZ82" s="5">
        <f t="shared" si="102"/>
        <v>1.3193280000000003</v>
      </c>
      <c r="NA82" s="5">
        <f t="shared" si="102"/>
        <v>1.314144</v>
      </c>
      <c r="NB82" s="5">
        <f t="shared" si="102"/>
        <v>1.305504</v>
      </c>
      <c r="NC82" s="5">
        <f t="shared" si="102"/>
        <v>1.1836800000000001</v>
      </c>
      <c r="ND82" s="5">
        <f t="shared" si="102"/>
        <v>35.060255999999995</v>
      </c>
      <c r="NE82" s="5">
        <f t="shared" si="102"/>
        <v>26.938137599999997</v>
      </c>
      <c r="NF82" s="5">
        <f t="shared" si="102"/>
        <v>27.571449600000001</v>
      </c>
      <c r="NG82" s="5">
        <f t="shared" si="102"/>
        <v>30.611519999999995</v>
      </c>
      <c r="NH82" s="5">
        <f t="shared" si="102"/>
        <v>51.291359999999997</v>
      </c>
      <c r="NI82" s="5">
        <f t="shared" si="102"/>
        <v>107.49024</v>
      </c>
      <c r="NJ82" s="5">
        <f t="shared" si="102"/>
        <v>229.02998400000007</v>
      </c>
      <c r="NK82" s="5">
        <f t="shared" si="102"/>
        <v>197.98732799999999</v>
      </c>
      <c r="NL82" s="5">
        <f t="shared" si="102"/>
        <v>232.37280000000001</v>
      </c>
      <c r="NM82" s="5">
        <f t="shared" si="102"/>
        <v>165.01622400000002</v>
      </c>
      <c r="NN82" s="5">
        <f t="shared" si="102"/>
        <v>73.768319999999989</v>
      </c>
      <c r="NO82" s="5">
        <f t="shared" si="102"/>
        <v>47.300544000000002</v>
      </c>
      <c r="NP82" s="5">
        <f t="shared" si="102"/>
        <v>1224.4381632</v>
      </c>
      <c r="NQ82" s="5">
        <f t="shared" si="102"/>
        <v>12.251519999999999</v>
      </c>
      <c r="NR82" s="5">
        <f t="shared" si="102"/>
        <v>42599.199999999997</v>
      </c>
      <c r="NS82" s="5">
        <f t="shared" si="102"/>
        <v>0.8512128000000001</v>
      </c>
      <c r="NT82" s="5">
        <f t="shared" si="102"/>
        <v>42448.7</v>
      </c>
      <c r="NU82" s="5">
        <f t="shared" si="102"/>
        <v>3881.233008458717</v>
      </c>
      <c r="NV82" s="5"/>
      <c r="NW82" s="5">
        <f t="shared" ref="NW82:OE82" si="103">AVERAGE(NW34:NW43)</f>
        <v>983.18793600000004</v>
      </c>
      <c r="NX82" s="5">
        <f t="shared" si="103"/>
        <v>80.177531557364958</v>
      </c>
      <c r="NY82" s="5">
        <f t="shared" si="103"/>
        <v>766.8803519999999</v>
      </c>
      <c r="NZ82" s="5">
        <f t="shared" si="103"/>
        <v>62.645720759135386</v>
      </c>
      <c r="OA82" s="5">
        <f t="shared" si="103"/>
        <v>241.25022719999998</v>
      </c>
      <c r="OB82" s="5">
        <f t="shared" si="103"/>
        <v>19.822468442635046</v>
      </c>
      <c r="OC82" s="5">
        <f t="shared" si="103"/>
        <v>263.22537600000004</v>
      </c>
      <c r="OD82" s="5">
        <f t="shared" si="103"/>
        <v>21.698101918118759</v>
      </c>
      <c r="OE82" s="5">
        <f t="shared" si="103"/>
        <v>286.08368299065421</v>
      </c>
      <c r="OF82" s="5">
        <f t="shared" ref="OF82" si="104">AVERAGE(OF34:OF43)</f>
        <v>9.0716540775828953</v>
      </c>
    </row>
    <row r="83" spans="1:396" customFormat="1" x14ac:dyDescent="0.15">
      <c r="A83" s="9" t="s">
        <v>45</v>
      </c>
      <c r="B83" s="5">
        <f>AVERAGE(B44:B53)</f>
        <v>1.3323743999999995</v>
      </c>
      <c r="C83" s="5">
        <f t="shared" ref="C83:BN83" si="105">AVERAGE(C44:C53)</f>
        <v>1.3587263999999999</v>
      </c>
      <c r="D83" s="5">
        <f t="shared" si="105"/>
        <v>1.3504319999999999</v>
      </c>
      <c r="E83" s="5">
        <f t="shared" si="105"/>
        <v>1.3469760000000002</v>
      </c>
      <c r="F83" s="5">
        <f t="shared" si="105"/>
        <v>1.2942720000000001</v>
      </c>
      <c r="G83" s="5">
        <f t="shared" si="105"/>
        <v>1.2795840000000001</v>
      </c>
      <c r="H83" s="5">
        <f t="shared" si="105"/>
        <v>1.2621312</v>
      </c>
      <c r="I83" s="5">
        <f t="shared" si="105"/>
        <v>1.2417408000000001</v>
      </c>
      <c r="J83" s="5">
        <f t="shared" si="105"/>
        <v>1.2235104000000001</v>
      </c>
      <c r="K83" s="5">
        <f t="shared" si="105"/>
        <v>1.2054527999999998</v>
      </c>
      <c r="L83" s="5">
        <f t="shared" si="105"/>
        <v>1.195776</v>
      </c>
      <c r="M83" s="5">
        <f t="shared" si="105"/>
        <v>1.2063168000000002</v>
      </c>
      <c r="N83" s="5">
        <f t="shared" si="105"/>
        <v>1.2043295999999999</v>
      </c>
      <c r="O83" s="5">
        <f t="shared" si="105"/>
        <v>1.2057983999999999</v>
      </c>
      <c r="P83" s="5">
        <f t="shared" si="105"/>
        <v>1.2036384</v>
      </c>
      <c r="Q83" s="5">
        <f t="shared" si="105"/>
        <v>1.2819167999999999</v>
      </c>
      <c r="R83" s="5">
        <f t="shared" si="105"/>
        <v>1.2811392000000001</v>
      </c>
      <c r="S83" s="5">
        <f t="shared" si="105"/>
        <v>1.2710303999999999</v>
      </c>
      <c r="T83" s="5">
        <f t="shared" si="105"/>
        <v>1.2775104000000002</v>
      </c>
      <c r="U83" s="5">
        <f t="shared" si="105"/>
        <v>1.2549600000000001</v>
      </c>
      <c r="V83" s="5">
        <f t="shared" si="105"/>
        <v>1.2458880000000001</v>
      </c>
      <c r="W83" s="5">
        <f t="shared" si="105"/>
        <v>1.2328416</v>
      </c>
      <c r="X83" s="5">
        <f t="shared" si="105"/>
        <v>1.2141792</v>
      </c>
      <c r="Y83" s="5">
        <f t="shared" si="105"/>
        <v>1.19232</v>
      </c>
      <c r="Z83" s="5">
        <f t="shared" si="105"/>
        <v>1.1591423999999999</v>
      </c>
      <c r="AA83" s="5">
        <f t="shared" si="105"/>
        <v>1.1539584000000001</v>
      </c>
      <c r="AB83" s="5">
        <f t="shared" si="105"/>
        <v>1.1637216000000001</v>
      </c>
      <c r="AC83" s="5">
        <f t="shared" si="105"/>
        <v>1.1568960000000001</v>
      </c>
      <c r="AD83" s="5">
        <f t="shared" si="105"/>
        <v>1.1448864000000001</v>
      </c>
      <c r="AE83" s="5">
        <f t="shared" si="105"/>
        <v>1.1353823999999999</v>
      </c>
      <c r="AF83" s="5">
        <f t="shared" si="105"/>
        <v>1.1277792000000002</v>
      </c>
      <c r="AG83" s="5">
        <f t="shared" si="105"/>
        <v>1.1245824</v>
      </c>
      <c r="AH83" s="5">
        <f t="shared" si="105"/>
        <v>1.1058336</v>
      </c>
      <c r="AI83" s="5">
        <f t="shared" si="105"/>
        <v>1.1053151999999999</v>
      </c>
      <c r="AJ83" s="5">
        <f t="shared" si="105"/>
        <v>1.1158560000000002</v>
      </c>
      <c r="AK83" s="5">
        <f t="shared" si="105"/>
        <v>1.1049696</v>
      </c>
      <c r="AL83" s="5">
        <f t="shared" si="105"/>
        <v>1.0974528000000003</v>
      </c>
      <c r="AM83" s="5">
        <f t="shared" si="105"/>
        <v>1.0838016000000001</v>
      </c>
      <c r="AN83" s="5">
        <f t="shared" si="105"/>
        <v>1.068336</v>
      </c>
      <c r="AO83" s="5">
        <f t="shared" si="105"/>
        <v>1.0651391999999997</v>
      </c>
      <c r="AP83" s="5">
        <f t="shared" si="105"/>
        <v>1.067904</v>
      </c>
      <c r="AQ83" s="5">
        <f t="shared" si="105"/>
        <v>1.0666943999999998</v>
      </c>
      <c r="AR83" s="5">
        <f t="shared" si="105"/>
        <v>1.106784</v>
      </c>
      <c r="AS83" s="5">
        <f t="shared" si="105"/>
        <v>1.0999583999999998</v>
      </c>
      <c r="AT83" s="5">
        <f t="shared" si="105"/>
        <v>1.0917504</v>
      </c>
      <c r="AU83" s="5">
        <f t="shared" si="105"/>
        <v>1.0805184000000001</v>
      </c>
      <c r="AV83" s="5">
        <f t="shared" si="105"/>
        <v>1.0725696</v>
      </c>
      <c r="AW83" s="5">
        <f t="shared" si="105"/>
        <v>1.0677311999999999</v>
      </c>
      <c r="AX83" s="5">
        <f t="shared" si="105"/>
        <v>1.0644480000000001</v>
      </c>
      <c r="AY83" s="5">
        <f t="shared" si="105"/>
        <v>1.0718784000000001</v>
      </c>
      <c r="AZ83" s="5">
        <f t="shared" si="105"/>
        <v>1.0697184</v>
      </c>
      <c r="BA83" s="5">
        <f t="shared" si="105"/>
        <v>1.073952</v>
      </c>
      <c r="BB83" s="5">
        <f t="shared" si="105"/>
        <v>1.0704959999999999</v>
      </c>
      <c r="BC83" s="5">
        <f t="shared" si="105"/>
        <v>1.0694592000000001</v>
      </c>
      <c r="BD83" s="5">
        <f t="shared" si="105"/>
        <v>1.0732608000000001</v>
      </c>
      <c r="BE83" s="5">
        <f t="shared" si="105"/>
        <v>1.0654847999999999</v>
      </c>
      <c r="BF83" s="5">
        <f t="shared" si="105"/>
        <v>1.0610784</v>
      </c>
      <c r="BG83" s="5">
        <f t="shared" si="105"/>
        <v>1.012608</v>
      </c>
      <c r="BH83" s="5">
        <f t="shared" si="105"/>
        <v>1.0027584</v>
      </c>
      <c r="BI83" s="5">
        <f t="shared" si="105"/>
        <v>1.1375999999999999</v>
      </c>
      <c r="BJ83" s="5">
        <f t="shared" si="105"/>
        <v>0.99740159999999989</v>
      </c>
      <c r="BK83" s="5">
        <f t="shared" si="105"/>
        <v>0.99403200000000014</v>
      </c>
      <c r="BL83" s="5">
        <f t="shared" si="105"/>
        <v>0.98807040000000002</v>
      </c>
      <c r="BM83" s="5">
        <f t="shared" si="105"/>
        <v>0.98012159999999982</v>
      </c>
      <c r="BN83" s="5">
        <f t="shared" si="105"/>
        <v>0.97908480000000009</v>
      </c>
      <c r="BO83" s="5">
        <f t="shared" ref="BO83:DZ83" si="106">AVERAGE(BO44:BO53)</f>
        <v>0.97148159999999995</v>
      </c>
      <c r="BP83" s="5">
        <f t="shared" si="106"/>
        <v>0.96621120000000005</v>
      </c>
      <c r="BQ83" s="5">
        <f t="shared" si="106"/>
        <v>0.9636191999999999</v>
      </c>
      <c r="BR83" s="5">
        <f t="shared" si="106"/>
        <v>0.9587808000000001</v>
      </c>
      <c r="BS83" s="5">
        <f t="shared" si="106"/>
        <v>0.96551999999999993</v>
      </c>
      <c r="BT83" s="5">
        <f t="shared" si="106"/>
        <v>0.97001280000000012</v>
      </c>
      <c r="BU83" s="5">
        <f t="shared" si="106"/>
        <v>0.967248</v>
      </c>
      <c r="BV83" s="5">
        <f t="shared" si="106"/>
        <v>0.9686304</v>
      </c>
      <c r="BW83" s="5">
        <f t="shared" si="106"/>
        <v>0.95575679999999996</v>
      </c>
      <c r="BX83" s="5">
        <f t="shared" si="106"/>
        <v>0.94936320000000018</v>
      </c>
      <c r="BY83" s="5">
        <f t="shared" si="106"/>
        <v>0.95575679999999996</v>
      </c>
      <c r="BZ83" s="5">
        <f t="shared" si="106"/>
        <v>0.94651199999999991</v>
      </c>
      <c r="CA83" s="5">
        <f t="shared" si="106"/>
        <v>0.94832640000000001</v>
      </c>
      <c r="CB83" s="5">
        <f t="shared" si="106"/>
        <v>0.95990400000000009</v>
      </c>
      <c r="CC83" s="5">
        <f t="shared" si="106"/>
        <v>0.96612480000000001</v>
      </c>
      <c r="CD83" s="5">
        <f t="shared" si="106"/>
        <v>0.97398719999999983</v>
      </c>
      <c r="CE83" s="5">
        <f t="shared" si="106"/>
        <v>0.97148160000000006</v>
      </c>
      <c r="CF83" s="5">
        <f t="shared" si="106"/>
        <v>0.96353280000000008</v>
      </c>
      <c r="CG83" s="5">
        <f t="shared" si="106"/>
        <v>0.95575679999999985</v>
      </c>
      <c r="CH83" s="5">
        <f t="shared" si="106"/>
        <v>0.97908479999999987</v>
      </c>
      <c r="CI83" s="5">
        <f t="shared" si="106"/>
        <v>1.0012032</v>
      </c>
      <c r="CJ83" s="5">
        <f t="shared" si="106"/>
        <v>1.0139040000000001</v>
      </c>
      <c r="CK83" s="5">
        <f t="shared" si="106"/>
        <v>1.0448352000000001</v>
      </c>
      <c r="CL83" s="5">
        <f t="shared" si="106"/>
        <v>1.0576224000000001</v>
      </c>
      <c r="CM83" s="5">
        <f t="shared" si="106"/>
        <v>1.0625472000000002</v>
      </c>
      <c r="CN83" s="5">
        <f t="shared" si="106"/>
        <v>1.0560672</v>
      </c>
      <c r="CO83" s="5">
        <f t="shared" si="106"/>
        <v>1.0612511999999998</v>
      </c>
      <c r="CP83" s="5">
        <f t="shared" si="106"/>
        <v>1.0678175999999999</v>
      </c>
      <c r="CQ83" s="5">
        <f t="shared" si="106"/>
        <v>1.0831104</v>
      </c>
      <c r="CR83" s="5">
        <f t="shared" si="106"/>
        <v>1.0792224000000001</v>
      </c>
      <c r="CS83" s="5">
        <f t="shared" si="106"/>
        <v>1.0850976000000001</v>
      </c>
      <c r="CT83" s="5">
        <f t="shared" si="106"/>
        <v>1.0942559999999999</v>
      </c>
      <c r="CU83" s="5">
        <f t="shared" si="106"/>
        <v>1.0901087999999999</v>
      </c>
      <c r="CV83" s="5">
        <f t="shared" si="106"/>
        <v>1.0730016</v>
      </c>
      <c r="CW83" s="5">
        <f t="shared" si="106"/>
        <v>1.0782719999999999</v>
      </c>
      <c r="CX83" s="5">
        <f t="shared" si="106"/>
        <v>1.0818143999999998</v>
      </c>
      <c r="CY83" s="5">
        <f t="shared" si="106"/>
        <v>1.0787903999999999</v>
      </c>
      <c r="CZ83" s="5">
        <f t="shared" si="106"/>
        <v>1.0813824000000001</v>
      </c>
      <c r="DA83" s="5">
        <f t="shared" si="106"/>
        <v>1.1055743999999998</v>
      </c>
      <c r="DB83" s="5">
        <f t="shared" si="106"/>
        <v>1.1378016</v>
      </c>
      <c r="DC83" s="5">
        <f t="shared" si="106"/>
        <v>1.1581056000000001</v>
      </c>
      <c r="DD83" s="5">
        <f t="shared" si="106"/>
        <v>1.1750400000000001</v>
      </c>
      <c r="DE83" s="5">
        <f t="shared" si="106"/>
        <v>1.1878272000000001</v>
      </c>
      <c r="DF83" s="5">
        <f t="shared" si="106"/>
        <v>1.1803104</v>
      </c>
      <c r="DG83" s="5">
        <f t="shared" si="106"/>
        <v>1.1674368000000002</v>
      </c>
      <c r="DH83" s="5">
        <f t="shared" si="106"/>
        <v>1.1635487999999998</v>
      </c>
      <c r="DI83" s="5">
        <f t="shared" si="106"/>
        <v>1.1526624000000001</v>
      </c>
      <c r="DJ83" s="5">
        <f t="shared" si="106"/>
        <v>1.1501568</v>
      </c>
      <c r="DK83" s="5">
        <f t="shared" si="106"/>
        <v>1.1984543999999999</v>
      </c>
      <c r="DL83" s="5">
        <f t="shared" si="106"/>
        <v>1.2334463999999998</v>
      </c>
      <c r="DM83" s="5">
        <f t="shared" si="106"/>
        <v>1.2669695999999999</v>
      </c>
      <c r="DN83" s="5">
        <f t="shared" si="106"/>
        <v>1.2731903999999998</v>
      </c>
      <c r="DO83" s="5">
        <f t="shared" si="106"/>
        <v>1.2716352</v>
      </c>
      <c r="DP83" s="5">
        <f t="shared" si="106"/>
        <v>1.2737088000000001</v>
      </c>
      <c r="DQ83" s="5">
        <f t="shared" si="106"/>
        <v>1.2864959999999999</v>
      </c>
      <c r="DR83" s="5">
        <f t="shared" si="106"/>
        <v>1.3076639999999997</v>
      </c>
      <c r="DS83" s="5">
        <f t="shared" si="106"/>
        <v>1.3340159999999999</v>
      </c>
      <c r="DT83" s="5">
        <f t="shared" si="106"/>
        <v>1.3193280000000001</v>
      </c>
      <c r="DU83" s="5">
        <f t="shared" si="106"/>
        <v>1.2804479999999998</v>
      </c>
      <c r="DV83" s="5">
        <f t="shared" si="106"/>
        <v>1.33056</v>
      </c>
      <c r="DW83" s="5">
        <f t="shared" si="106"/>
        <v>1.400544</v>
      </c>
      <c r="DX83" s="5">
        <f t="shared" si="106"/>
        <v>1.4687999999999999</v>
      </c>
      <c r="DY83" s="5">
        <f t="shared" si="106"/>
        <v>1.504224</v>
      </c>
      <c r="DZ83" s="5">
        <f t="shared" si="106"/>
        <v>1.5491519999999999</v>
      </c>
      <c r="EA83" s="5">
        <f t="shared" ref="EA83:GL83" si="107">AVERAGE(EA44:EA53)</f>
        <v>1.6122239999999999</v>
      </c>
      <c r="EB83" s="5">
        <f t="shared" si="107"/>
        <v>1.6623360000000003</v>
      </c>
      <c r="EC83" s="5">
        <f t="shared" si="107"/>
        <v>1.68048</v>
      </c>
      <c r="ED83" s="5">
        <f t="shared" si="107"/>
        <v>1.67184</v>
      </c>
      <c r="EE83" s="5">
        <f t="shared" si="107"/>
        <v>1.6770240000000001</v>
      </c>
      <c r="EF83" s="5">
        <f t="shared" si="107"/>
        <v>1.6752960000000001</v>
      </c>
      <c r="EG83" s="5">
        <f t="shared" si="107"/>
        <v>1.68048</v>
      </c>
      <c r="EH83" s="5">
        <f t="shared" si="107"/>
        <v>1.7133120000000002</v>
      </c>
      <c r="EI83" s="5">
        <f t="shared" si="107"/>
        <v>1.743552</v>
      </c>
      <c r="EJ83" s="5">
        <f t="shared" si="107"/>
        <v>1.7660159999999998</v>
      </c>
      <c r="EK83" s="5">
        <f t="shared" si="107"/>
        <v>1.7781120000000001</v>
      </c>
      <c r="EL83" s="5">
        <f t="shared" si="107"/>
        <v>1.8048959999999998</v>
      </c>
      <c r="EM83" s="5">
        <f t="shared" si="107"/>
        <v>1.8576000000000001</v>
      </c>
      <c r="EN83" s="5">
        <f t="shared" si="107"/>
        <v>1.9673279999999997</v>
      </c>
      <c r="EO83" s="5">
        <f t="shared" si="107"/>
        <v>1.9785599999999999</v>
      </c>
      <c r="EP83" s="5">
        <f t="shared" si="107"/>
        <v>1.9984319999999998</v>
      </c>
      <c r="EQ83" s="5">
        <f t="shared" si="107"/>
        <v>2.0243519999999995</v>
      </c>
      <c r="ER83" s="5">
        <f t="shared" si="107"/>
        <v>2.0831039999999996</v>
      </c>
      <c r="ES83" s="5">
        <f t="shared" si="107"/>
        <v>2.1599999999999997</v>
      </c>
      <c r="ET83" s="5">
        <f t="shared" si="107"/>
        <v>2.25936</v>
      </c>
      <c r="EU83" s="5">
        <f t="shared" si="107"/>
        <v>2.3025600000000002</v>
      </c>
      <c r="EV83" s="5">
        <f t="shared" si="107"/>
        <v>2.260224</v>
      </c>
      <c r="EW83" s="5">
        <f t="shared" si="107"/>
        <v>2.2481280000000003</v>
      </c>
      <c r="EX83" s="5">
        <f t="shared" si="107"/>
        <v>2.2826879999999998</v>
      </c>
      <c r="EY83" s="5">
        <f t="shared" si="107"/>
        <v>2.388096</v>
      </c>
      <c r="EZ83" s="5">
        <f t="shared" si="107"/>
        <v>2.5151039999999996</v>
      </c>
      <c r="FA83" s="5">
        <f t="shared" si="107"/>
        <v>2.5859519999999998</v>
      </c>
      <c r="FB83" s="5">
        <f t="shared" si="107"/>
        <v>2.6775359999999999</v>
      </c>
      <c r="FC83" s="5">
        <f t="shared" si="107"/>
        <v>2.8123200000000002</v>
      </c>
      <c r="FD83" s="5">
        <f t="shared" si="107"/>
        <v>2.896992</v>
      </c>
      <c r="FE83" s="5">
        <f t="shared" si="107"/>
        <v>3.0827520000000002</v>
      </c>
      <c r="FF83" s="5">
        <f t="shared" si="107"/>
        <v>3.0326399999999998</v>
      </c>
      <c r="FG83" s="5">
        <f t="shared" si="107"/>
        <v>2.9989439999999998</v>
      </c>
      <c r="FH83" s="5">
        <f t="shared" si="107"/>
        <v>3.0153599999999998</v>
      </c>
      <c r="FI83" s="5">
        <f t="shared" si="107"/>
        <v>2.9721599999999997</v>
      </c>
      <c r="FJ83" s="5">
        <f t="shared" si="107"/>
        <v>2.9756160000000005</v>
      </c>
      <c r="FK83" s="5">
        <f t="shared" si="107"/>
        <v>3.1121279999999998</v>
      </c>
      <c r="FL83" s="5">
        <f t="shared" si="107"/>
        <v>3.3203520000000006</v>
      </c>
      <c r="FM83" s="5">
        <f t="shared" si="107"/>
        <v>3.5847360000000004</v>
      </c>
      <c r="FN83" s="5">
        <f t="shared" si="107"/>
        <v>3.7497599999999998</v>
      </c>
      <c r="FO83" s="5">
        <f t="shared" si="107"/>
        <v>4.0037760000000002</v>
      </c>
      <c r="FP83" s="5">
        <f t="shared" si="107"/>
        <v>4.0020479999999994</v>
      </c>
      <c r="FQ83" s="5">
        <f t="shared" si="107"/>
        <v>4.2707519999999999</v>
      </c>
      <c r="FR83" s="5">
        <f t="shared" si="107"/>
        <v>4.6681920000000003</v>
      </c>
      <c r="FS83" s="5">
        <f t="shared" si="107"/>
        <v>5.0215680000000003</v>
      </c>
      <c r="FT83" s="5">
        <f t="shared" si="107"/>
        <v>4.6897920000000006</v>
      </c>
      <c r="FU83" s="5">
        <f t="shared" si="107"/>
        <v>4.5031680000000005</v>
      </c>
      <c r="FV83" s="5">
        <f t="shared" si="107"/>
        <v>4.5601919999999998</v>
      </c>
      <c r="FW83" s="5">
        <f t="shared" si="107"/>
        <v>4.681152</v>
      </c>
      <c r="FX83" s="5">
        <f t="shared" si="107"/>
        <v>4.7805119999999999</v>
      </c>
      <c r="FY83" s="5">
        <f t="shared" si="107"/>
        <v>5.0518079999999994</v>
      </c>
      <c r="FZ83" s="5">
        <f t="shared" si="107"/>
        <v>5.2116479999999994</v>
      </c>
      <c r="GA83" s="5">
        <f t="shared" si="107"/>
        <v>5.3853120000000008</v>
      </c>
      <c r="GB83" s="5">
        <f t="shared" si="107"/>
        <v>5.986656</v>
      </c>
      <c r="GC83" s="5">
        <f t="shared" si="107"/>
        <v>6.5050559999999988</v>
      </c>
      <c r="GD83" s="5">
        <f t="shared" si="107"/>
        <v>7.0960319999999992</v>
      </c>
      <c r="GE83" s="5">
        <f t="shared" si="107"/>
        <v>7.3872000000000018</v>
      </c>
      <c r="GF83" s="5">
        <f t="shared" si="107"/>
        <v>7.5841919999999998</v>
      </c>
      <c r="GG83" s="5">
        <f t="shared" si="107"/>
        <v>7.8062399999999998</v>
      </c>
      <c r="GH83" s="5">
        <f t="shared" si="107"/>
        <v>8.0887679999999982</v>
      </c>
      <c r="GI83" s="5">
        <f t="shared" si="107"/>
        <v>8.570015999999999</v>
      </c>
      <c r="GJ83" s="5">
        <f t="shared" si="107"/>
        <v>9.0694079999999992</v>
      </c>
      <c r="GK83" s="5">
        <f t="shared" si="107"/>
        <v>9.423648</v>
      </c>
      <c r="GL83" s="5">
        <f t="shared" si="107"/>
        <v>9.6258239999999997</v>
      </c>
      <c r="GM83" s="5">
        <f t="shared" ref="GM83:IX83" si="108">AVERAGE(GM44:GM53)</f>
        <v>9.7485119999999998</v>
      </c>
      <c r="GN83" s="5">
        <f t="shared" si="108"/>
        <v>9.4106879999999986</v>
      </c>
      <c r="GO83" s="5">
        <f t="shared" si="108"/>
        <v>9.0167040000000007</v>
      </c>
      <c r="GP83" s="5">
        <f t="shared" si="108"/>
        <v>9.2180160000000022</v>
      </c>
      <c r="GQ83" s="5">
        <f t="shared" si="108"/>
        <v>9.5074560000000012</v>
      </c>
      <c r="GR83" s="5">
        <f t="shared" si="108"/>
        <v>9.4020480000000006</v>
      </c>
      <c r="GS83" s="5">
        <f t="shared" si="108"/>
        <v>9.2136960000000023</v>
      </c>
      <c r="GT83" s="5">
        <f t="shared" si="108"/>
        <v>8.9424000000000028</v>
      </c>
      <c r="GU83" s="5">
        <f t="shared" si="108"/>
        <v>8.8110719999999993</v>
      </c>
      <c r="GV83" s="5">
        <f t="shared" si="108"/>
        <v>8.4093119999999999</v>
      </c>
      <c r="GW83" s="5">
        <f t="shared" si="108"/>
        <v>8.0015040000000006</v>
      </c>
      <c r="GX83" s="5">
        <f t="shared" si="108"/>
        <v>7.8710399999999989</v>
      </c>
      <c r="GY83" s="5">
        <f t="shared" si="108"/>
        <v>8.0818560000000002</v>
      </c>
      <c r="GZ83" s="5">
        <f t="shared" si="108"/>
        <v>7.8788160000000005</v>
      </c>
      <c r="HA83" s="5">
        <f t="shared" si="108"/>
        <v>7.6325760000000002</v>
      </c>
      <c r="HB83" s="5">
        <f t="shared" si="108"/>
        <v>7.3647360000000006</v>
      </c>
      <c r="HC83" s="5">
        <f t="shared" si="108"/>
        <v>7.068384</v>
      </c>
      <c r="HD83" s="5">
        <f t="shared" si="108"/>
        <v>6.8385599999999993</v>
      </c>
      <c r="HE83" s="5">
        <f t="shared" si="108"/>
        <v>6.7772160000000001</v>
      </c>
      <c r="HF83" s="5">
        <f t="shared" si="108"/>
        <v>6.8990399999999994</v>
      </c>
      <c r="HG83" s="5">
        <f t="shared" si="108"/>
        <v>7.1936640000000001</v>
      </c>
      <c r="HH83" s="5">
        <f t="shared" si="108"/>
        <v>7.5435840000000001</v>
      </c>
      <c r="HI83" s="5">
        <f t="shared" si="108"/>
        <v>7.6749120000000008</v>
      </c>
      <c r="HJ83" s="5">
        <f t="shared" si="108"/>
        <v>7.7094719999999999</v>
      </c>
      <c r="HK83" s="5">
        <f t="shared" si="108"/>
        <v>7.9574400000000001</v>
      </c>
      <c r="HL83" s="5">
        <f t="shared" si="108"/>
        <v>8.0939519999999998</v>
      </c>
      <c r="HM83" s="5">
        <f t="shared" si="108"/>
        <v>8.1544320000000017</v>
      </c>
      <c r="HN83" s="5">
        <f t="shared" si="108"/>
        <v>8.149248</v>
      </c>
      <c r="HO83" s="5">
        <f t="shared" si="108"/>
        <v>8.1734399999999994</v>
      </c>
      <c r="HP83" s="5">
        <f t="shared" si="108"/>
        <v>8.3894400000000005</v>
      </c>
      <c r="HQ83" s="5">
        <f t="shared" si="108"/>
        <v>8.568287999999999</v>
      </c>
      <c r="HR83" s="5">
        <f t="shared" si="108"/>
        <v>8.5795199999999987</v>
      </c>
      <c r="HS83" s="5">
        <f t="shared" si="108"/>
        <v>8.6572800000000001</v>
      </c>
      <c r="HT83" s="5">
        <f t="shared" si="108"/>
        <v>8.6996160000000007</v>
      </c>
      <c r="HU83" s="5">
        <f t="shared" si="108"/>
        <v>8.569151999999999</v>
      </c>
      <c r="HV83" s="5">
        <f t="shared" si="108"/>
        <v>8.5976640000000017</v>
      </c>
      <c r="HW83" s="5">
        <f t="shared" si="108"/>
        <v>8.7462719999999994</v>
      </c>
      <c r="HX83" s="5">
        <f t="shared" si="108"/>
        <v>9.0529920000000015</v>
      </c>
      <c r="HY83" s="5">
        <f t="shared" si="108"/>
        <v>8.9830080000000017</v>
      </c>
      <c r="HZ83" s="5">
        <f t="shared" si="108"/>
        <v>8.8404480000000003</v>
      </c>
      <c r="IA83" s="5">
        <f t="shared" si="108"/>
        <v>8.5726080000000007</v>
      </c>
      <c r="IB83" s="5">
        <f t="shared" si="108"/>
        <v>8.5294080000000001</v>
      </c>
      <c r="IC83" s="5">
        <f t="shared" si="108"/>
        <v>8.4559680000000004</v>
      </c>
      <c r="ID83" s="5">
        <f t="shared" si="108"/>
        <v>8.2745280000000001</v>
      </c>
      <c r="IE83" s="5">
        <f t="shared" si="108"/>
        <v>8.3358720000000002</v>
      </c>
      <c r="IF83" s="5">
        <f t="shared" si="108"/>
        <v>8.5363199999999999</v>
      </c>
      <c r="IG83" s="5">
        <f t="shared" si="108"/>
        <v>8.7765119999999985</v>
      </c>
      <c r="IH83" s="5">
        <f t="shared" si="108"/>
        <v>9.0547199999999997</v>
      </c>
      <c r="II83" s="5">
        <f t="shared" si="108"/>
        <v>9.3484799999999986</v>
      </c>
      <c r="IJ83" s="5">
        <f t="shared" si="108"/>
        <v>9.6880319999999998</v>
      </c>
      <c r="IK83" s="5">
        <f t="shared" si="108"/>
        <v>9.8530560000000005</v>
      </c>
      <c r="IL83" s="5">
        <f t="shared" si="108"/>
        <v>9.6690240000000003</v>
      </c>
      <c r="IM83" s="5">
        <f t="shared" si="108"/>
        <v>9.4106879999999986</v>
      </c>
      <c r="IN83" s="5">
        <f t="shared" si="108"/>
        <v>9.5039999999999996</v>
      </c>
      <c r="IO83" s="5">
        <f t="shared" si="108"/>
        <v>9.8737919999999999</v>
      </c>
      <c r="IP83" s="5">
        <f t="shared" si="108"/>
        <v>9.617184</v>
      </c>
      <c r="IQ83" s="5">
        <f t="shared" si="108"/>
        <v>9.2845440000000004</v>
      </c>
      <c r="IR83" s="5">
        <f t="shared" si="108"/>
        <v>8.9700480000000002</v>
      </c>
      <c r="IS83" s="5">
        <f t="shared" si="108"/>
        <v>8.5717440000000007</v>
      </c>
      <c r="IT83" s="5">
        <f t="shared" si="108"/>
        <v>8.214912</v>
      </c>
      <c r="IU83" s="5">
        <f t="shared" si="108"/>
        <v>7.9444799999999987</v>
      </c>
      <c r="IV83" s="5">
        <f t="shared" si="108"/>
        <v>7.8442559999999988</v>
      </c>
      <c r="IW83" s="5">
        <f t="shared" si="108"/>
        <v>7.9427520000000005</v>
      </c>
      <c r="IX83" s="5">
        <f t="shared" si="108"/>
        <v>8.1043199999999995</v>
      </c>
      <c r="IY83" s="5">
        <f t="shared" ref="IY83:LJ83" si="109">AVERAGE(IY44:IY53)</f>
        <v>8.0006399999999989</v>
      </c>
      <c r="IZ83" s="5">
        <f t="shared" si="109"/>
        <v>7.5712320000000002</v>
      </c>
      <c r="JA83" s="5">
        <f t="shared" si="109"/>
        <v>7.3638720000000006</v>
      </c>
      <c r="JB83" s="5">
        <f t="shared" si="109"/>
        <v>7.3483199999999993</v>
      </c>
      <c r="JC83" s="5">
        <f t="shared" si="109"/>
        <v>7.4269440000000007</v>
      </c>
      <c r="JD83" s="5">
        <f t="shared" si="109"/>
        <v>7.669728000000001</v>
      </c>
      <c r="JE83" s="5">
        <f t="shared" si="109"/>
        <v>8.0723519999999986</v>
      </c>
      <c r="JF83" s="5">
        <f t="shared" si="109"/>
        <v>8.0861759999999983</v>
      </c>
      <c r="JG83" s="5">
        <f t="shared" si="109"/>
        <v>7.5522239999999998</v>
      </c>
      <c r="JH83" s="5">
        <f t="shared" si="109"/>
        <v>7.3224</v>
      </c>
      <c r="JI83" s="5">
        <f t="shared" si="109"/>
        <v>7.289568</v>
      </c>
      <c r="JJ83" s="5">
        <f t="shared" si="109"/>
        <v>7.4165760000000009</v>
      </c>
      <c r="JK83" s="5">
        <f t="shared" si="109"/>
        <v>7.413120000000001</v>
      </c>
      <c r="JL83" s="5">
        <f t="shared" si="109"/>
        <v>7.3820160000000001</v>
      </c>
      <c r="JM83" s="5">
        <f t="shared" si="109"/>
        <v>7.2066240000000006</v>
      </c>
      <c r="JN83" s="5">
        <f t="shared" si="109"/>
        <v>7.0338240000000001</v>
      </c>
      <c r="JO83" s="5">
        <f t="shared" si="109"/>
        <v>6.7763520000000002</v>
      </c>
      <c r="JP83" s="5">
        <f t="shared" si="109"/>
        <v>6.5059200000000006</v>
      </c>
      <c r="JQ83" s="5">
        <f t="shared" si="109"/>
        <v>6.3538559999999995</v>
      </c>
      <c r="JR83" s="5">
        <f t="shared" si="109"/>
        <v>6.3642240000000001</v>
      </c>
      <c r="JS83" s="5">
        <f t="shared" si="109"/>
        <v>5.9987519999999996</v>
      </c>
      <c r="JT83" s="5">
        <f t="shared" si="109"/>
        <v>5.8812480000000003</v>
      </c>
      <c r="JU83" s="5">
        <f t="shared" si="109"/>
        <v>5.9088959999999995</v>
      </c>
      <c r="JV83" s="5">
        <f t="shared" si="109"/>
        <v>5.7948479999999991</v>
      </c>
      <c r="JW83" s="5">
        <f t="shared" si="109"/>
        <v>5.8838400000000002</v>
      </c>
      <c r="JX83" s="5">
        <f t="shared" si="109"/>
        <v>5.9607359999999998</v>
      </c>
      <c r="JY83" s="5">
        <f t="shared" si="109"/>
        <v>5.6894399999999994</v>
      </c>
      <c r="JZ83" s="5">
        <f t="shared" si="109"/>
        <v>5.4077760000000001</v>
      </c>
      <c r="KA83" s="5">
        <f t="shared" si="109"/>
        <v>5.0690879999999998</v>
      </c>
      <c r="KB83" s="5">
        <f t="shared" si="109"/>
        <v>4.9965120000000001</v>
      </c>
      <c r="KC83" s="5">
        <f t="shared" si="109"/>
        <v>4.8012480000000002</v>
      </c>
      <c r="KD83" s="5">
        <f t="shared" si="109"/>
        <v>4.7571839999999996</v>
      </c>
      <c r="KE83" s="5">
        <f t="shared" si="109"/>
        <v>4.7062079999999993</v>
      </c>
      <c r="KF83" s="5">
        <f t="shared" si="109"/>
        <v>4.5550079999999991</v>
      </c>
      <c r="KG83" s="5">
        <f t="shared" si="109"/>
        <v>4.3977599999999999</v>
      </c>
      <c r="KH83" s="5">
        <f t="shared" si="109"/>
        <v>4.3329599999999999</v>
      </c>
      <c r="KI83" s="5">
        <f t="shared" si="109"/>
        <v>4.3096319999999997</v>
      </c>
      <c r="KJ83" s="5">
        <f t="shared" si="109"/>
        <v>4.0582080000000005</v>
      </c>
      <c r="KK83" s="5">
        <f t="shared" si="109"/>
        <v>4.0538879999999997</v>
      </c>
      <c r="KL83" s="5">
        <f t="shared" si="109"/>
        <v>3.8733119999999999</v>
      </c>
      <c r="KM83" s="5">
        <f t="shared" si="109"/>
        <v>3.9769920000000005</v>
      </c>
      <c r="KN83" s="5">
        <f t="shared" si="109"/>
        <v>3.9294720000000005</v>
      </c>
      <c r="KO83" s="5">
        <f t="shared" si="109"/>
        <v>3.9830400000000004</v>
      </c>
      <c r="KP83" s="5">
        <f t="shared" si="109"/>
        <v>3.8439360000000002</v>
      </c>
      <c r="KQ83" s="5">
        <f t="shared" si="109"/>
        <v>3.7290239999999999</v>
      </c>
      <c r="KR83" s="5">
        <f t="shared" si="109"/>
        <v>3.7463039999999994</v>
      </c>
      <c r="KS83" s="5">
        <f t="shared" si="109"/>
        <v>3.5398079999999998</v>
      </c>
      <c r="KT83" s="5">
        <f t="shared" si="109"/>
        <v>3.5095680000000002</v>
      </c>
      <c r="KU83" s="5">
        <f t="shared" si="109"/>
        <v>3.4637760000000002</v>
      </c>
      <c r="KV83" s="5">
        <f t="shared" si="109"/>
        <v>3.4836480000000001</v>
      </c>
      <c r="KW83" s="5">
        <f t="shared" si="109"/>
        <v>3.4240320000000004</v>
      </c>
      <c r="KX83" s="5">
        <f t="shared" si="109"/>
        <v>3.3687359999999997</v>
      </c>
      <c r="KY83" s="5">
        <f t="shared" si="109"/>
        <v>3.2883840000000006</v>
      </c>
      <c r="KZ83" s="5">
        <f t="shared" si="109"/>
        <v>3.1432319999999998</v>
      </c>
      <c r="LA83" s="5">
        <f t="shared" si="109"/>
        <v>3.0672000000000006</v>
      </c>
      <c r="LB83" s="5">
        <f t="shared" si="109"/>
        <v>2.9730239999999997</v>
      </c>
      <c r="LC83" s="5">
        <f t="shared" si="109"/>
        <v>2.8693439999999999</v>
      </c>
      <c r="LD83" s="5">
        <f t="shared" si="109"/>
        <v>2.801088</v>
      </c>
      <c r="LE83" s="5">
        <f t="shared" si="109"/>
        <v>2.7319680000000002</v>
      </c>
      <c r="LF83" s="5">
        <f t="shared" si="109"/>
        <v>2.6507520000000002</v>
      </c>
      <c r="LG83" s="5">
        <f t="shared" si="109"/>
        <v>2.5859519999999998</v>
      </c>
      <c r="LH83" s="5">
        <f t="shared" si="109"/>
        <v>2.5349759999999995</v>
      </c>
      <c r="LI83" s="5">
        <f t="shared" si="109"/>
        <v>2.4909119999999998</v>
      </c>
      <c r="LJ83" s="5">
        <f t="shared" si="109"/>
        <v>2.4001919999999997</v>
      </c>
      <c r="LK83" s="5">
        <f t="shared" ref="LK83:NU83" si="110">AVERAGE(LK44:LK53)</f>
        <v>2.3768640000000003</v>
      </c>
      <c r="LL83" s="5">
        <f t="shared" si="110"/>
        <v>2.3440319999999999</v>
      </c>
      <c r="LM83" s="5">
        <f t="shared" si="110"/>
        <v>2.3604480000000003</v>
      </c>
      <c r="LN83" s="5">
        <f t="shared" si="110"/>
        <v>2.3803200000000002</v>
      </c>
      <c r="LO83" s="5">
        <f t="shared" si="110"/>
        <v>2.4079680000000003</v>
      </c>
      <c r="LP83" s="5">
        <f t="shared" si="110"/>
        <v>2.3673600000000001</v>
      </c>
      <c r="LQ83" s="5">
        <f t="shared" si="110"/>
        <v>2.3310719999999998</v>
      </c>
      <c r="LR83" s="5">
        <f t="shared" si="110"/>
        <v>2.3129279999999999</v>
      </c>
      <c r="LS83" s="5">
        <f t="shared" si="110"/>
        <v>2.2861440000000002</v>
      </c>
      <c r="LT83" s="5">
        <f t="shared" si="110"/>
        <v>2.3172480000000002</v>
      </c>
      <c r="LU83" s="5">
        <f t="shared" si="110"/>
        <v>2.2524480000000002</v>
      </c>
      <c r="LV83" s="5">
        <f t="shared" si="110"/>
        <v>2.1833279999999999</v>
      </c>
      <c r="LW83" s="5">
        <f t="shared" si="110"/>
        <v>2.0485440000000001</v>
      </c>
      <c r="LX83" s="5">
        <f t="shared" si="110"/>
        <v>1.9543680000000001</v>
      </c>
      <c r="LY83" s="5">
        <f t="shared" si="110"/>
        <v>1.9128959999999999</v>
      </c>
      <c r="LZ83" s="5">
        <f t="shared" si="110"/>
        <v>1.93536</v>
      </c>
      <c r="MA83" s="5">
        <f t="shared" si="110"/>
        <v>1.9180800000000002</v>
      </c>
      <c r="MB83" s="5">
        <f t="shared" si="110"/>
        <v>1.8791999999999998</v>
      </c>
      <c r="MC83" s="5">
        <f t="shared" si="110"/>
        <v>1.7962560000000003</v>
      </c>
      <c r="MD83" s="5">
        <f t="shared" si="110"/>
        <v>1.7746560000000002</v>
      </c>
      <c r="ME83" s="5">
        <f t="shared" si="110"/>
        <v>1.7867519999999999</v>
      </c>
      <c r="MF83" s="5">
        <f t="shared" si="110"/>
        <v>1.7694719999999997</v>
      </c>
      <c r="MG83" s="5">
        <f t="shared" si="110"/>
        <v>1.7487360000000003</v>
      </c>
      <c r="MH83" s="5">
        <f t="shared" si="110"/>
        <v>1.734912</v>
      </c>
      <c r="MI83" s="5">
        <f t="shared" si="110"/>
        <v>1.7107199999999998</v>
      </c>
      <c r="MJ83" s="5">
        <f t="shared" si="110"/>
        <v>1.7089919999999998</v>
      </c>
      <c r="MK83" s="5">
        <f t="shared" si="110"/>
        <v>1.7124479999999997</v>
      </c>
      <c r="ML83" s="5">
        <f t="shared" si="110"/>
        <v>1.6934400000000003</v>
      </c>
      <c r="MM83" s="5">
        <f t="shared" si="110"/>
        <v>1.6450559999999999</v>
      </c>
      <c r="MN83" s="5">
        <f t="shared" si="110"/>
        <v>1.5992639999999998</v>
      </c>
      <c r="MO83" s="5">
        <f t="shared" si="110"/>
        <v>1.567296</v>
      </c>
      <c r="MP83" s="5">
        <f t="shared" si="110"/>
        <v>1.535328</v>
      </c>
      <c r="MQ83" s="5">
        <f t="shared" si="110"/>
        <v>1.5240959999999999</v>
      </c>
      <c r="MR83" s="5">
        <f t="shared" si="110"/>
        <v>1.5076800000000001</v>
      </c>
      <c r="MS83" s="5">
        <f t="shared" si="110"/>
        <v>1.5387840000000002</v>
      </c>
      <c r="MT83" s="5">
        <f t="shared" si="110"/>
        <v>1.5154559999999999</v>
      </c>
      <c r="MU83" s="5">
        <f t="shared" si="110"/>
        <v>1.46448</v>
      </c>
      <c r="MV83" s="5">
        <f t="shared" si="110"/>
        <v>1.4290559999999999</v>
      </c>
      <c r="MW83" s="5">
        <f t="shared" si="110"/>
        <v>1.4143680000000001</v>
      </c>
      <c r="MX83" s="5">
        <f t="shared" si="110"/>
        <v>1.5068159999999999</v>
      </c>
      <c r="MY83" s="5">
        <f t="shared" si="110"/>
        <v>1.5163199999999999</v>
      </c>
      <c r="MZ83" s="5">
        <f t="shared" si="110"/>
        <v>1.4981760000000002</v>
      </c>
      <c r="NA83" s="5">
        <f t="shared" si="110"/>
        <v>1.4559264000000001</v>
      </c>
      <c r="NB83" s="5">
        <f t="shared" si="110"/>
        <v>1.3782527999999998</v>
      </c>
      <c r="NC83" s="5">
        <f t="shared" si="110"/>
        <v>1.33056</v>
      </c>
      <c r="ND83" s="5">
        <f t="shared" si="110"/>
        <v>38.228803200000002</v>
      </c>
      <c r="NE83" s="5">
        <f t="shared" si="110"/>
        <v>30.546892800000002</v>
      </c>
      <c r="NF83" s="5">
        <f t="shared" si="110"/>
        <v>30.464121599999999</v>
      </c>
      <c r="NG83" s="5">
        <f t="shared" si="110"/>
        <v>34.631712</v>
      </c>
      <c r="NH83" s="5">
        <f t="shared" si="110"/>
        <v>54.85363199999999</v>
      </c>
      <c r="NI83" s="5">
        <f t="shared" si="110"/>
        <v>110.85984000000001</v>
      </c>
      <c r="NJ83" s="5">
        <f t="shared" si="110"/>
        <v>252.89452800000004</v>
      </c>
      <c r="NK83" s="5">
        <f t="shared" si="110"/>
        <v>263.55455999999998</v>
      </c>
      <c r="NL83" s="5">
        <f t="shared" si="110"/>
        <v>241.88544000000002</v>
      </c>
      <c r="NM83" s="5">
        <f t="shared" si="110"/>
        <v>149.91004800000002</v>
      </c>
      <c r="NN83" s="5">
        <f t="shared" si="110"/>
        <v>79.185599999999994</v>
      </c>
      <c r="NO83" s="5">
        <f t="shared" si="110"/>
        <v>50.514623999999991</v>
      </c>
      <c r="NP83" s="5">
        <f t="shared" si="110"/>
        <v>1337.5298016000002</v>
      </c>
      <c r="NQ83" s="5">
        <f t="shared" si="110"/>
        <v>14.300928000000003</v>
      </c>
      <c r="NR83" s="5">
        <f t="shared" si="110"/>
        <v>42586.8</v>
      </c>
      <c r="NS83" s="5">
        <f t="shared" si="110"/>
        <v>0.88032959999999993</v>
      </c>
      <c r="NT83" s="5">
        <f t="shared" si="110"/>
        <v>42507.1</v>
      </c>
      <c r="NU83" s="5">
        <f t="shared" si="110"/>
        <v>4239.2732225465979</v>
      </c>
      <c r="NV83" s="5"/>
      <c r="NW83" s="5">
        <f t="shared" ref="NW83:OE83" si="111">AVERAGE(NW44:NW53)</f>
        <v>1073.958048</v>
      </c>
      <c r="NX83" s="5">
        <f t="shared" si="111"/>
        <v>79.936911993149081</v>
      </c>
      <c r="NY83" s="5">
        <f t="shared" si="111"/>
        <v>869.19436800000017</v>
      </c>
      <c r="NZ83" s="5">
        <f t="shared" si="111"/>
        <v>64.367096017547652</v>
      </c>
      <c r="OA83" s="5">
        <f t="shared" si="111"/>
        <v>263.57175359999997</v>
      </c>
      <c r="OB83" s="5">
        <f t="shared" si="111"/>
        <v>20.063088006850922</v>
      </c>
      <c r="OC83" s="5">
        <f t="shared" si="111"/>
        <v>297.89942400000001</v>
      </c>
      <c r="OD83" s="5">
        <f t="shared" si="111"/>
        <v>21.987868247612614</v>
      </c>
      <c r="OE83" s="5">
        <f t="shared" si="111"/>
        <v>312.50696299065419</v>
      </c>
      <c r="OF83" s="5">
        <f t="shared" ref="OF83" si="112">AVERAGE(OF44:OF53)</f>
        <v>9.9095307899116634</v>
      </c>
    </row>
    <row r="84" spans="1:396" customFormat="1" x14ac:dyDescent="0.15">
      <c r="A84" s="9" t="s">
        <v>46</v>
      </c>
      <c r="B84" s="5">
        <f>AVERAGE(B54:B63)</f>
        <v>1.46448</v>
      </c>
      <c r="C84" s="5">
        <f t="shared" ref="C84:BN84" si="113">AVERAGE(C54:C63)</f>
        <v>1.5552000000000001</v>
      </c>
      <c r="D84" s="5">
        <f t="shared" si="113"/>
        <v>1.6225919999999998</v>
      </c>
      <c r="E84" s="5">
        <f t="shared" si="113"/>
        <v>1.6683840000000001</v>
      </c>
      <c r="F84" s="5">
        <f t="shared" si="113"/>
        <v>1.6873919999999998</v>
      </c>
      <c r="G84" s="5">
        <f t="shared" si="113"/>
        <v>1.6476479999999998</v>
      </c>
      <c r="H84" s="5">
        <f t="shared" si="113"/>
        <v>1.6113600000000001</v>
      </c>
      <c r="I84" s="5">
        <f t="shared" si="113"/>
        <v>1.630368</v>
      </c>
      <c r="J84" s="5">
        <f t="shared" si="113"/>
        <v>1.6277760000000001</v>
      </c>
      <c r="K84" s="5">
        <f t="shared" si="113"/>
        <v>1.6286400000000001</v>
      </c>
      <c r="L84" s="5">
        <f t="shared" si="113"/>
        <v>1.6104960000000001</v>
      </c>
      <c r="M84" s="5">
        <f t="shared" si="113"/>
        <v>1.60704</v>
      </c>
      <c r="N84" s="5">
        <f t="shared" si="113"/>
        <v>1.5966720000000001</v>
      </c>
      <c r="O84" s="5">
        <f t="shared" si="113"/>
        <v>1.5621120000000002</v>
      </c>
      <c r="P84" s="5">
        <f t="shared" si="113"/>
        <v>1.5240960000000001</v>
      </c>
      <c r="Q84" s="5">
        <f t="shared" si="113"/>
        <v>1.521504</v>
      </c>
      <c r="R84" s="5">
        <f t="shared" si="113"/>
        <v>1.4947199999999998</v>
      </c>
      <c r="S84" s="5">
        <f t="shared" si="113"/>
        <v>1.5033600000000003</v>
      </c>
      <c r="T84" s="5">
        <f t="shared" si="113"/>
        <v>1.5145919999999999</v>
      </c>
      <c r="U84" s="5">
        <f t="shared" si="113"/>
        <v>1.5552000000000001</v>
      </c>
      <c r="V84" s="5">
        <f t="shared" si="113"/>
        <v>1.526688</v>
      </c>
      <c r="W84" s="5">
        <f t="shared" si="113"/>
        <v>1.4644799999999998</v>
      </c>
      <c r="X84" s="5">
        <f t="shared" si="113"/>
        <v>1.4601599999999997</v>
      </c>
      <c r="Y84" s="5">
        <f t="shared" si="113"/>
        <v>1.4696639999999999</v>
      </c>
      <c r="Z84" s="5">
        <f t="shared" si="113"/>
        <v>1.4731200000000002</v>
      </c>
      <c r="AA84" s="5">
        <f t="shared" si="113"/>
        <v>1.4636160000000003</v>
      </c>
      <c r="AB84" s="5">
        <f t="shared" si="113"/>
        <v>1.4592959999999997</v>
      </c>
      <c r="AC84" s="5">
        <f t="shared" si="113"/>
        <v>1.4273279999999999</v>
      </c>
      <c r="AD84" s="5">
        <f t="shared" si="113"/>
        <v>1.3962239999999997</v>
      </c>
      <c r="AE84" s="5">
        <f t="shared" si="113"/>
        <v>1.4031359999999997</v>
      </c>
      <c r="AF84" s="5">
        <f t="shared" si="113"/>
        <v>1.3884479999999999</v>
      </c>
      <c r="AG84" s="5">
        <f t="shared" si="113"/>
        <v>1.4178240000000002</v>
      </c>
      <c r="AH84" s="5">
        <f t="shared" si="113"/>
        <v>1.4281919999999999</v>
      </c>
      <c r="AI84" s="5">
        <f t="shared" si="113"/>
        <v>1.4385599999999998</v>
      </c>
      <c r="AJ84" s="5">
        <f t="shared" si="113"/>
        <v>1.4299199999999999</v>
      </c>
      <c r="AK84" s="5">
        <f t="shared" si="113"/>
        <v>1.402272</v>
      </c>
      <c r="AL84" s="5">
        <f t="shared" si="113"/>
        <v>1.3970879999999999</v>
      </c>
      <c r="AM84" s="5">
        <f t="shared" si="113"/>
        <v>1.3901759999999999</v>
      </c>
      <c r="AN84" s="5">
        <f t="shared" si="113"/>
        <v>1.4039999999999999</v>
      </c>
      <c r="AO84" s="5">
        <f t="shared" si="113"/>
        <v>1.353888</v>
      </c>
      <c r="AP84" s="5">
        <f t="shared" si="113"/>
        <v>1.361664</v>
      </c>
      <c r="AQ84" s="5">
        <f t="shared" si="113"/>
        <v>1.385856</v>
      </c>
      <c r="AR84" s="5">
        <f t="shared" si="113"/>
        <v>1.3789440000000002</v>
      </c>
      <c r="AS84" s="5">
        <f t="shared" si="113"/>
        <v>1.3590719999999998</v>
      </c>
      <c r="AT84" s="5">
        <f t="shared" si="113"/>
        <v>1.345248</v>
      </c>
      <c r="AU84" s="5">
        <f t="shared" si="113"/>
        <v>1.346112</v>
      </c>
      <c r="AV84" s="5">
        <f t="shared" si="113"/>
        <v>1.3504320000000001</v>
      </c>
      <c r="AW84" s="5">
        <f t="shared" si="113"/>
        <v>1.3504319999999999</v>
      </c>
      <c r="AX84" s="5">
        <f t="shared" si="113"/>
        <v>1.3608</v>
      </c>
      <c r="AY84" s="5">
        <f t="shared" si="113"/>
        <v>1.3728959999999999</v>
      </c>
      <c r="AZ84" s="5">
        <f t="shared" si="113"/>
        <v>1.345248</v>
      </c>
      <c r="BA84" s="5">
        <f t="shared" si="113"/>
        <v>1.327968</v>
      </c>
      <c r="BB84" s="5">
        <f t="shared" si="113"/>
        <v>1.3245119999999999</v>
      </c>
      <c r="BC84" s="5">
        <f t="shared" si="113"/>
        <v>1.3046399999999998</v>
      </c>
      <c r="BD84" s="5">
        <f t="shared" si="113"/>
        <v>1.2804479999999998</v>
      </c>
      <c r="BE84" s="5">
        <f t="shared" si="113"/>
        <v>1.3011839999999999</v>
      </c>
      <c r="BF84" s="5">
        <f t="shared" si="113"/>
        <v>1.3115520000000003</v>
      </c>
      <c r="BG84" s="5">
        <f t="shared" si="113"/>
        <v>1.303776</v>
      </c>
      <c r="BH84" s="5">
        <f t="shared" si="113"/>
        <v>1.3150080000000002</v>
      </c>
      <c r="BI84" s="5">
        <f t="shared" si="113"/>
        <v>1.2441599999999999</v>
      </c>
      <c r="BJ84" s="5">
        <f t="shared" si="113"/>
        <v>1.321056</v>
      </c>
      <c r="BK84" s="5">
        <f t="shared" si="113"/>
        <v>1.3400639999999999</v>
      </c>
      <c r="BL84" s="5">
        <f t="shared" si="113"/>
        <v>1.336608</v>
      </c>
      <c r="BM84" s="5">
        <f t="shared" si="113"/>
        <v>1.3201920000000003</v>
      </c>
      <c r="BN84" s="5">
        <f t="shared" si="113"/>
        <v>1.3357439999999998</v>
      </c>
      <c r="BO84" s="5">
        <f t="shared" ref="BO84:DZ84" si="114">AVERAGE(BO54:BO63)</f>
        <v>1.3106879999999999</v>
      </c>
      <c r="BP84" s="5">
        <f t="shared" si="114"/>
        <v>1.353024</v>
      </c>
      <c r="BQ84" s="5">
        <f t="shared" si="114"/>
        <v>1.353024</v>
      </c>
      <c r="BR84" s="5">
        <f t="shared" si="114"/>
        <v>1.3988159999999998</v>
      </c>
      <c r="BS84" s="5">
        <f t="shared" si="114"/>
        <v>1.409184</v>
      </c>
      <c r="BT84" s="5">
        <f t="shared" si="114"/>
        <v>1.4454719999999999</v>
      </c>
      <c r="BU84" s="5">
        <f t="shared" si="114"/>
        <v>1.4351039999999999</v>
      </c>
      <c r="BV84" s="5">
        <f t="shared" si="114"/>
        <v>1.4541120000000001</v>
      </c>
      <c r="BW84" s="5">
        <f t="shared" si="114"/>
        <v>1.3979520000000001</v>
      </c>
      <c r="BX84" s="5">
        <f t="shared" si="114"/>
        <v>1.3651200000000003</v>
      </c>
      <c r="BY84" s="5">
        <f t="shared" si="114"/>
        <v>1.3426559999999998</v>
      </c>
      <c r="BZ84" s="5">
        <f t="shared" si="114"/>
        <v>1.3288319999999998</v>
      </c>
      <c r="CA84" s="5">
        <f t="shared" si="114"/>
        <v>1.2994560000000002</v>
      </c>
      <c r="CB84" s="5">
        <f t="shared" si="114"/>
        <v>1.2735359999999998</v>
      </c>
      <c r="CC84" s="5">
        <f t="shared" si="114"/>
        <v>1.2977280000000002</v>
      </c>
      <c r="CD84" s="5">
        <f t="shared" si="114"/>
        <v>1.298592</v>
      </c>
      <c r="CE84" s="5">
        <f t="shared" si="114"/>
        <v>1.289952</v>
      </c>
      <c r="CF84" s="5">
        <f t="shared" si="114"/>
        <v>1.2839039999999999</v>
      </c>
      <c r="CG84" s="5">
        <f t="shared" si="114"/>
        <v>1.2718080000000003</v>
      </c>
      <c r="CH84" s="5">
        <f t="shared" si="114"/>
        <v>1.2916799999999999</v>
      </c>
      <c r="CI84" s="5">
        <f t="shared" si="114"/>
        <v>1.3512960000000001</v>
      </c>
      <c r="CJ84" s="5">
        <f t="shared" si="114"/>
        <v>1.3219200000000002</v>
      </c>
      <c r="CK84" s="5">
        <f t="shared" si="114"/>
        <v>1.3227840000000002</v>
      </c>
      <c r="CL84" s="5">
        <f t="shared" si="114"/>
        <v>1.3072319999999997</v>
      </c>
      <c r="CM84" s="5">
        <f t="shared" si="114"/>
        <v>1.298592</v>
      </c>
      <c r="CN84" s="5">
        <f t="shared" si="114"/>
        <v>1.3296959999999998</v>
      </c>
      <c r="CO84" s="5">
        <f t="shared" si="114"/>
        <v>1.3288320000000002</v>
      </c>
      <c r="CP84" s="5">
        <f t="shared" si="114"/>
        <v>1.314144</v>
      </c>
      <c r="CQ84" s="5">
        <f t="shared" si="114"/>
        <v>1.3236479999999999</v>
      </c>
      <c r="CR84" s="5">
        <f t="shared" si="114"/>
        <v>1.3556159999999999</v>
      </c>
      <c r="CS84" s="5">
        <f t="shared" si="114"/>
        <v>1.33056</v>
      </c>
      <c r="CT84" s="5">
        <f t="shared" si="114"/>
        <v>1.327968</v>
      </c>
      <c r="CU84" s="5">
        <f t="shared" si="114"/>
        <v>1.3417920000000001</v>
      </c>
      <c r="CV84" s="5">
        <f t="shared" si="114"/>
        <v>1.3322880000000001</v>
      </c>
      <c r="CW84" s="5">
        <f t="shared" si="114"/>
        <v>1.35216</v>
      </c>
      <c r="CX84" s="5">
        <f t="shared" si="114"/>
        <v>1.3573439999999999</v>
      </c>
      <c r="CY84" s="5">
        <f t="shared" si="114"/>
        <v>1.3625280000000002</v>
      </c>
      <c r="CZ84" s="5">
        <f t="shared" si="114"/>
        <v>1.3469760000000002</v>
      </c>
      <c r="DA84" s="5">
        <f t="shared" si="114"/>
        <v>1.3262399999999999</v>
      </c>
      <c r="DB84" s="5">
        <f t="shared" si="114"/>
        <v>1.3271040000000001</v>
      </c>
      <c r="DC84" s="5">
        <f t="shared" si="114"/>
        <v>1.2631679999999998</v>
      </c>
      <c r="DD84" s="5">
        <f t="shared" si="114"/>
        <v>1.2553920000000001</v>
      </c>
      <c r="DE84" s="5">
        <f t="shared" si="114"/>
        <v>1.258848</v>
      </c>
      <c r="DF84" s="5">
        <f t="shared" si="114"/>
        <v>1.3003199999999997</v>
      </c>
      <c r="DG84" s="5">
        <f t="shared" si="114"/>
        <v>1.2951360000000001</v>
      </c>
      <c r="DH84" s="5">
        <f t="shared" si="114"/>
        <v>1.2821760000000002</v>
      </c>
      <c r="DI84" s="5">
        <f t="shared" si="114"/>
        <v>1.2839040000000002</v>
      </c>
      <c r="DJ84" s="5">
        <f t="shared" si="114"/>
        <v>1.2847679999999997</v>
      </c>
      <c r="DK84" s="5">
        <f t="shared" si="114"/>
        <v>1.3176000000000001</v>
      </c>
      <c r="DL84" s="5">
        <f t="shared" si="114"/>
        <v>1.3469760000000002</v>
      </c>
      <c r="DM84" s="5">
        <f t="shared" si="114"/>
        <v>1.3495679999999999</v>
      </c>
      <c r="DN84" s="5">
        <f t="shared" si="114"/>
        <v>1.400544</v>
      </c>
      <c r="DO84" s="5">
        <f t="shared" si="114"/>
        <v>1.5249600000000001</v>
      </c>
      <c r="DP84" s="5">
        <f t="shared" si="114"/>
        <v>1.6113600000000001</v>
      </c>
      <c r="DQ84" s="5">
        <f t="shared" si="114"/>
        <v>1.6346879999999999</v>
      </c>
      <c r="DR84" s="5">
        <f t="shared" si="114"/>
        <v>1.6908480000000001</v>
      </c>
      <c r="DS84" s="5">
        <f t="shared" si="114"/>
        <v>1.7184959999999996</v>
      </c>
      <c r="DT84" s="5">
        <f t="shared" si="114"/>
        <v>1.6701120000000003</v>
      </c>
      <c r="DU84" s="5">
        <f t="shared" si="114"/>
        <v>1.6415999999999999</v>
      </c>
      <c r="DV84" s="5">
        <f t="shared" si="114"/>
        <v>1.6182719999999999</v>
      </c>
      <c r="DW84" s="5">
        <f t="shared" si="114"/>
        <v>1.543968</v>
      </c>
      <c r="DX84" s="5">
        <f t="shared" si="114"/>
        <v>1.5888959999999999</v>
      </c>
      <c r="DY84" s="5">
        <f t="shared" si="114"/>
        <v>1.6001280000000002</v>
      </c>
      <c r="DZ84" s="5">
        <f t="shared" si="114"/>
        <v>1.6778879999999998</v>
      </c>
      <c r="EA84" s="5">
        <f t="shared" ref="EA84:GL84" si="115">AVERAGE(EA54:EA63)</f>
        <v>1.76688</v>
      </c>
      <c r="EB84" s="5">
        <f t="shared" si="115"/>
        <v>1.80576</v>
      </c>
      <c r="EC84" s="5">
        <f t="shared" si="115"/>
        <v>1.7789760000000001</v>
      </c>
      <c r="ED84" s="5">
        <f t="shared" si="115"/>
        <v>1.7271360000000002</v>
      </c>
      <c r="EE84" s="5">
        <f t="shared" si="115"/>
        <v>1.808352</v>
      </c>
      <c r="EF84" s="5">
        <f t="shared" si="115"/>
        <v>1.8869760000000002</v>
      </c>
      <c r="EG84" s="5">
        <f t="shared" si="115"/>
        <v>1.9422720000000002</v>
      </c>
      <c r="EH84" s="5">
        <f t="shared" si="115"/>
        <v>1.9699199999999997</v>
      </c>
      <c r="EI84" s="5">
        <f t="shared" si="115"/>
        <v>2.0191680000000001</v>
      </c>
      <c r="EJ84" s="5">
        <f t="shared" si="115"/>
        <v>2.0589119999999999</v>
      </c>
      <c r="EK84" s="5">
        <f t="shared" si="115"/>
        <v>1.9984320000000004</v>
      </c>
      <c r="EL84" s="5">
        <f t="shared" si="115"/>
        <v>2.022624</v>
      </c>
      <c r="EM84" s="5">
        <f t="shared" si="115"/>
        <v>1.9846080000000001</v>
      </c>
      <c r="EN84" s="5">
        <f t="shared" si="115"/>
        <v>2.0459519999999998</v>
      </c>
      <c r="EO84" s="5">
        <f t="shared" si="115"/>
        <v>2.0787840000000002</v>
      </c>
      <c r="EP84" s="5">
        <f t="shared" si="115"/>
        <v>2.0157119999999997</v>
      </c>
      <c r="EQ84" s="5">
        <f t="shared" si="115"/>
        <v>1.9552320000000001</v>
      </c>
      <c r="ER84" s="5">
        <f t="shared" si="115"/>
        <v>1.951776</v>
      </c>
      <c r="ES84" s="5">
        <f t="shared" si="115"/>
        <v>1.9638719999999998</v>
      </c>
      <c r="ET84" s="5">
        <f t="shared" si="115"/>
        <v>2.0450879999999998</v>
      </c>
      <c r="EU84" s="5">
        <f t="shared" si="115"/>
        <v>2.0943359999999998</v>
      </c>
      <c r="EV84" s="5">
        <f t="shared" si="115"/>
        <v>2.1185280000000004</v>
      </c>
      <c r="EW84" s="5">
        <f t="shared" si="115"/>
        <v>2.1911040000000002</v>
      </c>
      <c r="EX84" s="5">
        <f t="shared" si="115"/>
        <v>2.34144</v>
      </c>
      <c r="EY84" s="5">
        <f t="shared" si="115"/>
        <v>2.6464319999999999</v>
      </c>
      <c r="EZ84" s="5">
        <f t="shared" si="115"/>
        <v>2.7250559999999995</v>
      </c>
      <c r="FA84" s="5">
        <f t="shared" si="115"/>
        <v>2.6593919999999995</v>
      </c>
      <c r="FB84" s="5">
        <f t="shared" si="115"/>
        <v>2.6447039999999999</v>
      </c>
      <c r="FC84" s="5">
        <f t="shared" si="115"/>
        <v>2.6792639999999999</v>
      </c>
      <c r="FD84" s="5">
        <f t="shared" si="115"/>
        <v>2.7423359999999999</v>
      </c>
      <c r="FE84" s="5">
        <f t="shared" si="115"/>
        <v>2.7311040000000002</v>
      </c>
      <c r="FF84" s="5">
        <f t="shared" si="115"/>
        <v>2.76912</v>
      </c>
      <c r="FG84" s="5">
        <f t="shared" si="115"/>
        <v>2.7768960000000003</v>
      </c>
      <c r="FH84" s="5">
        <f t="shared" si="115"/>
        <v>2.8995839999999999</v>
      </c>
      <c r="FI84" s="5">
        <f t="shared" si="115"/>
        <v>3.0127679999999999</v>
      </c>
      <c r="FJ84" s="5">
        <f t="shared" si="115"/>
        <v>3.1674240000000005</v>
      </c>
      <c r="FK84" s="5">
        <f t="shared" si="115"/>
        <v>3.3091200000000001</v>
      </c>
      <c r="FL84" s="5">
        <f t="shared" si="115"/>
        <v>3.532896</v>
      </c>
      <c r="FM84" s="5">
        <f t="shared" si="115"/>
        <v>3.5337599999999996</v>
      </c>
      <c r="FN84" s="5">
        <f t="shared" si="115"/>
        <v>3.7056960000000005</v>
      </c>
      <c r="FO84" s="5">
        <f t="shared" si="115"/>
        <v>3.8724480000000008</v>
      </c>
      <c r="FP84" s="5">
        <f t="shared" si="115"/>
        <v>4.1428799999999999</v>
      </c>
      <c r="FQ84" s="5">
        <f t="shared" si="115"/>
        <v>4.1515199999999997</v>
      </c>
      <c r="FR84" s="5">
        <f t="shared" si="115"/>
        <v>4.1869439999999996</v>
      </c>
      <c r="FS84" s="5">
        <f t="shared" si="115"/>
        <v>4.3830720000000003</v>
      </c>
      <c r="FT84" s="5">
        <f t="shared" si="115"/>
        <v>4.4979840000000006</v>
      </c>
      <c r="FU84" s="5">
        <f t="shared" si="115"/>
        <v>4.5930240000000007</v>
      </c>
      <c r="FV84" s="5">
        <f t="shared" si="115"/>
        <v>4.7416319999999992</v>
      </c>
      <c r="FW84" s="5">
        <f t="shared" si="115"/>
        <v>5.1632640000000007</v>
      </c>
      <c r="FX84" s="5">
        <f t="shared" si="115"/>
        <v>5.2600319999999998</v>
      </c>
      <c r="FY84" s="5">
        <f t="shared" si="115"/>
        <v>5.4095039999999992</v>
      </c>
      <c r="FZ84" s="5">
        <f t="shared" si="115"/>
        <v>5.604768</v>
      </c>
      <c r="GA84" s="5">
        <f t="shared" si="115"/>
        <v>5.7179519999999995</v>
      </c>
      <c r="GB84" s="5">
        <f t="shared" si="115"/>
        <v>5.9330879999999997</v>
      </c>
      <c r="GC84" s="5">
        <f t="shared" si="115"/>
        <v>5.8674239999999998</v>
      </c>
      <c r="GD84" s="5">
        <f t="shared" si="115"/>
        <v>5.9088960000000004</v>
      </c>
      <c r="GE84" s="5">
        <f t="shared" si="115"/>
        <v>5.703263999999999</v>
      </c>
      <c r="GF84" s="5">
        <f t="shared" si="115"/>
        <v>5.704127999999999</v>
      </c>
      <c r="GG84" s="5">
        <f t="shared" si="115"/>
        <v>6.1110720000000001</v>
      </c>
      <c r="GH84" s="5">
        <f t="shared" si="115"/>
        <v>6.2147520000000007</v>
      </c>
      <c r="GI84" s="5">
        <f t="shared" si="115"/>
        <v>6.3020160000000001</v>
      </c>
      <c r="GJ84" s="5">
        <f t="shared" si="115"/>
        <v>6.7020480000000004</v>
      </c>
      <c r="GK84" s="5">
        <f t="shared" si="115"/>
        <v>7.036416</v>
      </c>
      <c r="GL84" s="5">
        <f t="shared" si="115"/>
        <v>7.3007999999999997</v>
      </c>
      <c r="GM84" s="5">
        <f t="shared" ref="GM84:IX84" si="116">AVERAGE(GM54:GM63)</f>
        <v>7.6714559999999992</v>
      </c>
      <c r="GN84" s="5">
        <f t="shared" si="116"/>
        <v>7.7682240000000009</v>
      </c>
      <c r="GO84" s="5">
        <f t="shared" si="116"/>
        <v>7.6826879999999989</v>
      </c>
      <c r="GP84" s="5">
        <f t="shared" si="116"/>
        <v>7.3802880000000002</v>
      </c>
      <c r="GQ84" s="5">
        <f t="shared" si="116"/>
        <v>7.2014399999999998</v>
      </c>
      <c r="GR84" s="5">
        <f t="shared" si="116"/>
        <v>6.9716159999999991</v>
      </c>
      <c r="GS84" s="5">
        <f t="shared" si="116"/>
        <v>6.744384000000001</v>
      </c>
      <c r="GT84" s="5">
        <f t="shared" si="116"/>
        <v>6.8627520000000004</v>
      </c>
      <c r="GU84" s="5">
        <f t="shared" si="116"/>
        <v>6.9258240000000004</v>
      </c>
      <c r="GV84" s="5">
        <f t="shared" si="116"/>
        <v>6.9327360000000002</v>
      </c>
      <c r="GW84" s="5">
        <f t="shared" si="116"/>
        <v>6.9076799999999992</v>
      </c>
      <c r="GX84" s="5">
        <f t="shared" si="116"/>
        <v>6.7893119999999998</v>
      </c>
      <c r="GY84" s="5">
        <f t="shared" si="116"/>
        <v>7.0934399999999993</v>
      </c>
      <c r="GZ84" s="5">
        <f t="shared" si="116"/>
        <v>7.5997440000000012</v>
      </c>
      <c r="HA84" s="5">
        <f t="shared" si="116"/>
        <v>7.9107839999999996</v>
      </c>
      <c r="HB84" s="5">
        <f t="shared" si="116"/>
        <v>7.9280639999999991</v>
      </c>
      <c r="HC84" s="5">
        <f t="shared" si="116"/>
        <v>7.7345280000000001</v>
      </c>
      <c r="HD84" s="5">
        <f t="shared" si="116"/>
        <v>7.4882879999999998</v>
      </c>
      <c r="HE84" s="5">
        <f t="shared" si="116"/>
        <v>7.0891199999999994</v>
      </c>
      <c r="HF84" s="5">
        <f t="shared" si="116"/>
        <v>7.1686080000000008</v>
      </c>
      <c r="HG84" s="5">
        <f t="shared" si="116"/>
        <v>7.4589119999999998</v>
      </c>
      <c r="HH84" s="5">
        <f t="shared" si="116"/>
        <v>7.6213440000000006</v>
      </c>
      <c r="HI84" s="5">
        <f t="shared" si="116"/>
        <v>7.6498560000000015</v>
      </c>
      <c r="HJ84" s="5">
        <f t="shared" si="116"/>
        <v>7.451136</v>
      </c>
      <c r="HK84" s="5">
        <f t="shared" si="116"/>
        <v>7.57728</v>
      </c>
      <c r="HL84" s="5">
        <f t="shared" si="116"/>
        <v>7.5150719999999991</v>
      </c>
      <c r="HM84" s="5">
        <f t="shared" si="116"/>
        <v>7.2947519999999981</v>
      </c>
      <c r="HN84" s="5">
        <f t="shared" si="116"/>
        <v>7.0986239999999992</v>
      </c>
      <c r="HO84" s="5">
        <f t="shared" si="116"/>
        <v>6.8333759999999995</v>
      </c>
      <c r="HP84" s="5">
        <f t="shared" si="116"/>
        <v>6.94224</v>
      </c>
      <c r="HQ84" s="5">
        <f t="shared" si="116"/>
        <v>7.2722880000000005</v>
      </c>
      <c r="HR84" s="5">
        <f t="shared" si="116"/>
        <v>7.5280320000000005</v>
      </c>
      <c r="HS84" s="5">
        <f t="shared" si="116"/>
        <v>7.9669440000000007</v>
      </c>
      <c r="HT84" s="5">
        <f t="shared" si="116"/>
        <v>8.3877120000000023</v>
      </c>
      <c r="HU84" s="5">
        <f t="shared" si="116"/>
        <v>8.7497280000000011</v>
      </c>
      <c r="HV84" s="5">
        <f t="shared" si="116"/>
        <v>8.6728320000000014</v>
      </c>
      <c r="HW84" s="5">
        <f t="shared" si="116"/>
        <v>8.5708799999999989</v>
      </c>
      <c r="HX84" s="5">
        <f t="shared" si="116"/>
        <v>8.2512000000000008</v>
      </c>
      <c r="HY84" s="5">
        <f t="shared" si="116"/>
        <v>8.1371519999999986</v>
      </c>
      <c r="HZ84" s="5">
        <f t="shared" si="116"/>
        <v>8.0369279999999996</v>
      </c>
      <c r="IA84" s="5">
        <f t="shared" si="116"/>
        <v>8.1544319999999981</v>
      </c>
      <c r="IB84" s="5">
        <f t="shared" si="116"/>
        <v>7.8036480000000008</v>
      </c>
      <c r="IC84" s="5">
        <f t="shared" si="116"/>
        <v>7.7397119999999999</v>
      </c>
      <c r="ID84" s="5">
        <f t="shared" si="116"/>
        <v>7.7673599999999992</v>
      </c>
      <c r="IE84" s="5">
        <f t="shared" si="116"/>
        <v>7.8917759999999983</v>
      </c>
      <c r="IF84" s="5">
        <f t="shared" si="116"/>
        <v>8.0835839999999983</v>
      </c>
      <c r="IG84" s="5">
        <f t="shared" si="116"/>
        <v>8.3851200000000006</v>
      </c>
      <c r="IH84" s="5">
        <f t="shared" si="116"/>
        <v>8.5415039999999998</v>
      </c>
      <c r="II84" s="5">
        <f t="shared" si="116"/>
        <v>8.7039360000000006</v>
      </c>
      <c r="IJ84" s="5">
        <f t="shared" si="116"/>
        <v>8.7065280000000005</v>
      </c>
      <c r="IK84" s="5">
        <f t="shared" si="116"/>
        <v>8.8102079999999994</v>
      </c>
      <c r="IL84" s="5">
        <f t="shared" si="116"/>
        <v>8.9959680000000013</v>
      </c>
      <c r="IM84" s="5">
        <f t="shared" si="116"/>
        <v>8.9207999999999998</v>
      </c>
      <c r="IN84" s="5">
        <f t="shared" si="116"/>
        <v>8.9795520000000018</v>
      </c>
      <c r="IO84" s="5">
        <f t="shared" si="116"/>
        <v>9.243071999999998</v>
      </c>
      <c r="IP84" s="5">
        <f t="shared" si="116"/>
        <v>9.268991999999999</v>
      </c>
      <c r="IQ84" s="5">
        <f t="shared" si="116"/>
        <v>9.014111999999999</v>
      </c>
      <c r="IR84" s="5">
        <f t="shared" si="116"/>
        <v>8.849952</v>
      </c>
      <c r="IS84" s="5">
        <f t="shared" si="116"/>
        <v>8.8698239999999977</v>
      </c>
      <c r="IT84" s="5">
        <f t="shared" si="116"/>
        <v>8.6503679999999985</v>
      </c>
      <c r="IU84" s="5">
        <f t="shared" si="116"/>
        <v>8.3505599999999998</v>
      </c>
      <c r="IV84" s="5">
        <f t="shared" si="116"/>
        <v>8.2451520000000009</v>
      </c>
      <c r="IW84" s="5">
        <f t="shared" si="116"/>
        <v>8.1967680000000005</v>
      </c>
      <c r="IX84" s="5">
        <f t="shared" si="116"/>
        <v>7.9686720000000006</v>
      </c>
      <c r="IY84" s="5">
        <f t="shared" ref="IY84:LJ84" si="117">AVERAGE(IY54:IY63)</f>
        <v>8.0040960000000005</v>
      </c>
      <c r="IZ84" s="5">
        <f t="shared" si="117"/>
        <v>8.2399680000000011</v>
      </c>
      <c r="JA84" s="5">
        <f t="shared" si="117"/>
        <v>8.1552960000000017</v>
      </c>
      <c r="JB84" s="5">
        <f t="shared" si="117"/>
        <v>8.1250559999999989</v>
      </c>
      <c r="JC84" s="5">
        <f t="shared" si="117"/>
        <v>7.8166079999999996</v>
      </c>
      <c r="JD84" s="5">
        <f t="shared" si="117"/>
        <v>7.3370879999999996</v>
      </c>
      <c r="JE84" s="5">
        <f t="shared" si="117"/>
        <v>6.9085439999999991</v>
      </c>
      <c r="JF84" s="5">
        <f t="shared" si="117"/>
        <v>6.8273279999999996</v>
      </c>
      <c r="JG84" s="5">
        <f t="shared" si="117"/>
        <v>6.9361920000000001</v>
      </c>
      <c r="JH84" s="5">
        <f t="shared" si="117"/>
        <v>6.878304</v>
      </c>
      <c r="JI84" s="5">
        <f t="shared" si="117"/>
        <v>6.8109120000000001</v>
      </c>
      <c r="JJ84" s="5">
        <f t="shared" si="117"/>
        <v>6.6994559999999996</v>
      </c>
      <c r="JK84" s="5">
        <f t="shared" si="117"/>
        <v>6.6070080000000004</v>
      </c>
      <c r="JL84" s="5">
        <f t="shared" si="117"/>
        <v>6.5206080000000002</v>
      </c>
      <c r="JM84" s="5">
        <f t="shared" si="117"/>
        <v>6.4713599999999998</v>
      </c>
      <c r="JN84" s="5">
        <f t="shared" si="117"/>
        <v>6.396192000000001</v>
      </c>
      <c r="JO84" s="5">
        <f t="shared" si="117"/>
        <v>6.2173439999999998</v>
      </c>
      <c r="JP84" s="5">
        <f t="shared" si="117"/>
        <v>6.1110719999999992</v>
      </c>
      <c r="JQ84" s="5">
        <f t="shared" si="117"/>
        <v>6.048</v>
      </c>
      <c r="JR84" s="5">
        <f t="shared" si="117"/>
        <v>6.0825599999999991</v>
      </c>
      <c r="JS84" s="5">
        <f t="shared" si="117"/>
        <v>6.116255999999999</v>
      </c>
      <c r="JT84" s="5">
        <f t="shared" si="117"/>
        <v>6.3953279999999992</v>
      </c>
      <c r="JU84" s="5">
        <f t="shared" si="117"/>
        <v>6.2536320000000005</v>
      </c>
      <c r="JV84" s="5">
        <f t="shared" si="117"/>
        <v>6.0445439999999993</v>
      </c>
      <c r="JW84" s="5">
        <f t="shared" si="117"/>
        <v>6.0428160000000002</v>
      </c>
      <c r="JX84" s="5">
        <f t="shared" si="117"/>
        <v>5.8086719999999996</v>
      </c>
      <c r="JY84" s="5">
        <f t="shared" si="117"/>
        <v>5.5978560000000002</v>
      </c>
      <c r="JZ84" s="5">
        <f t="shared" si="117"/>
        <v>5.3974080000000004</v>
      </c>
      <c r="KA84" s="5">
        <f t="shared" si="117"/>
        <v>5.1632639999999999</v>
      </c>
      <c r="KB84" s="5">
        <f t="shared" si="117"/>
        <v>5.1477120000000003</v>
      </c>
      <c r="KC84" s="5">
        <f t="shared" si="117"/>
        <v>5.0094720000000006</v>
      </c>
      <c r="KD84" s="5">
        <f t="shared" si="117"/>
        <v>4.8280320000000003</v>
      </c>
      <c r="KE84" s="5">
        <f t="shared" si="117"/>
        <v>4.7399040000000001</v>
      </c>
      <c r="KF84" s="5">
        <f t="shared" si="117"/>
        <v>4.6232640000000007</v>
      </c>
      <c r="KG84" s="5">
        <f t="shared" si="117"/>
        <v>4.5766080000000002</v>
      </c>
      <c r="KH84" s="5">
        <f t="shared" si="117"/>
        <v>4.5334079999999997</v>
      </c>
      <c r="KI84" s="5">
        <f t="shared" si="117"/>
        <v>4.424544</v>
      </c>
      <c r="KJ84" s="5">
        <f t="shared" si="117"/>
        <v>4.3070399999999998</v>
      </c>
      <c r="KK84" s="5">
        <f t="shared" si="117"/>
        <v>4.2085440000000007</v>
      </c>
      <c r="KL84" s="5">
        <f t="shared" si="117"/>
        <v>4.0547520000000006</v>
      </c>
      <c r="KM84" s="5">
        <f t="shared" si="117"/>
        <v>3.9839040000000003</v>
      </c>
      <c r="KN84" s="5">
        <f t="shared" si="117"/>
        <v>3.914784</v>
      </c>
      <c r="KO84" s="5">
        <f t="shared" si="117"/>
        <v>3.9260159999999997</v>
      </c>
      <c r="KP84" s="5">
        <f t="shared" si="117"/>
        <v>3.8050559999999991</v>
      </c>
      <c r="KQ84" s="5">
        <f t="shared" si="117"/>
        <v>3.6711359999999997</v>
      </c>
      <c r="KR84" s="5">
        <f t="shared" si="117"/>
        <v>3.5812799999999996</v>
      </c>
      <c r="KS84" s="5">
        <f t="shared" si="117"/>
        <v>3.5207999999999999</v>
      </c>
      <c r="KT84" s="5">
        <f t="shared" si="117"/>
        <v>3.5277120000000002</v>
      </c>
      <c r="KU84" s="5">
        <f t="shared" si="117"/>
        <v>3.519936</v>
      </c>
      <c r="KV84" s="5">
        <f t="shared" si="117"/>
        <v>3.4456320000000007</v>
      </c>
      <c r="KW84" s="5">
        <f t="shared" si="117"/>
        <v>3.4110719999999999</v>
      </c>
      <c r="KX84" s="5">
        <f t="shared" si="117"/>
        <v>3.2831999999999995</v>
      </c>
      <c r="KY84" s="5">
        <f t="shared" si="117"/>
        <v>3.1311360000000001</v>
      </c>
      <c r="KZ84" s="5">
        <f t="shared" si="117"/>
        <v>3.057696</v>
      </c>
      <c r="LA84" s="5">
        <f t="shared" si="117"/>
        <v>3.0153599999999998</v>
      </c>
      <c r="LB84" s="5">
        <f t="shared" si="117"/>
        <v>2.929824</v>
      </c>
      <c r="LC84" s="5">
        <f t="shared" si="117"/>
        <v>2.8477440000000005</v>
      </c>
      <c r="LD84" s="5">
        <f t="shared" si="117"/>
        <v>2.8045439999999995</v>
      </c>
      <c r="LE84" s="5">
        <f t="shared" si="117"/>
        <v>2.7475200000000006</v>
      </c>
      <c r="LF84" s="5">
        <f t="shared" si="117"/>
        <v>2.723328</v>
      </c>
      <c r="LG84" s="5">
        <f t="shared" si="117"/>
        <v>2.6524799999999997</v>
      </c>
      <c r="LH84" s="5">
        <f t="shared" si="117"/>
        <v>2.6507519999999998</v>
      </c>
      <c r="LI84" s="5">
        <f t="shared" si="117"/>
        <v>2.6239680000000005</v>
      </c>
      <c r="LJ84" s="5">
        <f t="shared" si="117"/>
        <v>2.5496639999999999</v>
      </c>
      <c r="LK84" s="5">
        <f t="shared" ref="LK84:NU84" si="118">AVERAGE(LK54:LK63)</f>
        <v>2.4667199999999996</v>
      </c>
      <c r="LL84" s="5">
        <f t="shared" si="118"/>
        <v>2.3984639999999997</v>
      </c>
      <c r="LM84" s="5">
        <f t="shared" si="118"/>
        <v>2.3682239999999997</v>
      </c>
      <c r="LN84" s="5">
        <f t="shared" si="118"/>
        <v>2.3837760000000001</v>
      </c>
      <c r="LO84" s="5">
        <f t="shared" si="118"/>
        <v>2.3509440000000001</v>
      </c>
      <c r="LP84" s="5">
        <f t="shared" si="118"/>
        <v>2.2697279999999997</v>
      </c>
      <c r="LQ84" s="5">
        <f t="shared" si="118"/>
        <v>2.2567680000000001</v>
      </c>
      <c r="LR84" s="5">
        <f t="shared" si="118"/>
        <v>2.2991039999999998</v>
      </c>
      <c r="LS84" s="5">
        <f t="shared" si="118"/>
        <v>2.2317120000000004</v>
      </c>
      <c r="LT84" s="5">
        <f t="shared" si="118"/>
        <v>2.165184</v>
      </c>
      <c r="LU84" s="5">
        <f t="shared" si="118"/>
        <v>2.1306240000000001</v>
      </c>
      <c r="LV84" s="5">
        <f t="shared" si="118"/>
        <v>2.0554559999999999</v>
      </c>
      <c r="LW84" s="5">
        <f t="shared" si="118"/>
        <v>1.9984319999999998</v>
      </c>
      <c r="LX84" s="5">
        <f t="shared" si="118"/>
        <v>1.9837440000000002</v>
      </c>
      <c r="LY84" s="5">
        <f t="shared" si="118"/>
        <v>1.9439999999999997</v>
      </c>
      <c r="LZ84" s="5">
        <f t="shared" si="118"/>
        <v>1.9059839999999997</v>
      </c>
      <c r="MA84" s="5">
        <f t="shared" si="118"/>
        <v>1.8593280000000001</v>
      </c>
      <c r="MB84" s="5">
        <f t="shared" si="118"/>
        <v>1.8558720000000002</v>
      </c>
      <c r="MC84" s="5">
        <f t="shared" si="118"/>
        <v>1.8377279999999998</v>
      </c>
      <c r="MD84" s="5">
        <f t="shared" si="118"/>
        <v>1.7902079999999998</v>
      </c>
      <c r="ME84" s="5">
        <f t="shared" si="118"/>
        <v>1.7565120000000001</v>
      </c>
      <c r="MF84" s="5">
        <f t="shared" si="118"/>
        <v>1.7625600000000001</v>
      </c>
      <c r="MG84" s="5">
        <f t="shared" si="118"/>
        <v>1.7962560000000001</v>
      </c>
      <c r="MH84" s="5">
        <f t="shared" si="118"/>
        <v>1.7470079999999999</v>
      </c>
      <c r="MI84" s="5">
        <f t="shared" si="118"/>
        <v>1.7375039999999999</v>
      </c>
      <c r="MJ84" s="5">
        <f t="shared" si="118"/>
        <v>1.71936</v>
      </c>
      <c r="MK84" s="5">
        <f t="shared" si="118"/>
        <v>1.6891199999999997</v>
      </c>
      <c r="ML84" s="5">
        <f t="shared" si="118"/>
        <v>1.6735679999999999</v>
      </c>
      <c r="MM84" s="5">
        <f t="shared" si="118"/>
        <v>1.6934400000000001</v>
      </c>
      <c r="MN84" s="5">
        <f t="shared" si="118"/>
        <v>1.6917120000000001</v>
      </c>
      <c r="MO84" s="5">
        <f t="shared" si="118"/>
        <v>1.6813439999999999</v>
      </c>
      <c r="MP84" s="5">
        <f t="shared" si="118"/>
        <v>1.6398719999999998</v>
      </c>
      <c r="MQ84" s="5">
        <f t="shared" si="118"/>
        <v>1.6251839999999997</v>
      </c>
      <c r="MR84" s="5">
        <f t="shared" si="118"/>
        <v>1.6217280000000003</v>
      </c>
      <c r="MS84" s="5">
        <f t="shared" si="118"/>
        <v>1.5958080000000003</v>
      </c>
      <c r="MT84" s="5">
        <f t="shared" si="118"/>
        <v>1.5750719999999998</v>
      </c>
      <c r="MU84" s="5">
        <f t="shared" si="118"/>
        <v>1.5949439999999997</v>
      </c>
      <c r="MV84" s="5">
        <f t="shared" si="118"/>
        <v>1.5474240000000001</v>
      </c>
      <c r="MW84" s="5">
        <f t="shared" si="118"/>
        <v>1.5007680000000001</v>
      </c>
      <c r="MX84" s="5">
        <f t="shared" si="118"/>
        <v>1.479168</v>
      </c>
      <c r="MY84" s="5">
        <f t="shared" si="118"/>
        <v>1.4541119999999998</v>
      </c>
      <c r="MZ84" s="5">
        <f t="shared" si="118"/>
        <v>1.4506559999999999</v>
      </c>
      <c r="NA84" s="5">
        <f t="shared" si="118"/>
        <v>1.4342400000000002</v>
      </c>
      <c r="NB84" s="5">
        <f t="shared" si="118"/>
        <v>1.4342399999999995</v>
      </c>
      <c r="NC84" s="5">
        <f t="shared" si="118"/>
        <v>1.55952</v>
      </c>
      <c r="ND84" s="5">
        <f t="shared" si="118"/>
        <v>47.568383999999995</v>
      </c>
      <c r="NE84" s="5">
        <f t="shared" si="118"/>
        <v>38.386656000000002</v>
      </c>
      <c r="NF84" s="5">
        <f t="shared" si="118"/>
        <v>41.488416000000008</v>
      </c>
      <c r="NG84" s="5">
        <f t="shared" si="118"/>
        <v>40.823999999999998</v>
      </c>
      <c r="NH84" s="5">
        <f t="shared" si="118"/>
        <v>58.281983999999987</v>
      </c>
      <c r="NI84" s="5">
        <f t="shared" si="118"/>
        <v>111.55967999999999</v>
      </c>
      <c r="NJ84" s="5">
        <f t="shared" si="118"/>
        <v>214.646976</v>
      </c>
      <c r="NK84" s="5">
        <f t="shared" si="118"/>
        <v>245.63606400000003</v>
      </c>
      <c r="NL84" s="5">
        <f t="shared" si="118"/>
        <v>234.52416000000002</v>
      </c>
      <c r="NM84" s="5">
        <f t="shared" si="118"/>
        <v>151.46351999999999</v>
      </c>
      <c r="NN84" s="5">
        <f t="shared" si="118"/>
        <v>78.770880000000005</v>
      </c>
      <c r="NO84" s="5">
        <f t="shared" si="118"/>
        <v>51.58598400000001</v>
      </c>
      <c r="NP84" s="5">
        <f t="shared" si="118"/>
        <v>1314.7367040000001</v>
      </c>
      <c r="NQ84" s="5">
        <f t="shared" si="118"/>
        <v>13.433472</v>
      </c>
      <c r="NR84" s="5">
        <f t="shared" si="118"/>
        <v>42601.8</v>
      </c>
      <c r="NS84" s="5">
        <f t="shared" si="118"/>
        <v>1.0480319999999999</v>
      </c>
      <c r="NT84" s="5">
        <f t="shared" si="118"/>
        <v>42473.7</v>
      </c>
      <c r="NU84" s="5">
        <f t="shared" si="118"/>
        <v>4166.1992664121562</v>
      </c>
      <c r="NV84" s="5"/>
      <c r="NW84" s="5">
        <f t="shared" ref="NW84:OE84" si="119">AVERAGE(NW54:NW63)</f>
        <v>1016.112384</v>
      </c>
      <c r="NX84" s="5">
        <f t="shared" si="119"/>
        <v>77.112153268683144</v>
      </c>
      <c r="NY84" s="5">
        <f t="shared" si="119"/>
        <v>806.36688000000015</v>
      </c>
      <c r="NZ84" s="5">
        <f t="shared" si="119"/>
        <v>61.082431003692967</v>
      </c>
      <c r="OA84" s="5">
        <f t="shared" si="119"/>
        <v>298.62432000000001</v>
      </c>
      <c r="OB84" s="5">
        <f t="shared" si="119"/>
        <v>22.887846731316852</v>
      </c>
      <c r="OC84" s="5">
        <f t="shared" si="119"/>
        <v>282.19968000000006</v>
      </c>
      <c r="OD84" s="5">
        <f t="shared" si="119"/>
        <v>21.337416723268298</v>
      </c>
      <c r="OE84" s="5">
        <f t="shared" si="119"/>
        <v>307.18147289719622</v>
      </c>
      <c r="OF84" s="5">
        <f t="shared" ref="OF84" si="120">AVERAGE(OF54:OF63)</f>
        <v>9.7406606068365136</v>
      </c>
    </row>
    <row r="85" spans="1:396" customFormat="1" x14ac:dyDescent="0.15">
      <c r="A85" s="9" t="s">
        <v>47</v>
      </c>
      <c r="B85" s="5">
        <f>AVERAGE(B64:B69)</f>
        <v>1.3924799999999999</v>
      </c>
      <c r="C85" s="5">
        <f t="shared" ref="C85:BN85" si="121">AVERAGE(C64:C69)</f>
        <v>1.3823999999999999</v>
      </c>
      <c r="D85" s="5">
        <f t="shared" si="121"/>
        <v>1.4716799999999999</v>
      </c>
      <c r="E85" s="5">
        <f t="shared" si="121"/>
        <v>1.45008</v>
      </c>
      <c r="F85" s="5">
        <f t="shared" si="121"/>
        <v>1.5019200000000001</v>
      </c>
      <c r="G85" s="5">
        <f t="shared" si="121"/>
        <v>1.6430399999999998</v>
      </c>
      <c r="H85" s="5">
        <f t="shared" si="121"/>
        <v>1.6703999999999999</v>
      </c>
      <c r="I85" s="5">
        <f t="shared" si="121"/>
        <v>1.6603199999999998</v>
      </c>
      <c r="J85" s="5">
        <f t="shared" si="121"/>
        <v>1.6300800000000002</v>
      </c>
      <c r="K85" s="5">
        <f t="shared" si="121"/>
        <v>1.6027199999999999</v>
      </c>
      <c r="L85" s="5">
        <f t="shared" si="121"/>
        <v>1.5494399999999999</v>
      </c>
      <c r="M85" s="5">
        <f t="shared" si="121"/>
        <v>1.5724799999999999</v>
      </c>
      <c r="N85" s="5">
        <f t="shared" si="121"/>
        <v>1.6344000000000001</v>
      </c>
      <c r="O85" s="5">
        <f t="shared" si="121"/>
        <v>1.5638399999999999</v>
      </c>
      <c r="P85" s="5">
        <f t="shared" si="121"/>
        <v>1.5307199999999999</v>
      </c>
      <c r="Q85" s="5">
        <f t="shared" si="121"/>
        <v>1.4860800000000001</v>
      </c>
      <c r="R85" s="5">
        <f t="shared" si="121"/>
        <v>1.3895999999999999</v>
      </c>
      <c r="S85" s="5">
        <f t="shared" si="121"/>
        <v>1.4155200000000001</v>
      </c>
      <c r="T85" s="5">
        <f t="shared" si="121"/>
        <v>1.4284799999999997</v>
      </c>
      <c r="U85" s="5">
        <f t="shared" si="121"/>
        <v>1.3953599999999999</v>
      </c>
      <c r="V85" s="5">
        <f t="shared" si="121"/>
        <v>1.3982400000000001</v>
      </c>
      <c r="W85" s="5">
        <f t="shared" si="121"/>
        <v>1.4284799999999997</v>
      </c>
      <c r="X85" s="5">
        <f t="shared" si="121"/>
        <v>1.4428799999999999</v>
      </c>
      <c r="Y85" s="5">
        <f t="shared" si="121"/>
        <v>1.5264</v>
      </c>
      <c r="Z85" s="5">
        <f t="shared" si="121"/>
        <v>1.5537599999999998</v>
      </c>
      <c r="AA85" s="5">
        <f t="shared" si="121"/>
        <v>1.5537600000000003</v>
      </c>
      <c r="AB85" s="5">
        <f t="shared" si="121"/>
        <v>1.6128</v>
      </c>
      <c r="AC85" s="5">
        <f t="shared" si="121"/>
        <v>1.53792</v>
      </c>
      <c r="AD85" s="5">
        <f t="shared" si="121"/>
        <v>1.50624</v>
      </c>
      <c r="AE85" s="5">
        <f t="shared" si="121"/>
        <v>1.48752</v>
      </c>
      <c r="AF85" s="5">
        <f t="shared" si="121"/>
        <v>1.4947200000000003</v>
      </c>
      <c r="AG85" s="5">
        <f t="shared" si="121"/>
        <v>1.50336</v>
      </c>
      <c r="AH85" s="5">
        <f t="shared" si="121"/>
        <v>1.4832000000000001</v>
      </c>
      <c r="AI85" s="5">
        <f t="shared" si="121"/>
        <v>1.4600159999999998</v>
      </c>
      <c r="AJ85" s="5">
        <f t="shared" si="121"/>
        <v>1.433376</v>
      </c>
      <c r="AK85" s="5">
        <f t="shared" si="121"/>
        <v>1.3766400000000001</v>
      </c>
      <c r="AL85" s="5">
        <f t="shared" si="121"/>
        <v>1.38744</v>
      </c>
      <c r="AM85" s="5">
        <f t="shared" si="121"/>
        <v>1.4126399999999999</v>
      </c>
      <c r="AN85" s="5">
        <f t="shared" si="121"/>
        <v>1.3672800000000001</v>
      </c>
      <c r="AO85" s="5">
        <f t="shared" si="121"/>
        <v>1.3207679999999999</v>
      </c>
      <c r="AP85" s="5">
        <f t="shared" si="121"/>
        <v>1.2847680000000001</v>
      </c>
      <c r="AQ85" s="5">
        <f t="shared" si="121"/>
        <v>1.3163039999999999</v>
      </c>
      <c r="AR85" s="5">
        <f t="shared" si="121"/>
        <v>1.2970079999999999</v>
      </c>
      <c r="AS85" s="5">
        <f t="shared" si="121"/>
        <v>1.319472</v>
      </c>
      <c r="AT85" s="5">
        <f t="shared" si="121"/>
        <v>1.3076639999999999</v>
      </c>
      <c r="AU85" s="5">
        <f t="shared" si="121"/>
        <v>1.333296</v>
      </c>
      <c r="AV85" s="5">
        <f t="shared" si="121"/>
        <v>1.3811039999999999</v>
      </c>
      <c r="AW85" s="5">
        <f t="shared" si="121"/>
        <v>1.3756320000000002</v>
      </c>
      <c r="AX85" s="5">
        <f t="shared" si="121"/>
        <v>1.2889440000000001</v>
      </c>
      <c r="AY85" s="5">
        <f t="shared" si="121"/>
        <v>1.2470399999999999</v>
      </c>
      <c r="AZ85" s="5">
        <f t="shared" si="121"/>
        <v>1.2437280000000002</v>
      </c>
      <c r="BA85" s="5">
        <f t="shared" si="121"/>
        <v>1.2316320000000001</v>
      </c>
      <c r="BB85" s="5">
        <f t="shared" si="121"/>
        <v>1.2026880000000002</v>
      </c>
      <c r="BC85" s="5">
        <f t="shared" si="121"/>
        <v>1.1424960000000002</v>
      </c>
      <c r="BD85" s="5">
        <f t="shared" si="121"/>
        <v>1.1828160000000001</v>
      </c>
      <c r="BE85" s="5">
        <f t="shared" si="121"/>
        <v>1.17648</v>
      </c>
      <c r="BF85" s="5">
        <f t="shared" si="121"/>
        <v>1.183824</v>
      </c>
      <c r="BG85" s="5">
        <f t="shared" si="121"/>
        <v>1.2708000000000002</v>
      </c>
      <c r="BH85" s="5">
        <f t="shared" si="121"/>
        <v>1.326384</v>
      </c>
      <c r="BI85" s="5">
        <f t="shared" si="121"/>
        <v>1.38672</v>
      </c>
      <c r="BJ85" s="5">
        <f t="shared" si="121"/>
        <v>1.3593599999999999</v>
      </c>
      <c r="BK85" s="5">
        <f t="shared" si="121"/>
        <v>1.30752</v>
      </c>
      <c r="BL85" s="5">
        <f t="shared" si="121"/>
        <v>1.30176</v>
      </c>
      <c r="BM85" s="5">
        <f t="shared" si="121"/>
        <v>1.3233599999999999</v>
      </c>
      <c r="BN85" s="5">
        <f t="shared" si="121"/>
        <v>1.3478399999999997</v>
      </c>
      <c r="BO85" s="5">
        <f t="shared" ref="BO85:DZ85" si="122">AVERAGE(BO64:BO69)</f>
        <v>1.38096</v>
      </c>
      <c r="BP85" s="5">
        <f t="shared" si="122"/>
        <v>1.2916800000000002</v>
      </c>
      <c r="BQ85" s="5">
        <f t="shared" si="122"/>
        <v>1.2438720000000001</v>
      </c>
      <c r="BR85" s="5">
        <f t="shared" si="122"/>
        <v>1.24848</v>
      </c>
      <c r="BS85" s="5">
        <f t="shared" si="122"/>
        <v>1.3046400000000002</v>
      </c>
      <c r="BT85" s="5">
        <f t="shared" si="122"/>
        <v>1.31616</v>
      </c>
      <c r="BU85" s="5">
        <f t="shared" si="122"/>
        <v>1.3076639999999999</v>
      </c>
      <c r="BV85" s="5">
        <f t="shared" si="122"/>
        <v>1.2876480000000001</v>
      </c>
      <c r="BW85" s="5">
        <f t="shared" si="122"/>
        <v>1.2689280000000001</v>
      </c>
      <c r="BX85" s="5">
        <f t="shared" si="122"/>
        <v>1.301328</v>
      </c>
      <c r="BY85" s="5">
        <f t="shared" si="122"/>
        <v>1.3584959999999999</v>
      </c>
      <c r="BZ85" s="5">
        <f t="shared" si="122"/>
        <v>1.3917600000000003</v>
      </c>
      <c r="CA85" s="5">
        <f t="shared" si="122"/>
        <v>1.4232959999999999</v>
      </c>
      <c r="CB85" s="5">
        <f t="shared" si="122"/>
        <v>1.407456</v>
      </c>
      <c r="CC85" s="5">
        <f t="shared" si="122"/>
        <v>1.4346719999999999</v>
      </c>
      <c r="CD85" s="5">
        <f t="shared" si="122"/>
        <v>1.4260320000000002</v>
      </c>
      <c r="CE85" s="5">
        <f t="shared" si="122"/>
        <v>1.40472</v>
      </c>
      <c r="CF85" s="5">
        <f t="shared" si="122"/>
        <v>1.484496</v>
      </c>
      <c r="CG85" s="5">
        <f t="shared" si="122"/>
        <v>1.4672159999999999</v>
      </c>
      <c r="CH85" s="5">
        <f t="shared" si="122"/>
        <v>1.415808</v>
      </c>
      <c r="CI85" s="5">
        <f t="shared" si="122"/>
        <v>1.451808</v>
      </c>
      <c r="CJ85" s="5">
        <f t="shared" si="122"/>
        <v>1.431648</v>
      </c>
      <c r="CK85" s="5">
        <f t="shared" si="122"/>
        <v>1.4273279999999999</v>
      </c>
      <c r="CL85" s="5">
        <f t="shared" si="122"/>
        <v>1.4356800000000003</v>
      </c>
      <c r="CM85" s="5">
        <f t="shared" si="122"/>
        <v>1.3649760000000002</v>
      </c>
      <c r="CN85" s="5">
        <f t="shared" si="122"/>
        <v>1.3556160000000002</v>
      </c>
      <c r="CO85" s="5">
        <f t="shared" si="122"/>
        <v>1.346112</v>
      </c>
      <c r="CP85" s="5">
        <f t="shared" si="122"/>
        <v>1.3835519999999999</v>
      </c>
      <c r="CQ85" s="5">
        <f t="shared" si="122"/>
        <v>1.293552</v>
      </c>
      <c r="CR85" s="5">
        <f t="shared" si="122"/>
        <v>1.2896639999999999</v>
      </c>
      <c r="CS85" s="5">
        <f t="shared" si="122"/>
        <v>1.2944159999999998</v>
      </c>
      <c r="CT85" s="5">
        <f t="shared" si="122"/>
        <v>1.220256</v>
      </c>
      <c r="CU85" s="5">
        <f t="shared" si="122"/>
        <v>1.1695679999999999</v>
      </c>
      <c r="CV85" s="5">
        <f t="shared" si="122"/>
        <v>1.1894400000000001</v>
      </c>
      <c r="CW85" s="5">
        <f t="shared" si="122"/>
        <v>1.3582080000000001</v>
      </c>
      <c r="CX85" s="5">
        <f t="shared" si="122"/>
        <v>1.4142240000000001</v>
      </c>
      <c r="CY85" s="5">
        <f t="shared" si="122"/>
        <v>1.3895999999999999</v>
      </c>
      <c r="CZ85" s="5">
        <f t="shared" si="122"/>
        <v>1.3175999999999999</v>
      </c>
      <c r="DA85" s="5">
        <f t="shared" si="122"/>
        <v>1.2455999999999998</v>
      </c>
      <c r="DB85" s="5">
        <f t="shared" si="122"/>
        <v>1.2398399999999998</v>
      </c>
      <c r="DC85" s="5">
        <f t="shared" si="122"/>
        <v>1.26576</v>
      </c>
      <c r="DD85" s="5">
        <f t="shared" si="122"/>
        <v>1.2412799999999999</v>
      </c>
      <c r="DE85" s="5">
        <f t="shared" si="122"/>
        <v>1.2671999999999999</v>
      </c>
      <c r="DF85" s="5">
        <f t="shared" si="122"/>
        <v>1.23552</v>
      </c>
      <c r="DG85" s="5">
        <f t="shared" si="122"/>
        <v>1.224</v>
      </c>
      <c r="DH85" s="5">
        <f t="shared" si="122"/>
        <v>1.2340799999999998</v>
      </c>
      <c r="DI85" s="5">
        <f t="shared" si="122"/>
        <v>1.23264</v>
      </c>
      <c r="DJ85" s="5">
        <f t="shared" si="122"/>
        <v>1.2828959999999998</v>
      </c>
      <c r="DK85" s="5">
        <f t="shared" si="122"/>
        <v>1.2494879999999999</v>
      </c>
      <c r="DL85" s="5">
        <f t="shared" si="122"/>
        <v>1.2283200000000001</v>
      </c>
      <c r="DM85" s="5">
        <f t="shared" si="122"/>
        <v>1.27728</v>
      </c>
      <c r="DN85" s="5">
        <f t="shared" si="122"/>
        <v>1.3535999999999999</v>
      </c>
      <c r="DO85" s="5">
        <f t="shared" si="122"/>
        <v>1.4328000000000001</v>
      </c>
      <c r="DP85" s="5">
        <f t="shared" si="122"/>
        <v>1.61568</v>
      </c>
      <c r="DQ85" s="5">
        <f t="shared" si="122"/>
        <v>1.6473600000000002</v>
      </c>
      <c r="DR85" s="5">
        <f t="shared" si="122"/>
        <v>1.5537600000000003</v>
      </c>
      <c r="DS85" s="5">
        <f t="shared" si="122"/>
        <v>1.48752</v>
      </c>
      <c r="DT85" s="5">
        <f t="shared" si="122"/>
        <v>1.3464</v>
      </c>
      <c r="DU85" s="5">
        <f t="shared" si="122"/>
        <v>1.1937599999999999</v>
      </c>
      <c r="DV85" s="5">
        <f t="shared" si="122"/>
        <v>1.2467520000000001</v>
      </c>
      <c r="DW85" s="5">
        <f t="shared" si="122"/>
        <v>1.3233600000000001</v>
      </c>
      <c r="DX85" s="5">
        <f t="shared" si="122"/>
        <v>1.3622400000000001</v>
      </c>
      <c r="DY85" s="5">
        <f t="shared" si="122"/>
        <v>1.42272</v>
      </c>
      <c r="DZ85" s="5">
        <f t="shared" si="122"/>
        <v>1.4659199999999999</v>
      </c>
      <c r="EA85" s="5">
        <f t="shared" ref="EA85:GL85" si="123">AVERAGE(EA64:EA69)</f>
        <v>1.4385600000000001</v>
      </c>
      <c r="EB85" s="5">
        <f t="shared" si="123"/>
        <v>1.3680000000000001</v>
      </c>
      <c r="EC85" s="5">
        <f t="shared" si="123"/>
        <v>1.2686399999999998</v>
      </c>
      <c r="ED85" s="5">
        <f t="shared" si="123"/>
        <v>1.2585599999999999</v>
      </c>
      <c r="EE85" s="5">
        <f t="shared" si="123"/>
        <v>1.3175999999999999</v>
      </c>
      <c r="EF85" s="5">
        <f t="shared" si="123"/>
        <v>1.3636800000000002</v>
      </c>
      <c r="EG85" s="5">
        <f t="shared" si="123"/>
        <v>1.3665600000000004</v>
      </c>
      <c r="EH85" s="5">
        <f t="shared" si="123"/>
        <v>1.4284799999999997</v>
      </c>
      <c r="EI85" s="5">
        <f t="shared" si="123"/>
        <v>1.4497920000000002</v>
      </c>
      <c r="EJ85" s="5">
        <f t="shared" si="123"/>
        <v>1.5858720000000002</v>
      </c>
      <c r="EK85" s="5">
        <f t="shared" si="123"/>
        <v>1.6718399999999998</v>
      </c>
      <c r="EL85" s="5">
        <f t="shared" si="123"/>
        <v>1.7150399999999999</v>
      </c>
      <c r="EM85" s="5">
        <f t="shared" si="123"/>
        <v>1.8100800000000001</v>
      </c>
      <c r="EN85" s="5">
        <f t="shared" si="123"/>
        <v>1.7884799999999998</v>
      </c>
      <c r="EO85" s="5">
        <f t="shared" si="123"/>
        <v>1.8950400000000005</v>
      </c>
      <c r="EP85" s="5">
        <f t="shared" si="123"/>
        <v>2.052</v>
      </c>
      <c r="EQ85" s="5">
        <f t="shared" si="123"/>
        <v>2.0779200000000002</v>
      </c>
      <c r="ER85" s="5">
        <f t="shared" si="123"/>
        <v>1.9699200000000001</v>
      </c>
      <c r="ES85" s="5">
        <f t="shared" si="123"/>
        <v>2.01024</v>
      </c>
      <c r="ET85" s="5">
        <f t="shared" si="123"/>
        <v>2.2334399999999999</v>
      </c>
      <c r="EU85" s="5">
        <f t="shared" si="123"/>
        <v>2.2780799999999997</v>
      </c>
      <c r="EV85" s="5">
        <f t="shared" si="123"/>
        <v>2.2867200000000003</v>
      </c>
      <c r="EW85" s="5">
        <f t="shared" si="123"/>
        <v>2.2377599999999997</v>
      </c>
      <c r="EX85" s="5">
        <f t="shared" si="123"/>
        <v>2.33568</v>
      </c>
      <c r="EY85" s="5">
        <f t="shared" si="123"/>
        <v>2.39472</v>
      </c>
      <c r="EZ85" s="5">
        <f t="shared" si="123"/>
        <v>2.54304</v>
      </c>
      <c r="FA85" s="5">
        <f t="shared" si="123"/>
        <v>2.4595199999999999</v>
      </c>
      <c r="FB85" s="5">
        <f t="shared" si="123"/>
        <v>2.4436800000000001</v>
      </c>
      <c r="FC85" s="5">
        <f t="shared" si="123"/>
        <v>2.5214400000000001</v>
      </c>
      <c r="FD85" s="5">
        <f t="shared" si="123"/>
        <v>2.5977599999999996</v>
      </c>
      <c r="FE85" s="5">
        <f t="shared" si="123"/>
        <v>2.4580800000000003</v>
      </c>
      <c r="FF85" s="5">
        <f t="shared" si="123"/>
        <v>2.5214399999999997</v>
      </c>
      <c r="FG85" s="5">
        <f t="shared" si="123"/>
        <v>2.5358399999999999</v>
      </c>
      <c r="FH85" s="5">
        <f t="shared" si="123"/>
        <v>2.5833600000000003</v>
      </c>
      <c r="FI85" s="5">
        <f t="shared" si="123"/>
        <v>2.5401600000000002</v>
      </c>
      <c r="FJ85" s="5">
        <f t="shared" si="123"/>
        <v>2.4724799999999996</v>
      </c>
      <c r="FK85" s="5">
        <f t="shared" si="123"/>
        <v>2.5488</v>
      </c>
      <c r="FL85" s="5">
        <f t="shared" si="123"/>
        <v>2.89296</v>
      </c>
      <c r="FM85" s="5">
        <f t="shared" si="123"/>
        <v>3.0513600000000003</v>
      </c>
      <c r="FN85" s="5">
        <f t="shared" si="123"/>
        <v>3.1219199999999998</v>
      </c>
      <c r="FO85" s="5">
        <f t="shared" si="123"/>
        <v>3.1982400000000002</v>
      </c>
      <c r="FP85" s="5">
        <f t="shared" si="123"/>
        <v>3.1391999999999993</v>
      </c>
      <c r="FQ85" s="5">
        <f t="shared" si="123"/>
        <v>3.2443200000000001</v>
      </c>
      <c r="FR85" s="5">
        <f t="shared" si="123"/>
        <v>3.1809600000000002</v>
      </c>
      <c r="FS85" s="5">
        <f t="shared" si="123"/>
        <v>3.0801599999999998</v>
      </c>
      <c r="FT85" s="5">
        <f t="shared" si="123"/>
        <v>3.2832000000000003</v>
      </c>
      <c r="FU85" s="5">
        <f t="shared" si="123"/>
        <v>3.4977600000000009</v>
      </c>
      <c r="FV85" s="5">
        <f t="shared" si="123"/>
        <v>3.95424</v>
      </c>
      <c r="FW85" s="5">
        <f t="shared" si="123"/>
        <v>4.0550400000000009</v>
      </c>
      <c r="FX85" s="5">
        <f t="shared" si="123"/>
        <v>4.0219199999999997</v>
      </c>
      <c r="FY85" s="5">
        <f t="shared" si="123"/>
        <v>4.34016</v>
      </c>
      <c r="FZ85" s="5">
        <f t="shared" si="123"/>
        <v>5.1595199999999997</v>
      </c>
      <c r="GA85" s="5">
        <f t="shared" si="123"/>
        <v>5.3956799999999996</v>
      </c>
      <c r="GB85" s="5">
        <f t="shared" si="123"/>
        <v>5.5828800000000003</v>
      </c>
      <c r="GC85" s="5">
        <f t="shared" si="123"/>
        <v>5.4388800000000002</v>
      </c>
      <c r="GD85" s="5">
        <f t="shared" si="123"/>
        <v>5.1926399999999999</v>
      </c>
      <c r="GE85" s="5">
        <f t="shared" si="123"/>
        <v>4.9708800000000002</v>
      </c>
      <c r="GF85" s="5">
        <f t="shared" si="123"/>
        <v>5.2545600000000006</v>
      </c>
      <c r="GG85" s="5">
        <f t="shared" si="123"/>
        <v>5.7225600000000005</v>
      </c>
      <c r="GH85" s="5">
        <f t="shared" si="123"/>
        <v>5.3222399999999999</v>
      </c>
      <c r="GI85" s="5">
        <f t="shared" si="123"/>
        <v>5.8363199999999997</v>
      </c>
      <c r="GJ85" s="5">
        <f t="shared" si="123"/>
        <v>6.1876800000000003</v>
      </c>
      <c r="GK85" s="5">
        <f t="shared" si="123"/>
        <v>6.0912000000000006</v>
      </c>
      <c r="GL85" s="5">
        <f t="shared" si="123"/>
        <v>5.7470399999999993</v>
      </c>
      <c r="GM85" s="5">
        <f t="shared" ref="GM85:IX85" si="124">AVERAGE(GM64:GM69)</f>
        <v>5.5598400000000003</v>
      </c>
      <c r="GN85" s="5">
        <f t="shared" si="124"/>
        <v>5.5871999999999993</v>
      </c>
      <c r="GO85" s="5">
        <f t="shared" si="124"/>
        <v>6.0120000000000005</v>
      </c>
      <c r="GP85" s="5">
        <f t="shared" si="124"/>
        <v>6.32592</v>
      </c>
      <c r="GQ85" s="5">
        <f t="shared" si="124"/>
        <v>7.3295999999999992</v>
      </c>
      <c r="GR85" s="5">
        <f t="shared" si="124"/>
        <v>7.9747200000000005</v>
      </c>
      <c r="GS85" s="5">
        <f t="shared" si="124"/>
        <v>8.57376</v>
      </c>
      <c r="GT85" s="5">
        <f t="shared" si="124"/>
        <v>8.3303999999999991</v>
      </c>
      <c r="GU85" s="5">
        <f t="shared" si="124"/>
        <v>8.1172799999999992</v>
      </c>
      <c r="GV85" s="5">
        <f t="shared" si="124"/>
        <v>7.7803199999999997</v>
      </c>
      <c r="GW85" s="5">
        <f t="shared" si="124"/>
        <v>7.4923200000000003</v>
      </c>
      <c r="GX85" s="5">
        <f t="shared" si="124"/>
        <v>7.8451199999999988</v>
      </c>
      <c r="GY85" s="5">
        <f t="shared" si="124"/>
        <v>7.919999999999999</v>
      </c>
      <c r="GZ85" s="5">
        <f t="shared" si="124"/>
        <v>7.4073599999999997</v>
      </c>
      <c r="HA85" s="5">
        <f t="shared" si="124"/>
        <v>7.0300800000000008</v>
      </c>
      <c r="HB85" s="5">
        <f t="shared" si="124"/>
        <v>7.1164800000000001</v>
      </c>
      <c r="HC85" s="5">
        <f t="shared" si="124"/>
        <v>7.3828800000000001</v>
      </c>
      <c r="HD85" s="5">
        <f t="shared" si="124"/>
        <v>7.4476799999999992</v>
      </c>
      <c r="HE85" s="5">
        <f t="shared" si="124"/>
        <v>6.9335999999999993</v>
      </c>
      <c r="HF85" s="5">
        <f t="shared" si="124"/>
        <v>6.5419200000000002</v>
      </c>
      <c r="HG85" s="5">
        <f t="shared" si="124"/>
        <v>6.5376000000000003</v>
      </c>
      <c r="HH85" s="5">
        <f t="shared" si="124"/>
        <v>6.3748800000000001</v>
      </c>
      <c r="HI85" s="5">
        <f t="shared" si="124"/>
        <v>6.2755200000000002</v>
      </c>
      <c r="HJ85" s="5">
        <f t="shared" si="124"/>
        <v>6.0753599999999999</v>
      </c>
      <c r="HK85" s="5">
        <f t="shared" si="124"/>
        <v>5.9832000000000001</v>
      </c>
      <c r="HL85" s="5">
        <f t="shared" si="124"/>
        <v>5.8017600000000007</v>
      </c>
      <c r="HM85" s="5">
        <f t="shared" si="124"/>
        <v>5.9472000000000014</v>
      </c>
      <c r="HN85" s="5">
        <f t="shared" si="124"/>
        <v>6.0768000000000013</v>
      </c>
      <c r="HO85" s="5">
        <f t="shared" si="124"/>
        <v>6.0681599999999998</v>
      </c>
      <c r="HP85" s="5">
        <f t="shared" si="124"/>
        <v>5.7844799999999994</v>
      </c>
      <c r="HQ85" s="5">
        <f t="shared" si="124"/>
        <v>5.53104</v>
      </c>
      <c r="HR85" s="5">
        <f t="shared" si="124"/>
        <v>5.59152</v>
      </c>
      <c r="HS85" s="5">
        <f t="shared" si="124"/>
        <v>5.9457599999999999</v>
      </c>
      <c r="HT85" s="5">
        <f t="shared" si="124"/>
        <v>5.8651200000000001</v>
      </c>
      <c r="HU85" s="5">
        <f t="shared" si="124"/>
        <v>5.7542400000000002</v>
      </c>
      <c r="HV85" s="5">
        <f t="shared" si="124"/>
        <v>5.6649599999999998</v>
      </c>
      <c r="HW85" s="5">
        <f t="shared" si="124"/>
        <v>5.6808000000000005</v>
      </c>
      <c r="HX85" s="5">
        <f t="shared" si="124"/>
        <v>5.5108800000000002</v>
      </c>
      <c r="HY85" s="5">
        <f t="shared" si="124"/>
        <v>5.7830399999999997</v>
      </c>
      <c r="HZ85" s="5">
        <f t="shared" si="124"/>
        <v>5.6879999999999997</v>
      </c>
      <c r="IA85" s="5">
        <f t="shared" si="124"/>
        <v>5.3740800000000002</v>
      </c>
      <c r="IB85" s="5">
        <f t="shared" si="124"/>
        <v>5.2084800000000007</v>
      </c>
      <c r="IC85" s="5">
        <f t="shared" si="124"/>
        <v>5.3280000000000003</v>
      </c>
      <c r="ID85" s="5">
        <f t="shared" si="124"/>
        <v>5.5468800000000007</v>
      </c>
      <c r="IE85" s="5">
        <f t="shared" si="124"/>
        <v>5.6995199999999997</v>
      </c>
      <c r="IF85" s="5">
        <f t="shared" si="124"/>
        <v>5.9846399999999997</v>
      </c>
      <c r="IG85" s="5">
        <f t="shared" si="124"/>
        <v>6.0451199999999998</v>
      </c>
      <c r="IH85" s="5">
        <f t="shared" si="124"/>
        <v>6.3201600000000004</v>
      </c>
      <c r="II85" s="5">
        <f t="shared" si="124"/>
        <v>6.9091199999999988</v>
      </c>
      <c r="IJ85" s="5">
        <f t="shared" si="124"/>
        <v>6.7680000000000007</v>
      </c>
      <c r="IK85" s="5">
        <f t="shared" si="124"/>
        <v>6.7622399999999985</v>
      </c>
      <c r="IL85" s="5">
        <f t="shared" si="124"/>
        <v>6.9523200000000003</v>
      </c>
      <c r="IM85" s="5">
        <f t="shared" si="124"/>
        <v>6.8515200000000007</v>
      </c>
      <c r="IN85" s="5">
        <f t="shared" si="124"/>
        <v>6.7478400000000001</v>
      </c>
      <c r="IO85" s="5">
        <f t="shared" si="124"/>
        <v>6.9407999999999994</v>
      </c>
      <c r="IP85" s="5">
        <f t="shared" si="124"/>
        <v>6.7636800000000008</v>
      </c>
      <c r="IQ85" s="5">
        <f t="shared" si="124"/>
        <v>6.8558400000000006</v>
      </c>
      <c r="IR85" s="5">
        <f t="shared" si="124"/>
        <v>7.2705599999999997</v>
      </c>
      <c r="IS85" s="5">
        <f t="shared" si="124"/>
        <v>7.4966399999999993</v>
      </c>
      <c r="IT85" s="5">
        <f t="shared" si="124"/>
        <v>7.4678399999999998</v>
      </c>
      <c r="IU85" s="5">
        <f t="shared" si="124"/>
        <v>7.1092800000000009</v>
      </c>
      <c r="IV85" s="5">
        <f t="shared" si="124"/>
        <v>7.1755199999999997</v>
      </c>
      <c r="IW85" s="5">
        <f t="shared" si="124"/>
        <v>7.0732799999999996</v>
      </c>
      <c r="IX85" s="5">
        <f t="shared" si="124"/>
        <v>7.3612799999999998</v>
      </c>
      <c r="IY85" s="5">
        <f t="shared" ref="IY85:LJ85" si="125">AVERAGE(IY64:IY69)</f>
        <v>7.475039999999999</v>
      </c>
      <c r="IZ85" s="5">
        <f t="shared" si="125"/>
        <v>7.326719999999999</v>
      </c>
      <c r="JA85" s="5">
        <f t="shared" si="125"/>
        <v>7.1582399999999993</v>
      </c>
      <c r="JB85" s="5">
        <f t="shared" si="125"/>
        <v>7.3166399999999996</v>
      </c>
      <c r="JC85" s="5">
        <f t="shared" si="125"/>
        <v>7.0214399999999983</v>
      </c>
      <c r="JD85" s="5">
        <f t="shared" si="125"/>
        <v>6.9695999999999998</v>
      </c>
      <c r="JE85" s="5">
        <f t="shared" si="125"/>
        <v>7.2835200000000002</v>
      </c>
      <c r="JF85" s="5">
        <f t="shared" si="125"/>
        <v>7.1769600000000002</v>
      </c>
      <c r="JG85" s="5">
        <f t="shared" si="125"/>
        <v>7.0041599999999997</v>
      </c>
      <c r="JH85" s="5">
        <f t="shared" si="125"/>
        <v>6.9033600000000002</v>
      </c>
      <c r="JI85" s="5">
        <f t="shared" si="125"/>
        <v>6.5160000000000009</v>
      </c>
      <c r="JJ85" s="5">
        <f t="shared" si="125"/>
        <v>6.5145599999999995</v>
      </c>
      <c r="JK85" s="5">
        <f t="shared" si="125"/>
        <v>6.4051200000000001</v>
      </c>
      <c r="JL85" s="5">
        <f t="shared" si="125"/>
        <v>6.1070400000000005</v>
      </c>
      <c r="JM85" s="5">
        <f t="shared" si="125"/>
        <v>5.6577599999999997</v>
      </c>
      <c r="JN85" s="5">
        <f t="shared" si="125"/>
        <v>6.1041599999999994</v>
      </c>
      <c r="JO85" s="5">
        <f t="shared" si="125"/>
        <v>6.3849599999999995</v>
      </c>
      <c r="JP85" s="5">
        <f t="shared" si="125"/>
        <v>5.8247999999999998</v>
      </c>
      <c r="JQ85" s="5">
        <f t="shared" si="125"/>
        <v>5.3812800000000003</v>
      </c>
      <c r="JR85" s="5">
        <f t="shared" si="125"/>
        <v>5.4216000000000006</v>
      </c>
      <c r="JS85" s="5">
        <f t="shared" si="125"/>
        <v>5.2977600000000002</v>
      </c>
      <c r="JT85" s="5">
        <f t="shared" si="125"/>
        <v>5.120639999999999</v>
      </c>
      <c r="JU85" s="5">
        <f t="shared" si="125"/>
        <v>4.7174399999999999</v>
      </c>
      <c r="JV85" s="5">
        <f t="shared" si="125"/>
        <v>4.7289599999999998</v>
      </c>
      <c r="JW85" s="5">
        <f t="shared" si="125"/>
        <v>4.8902400000000004</v>
      </c>
      <c r="JX85" s="5">
        <f t="shared" si="125"/>
        <v>5.1321599999999998</v>
      </c>
      <c r="JY85" s="5">
        <f t="shared" si="125"/>
        <v>4.9636800000000001</v>
      </c>
      <c r="JZ85" s="5">
        <f t="shared" si="125"/>
        <v>5.0356800000000002</v>
      </c>
      <c r="KA85" s="5">
        <f t="shared" si="125"/>
        <v>4.9579200000000005</v>
      </c>
      <c r="KB85" s="5">
        <f t="shared" si="125"/>
        <v>4.7347200000000003</v>
      </c>
      <c r="KC85" s="5">
        <f t="shared" si="125"/>
        <v>4.4841600000000001</v>
      </c>
      <c r="KD85" s="5">
        <f t="shared" si="125"/>
        <v>4.2926400000000005</v>
      </c>
      <c r="KE85" s="5">
        <f t="shared" si="125"/>
        <v>4.24512</v>
      </c>
      <c r="KF85" s="5">
        <f t="shared" si="125"/>
        <v>4.2119999999999997</v>
      </c>
      <c r="KG85" s="5">
        <f t="shared" si="125"/>
        <v>4.1515199999999997</v>
      </c>
      <c r="KH85" s="5">
        <f t="shared" si="125"/>
        <v>4.0680000000000005</v>
      </c>
      <c r="KI85" s="5">
        <f t="shared" si="125"/>
        <v>4.0968</v>
      </c>
      <c r="KJ85" s="5">
        <f t="shared" si="125"/>
        <v>4.0680000000000005</v>
      </c>
      <c r="KK85" s="5">
        <f t="shared" si="125"/>
        <v>3.8563200000000002</v>
      </c>
      <c r="KL85" s="5">
        <f t="shared" si="125"/>
        <v>3.7296</v>
      </c>
      <c r="KM85" s="5">
        <f t="shared" si="125"/>
        <v>3.6</v>
      </c>
      <c r="KN85" s="5">
        <f t="shared" si="125"/>
        <v>3.5323199999999999</v>
      </c>
      <c r="KO85" s="5">
        <f t="shared" si="125"/>
        <v>3.4502399999999995</v>
      </c>
      <c r="KP85" s="5">
        <f t="shared" si="125"/>
        <v>3.2140800000000005</v>
      </c>
      <c r="KQ85" s="5">
        <f t="shared" si="125"/>
        <v>3.06</v>
      </c>
      <c r="KR85" s="5">
        <f t="shared" si="125"/>
        <v>3.0182400000000005</v>
      </c>
      <c r="KS85" s="5">
        <f t="shared" si="125"/>
        <v>2.9015999999999997</v>
      </c>
      <c r="KT85" s="5">
        <f t="shared" si="125"/>
        <v>2.8439999999999999</v>
      </c>
      <c r="KU85" s="5">
        <f t="shared" si="125"/>
        <v>2.8382400000000003</v>
      </c>
      <c r="KV85" s="5">
        <f t="shared" si="125"/>
        <v>2.6035200000000001</v>
      </c>
      <c r="KW85" s="5">
        <f t="shared" si="125"/>
        <v>2.5689600000000001</v>
      </c>
      <c r="KX85" s="5">
        <f t="shared" si="125"/>
        <v>2.47824</v>
      </c>
      <c r="KY85" s="5">
        <f t="shared" si="125"/>
        <v>2.4695999999999998</v>
      </c>
      <c r="KZ85" s="5">
        <f t="shared" si="125"/>
        <v>2.48976</v>
      </c>
      <c r="LA85" s="5">
        <f t="shared" si="125"/>
        <v>2.448</v>
      </c>
      <c r="LB85" s="5">
        <f t="shared" si="125"/>
        <v>2.4048000000000003</v>
      </c>
      <c r="LC85" s="5">
        <f t="shared" si="125"/>
        <v>2.3702399999999995</v>
      </c>
      <c r="LD85" s="5">
        <f t="shared" si="125"/>
        <v>2.3673600000000001</v>
      </c>
      <c r="LE85" s="5">
        <f t="shared" si="125"/>
        <v>2.3759999999999999</v>
      </c>
      <c r="LF85" s="5">
        <f t="shared" si="125"/>
        <v>2.2204799999999998</v>
      </c>
      <c r="LG85" s="5">
        <f t="shared" si="125"/>
        <v>2.3054399999999999</v>
      </c>
      <c r="LH85" s="5">
        <f t="shared" si="125"/>
        <v>2.2449600000000003</v>
      </c>
      <c r="LI85" s="5">
        <f t="shared" si="125"/>
        <v>2.1715200000000001</v>
      </c>
      <c r="LJ85" s="5">
        <f t="shared" si="125"/>
        <v>2.17008</v>
      </c>
      <c r="LK85" s="5">
        <f t="shared" ref="LK85:NU85" si="126">AVERAGE(LK64:LK69)</f>
        <v>2.1340800000000004</v>
      </c>
      <c r="LL85" s="5">
        <f t="shared" si="126"/>
        <v>2.1456</v>
      </c>
      <c r="LM85" s="5">
        <f t="shared" si="126"/>
        <v>2.1671999999999998</v>
      </c>
      <c r="LN85" s="5">
        <f t="shared" si="126"/>
        <v>2.2017600000000002</v>
      </c>
      <c r="LO85" s="5">
        <f t="shared" si="126"/>
        <v>2.1801599999999999</v>
      </c>
      <c r="LP85" s="5">
        <f t="shared" si="126"/>
        <v>2.1297599999999997</v>
      </c>
      <c r="LQ85" s="5">
        <f t="shared" si="126"/>
        <v>2.1945600000000005</v>
      </c>
      <c r="LR85" s="5">
        <f t="shared" si="126"/>
        <v>2.0707200000000001</v>
      </c>
      <c r="LS85" s="5">
        <f t="shared" si="126"/>
        <v>1.9281600000000001</v>
      </c>
      <c r="LT85" s="5">
        <f t="shared" si="126"/>
        <v>1.8244800000000001</v>
      </c>
      <c r="LU85" s="5">
        <f t="shared" si="126"/>
        <v>1.9310400000000001</v>
      </c>
      <c r="LV85" s="5">
        <f t="shared" si="126"/>
        <v>1.9670399999999999</v>
      </c>
      <c r="LW85" s="5">
        <f t="shared" si="126"/>
        <v>1.8748799999999999</v>
      </c>
      <c r="LX85" s="5">
        <f t="shared" si="126"/>
        <v>1.71072</v>
      </c>
      <c r="LY85" s="5">
        <f t="shared" si="126"/>
        <v>1.6531200000000001</v>
      </c>
      <c r="LZ85" s="5">
        <f t="shared" si="126"/>
        <v>1.6430400000000001</v>
      </c>
      <c r="MA85" s="5">
        <f t="shared" si="126"/>
        <v>1.6084800000000001</v>
      </c>
      <c r="MB85" s="5">
        <f t="shared" si="126"/>
        <v>1.6086239999999998</v>
      </c>
      <c r="MC85" s="5">
        <f t="shared" si="126"/>
        <v>1.5628320000000002</v>
      </c>
      <c r="MD85" s="5">
        <f t="shared" si="126"/>
        <v>1.4405760000000001</v>
      </c>
      <c r="ME85" s="5">
        <f t="shared" si="126"/>
        <v>1.4130719999999999</v>
      </c>
      <c r="MF85" s="5">
        <f t="shared" si="126"/>
        <v>1.4487840000000001</v>
      </c>
      <c r="MG85" s="5">
        <f t="shared" si="126"/>
        <v>1.375488</v>
      </c>
      <c r="MH85" s="5">
        <f t="shared" si="126"/>
        <v>1.2885119999999999</v>
      </c>
      <c r="MI85" s="5">
        <f t="shared" si="126"/>
        <v>1.296</v>
      </c>
      <c r="MJ85" s="5">
        <f t="shared" si="126"/>
        <v>1.3700159999999999</v>
      </c>
      <c r="MK85" s="5">
        <f t="shared" si="126"/>
        <v>1.4502240000000002</v>
      </c>
      <c r="ML85" s="5">
        <f t="shared" si="126"/>
        <v>1.4333759999999998</v>
      </c>
      <c r="MM85" s="5">
        <f t="shared" si="126"/>
        <v>1.2983040000000001</v>
      </c>
      <c r="MN85" s="5">
        <f t="shared" si="126"/>
        <v>1.3242240000000001</v>
      </c>
      <c r="MO85" s="5">
        <f t="shared" si="126"/>
        <v>1.3504319999999999</v>
      </c>
      <c r="MP85" s="5">
        <f t="shared" si="126"/>
        <v>1.3276800000000002</v>
      </c>
      <c r="MQ85" s="5">
        <f t="shared" si="126"/>
        <v>1.3190400000000002</v>
      </c>
      <c r="MR85" s="5">
        <f t="shared" si="126"/>
        <v>1.2614400000000001</v>
      </c>
      <c r="MS85" s="5">
        <f t="shared" si="126"/>
        <v>1.2643199999999999</v>
      </c>
      <c r="MT85" s="5">
        <f t="shared" si="126"/>
        <v>1.2686400000000002</v>
      </c>
      <c r="MU85" s="5">
        <f t="shared" si="126"/>
        <v>1.3348800000000001</v>
      </c>
      <c r="MV85" s="5">
        <f t="shared" si="126"/>
        <v>1.3262400000000001</v>
      </c>
      <c r="MW85" s="5">
        <f t="shared" si="126"/>
        <v>1.2643199999999999</v>
      </c>
      <c r="MX85" s="5">
        <f t="shared" si="126"/>
        <v>1.2873600000000001</v>
      </c>
      <c r="MY85" s="5">
        <f t="shared" si="126"/>
        <v>1.3219200000000002</v>
      </c>
      <c r="MZ85" s="5">
        <f t="shared" si="126"/>
        <v>1.3968</v>
      </c>
      <c r="NA85" s="5">
        <f t="shared" si="126"/>
        <v>1.4328000000000001</v>
      </c>
      <c r="NB85" s="5">
        <f t="shared" si="126"/>
        <v>1.4039999999999999</v>
      </c>
      <c r="NC85" s="5">
        <f t="shared" si="126"/>
        <v>1.6113599999999999</v>
      </c>
      <c r="ND85" s="5">
        <f t="shared" si="126"/>
        <v>46.872000000000007</v>
      </c>
      <c r="NE85" s="5">
        <f t="shared" si="126"/>
        <v>37.281312</v>
      </c>
      <c r="NF85" s="5">
        <f t="shared" si="126"/>
        <v>42.278544000000004</v>
      </c>
      <c r="NG85" s="5">
        <f t="shared" si="126"/>
        <v>39.527999999999999</v>
      </c>
      <c r="NH85" s="5">
        <f t="shared" si="126"/>
        <v>50.755679999999991</v>
      </c>
      <c r="NI85" s="5">
        <f t="shared" si="126"/>
        <v>93.571200000000019</v>
      </c>
      <c r="NJ85" s="5">
        <f t="shared" si="126"/>
        <v>206.19215999999997</v>
      </c>
      <c r="NK85" s="5">
        <f t="shared" si="126"/>
        <v>183.87216000000001</v>
      </c>
      <c r="NL85" s="5">
        <f t="shared" si="126"/>
        <v>207.35999999999999</v>
      </c>
      <c r="NM85" s="5">
        <f t="shared" si="126"/>
        <v>133.02719999999999</v>
      </c>
      <c r="NN85" s="5">
        <f t="shared" si="126"/>
        <v>67.003199999999993</v>
      </c>
      <c r="NO85" s="5">
        <f t="shared" si="126"/>
        <v>43.166879999999999</v>
      </c>
      <c r="NP85" s="5">
        <f t="shared" si="126"/>
        <v>1150.9083360000002</v>
      </c>
      <c r="NQ85" s="5">
        <f t="shared" si="126"/>
        <v>11.836800000000002</v>
      </c>
      <c r="NR85" s="5">
        <f t="shared" si="126"/>
        <v>42598.333333333336</v>
      </c>
      <c r="NS85" s="5">
        <f t="shared" si="126"/>
        <v>0.83073600000000003</v>
      </c>
      <c r="NT85" s="5">
        <f t="shared" si="126"/>
        <v>42483.5</v>
      </c>
      <c r="NU85" s="5">
        <f t="shared" si="126"/>
        <v>3645.4300883299643</v>
      </c>
      <c r="NV85" s="5"/>
      <c r="NW85" s="5">
        <f t="shared" ref="NW85:OE85" si="127">AVERAGE(NW64:NW69)</f>
        <v>874.77840000000003</v>
      </c>
      <c r="NX85" s="5">
        <f t="shared" si="127"/>
        <v>75.762843365772923</v>
      </c>
      <c r="NY85" s="5">
        <f t="shared" si="127"/>
        <v>690.99551999999994</v>
      </c>
      <c r="NZ85" s="5">
        <f t="shared" si="127"/>
        <v>59.822420534990442</v>
      </c>
      <c r="OA85" s="5">
        <f t="shared" si="127"/>
        <v>276.12993600000004</v>
      </c>
      <c r="OB85" s="5">
        <f t="shared" si="127"/>
        <v>24.237156634227087</v>
      </c>
      <c r="OC85" s="5">
        <f t="shared" si="127"/>
        <v>235.95264</v>
      </c>
      <c r="OD85" s="5">
        <f t="shared" si="127"/>
        <v>20.380241533318145</v>
      </c>
      <c r="OE85" s="5">
        <f t="shared" si="127"/>
        <v>268.90381682242992</v>
      </c>
      <c r="OF85" s="5">
        <f t="shared" ref="OF85" si="128">AVERAGE(OF64:OF69)</f>
        <v>8.5268840950795894</v>
      </c>
    </row>
    <row r="86" spans="1:396" customFormat="1" x14ac:dyDescent="0.15">
      <c r="A86" s="9" t="s">
        <v>50</v>
      </c>
      <c r="B86" s="5">
        <f>AVERAGE(B3:B43)</f>
        <v>1.303753846153846</v>
      </c>
      <c r="C86" s="5">
        <f t="shared" ref="C86:BN86" si="129">AVERAGE(C3:C43)</f>
        <v>1.2926769230769228</v>
      </c>
      <c r="D86" s="5">
        <f t="shared" si="129"/>
        <v>1.2813784615384614</v>
      </c>
      <c r="E86" s="5">
        <f t="shared" si="129"/>
        <v>1.2714092307692306</v>
      </c>
      <c r="F86" s="5">
        <f t="shared" si="129"/>
        <v>1.2609969230769231</v>
      </c>
      <c r="G86" s="5">
        <f t="shared" si="129"/>
        <v>1.2499200000000001</v>
      </c>
      <c r="H86" s="5">
        <f t="shared" si="129"/>
        <v>1.2397292307692309</v>
      </c>
      <c r="I86" s="5">
        <f t="shared" si="129"/>
        <v>1.2297600000000002</v>
      </c>
      <c r="J86" s="5">
        <f t="shared" si="129"/>
        <v>1.219126153846154</v>
      </c>
      <c r="K86" s="5">
        <f t="shared" si="129"/>
        <v>1.208713846153846</v>
      </c>
      <c r="L86" s="5">
        <f t="shared" si="129"/>
        <v>1.2000738461538458</v>
      </c>
      <c r="M86" s="5">
        <f t="shared" si="129"/>
        <v>1.1912123076923073</v>
      </c>
      <c r="N86" s="5">
        <f t="shared" si="129"/>
        <v>1.1832369230769229</v>
      </c>
      <c r="O86" s="5">
        <f t="shared" si="129"/>
        <v>1.1768123076923076</v>
      </c>
      <c r="P86" s="5">
        <f t="shared" si="129"/>
        <v>1.1688369230769229</v>
      </c>
      <c r="Q86" s="5">
        <f t="shared" si="129"/>
        <v>1.1617476923076921</v>
      </c>
      <c r="R86" s="5">
        <f t="shared" si="129"/>
        <v>1.1548799999999997</v>
      </c>
      <c r="S86" s="5">
        <f t="shared" si="129"/>
        <v>1.1469046153846152</v>
      </c>
      <c r="T86" s="5">
        <f t="shared" si="129"/>
        <v>1.1404799999999997</v>
      </c>
      <c r="U86" s="5">
        <f t="shared" si="129"/>
        <v>1.1323052307692307</v>
      </c>
      <c r="V86" s="5">
        <f t="shared" si="129"/>
        <v>1.1237981538461539</v>
      </c>
      <c r="W86" s="5">
        <f t="shared" si="129"/>
        <v>1.1154239999999997</v>
      </c>
      <c r="X86" s="5">
        <f t="shared" si="129"/>
        <v>1.1060529230769229</v>
      </c>
      <c r="Y86" s="5">
        <f t="shared" si="129"/>
        <v>1.0986756923076921</v>
      </c>
      <c r="Z86" s="5">
        <f t="shared" si="129"/>
        <v>1.0917193846153843</v>
      </c>
      <c r="AA86" s="5">
        <f t="shared" si="129"/>
        <v>1.0841870769230766</v>
      </c>
      <c r="AB86" s="5">
        <f t="shared" si="129"/>
        <v>1.0781390769230768</v>
      </c>
      <c r="AC86" s="5">
        <f t="shared" si="129"/>
        <v>1.0712049230769232</v>
      </c>
      <c r="AD86" s="5">
        <f t="shared" si="129"/>
        <v>1.064868923076923</v>
      </c>
      <c r="AE86" s="5">
        <f t="shared" si="129"/>
        <v>1.0589316923076926</v>
      </c>
      <c r="AF86" s="5">
        <f t="shared" si="129"/>
        <v>1.05552</v>
      </c>
      <c r="AG86" s="5">
        <f t="shared" si="129"/>
        <v>1.0504689230769231</v>
      </c>
      <c r="AH86" s="5">
        <f t="shared" si="129"/>
        <v>1.044598153846154</v>
      </c>
      <c r="AI86" s="5">
        <f t="shared" si="129"/>
        <v>1.0409870769230771</v>
      </c>
      <c r="AJ86" s="5">
        <f t="shared" si="129"/>
        <v>1.0383286153846156</v>
      </c>
      <c r="AK86" s="5">
        <f t="shared" si="129"/>
        <v>1.0327236923076923</v>
      </c>
      <c r="AL86" s="5">
        <f t="shared" si="129"/>
        <v>1.0295335384615385</v>
      </c>
      <c r="AM86" s="5">
        <f t="shared" si="129"/>
        <v>1.0254572307692307</v>
      </c>
      <c r="AN86" s="5">
        <f t="shared" si="129"/>
        <v>1.0210264615384614</v>
      </c>
      <c r="AO86" s="5">
        <f t="shared" si="129"/>
        <v>1.0179913846153845</v>
      </c>
      <c r="AP86" s="5">
        <f t="shared" si="129"/>
        <v>1.0141144615384614</v>
      </c>
      <c r="AQ86" s="5">
        <f t="shared" si="129"/>
        <v>1.0103704615384617</v>
      </c>
      <c r="AR86" s="5">
        <f t="shared" si="129"/>
        <v>1.0074683076923077</v>
      </c>
      <c r="AS86" s="5">
        <f t="shared" si="129"/>
        <v>1.0051421538461538</v>
      </c>
      <c r="AT86" s="5">
        <f t="shared" si="129"/>
        <v>1.0008000000000001</v>
      </c>
      <c r="AU86" s="5">
        <f t="shared" si="129"/>
        <v>0.9965907692307695</v>
      </c>
      <c r="AV86" s="5">
        <f t="shared" si="129"/>
        <v>0.99129600000000018</v>
      </c>
      <c r="AW86" s="5">
        <f t="shared" si="129"/>
        <v>0.98708676923076943</v>
      </c>
      <c r="AX86" s="5">
        <f t="shared" si="129"/>
        <v>0.98383015384615391</v>
      </c>
      <c r="AY86" s="5">
        <f t="shared" si="129"/>
        <v>0.98214646153846163</v>
      </c>
      <c r="AZ86" s="5">
        <f t="shared" si="129"/>
        <v>0.97924430769230775</v>
      </c>
      <c r="BA86" s="5">
        <f t="shared" si="129"/>
        <v>0.97589907692307698</v>
      </c>
      <c r="BB86" s="5">
        <f t="shared" si="129"/>
        <v>0.97350646153846176</v>
      </c>
      <c r="BC86" s="5">
        <f t="shared" si="129"/>
        <v>0.96925292307692335</v>
      </c>
      <c r="BD86" s="5">
        <f t="shared" si="129"/>
        <v>0.96661661538461541</v>
      </c>
      <c r="BE86" s="5">
        <f t="shared" si="129"/>
        <v>0.96386953846153867</v>
      </c>
      <c r="BF86" s="5">
        <f t="shared" si="129"/>
        <v>0.9601255384615387</v>
      </c>
      <c r="BG86" s="5">
        <f t="shared" si="129"/>
        <v>0.95828676923076905</v>
      </c>
      <c r="BH86" s="5">
        <f t="shared" si="129"/>
        <v>0.95786584615384607</v>
      </c>
      <c r="BI86" s="5">
        <f t="shared" si="129"/>
        <v>0.93337920000000008</v>
      </c>
      <c r="BJ86" s="5">
        <f t="shared" si="129"/>
        <v>0.95571692307692302</v>
      </c>
      <c r="BK86" s="5">
        <f t="shared" si="129"/>
        <v>0.95314707692307699</v>
      </c>
      <c r="BL86" s="5">
        <f t="shared" si="129"/>
        <v>0.94931446153846166</v>
      </c>
      <c r="BM86" s="5">
        <f t="shared" si="129"/>
        <v>0.94592492307692311</v>
      </c>
      <c r="BN86" s="5">
        <f t="shared" si="129"/>
        <v>0.94359876923076935</v>
      </c>
      <c r="BO86" s="5">
        <f t="shared" ref="BO86:DZ86" si="130">AVERAGE(BO3:BO43)</f>
        <v>0.94439630769230776</v>
      </c>
      <c r="BP86" s="5">
        <f t="shared" si="130"/>
        <v>0.94362092307692302</v>
      </c>
      <c r="BQ86" s="5">
        <f t="shared" si="130"/>
        <v>0.9418043076923075</v>
      </c>
      <c r="BR86" s="5">
        <f t="shared" si="130"/>
        <v>0.93890215384615372</v>
      </c>
      <c r="BS86" s="5">
        <f t="shared" si="130"/>
        <v>0.93659815384615375</v>
      </c>
      <c r="BT86" s="5">
        <f t="shared" si="130"/>
        <v>0.93416123076923074</v>
      </c>
      <c r="BU86" s="5">
        <f t="shared" si="130"/>
        <v>0.9340504615384615</v>
      </c>
      <c r="BV86" s="5">
        <f t="shared" si="130"/>
        <v>0.93192369230769223</v>
      </c>
      <c r="BW86" s="5">
        <f t="shared" si="130"/>
        <v>0.92961969230769204</v>
      </c>
      <c r="BX86" s="5">
        <f t="shared" si="130"/>
        <v>0.92877784615384607</v>
      </c>
      <c r="BY86" s="5">
        <f t="shared" si="130"/>
        <v>0.92840123076923076</v>
      </c>
      <c r="BZ86" s="5">
        <f t="shared" si="130"/>
        <v>0.93092676923076934</v>
      </c>
      <c r="CA86" s="5">
        <f t="shared" si="130"/>
        <v>0.93205661538461526</v>
      </c>
      <c r="CB86" s="5">
        <f t="shared" si="130"/>
        <v>0.93500307692307671</v>
      </c>
      <c r="CC86" s="5">
        <f t="shared" si="130"/>
        <v>0.93566769230769209</v>
      </c>
      <c r="CD86" s="5">
        <f t="shared" si="130"/>
        <v>0.93238892307692289</v>
      </c>
      <c r="CE86" s="5">
        <f t="shared" si="130"/>
        <v>0.92862276923076903</v>
      </c>
      <c r="CF86" s="5">
        <f t="shared" si="130"/>
        <v>0.93017353846153816</v>
      </c>
      <c r="CG86" s="5">
        <f t="shared" si="130"/>
        <v>0.93349661538461526</v>
      </c>
      <c r="CH86" s="5">
        <f t="shared" si="130"/>
        <v>0.93739569230769204</v>
      </c>
      <c r="CI86" s="5">
        <f t="shared" si="130"/>
        <v>0.94034215384615372</v>
      </c>
      <c r="CJ86" s="5">
        <f t="shared" si="130"/>
        <v>0.94045292307692308</v>
      </c>
      <c r="CK86" s="5">
        <f t="shared" si="130"/>
        <v>0.94007630769230766</v>
      </c>
      <c r="CL86" s="5">
        <f t="shared" si="130"/>
        <v>0.93790523076923082</v>
      </c>
      <c r="CM86" s="5">
        <f t="shared" si="130"/>
        <v>0.93941169230769217</v>
      </c>
      <c r="CN86" s="5">
        <f t="shared" si="130"/>
        <v>0.94342153846153853</v>
      </c>
      <c r="CO86" s="5">
        <f t="shared" si="130"/>
        <v>0.95230523076923079</v>
      </c>
      <c r="CP86" s="5">
        <f t="shared" si="130"/>
        <v>0.96209723076923093</v>
      </c>
      <c r="CQ86" s="5">
        <f t="shared" si="130"/>
        <v>0.96914215384615399</v>
      </c>
      <c r="CR86" s="5">
        <f t="shared" si="130"/>
        <v>0.97897846153846169</v>
      </c>
      <c r="CS86" s="5">
        <f t="shared" si="130"/>
        <v>0.98748553846153875</v>
      </c>
      <c r="CT86" s="5">
        <f t="shared" si="130"/>
        <v>0.98735261538461594</v>
      </c>
      <c r="CU86" s="5">
        <f t="shared" si="130"/>
        <v>0.99178338461538484</v>
      </c>
      <c r="CV86" s="5">
        <f t="shared" si="130"/>
        <v>0.99535015384615377</v>
      </c>
      <c r="CW86" s="5">
        <f t="shared" si="130"/>
        <v>1.0033255384615385</v>
      </c>
      <c r="CX86" s="5">
        <f t="shared" si="130"/>
        <v>1.0053415384615385</v>
      </c>
      <c r="CY86" s="5">
        <f t="shared" si="130"/>
        <v>1.018235076923077</v>
      </c>
      <c r="CZ86" s="5">
        <f t="shared" si="130"/>
        <v>1.0226215384615387</v>
      </c>
      <c r="DA86" s="5">
        <f t="shared" si="130"/>
        <v>1.0282707692307691</v>
      </c>
      <c r="DB86" s="5">
        <f t="shared" si="130"/>
        <v>1.0335876923076925</v>
      </c>
      <c r="DC86" s="5">
        <f t="shared" si="130"/>
        <v>1.0460603076923081</v>
      </c>
      <c r="DD86" s="5">
        <f t="shared" si="130"/>
        <v>1.058843076923077</v>
      </c>
      <c r="DE86" s="5">
        <f t="shared" si="130"/>
        <v>1.0680369230769229</v>
      </c>
      <c r="DF86" s="5">
        <f t="shared" si="130"/>
        <v>1.0763003076923074</v>
      </c>
      <c r="DG86" s="5">
        <f t="shared" si="130"/>
        <v>1.0867126153846154</v>
      </c>
      <c r="DH86" s="5">
        <f t="shared" si="130"/>
        <v>1.1031286153846154</v>
      </c>
      <c r="DI86" s="5">
        <f t="shared" si="130"/>
        <v>1.1260800000000002</v>
      </c>
      <c r="DJ86" s="5">
        <f t="shared" si="130"/>
        <v>1.1506707692307689</v>
      </c>
      <c r="DK86" s="5">
        <f t="shared" si="130"/>
        <v>1.1655138461538463</v>
      </c>
      <c r="DL86" s="5">
        <f t="shared" si="130"/>
        <v>1.1750400000000005</v>
      </c>
      <c r="DM86" s="5">
        <f t="shared" si="130"/>
        <v>1.1845661538461543</v>
      </c>
      <c r="DN86" s="5">
        <f t="shared" si="130"/>
        <v>1.2020676923076925</v>
      </c>
      <c r="DO86" s="5">
        <f t="shared" si="130"/>
        <v>1.2277661538461542</v>
      </c>
      <c r="DP86" s="5">
        <f t="shared" si="130"/>
        <v>1.2470400000000001</v>
      </c>
      <c r="DQ86" s="5">
        <f t="shared" si="130"/>
        <v>1.2698584615384618</v>
      </c>
      <c r="DR86" s="5">
        <f t="shared" si="130"/>
        <v>1.2889107692307691</v>
      </c>
      <c r="DS86" s="5">
        <f t="shared" si="130"/>
        <v>1.3006523076923071</v>
      </c>
      <c r="DT86" s="5">
        <f t="shared" si="130"/>
        <v>1.3093809230769229</v>
      </c>
      <c r="DU86" s="5">
        <f t="shared" si="130"/>
        <v>1.3257083076923077</v>
      </c>
      <c r="DV86" s="5">
        <f t="shared" si="130"/>
        <v>1.350564923076923</v>
      </c>
      <c r="DW86" s="5">
        <f t="shared" si="130"/>
        <v>1.3728516923076921</v>
      </c>
      <c r="DX86" s="5">
        <f t="shared" si="130"/>
        <v>1.3972430769230766</v>
      </c>
      <c r="DY86" s="5">
        <f t="shared" si="130"/>
        <v>1.4182006153846152</v>
      </c>
      <c r="DZ86" s="5">
        <f t="shared" si="130"/>
        <v>1.4350375384615379</v>
      </c>
      <c r="EA86" s="5">
        <f t="shared" ref="EA86:GL86" si="131">AVERAGE(EA3:EA43)</f>
        <v>1.4472443076923081</v>
      </c>
      <c r="EB86" s="5">
        <f t="shared" si="131"/>
        <v>1.461644307692308</v>
      </c>
      <c r="EC86" s="5">
        <f t="shared" si="131"/>
        <v>1.477129846153846</v>
      </c>
      <c r="ED86" s="5">
        <f t="shared" si="131"/>
        <v>1.4835323076923077</v>
      </c>
      <c r="EE86" s="5">
        <f t="shared" si="131"/>
        <v>1.5049107692307695</v>
      </c>
      <c r="EF86" s="5">
        <f t="shared" si="131"/>
        <v>1.5245169230769231</v>
      </c>
      <c r="EG86" s="5">
        <f t="shared" si="131"/>
        <v>1.5462055384615383</v>
      </c>
      <c r="EH86" s="5">
        <f t="shared" si="131"/>
        <v>1.568868923076923</v>
      </c>
      <c r="EI86" s="5">
        <f t="shared" si="131"/>
        <v>1.6091667692307694</v>
      </c>
      <c r="EJ86" s="5">
        <f t="shared" si="131"/>
        <v>1.6349760000000002</v>
      </c>
      <c r="EK86" s="5">
        <f t="shared" si="131"/>
        <v>1.6569747692307693</v>
      </c>
      <c r="EL86" s="5">
        <f t="shared" si="131"/>
        <v>1.6730584615384618</v>
      </c>
      <c r="EM86" s="5">
        <f t="shared" si="131"/>
        <v>1.6821415384615388</v>
      </c>
      <c r="EN86" s="5">
        <f t="shared" si="131"/>
        <v>1.7109193846153845</v>
      </c>
      <c r="EO86" s="5">
        <f t="shared" si="131"/>
        <v>1.7444824615384609</v>
      </c>
      <c r="EP86" s="5">
        <f t="shared" si="131"/>
        <v>1.7785107692307691</v>
      </c>
      <c r="EQ86" s="5">
        <f t="shared" si="131"/>
        <v>1.8110769230769226</v>
      </c>
      <c r="ER86" s="5">
        <f t="shared" si="131"/>
        <v>1.8509538461538459</v>
      </c>
      <c r="ES86" s="5">
        <f t="shared" si="131"/>
        <v>1.8968123076923076</v>
      </c>
      <c r="ET86" s="5">
        <f t="shared" si="131"/>
        <v>1.9245046153846153</v>
      </c>
      <c r="EU86" s="5">
        <f t="shared" si="131"/>
        <v>1.9756799999999999</v>
      </c>
      <c r="EV86" s="5">
        <f t="shared" si="131"/>
        <v>2.0321723076923073</v>
      </c>
      <c r="EW86" s="5">
        <f t="shared" si="131"/>
        <v>2.0831261538461536</v>
      </c>
      <c r="EX86" s="5">
        <f t="shared" si="131"/>
        <v>2.1201230769230763</v>
      </c>
      <c r="EY86" s="5">
        <f t="shared" si="131"/>
        <v>2.1434510769230766</v>
      </c>
      <c r="EZ86" s="5">
        <f t="shared" si="131"/>
        <v>2.218043076923077</v>
      </c>
      <c r="FA86" s="5">
        <f t="shared" si="131"/>
        <v>2.2785230769230771</v>
      </c>
      <c r="FB86" s="5">
        <f t="shared" si="131"/>
        <v>2.3401107692307694</v>
      </c>
      <c r="FC86" s="5">
        <f t="shared" si="131"/>
        <v>2.3815384615384616</v>
      </c>
      <c r="FD86" s="5">
        <f t="shared" si="131"/>
        <v>2.4415753846153843</v>
      </c>
      <c r="FE86" s="5">
        <f t="shared" si="131"/>
        <v>2.5279753846153845</v>
      </c>
      <c r="FF86" s="5">
        <f t="shared" si="131"/>
        <v>2.6170338461538458</v>
      </c>
      <c r="FG86" s="5">
        <f t="shared" si="131"/>
        <v>2.7169476923076918</v>
      </c>
      <c r="FH86" s="5">
        <f t="shared" si="131"/>
        <v>2.7880615384615384</v>
      </c>
      <c r="FI86" s="5">
        <f t="shared" si="131"/>
        <v>2.8811076923076921</v>
      </c>
      <c r="FJ86" s="5">
        <f t="shared" si="131"/>
        <v>2.9641846153846148</v>
      </c>
      <c r="FK86" s="5">
        <f t="shared" si="131"/>
        <v>3.0295384615384613</v>
      </c>
      <c r="FL86" s="5">
        <f t="shared" si="131"/>
        <v>3.1318892307692314</v>
      </c>
      <c r="FM86" s="5">
        <f t="shared" si="131"/>
        <v>3.3120000000000007</v>
      </c>
      <c r="FN86" s="5">
        <f t="shared" si="131"/>
        <v>3.4329599999999996</v>
      </c>
      <c r="FO86" s="5">
        <f t="shared" si="131"/>
        <v>3.5450584615384608</v>
      </c>
      <c r="FP86" s="5">
        <f t="shared" si="131"/>
        <v>3.836603076923077</v>
      </c>
      <c r="FQ86" s="5">
        <f t="shared" si="131"/>
        <v>4.0495015384615378</v>
      </c>
      <c r="FR86" s="5">
        <f t="shared" si="131"/>
        <v>4.2940800000000001</v>
      </c>
      <c r="FS86" s="5">
        <f t="shared" si="131"/>
        <v>4.5714461538461553</v>
      </c>
      <c r="FT86" s="5">
        <f t="shared" si="131"/>
        <v>4.7114584615384629</v>
      </c>
      <c r="FU86" s="5">
        <f t="shared" si="131"/>
        <v>4.7621907692307692</v>
      </c>
      <c r="FV86" s="5">
        <f t="shared" si="131"/>
        <v>4.8920123076923092</v>
      </c>
      <c r="FW86" s="5">
        <f t="shared" si="131"/>
        <v>5.1184246153846154</v>
      </c>
      <c r="FX86" s="5">
        <f t="shared" si="131"/>
        <v>5.353476923076923</v>
      </c>
      <c r="FY86" s="5">
        <f t="shared" si="131"/>
        <v>5.5984984615384619</v>
      </c>
      <c r="FZ86" s="5">
        <f t="shared" si="131"/>
        <v>5.6558769230769226</v>
      </c>
      <c r="GA86" s="5">
        <f t="shared" si="131"/>
        <v>5.686670769230771</v>
      </c>
      <c r="GB86" s="5">
        <f t="shared" si="131"/>
        <v>5.8140553846153846</v>
      </c>
      <c r="GC86" s="5">
        <f t="shared" si="131"/>
        <v>5.9797661538461515</v>
      </c>
      <c r="GD86" s="5">
        <f t="shared" si="131"/>
        <v>6.0590769230769226</v>
      </c>
      <c r="GE86" s="5">
        <f t="shared" si="131"/>
        <v>6.1647507692307713</v>
      </c>
      <c r="GF86" s="5">
        <f t="shared" si="131"/>
        <v>6.1689600000000002</v>
      </c>
      <c r="GG86" s="5">
        <f t="shared" si="131"/>
        <v>6.2772923076923064</v>
      </c>
      <c r="GH86" s="5">
        <f t="shared" si="131"/>
        <v>6.4897476923076916</v>
      </c>
      <c r="GI86" s="5">
        <f t="shared" si="131"/>
        <v>6.635741538461537</v>
      </c>
      <c r="GJ86" s="5">
        <f t="shared" si="131"/>
        <v>6.7343261538461547</v>
      </c>
      <c r="GK86" s="5">
        <f t="shared" si="131"/>
        <v>6.85883076923077</v>
      </c>
      <c r="GL86" s="5">
        <f t="shared" si="131"/>
        <v>6.8942769230769247</v>
      </c>
      <c r="GM86" s="5">
        <f t="shared" ref="GM86:IX86" si="132">AVERAGE(GM3:GM43)</f>
        <v>6.9538707692307682</v>
      </c>
      <c r="GN86" s="5">
        <f t="shared" si="132"/>
        <v>6.9186461538461526</v>
      </c>
      <c r="GO86" s="5">
        <f t="shared" si="132"/>
        <v>6.9131076923076922</v>
      </c>
      <c r="GP86" s="5">
        <f t="shared" si="132"/>
        <v>7.0949907692307699</v>
      </c>
      <c r="GQ86" s="5">
        <f t="shared" si="132"/>
        <v>7.396061538461538</v>
      </c>
      <c r="GR86" s="5">
        <f t="shared" si="132"/>
        <v>7.3701415384615387</v>
      </c>
      <c r="GS86" s="5">
        <f t="shared" si="132"/>
        <v>7.2409846153846145</v>
      </c>
      <c r="GT86" s="5">
        <f t="shared" si="132"/>
        <v>7.2135138461538464</v>
      </c>
      <c r="GU86" s="5">
        <f t="shared" si="132"/>
        <v>7.2507323076923083</v>
      </c>
      <c r="GV86" s="5">
        <f t="shared" si="132"/>
        <v>7.2505107692307682</v>
      </c>
      <c r="GW86" s="5">
        <f t="shared" si="132"/>
        <v>7.2099692307692296</v>
      </c>
      <c r="GX86" s="5">
        <f t="shared" si="132"/>
        <v>7.2613661538461525</v>
      </c>
      <c r="GY86" s="5">
        <f t="shared" si="132"/>
        <v>7.4031507692307672</v>
      </c>
      <c r="GZ86" s="5">
        <f t="shared" si="132"/>
        <v>7.4753723076923073</v>
      </c>
      <c r="HA86" s="5">
        <f t="shared" si="132"/>
        <v>7.4514461538461543</v>
      </c>
      <c r="HB86" s="5">
        <f t="shared" si="132"/>
        <v>7.4899938461538449</v>
      </c>
      <c r="HC86" s="5">
        <f t="shared" si="132"/>
        <v>7.6182646153846143</v>
      </c>
      <c r="HD86" s="5">
        <f t="shared" si="132"/>
        <v>7.6293415384615377</v>
      </c>
      <c r="HE86" s="5">
        <f t="shared" si="132"/>
        <v>7.7288123076923076</v>
      </c>
      <c r="HF86" s="5">
        <f t="shared" si="132"/>
        <v>7.8398030769230758</v>
      </c>
      <c r="HG86" s="5">
        <f t="shared" si="132"/>
        <v>7.9140184615384603</v>
      </c>
      <c r="HH86" s="5">
        <f t="shared" si="132"/>
        <v>7.931076923076926</v>
      </c>
      <c r="HI86" s="5">
        <f t="shared" si="132"/>
        <v>7.9472492307692342</v>
      </c>
      <c r="HJ86" s="5">
        <f t="shared" si="132"/>
        <v>8.0564676923076917</v>
      </c>
      <c r="HK86" s="5">
        <f t="shared" si="132"/>
        <v>8.0134892307692294</v>
      </c>
      <c r="HL86" s="5">
        <f t="shared" si="132"/>
        <v>7.939495384615384</v>
      </c>
      <c r="HM86" s="5">
        <f t="shared" si="132"/>
        <v>7.8712615384615399</v>
      </c>
      <c r="HN86" s="5">
        <f t="shared" si="132"/>
        <v>7.7525169230769233</v>
      </c>
      <c r="HO86" s="5">
        <f t="shared" si="132"/>
        <v>7.676529230769229</v>
      </c>
      <c r="HP86" s="5">
        <f t="shared" si="132"/>
        <v>7.6151630769230749</v>
      </c>
      <c r="HQ86" s="5">
        <f t="shared" si="132"/>
        <v>7.6678892307692328</v>
      </c>
      <c r="HR86" s="5">
        <f t="shared" si="132"/>
        <v>7.7288123076923059</v>
      </c>
      <c r="HS86" s="5">
        <f t="shared" si="132"/>
        <v>7.6938092307692312</v>
      </c>
      <c r="HT86" s="5">
        <f t="shared" si="132"/>
        <v>7.5697476923076916</v>
      </c>
      <c r="HU86" s="5">
        <f t="shared" si="132"/>
        <v>7.3794461538461542</v>
      </c>
      <c r="HV86" s="5">
        <f t="shared" si="132"/>
        <v>7.2420923076923103</v>
      </c>
      <c r="HW86" s="5">
        <f t="shared" si="132"/>
        <v>7.3001353846153849</v>
      </c>
      <c r="HX86" s="5">
        <f t="shared" si="132"/>
        <v>7.5223384615384612</v>
      </c>
      <c r="HY86" s="5">
        <f t="shared" si="132"/>
        <v>7.7055507692307676</v>
      </c>
      <c r="HZ86" s="5">
        <f t="shared" si="132"/>
        <v>7.6592492307692286</v>
      </c>
      <c r="IA86" s="5">
        <f t="shared" si="132"/>
        <v>7.5892430769230783</v>
      </c>
      <c r="IB86" s="5">
        <f t="shared" si="132"/>
        <v>7.511040000000003</v>
      </c>
      <c r="IC86" s="5">
        <f t="shared" si="132"/>
        <v>7.4541046153846171</v>
      </c>
      <c r="ID86" s="5">
        <f t="shared" si="132"/>
        <v>7.5128123076923092</v>
      </c>
      <c r="IE86" s="5">
        <f t="shared" si="132"/>
        <v>7.6623507692307697</v>
      </c>
      <c r="IF86" s="5">
        <f t="shared" si="132"/>
        <v>7.7868553846153832</v>
      </c>
      <c r="IG86" s="5">
        <f t="shared" si="132"/>
        <v>7.8592984615384607</v>
      </c>
      <c r="IH86" s="5">
        <f t="shared" si="132"/>
        <v>7.9680738461538478</v>
      </c>
      <c r="II86" s="5">
        <f t="shared" si="132"/>
        <v>8.0752984615384626</v>
      </c>
      <c r="IJ86" s="5">
        <f t="shared" si="132"/>
        <v>8.0168123076923035</v>
      </c>
      <c r="IK86" s="5">
        <f t="shared" si="132"/>
        <v>7.9738338461538438</v>
      </c>
      <c r="IL86" s="5">
        <f t="shared" si="132"/>
        <v>7.9995323076923075</v>
      </c>
      <c r="IM86" s="5">
        <f t="shared" si="132"/>
        <v>8.1574892307692295</v>
      </c>
      <c r="IN86" s="5">
        <f t="shared" si="132"/>
        <v>7.98048</v>
      </c>
      <c r="IO86" s="5">
        <f t="shared" si="132"/>
        <v>7.8349292307692302</v>
      </c>
      <c r="IP86" s="5">
        <f t="shared" si="132"/>
        <v>7.7596061538461552</v>
      </c>
      <c r="IQ86" s="5">
        <f t="shared" si="132"/>
        <v>7.6260184615384627</v>
      </c>
      <c r="IR86" s="5">
        <f t="shared" si="132"/>
        <v>7.6253538461538461</v>
      </c>
      <c r="IS86" s="5">
        <f t="shared" si="132"/>
        <v>7.6364307692307696</v>
      </c>
      <c r="IT86" s="5">
        <f t="shared" si="132"/>
        <v>7.5602215384615379</v>
      </c>
      <c r="IU86" s="5">
        <f t="shared" si="132"/>
        <v>7.4261907692307663</v>
      </c>
      <c r="IV86" s="5">
        <f t="shared" si="132"/>
        <v>7.3189661538461523</v>
      </c>
      <c r="IW86" s="5">
        <f t="shared" si="132"/>
        <v>7.2868430769230779</v>
      </c>
      <c r="IX86" s="5">
        <f t="shared" si="132"/>
        <v>7.2921600000000009</v>
      </c>
      <c r="IY86" s="5">
        <f t="shared" ref="IY86:LJ86" si="133">AVERAGE(IY3:IY43)</f>
        <v>7.3176369230769227</v>
      </c>
      <c r="IZ86" s="5">
        <f t="shared" si="133"/>
        <v>7.4450215384615399</v>
      </c>
      <c r="JA86" s="5">
        <f t="shared" si="133"/>
        <v>7.513033846153844</v>
      </c>
      <c r="JB86" s="5">
        <f t="shared" si="133"/>
        <v>7.5413907692307687</v>
      </c>
      <c r="JC86" s="5">
        <f t="shared" si="133"/>
        <v>7.7425476923076939</v>
      </c>
      <c r="JD86" s="5">
        <f t="shared" si="133"/>
        <v>8.0296615384615375</v>
      </c>
      <c r="JE86" s="5">
        <f t="shared" si="133"/>
        <v>8.0859323076923069</v>
      </c>
      <c r="JF86" s="5">
        <f t="shared" si="133"/>
        <v>8.0121600000000015</v>
      </c>
      <c r="JG86" s="5">
        <f t="shared" si="133"/>
        <v>7.8484430769230773</v>
      </c>
      <c r="JH86" s="5">
        <f t="shared" si="133"/>
        <v>7.7006769230769212</v>
      </c>
      <c r="JI86" s="5">
        <f t="shared" si="133"/>
        <v>7.5544615384615392</v>
      </c>
      <c r="JJ86" s="5">
        <f t="shared" si="133"/>
        <v>7.3615015384615363</v>
      </c>
      <c r="JK86" s="5">
        <f t="shared" si="133"/>
        <v>7.1714215384615381</v>
      </c>
      <c r="JL86" s="5">
        <f t="shared" si="133"/>
        <v>6.9695999999999998</v>
      </c>
      <c r="JM86" s="5">
        <f t="shared" si="133"/>
        <v>6.808984615384615</v>
      </c>
      <c r="JN86" s="5">
        <f t="shared" si="133"/>
        <v>6.7580307692307695</v>
      </c>
      <c r="JO86" s="5">
        <f t="shared" si="133"/>
        <v>6.6131446153846172</v>
      </c>
      <c r="JP86" s="5">
        <f t="shared" si="133"/>
        <v>6.5407015384615379</v>
      </c>
      <c r="JQ86" s="5">
        <f t="shared" si="133"/>
        <v>6.4895261538461542</v>
      </c>
      <c r="JR86" s="5">
        <f t="shared" si="133"/>
        <v>6.3953723076923099</v>
      </c>
      <c r="JS86" s="5">
        <f t="shared" si="133"/>
        <v>6.3134030769230742</v>
      </c>
      <c r="JT86" s="5">
        <f t="shared" si="133"/>
        <v>6.2788430769230761</v>
      </c>
      <c r="JU86" s="5">
        <f t="shared" si="133"/>
        <v>6.2682092307692319</v>
      </c>
      <c r="JV86" s="5">
        <f t="shared" si="133"/>
        <v>6.2265600000000001</v>
      </c>
      <c r="JW86" s="5">
        <f t="shared" si="133"/>
        <v>6.1640861538461538</v>
      </c>
      <c r="JX86" s="5">
        <f t="shared" si="133"/>
        <v>6.1301907692307704</v>
      </c>
      <c r="JY86" s="5">
        <f t="shared" si="133"/>
        <v>6.0145476923076915</v>
      </c>
      <c r="JZ86" s="5">
        <f t="shared" si="133"/>
        <v>5.9376738461538467</v>
      </c>
      <c r="KA86" s="5">
        <f t="shared" si="133"/>
        <v>5.7883569230769218</v>
      </c>
      <c r="KB86" s="5">
        <f t="shared" si="133"/>
        <v>5.5623876923076905</v>
      </c>
      <c r="KC86" s="5">
        <f t="shared" si="133"/>
        <v>5.3466092307692303</v>
      </c>
      <c r="KD86" s="5">
        <f t="shared" si="133"/>
        <v>5.1299446153846162</v>
      </c>
      <c r="KE86" s="5">
        <f t="shared" si="133"/>
        <v>4.950941538461537</v>
      </c>
      <c r="KF86" s="5">
        <f t="shared" si="133"/>
        <v>4.8459323076923075</v>
      </c>
      <c r="KG86" s="5">
        <f t="shared" si="133"/>
        <v>4.7717169230769239</v>
      </c>
      <c r="KH86" s="5">
        <f t="shared" si="133"/>
        <v>4.6975015384615384</v>
      </c>
      <c r="KI86" s="5">
        <f t="shared" si="133"/>
        <v>4.5947076923076917</v>
      </c>
      <c r="KJ86" s="5">
        <f t="shared" si="133"/>
        <v>4.4748553846153865</v>
      </c>
      <c r="KK86" s="5">
        <f t="shared" si="133"/>
        <v>4.3567753846153847</v>
      </c>
      <c r="KL86" s="5">
        <f t="shared" si="133"/>
        <v>4.3018338461538468</v>
      </c>
      <c r="KM86" s="5">
        <f t="shared" si="133"/>
        <v>4.2223015384615374</v>
      </c>
      <c r="KN86" s="5">
        <f t="shared" si="133"/>
        <v>4.0893784615384625</v>
      </c>
      <c r="KO86" s="5">
        <f t="shared" si="133"/>
        <v>4.0031999999999996</v>
      </c>
      <c r="KP86" s="5">
        <f t="shared" si="133"/>
        <v>3.8926523076923081</v>
      </c>
      <c r="KQ86" s="5">
        <f t="shared" si="133"/>
        <v>3.7767876923076917</v>
      </c>
      <c r="KR86" s="5">
        <f t="shared" si="133"/>
        <v>3.6797538461538464</v>
      </c>
      <c r="KS86" s="5">
        <f t="shared" si="133"/>
        <v>3.5645538461538466</v>
      </c>
      <c r="KT86" s="5">
        <f t="shared" si="133"/>
        <v>3.4557784615384617</v>
      </c>
      <c r="KU86" s="5">
        <f t="shared" si="133"/>
        <v>3.3645046153846159</v>
      </c>
      <c r="KV86" s="5">
        <f t="shared" si="133"/>
        <v>3.2752246153846145</v>
      </c>
      <c r="KW86" s="5">
        <f t="shared" si="133"/>
        <v>3.1877169230769229</v>
      </c>
      <c r="KX86" s="5">
        <f t="shared" si="133"/>
        <v>3.1077415384615383</v>
      </c>
      <c r="KY86" s="5">
        <f t="shared" si="133"/>
        <v>3.0306461538461531</v>
      </c>
      <c r="KZ86" s="5">
        <f t="shared" si="133"/>
        <v>2.9615261538461537</v>
      </c>
      <c r="LA86" s="5">
        <f t="shared" si="133"/>
        <v>2.8941784615384623</v>
      </c>
      <c r="LB86" s="5">
        <f t="shared" si="133"/>
        <v>2.8469907692307697</v>
      </c>
      <c r="LC86" s="5">
        <f t="shared" si="133"/>
        <v>2.8208492307692317</v>
      </c>
      <c r="LD86" s="5">
        <f t="shared" si="133"/>
        <v>2.7805292307692304</v>
      </c>
      <c r="LE86" s="5">
        <f t="shared" si="133"/>
        <v>2.7297969230769228</v>
      </c>
      <c r="LF86" s="5">
        <f t="shared" si="133"/>
        <v>2.6735261538461543</v>
      </c>
      <c r="LG86" s="5">
        <f t="shared" si="133"/>
        <v>2.6088369230769231</v>
      </c>
      <c r="LH86" s="5">
        <f t="shared" si="133"/>
        <v>2.5459199999999997</v>
      </c>
      <c r="LI86" s="5">
        <f t="shared" si="133"/>
        <v>2.4889846153846156</v>
      </c>
      <c r="LJ86" s="5">
        <f t="shared" si="133"/>
        <v>2.438695384615384</v>
      </c>
      <c r="LK86" s="5">
        <f t="shared" ref="LK86:NU86" si="134">AVERAGE(LK3:LK43)</f>
        <v>2.3932800000000003</v>
      </c>
      <c r="LL86" s="5">
        <f t="shared" si="134"/>
        <v>2.3478646153846157</v>
      </c>
      <c r="LM86" s="5">
        <f t="shared" si="134"/>
        <v>2.3033353846153841</v>
      </c>
      <c r="LN86" s="5">
        <f t="shared" si="134"/>
        <v>2.2670030769230767</v>
      </c>
      <c r="LO86" s="5">
        <f t="shared" si="134"/>
        <v>2.2315569230769232</v>
      </c>
      <c r="LP86" s="5">
        <f t="shared" si="134"/>
        <v>2.1914584615384616</v>
      </c>
      <c r="LQ86" s="5">
        <f t="shared" si="134"/>
        <v>2.1511384615384608</v>
      </c>
      <c r="LR86" s="5">
        <f t="shared" si="134"/>
        <v>2.1088246153846151</v>
      </c>
      <c r="LS86" s="5">
        <f t="shared" si="134"/>
        <v>2.0716061538461537</v>
      </c>
      <c r="LT86" s="5">
        <f t="shared" si="134"/>
        <v>2.038153846153846</v>
      </c>
      <c r="LU86" s="5">
        <f t="shared" si="134"/>
        <v>2.0071384615384611</v>
      </c>
      <c r="LV86" s="5">
        <f t="shared" si="134"/>
        <v>1.9745723076923076</v>
      </c>
      <c r="LW86" s="5">
        <f t="shared" si="134"/>
        <v>1.9422276923076924</v>
      </c>
      <c r="LX86" s="5">
        <f t="shared" si="134"/>
        <v>1.9114338461538467</v>
      </c>
      <c r="LY86" s="5">
        <f t="shared" si="134"/>
        <v>1.8841846153846156</v>
      </c>
      <c r="LZ86" s="5">
        <f t="shared" si="134"/>
        <v>1.8609230769230776</v>
      </c>
      <c r="MA86" s="5">
        <f t="shared" si="134"/>
        <v>1.8398769230769232</v>
      </c>
      <c r="MB86" s="5">
        <f t="shared" si="134"/>
        <v>1.8152861538461538</v>
      </c>
      <c r="MC86" s="5">
        <f t="shared" si="134"/>
        <v>1.7867076923076921</v>
      </c>
      <c r="MD86" s="5">
        <f t="shared" si="134"/>
        <v>1.7541415384615384</v>
      </c>
      <c r="ME86" s="5">
        <f t="shared" si="134"/>
        <v>1.7242338461538462</v>
      </c>
      <c r="MF86" s="5">
        <f t="shared" si="134"/>
        <v>1.6987569230769231</v>
      </c>
      <c r="MG86" s="5">
        <f t="shared" si="134"/>
        <v>1.6735015384615384</v>
      </c>
      <c r="MH86" s="5">
        <f t="shared" si="134"/>
        <v>1.6489107692307692</v>
      </c>
      <c r="MI86" s="5">
        <f t="shared" si="134"/>
        <v>1.6303015384615382</v>
      </c>
      <c r="MJ86" s="5">
        <f t="shared" si="134"/>
        <v>1.6125784615384617</v>
      </c>
      <c r="MK86" s="5">
        <f t="shared" si="134"/>
        <v>1.5917538461538463</v>
      </c>
      <c r="ML86" s="5">
        <f t="shared" si="134"/>
        <v>1.5707076923076924</v>
      </c>
      <c r="MM86" s="5">
        <f t="shared" si="134"/>
        <v>1.5516553846153847</v>
      </c>
      <c r="MN86" s="5">
        <f t="shared" si="134"/>
        <v>1.5334892307692307</v>
      </c>
      <c r="MO86" s="5">
        <f t="shared" si="134"/>
        <v>1.5188676923076918</v>
      </c>
      <c r="MP86" s="5">
        <f t="shared" si="134"/>
        <v>1.5011446153846151</v>
      </c>
      <c r="MQ86" s="5">
        <f t="shared" si="134"/>
        <v>1.4825353846153846</v>
      </c>
      <c r="MR86" s="5">
        <f t="shared" si="134"/>
        <v>1.4650338461538464</v>
      </c>
      <c r="MS86" s="5">
        <f t="shared" si="134"/>
        <v>1.4475323076923075</v>
      </c>
      <c r="MT86" s="5">
        <f t="shared" si="134"/>
        <v>1.430916923076923</v>
      </c>
      <c r="MU86" s="5">
        <f t="shared" si="134"/>
        <v>1.4154092307692305</v>
      </c>
      <c r="MV86" s="5">
        <f t="shared" si="134"/>
        <v>1.3990153846153843</v>
      </c>
      <c r="MW86" s="5">
        <f t="shared" si="134"/>
        <v>1.3846153846153844</v>
      </c>
      <c r="MX86" s="5">
        <f t="shared" si="134"/>
        <v>1.3682215384615384</v>
      </c>
      <c r="MY86" s="5">
        <f t="shared" si="134"/>
        <v>1.3533784615384616</v>
      </c>
      <c r="MZ86" s="5">
        <f t="shared" si="134"/>
        <v>1.3407507692307692</v>
      </c>
      <c r="NA86" s="5">
        <f t="shared" si="134"/>
        <v>1.3290092307692305</v>
      </c>
      <c r="NB86" s="5">
        <f t="shared" si="134"/>
        <v>1.3174892307692305</v>
      </c>
      <c r="NC86" s="5">
        <f t="shared" si="134"/>
        <v>1.2674880000000002</v>
      </c>
      <c r="ND86" s="5">
        <f t="shared" si="134"/>
        <v>36.179003076923074</v>
      </c>
      <c r="NE86" s="5">
        <f t="shared" si="134"/>
        <v>28.212103384615375</v>
      </c>
      <c r="NF86" s="5">
        <f t="shared" si="134"/>
        <v>29.064760615384621</v>
      </c>
      <c r="NG86" s="5">
        <f t="shared" si="134"/>
        <v>32.413292307692309</v>
      </c>
      <c r="NH86" s="5">
        <f t="shared" si="134"/>
        <v>49.98787200000001</v>
      </c>
      <c r="NI86" s="5">
        <f t="shared" si="134"/>
        <v>107.40849230769228</v>
      </c>
      <c r="NJ86" s="5">
        <f t="shared" si="134"/>
        <v>216.83364923076923</v>
      </c>
      <c r="NK86" s="5">
        <f t="shared" si="134"/>
        <v>239.66872615384617</v>
      </c>
      <c r="NL86" s="5">
        <f t="shared" si="134"/>
        <v>226.03569230769224</v>
      </c>
      <c r="NM86" s="5">
        <f t="shared" si="134"/>
        <v>158.27970461538456</v>
      </c>
      <c r="NN86" s="5">
        <f t="shared" si="134"/>
        <v>75.693046153846154</v>
      </c>
      <c r="NO86" s="5">
        <f t="shared" si="134"/>
        <v>48.218067692307692</v>
      </c>
      <c r="NP86" s="5">
        <f t="shared" si="134"/>
        <v>1247.9944098461538</v>
      </c>
      <c r="NQ86" s="5">
        <f t="shared" si="134"/>
        <v>13.370732307692306</v>
      </c>
      <c r="NR86" s="5">
        <f t="shared" si="134"/>
        <v>42599.153846153844</v>
      </c>
      <c r="NS86" s="5">
        <f t="shared" si="134"/>
        <v>0.89966769230769217</v>
      </c>
      <c r="NT86" s="5">
        <f t="shared" si="134"/>
        <v>42450.717948717946</v>
      </c>
      <c r="NU86" s="5">
        <f t="shared" si="134"/>
        <v>3954.1838025262905</v>
      </c>
      <c r="NV86" s="5"/>
      <c r="NW86" s="5">
        <f t="shared" ref="NW86:OE86" si="135">AVERAGE(NW3:NW43)</f>
        <v>998.21413661538452</v>
      </c>
      <c r="NX86" s="5">
        <f t="shared" si="135"/>
        <v>79.736505602223957</v>
      </c>
      <c r="NY86" s="5">
        <f t="shared" si="135"/>
        <v>789.94656000000009</v>
      </c>
      <c r="NZ86" s="5">
        <f t="shared" si="135"/>
        <v>63.02387217759582</v>
      </c>
      <c r="OA86" s="5">
        <f t="shared" si="135"/>
        <v>249.78027323076924</v>
      </c>
      <c r="OB86" s="5">
        <f t="shared" si="135"/>
        <v>20.263494397776046</v>
      </c>
      <c r="OC86" s="5">
        <f t="shared" si="135"/>
        <v>268.04381538461547</v>
      </c>
      <c r="OD86" s="5">
        <f t="shared" si="135"/>
        <v>21.408396456958872</v>
      </c>
      <c r="OE86" s="5">
        <f t="shared" si="135"/>
        <v>291.58747893601731</v>
      </c>
      <c r="OF86" s="5">
        <f t="shared" ref="OF86" si="136">AVERAGE(OF3:OF43)</f>
        <v>9.2461783021314439</v>
      </c>
    </row>
    <row r="87" spans="1:396" customFormat="1" x14ac:dyDescent="0.15">
      <c r="A87" s="9" t="s">
        <v>51</v>
      </c>
      <c r="B87" s="5">
        <f>AVERAGE(B44:B69)</f>
        <v>1.3970547692307691</v>
      </c>
      <c r="C87" s="5">
        <f t="shared" ref="C87:BN87" si="137">AVERAGE(C44:C69)</f>
        <v>1.4397563076923077</v>
      </c>
      <c r="D87" s="5">
        <f t="shared" si="137"/>
        <v>1.4830892307692307</v>
      </c>
      <c r="E87" s="5">
        <f t="shared" si="137"/>
        <v>1.4943876923076922</v>
      </c>
      <c r="F87" s="5">
        <f t="shared" si="137"/>
        <v>1.4933907692307691</v>
      </c>
      <c r="G87" s="5">
        <f t="shared" si="137"/>
        <v>1.5050215384615389</v>
      </c>
      <c r="H87" s="5">
        <f t="shared" si="137"/>
        <v>1.4906658461538465</v>
      </c>
      <c r="I87" s="5">
        <f t="shared" si="137"/>
        <v>1.487808</v>
      </c>
      <c r="J87" s="5">
        <f t="shared" si="137"/>
        <v>1.4728209230769229</v>
      </c>
      <c r="K87" s="5">
        <f t="shared" si="137"/>
        <v>1.4598941538461536</v>
      </c>
      <c r="L87" s="5">
        <f t="shared" si="137"/>
        <v>1.4368984615384615</v>
      </c>
      <c r="M87" s="5">
        <f t="shared" si="137"/>
        <v>1.4449403076923077</v>
      </c>
      <c r="N87" s="5">
        <f t="shared" si="137"/>
        <v>1.4544775384615383</v>
      </c>
      <c r="O87" s="5">
        <f t="shared" si="137"/>
        <v>1.4254670769230771</v>
      </c>
      <c r="P87" s="5">
        <f t="shared" si="137"/>
        <v>1.4023716923076925</v>
      </c>
      <c r="Q87" s="5">
        <f t="shared" si="137"/>
        <v>1.4211803076923077</v>
      </c>
      <c r="R87" s="5">
        <f t="shared" si="137"/>
        <v>1.388315076923077</v>
      </c>
      <c r="S87" s="5">
        <f t="shared" si="137"/>
        <v>1.3937316923076926</v>
      </c>
      <c r="T87" s="5">
        <f t="shared" si="137"/>
        <v>1.4035347692307691</v>
      </c>
      <c r="U87" s="5">
        <f t="shared" si="137"/>
        <v>1.4028369230769226</v>
      </c>
      <c r="V87" s="5">
        <f t="shared" si="137"/>
        <v>1.3890461538461536</v>
      </c>
      <c r="W87" s="5">
        <f t="shared" si="137"/>
        <v>1.3670806153846153</v>
      </c>
      <c r="X87" s="5">
        <f t="shared" si="137"/>
        <v>1.3615643076923074</v>
      </c>
      <c r="Y87" s="5">
        <f t="shared" si="137"/>
        <v>1.376086153846154</v>
      </c>
      <c r="Z87" s="5">
        <f t="shared" si="137"/>
        <v>1.3709686153846157</v>
      </c>
      <c r="AA87" s="5">
        <f t="shared" si="137"/>
        <v>1.3653193846153846</v>
      </c>
      <c r="AB87" s="5">
        <f t="shared" si="137"/>
        <v>1.3810375384615381</v>
      </c>
      <c r="AC87" s="5">
        <f t="shared" si="137"/>
        <v>1.3488369230769228</v>
      </c>
      <c r="AD87" s="5">
        <f t="shared" si="137"/>
        <v>1.3249439999999999</v>
      </c>
      <c r="AE87" s="5">
        <f t="shared" si="137"/>
        <v>1.3196270769230769</v>
      </c>
      <c r="AF87" s="5">
        <f t="shared" si="137"/>
        <v>1.3127150769230771</v>
      </c>
      <c r="AG87" s="5">
        <f t="shared" si="137"/>
        <v>1.3247778461538464</v>
      </c>
      <c r="AH87" s="5">
        <f t="shared" si="137"/>
        <v>1.3169021538461538</v>
      </c>
      <c r="AI87" s="5">
        <f t="shared" si="137"/>
        <v>1.3153403076923074</v>
      </c>
      <c r="AJ87" s="5">
        <f t="shared" si="137"/>
        <v>1.309923692307692</v>
      </c>
      <c r="AK87" s="5">
        <f t="shared" si="137"/>
        <v>1.2820098461538458</v>
      </c>
      <c r="AL87" s="5">
        <f t="shared" si="137"/>
        <v>1.2796172307692308</v>
      </c>
      <c r="AM87" s="5">
        <f t="shared" si="137"/>
        <v>1.2775236923076925</v>
      </c>
      <c r="AN87" s="5">
        <f t="shared" si="137"/>
        <v>1.2664246153846153</v>
      </c>
      <c r="AO87" s="5">
        <f t="shared" si="137"/>
        <v>1.2351876923076923</v>
      </c>
      <c r="AP87" s="5">
        <f t="shared" si="137"/>
        <v>1.230934153846154</v>
      </c>
      <c r="AQ87" s="5">
        <f t="shared" si="137"/>
        <v>1.2470510769230769</v>
      </c>
      <c r="AR87" s="5">
        <f t="shared" si="137"/>
        <v>1.2553587692307695</v>
      </c>
      <c r="AS87" s="5">
        <f t="shared" si="137"/>
        <v>1.2502744615384613</v>
      </c>
      <c r="AT87" s="5">
        <f t="shared" si="137"/>
        <v>1.239075692307692</v>
      </c>
      <c r="AU87" s="5">
        <f t="shared" si="137"/>
        <v>1.2410030769230771</v>
      </c>
      <c r="AV87" s="5">
        <f t="shared" si="137"/>
        <v>1.2506399999999998</v>
      </c>
      <c r="AW87" s="5">
        <f t="shared" si="137"/>
        <v>1.2475163076923077</v>
      </c>
      <c r="AX87" s="5">
        <f t="shared" si="137"/>
        <v>1.2302363076923077</v>
      </c>
      <c r="AY87" s="5">
        <f t="shared" si="137"/>
        <v>1.228076307692308</v>
      </c>
      <c r="AZ87" s="5">
        <f t="shared" si="137"/>
        <v>1.2158473846153848</v>
      </c>
      <c r="BA87" s="5">
        <f t="shared" si="137"/>
        <v>1.2080381538461538</v>
      </c>
      <c r="BB87" s="5">
        <f t="shared" si="137"/>
        <v>1.1987003076923075</v>
      </c>
      <c r="BC87" s="5">
        <f t="shared" si="137"/>
        <v>1.176768</v>
      </c>
      <c r="BD87" s="5">
        <f t="shared" si="137"/>
        <v>1.1782301538461537</v>
      </c>
      <c r="BE87" s="5">
        <f t="shared" si="137"/>
        <v>1.1817526153846154</v>
      </c>
      <c r="BF87" s="5">
        <f t="shared" si="137"/>
        <v>1.1857403076923074</v>
      </c>
      <c r="BG87" s="5">
        <f t="shared" si="137"/>
        <v>1.1841784615384616</v>
      </c>
      <c r="BH87" s="5">
        <f t="shared" si="137"/>
        <v>1.1975372307692307</v>
      </c>
      <c r="BI87" s="5">
        <f t="shared" si="137"/>
        <v>1.2392228571428572</v>
      </c>
      <c r="BJ87" s="5">
        <f t="shared" si="137"/>
        <v>1.2054129230769228</v>
      </c>
      <c r="BK87" s="5">
        <f t="shared" si="137"/>
        <v>1.1994646153846156</v>
      </c>
      <c r="BL87" s="5">
        <f t="shared" si="137"/>
        <v>1.1945132307692308</v>
      </c>
      <c r="BM87" s="5">
        <f t="shared" si="137"/>
        <v>1.1901267692307693</v>
      </c>
      <c r="BN87" s="5">
        <f t="shared" si="137"/>
        <v>1.2013587692307695</v>
      </c>
      <c r="BO87" s="5">
        <f t="shared" ref="BO87:DZ87" si="138">AVERAGE(BO44:BO69)</f>
        <v>1.1964406153846154</v>
      </c>
      <c r="BP87" s="5">
        <f t="shared" si="138"/>
        <v>1.1900935384615385</v>
      </c>
      <c r="BQ87" s="5">
        <f t="shared" si="138"/>
        <v>1.1780640000000002</v>
      </c>
      <c r="BR87" s="5">
        <f t="shared" si="138"/>
        <v>1.1948787692307694</v>
      </c>
      <c r="BS87" s="5">
        <f t="shared" si="138"/>
        <v>1.2144184615384614</v>
      </c>
      <c r="BT87" s="5">
        <f t="shared" si="138"/>
        <v>1.2327618461538461</v>
      </c>
      <c r="BU87" s="5">
        <f t="shared" si="138"/>
        <v>1.2257501538461537</v>
      </c>
      <c r="BV87" s="5">
        <f t="shared" si="138"/>
        <v>1.2289735384615383</v>
      </c>
      <c r="BW87" s="5">
        <f t="shared" si="138"/>
        <v>1.1981021538461538</v>
      </c>
      <c r="BX87" s="5">
        <f t="shared" si="138"/>
        <v>1.190492307692308</v>
      </c>
      <c r="BY87" s="5">
        <f t="shared" si="138"/>
        <v>1.1975039999999999</v>
      </c>
      <c r="BZ87" s="5">
        <f t="shared" si="138"/>
        <v>1.1963076923076925</v>
      </c>
      <c r="CA87" s="5">
        <f t="shared" si="138"/>
        <v>1.1929846153846151</v>
      </c>
      <c r="CB87" s="5">
        <f t="shared" si="138"/>
        <v>1.1838129230769232</v>
      </c>
      <c r="CC87" s="5">
        <f t="shared" si="138"/>
        <v>1.2017907692307692</v>
      </c>
      <c r="CD87" s="5">
        <f t="shared" si="138"/>
        <v>1.2031532307692303</v>
      </c>
      <c r="CE87" s="5">
        <f t="shared" si="138"/>
        <v>1.1939483076923079</v>
      </c>
      <c r="CF87" s="5">
        <f t="shared" si="138"/>
        <v>1.2069747692307695</v>
      </c>
      <c r="CG87" s="5">
        <f t="shared" si="138"/>
        <v>1.195344</v>
      </c>
      <c r="CH87" s="5">
        <f t="shared" si="138"/>
        <v>1.2000960000000001</v>
      </c>
      <c r="CI87" s="5">
        <f t="shared" si="138"/>
        <v>1.2398400000000001</v>
      </c>
      <c r="CJ87" s="5">
        <f t="shared" si="138"/>
        <v>1.2287741538461536</v>
      </c>
      <c r="CK87" s="5">
        <f t="shared" si="138"/>
        <v>1.2400061538461538</v>
      </c>
      <c r="CL87" s="5">
        <f t="shared" si="138"/>
        <v>1.240870153846154</v>
      </c>
      <c r="CM87" s="5">
        <f t="shared" si="138"/>
        <v>1.223124923076923</v>
      </c>
      <c r="CN87" s="5">
        <f t="shared" si="138"/>
        <v>1.2304356923076922</v>
      </c>
      <c r="CO87" s="5">
        <f t="shared" si="138"/>
        <v>1.2299039999999997</v>
      </c>
      <c r="CP87" s="5">
        <f t="shared" si="138"/>
        <v>1.2354203076923076</v>
      </c>
      <c r="CQ87" s="5">
        <f t="shared" si="138"/>
        <v>1.2241883076923079</v>
      </c>
      <c r="CR87" s="5">
        <f t="shared" si="138"/>
        <v>1.2340910769230773</v>
      </c>
      <c r="CS87" s="5">
        <f t="shared" si="138"/>
        <v>1.2278104615384615</v>
      </c>
      <c r="CT87" s="5">
        <f t="shared" si="138"/>
        <v>1.2132221538461538</v>
      </c>
      <c r="CU87" s="5">
        <f t="shared" si="138"/>
        <v>1.2052467692307689</v>
      </c>
      <c r="CV87" s="5">
        <f t="shared" si="138"/>
        <v>1.1995975384615385</v>
      </c>
      <c r="CW87" s="5">
        <f t="shared" si="138"/>
        <v>1.2482141538461538</v>
      </c>
      <c r="CX87" s="5">
        <f t="shared" si="138"/>
        <v>1.2644972307692308</v>
      </c>
      <c r="CY87" s="5">
        <f t="shared" si="138"/>
        <v>1.2596455384615384</v>
      </c>
      <c r="CZ87" s="5">
        <f t="shared" si="138"/>
        <v>1.2380455384615385</v>
      </c>
      <c r="DA87" s="5">
        <f t="shared" si="138"/>
        <v>1.2227593846153844</v>
      </c>
      <c r="DB87" s="5">
        <f t="shared" si="138"/>
        <v>1.2341575384615386</v>
      </c>
      <c r="DC87" s="5">
        <f t="shared" si="138"/>
        <v>1.2233575384615383</v>
      </c>
      <c r="DD87" s="5">
        <f t="shared" si="138"/>
        <v>1.2212307692307691</v>
      </c>
      <c r="DE87" s="5">
        <f t="shared" si="138"/>
        <v>1.2334596923076924</v>
      </c>
      <c r="DF87" s="5">
        <f t="shared" si="138"/>
        <v>1.2392086153846154</v>
      </c>
      <c r="DG87" s="5">
        <f t="shared" si="138"/>
        <v>1.2296049230769233</v>
      </c>
      <c r="DH87" s="5">
        <f t="shared" si="138"/>
        <v>1.2254510769230769</v>
      </c>
      <c r="DI87" s="5">
        <f t="shared" si="138"/>
        <v>1.2215963076923075</v>
      </c>
      <c r="DJ87" s="5">
        <f t="shared" si="138"/>
        <v>1.2325624615384614</v>
      </c>
      <c r="DK87" s="5">
        <f t="shared" si="138"/>
        <v>1.2560566153846153</v>
      </c>
      <c r="DL87" s="5">
        <f t="shared" si="138"/>
        <v>1.2759286153846157</v>
      </c>
      <c r="DM87" s="5">
        <f t="shared" si="138"/>
        <v>1.3011175384615388</v>
      </c>
      <c r="DN87" s="5">
        <f t="shared" si="138"/>
        <v>1.3407286153846154</v>
      </c>
      <c r="DO87" s="5">
        <f t="shared" si="138"/>
        <v>1.4062596923076922</v>
      </c>
      <c r="DP87" s="5">
        <f t="shared" si="138"/>
        <v>1.482491076923077</v>
      </c>
      <c r="DQ87" s="5">
        <f t="shared" si="138"/>
        <v>1.5036923076923079</v>
      </c>
      <c r="DR87" s="5">
        <f t="shared" si="138"/>
        <v>1.5118338461538461</v>
      </c>
      <c r="DS87" s="5">
        <f t="shared" si="138"/>
        <v>1.5173169230769235</v>
      </c>
      <c r="DT87" s="5">
        <f t="shared" si="138"/>
        <v>1.4604923076923073</v>
      </c>
      <c r="DU87" s="5">
        <f t="shared" si="138"/>
        <v>1.3993476923076924</v>
      </c>
      <c r="DV87" s="5">
        <f t="shared" si="138"/>
        <v>1.4218781538461536</v>
      </c>
      <c r="DW87" s="5">
        <f t="shared" si="138"/>
        <v>1.4378953846153846</v>
      </c>
      <c r="DX87" s="5">
        <f t="shared" si="138"/>
        <v>1.4903999999999997</v>
      </c>
      <c r="DY87" s="5">
        <f t="shared" si="138"/>
        <v>1.5223015384615386</v>
      </c>
      <c r="DZ87" s="5">
        <f t="shared" si="138"/>
        <v>1.5794584615384615</v>
      </c>
      <c r="EA87" s="5">
        <f t="shared" ref="EA87:GL87" si="139">AVERAGE(EA44:EA69)</f>
        <v>1.6316307692307688</v>
      </c>
      <c r="EB87" s="5">
        <f t="shared" si="139"/>
        <v>1.6495753846153844</v>
      </c>
      <c r="EC87" s="5">
        <f t="shared" si="139"/>
        <v>1.6233230769230771</v>
      </c>
      <c r="ED87" s="5">
        <f t="shared" si="139"/>
        <v>1.5977353846153843</v>
      </c>
      <c r="EE87" s="5">
        <f t="shared" si="139"/>
        <v>1.6445907692307693</v>
      </c>
      <c r="EF87" s="5">
        <f t="shared" si="139"/>
        <v>1.6848000000000003</v>
      </c>
      <c r="EG87" s="5">
        <f t="shared" si="139"/>
        <v>1.7087261538461538</v>
      </c>
      <c r="EH87" s="5">
        <f t="shared" si="139"/>
        <v>1.7462769230769235</v>
      </c>
      <c r="EI87" s="5">
        <f t="shared" si="139"/>
        <v>1.7817673846153843</v>
      </c>
      <c r="EJ87" s="5">
        <f t="shared" si="139"/>
        <v>1.8370966153846153</v>
      </c>
      <c r="EK87" s="5">
        <f t="shared" si="139"/>
        <v>1.8383261538461539</v>
      </c>
      <c r="EL87" s="5">
        <f t="shared" si="139"/>
        <v>1.8679015384615383</v>
      </c>
      <c r="EM87" s="5">
        <f t="shared" si="139"/>
        <v>1.8954830769230768</v>
      </c>
      <c r="EN87" s="5">
        <f t="shared" si="139"/>
        <v>1.9562953846153843</v>
      </c>
      <c r="EO87" s="5">
        <f t="shared" si="139"/>
        <v>1.9978338461538461</v>
      </c>
      <c r="EP87" s="5">
        <f t="shared" si="139"/>
        <v>2.0174399999999997</v>
      </c>
      <c r="EQ87" s="5">
        <f t="shared" si="139"/>
        <v>2.0101292307692304</v>
      </c>
      <c r="ER87" s="5">
        <f t="shared" si="139"/>
        <v>2.0064738461538458</v>
      </c>
      <c r="ES87" s="5">
        <f t="shared" si="139"/>
        <v>2.0500061538461534</v>
      </c>
      <c r="ET87" s="5">
        <f t="shared" si="139"/>
        <v>2.1709661538461544</v>
      </c>
      <c r="EU87" s="5">
        <f t="shared" si="139"/>
        <v>2.2168246153846152</v>
      </c>
      <c r="EV87" s="5">
        <f t="shared" si="139"/>
        <v>2.2118399999999996</v>
      </c>
      <c r="EW87" s="5">
        <f t="shared" si="139"/>
        <v>2.223803076923077</v>
      </c>
      <c r="EX87" s="5">
        <f t="shared" si="139"/>
        <v>2.3175138461538465</v>
      </c>
      <c r="EY87" s="5">
        <f t="shared" si="139"/>
        <v>2.4889846153846156</v>
      </c>
      <c r="EZ87" s="5">
        <f t="shared" si="139"/>
        <v>2.6023015384615387</v>
      </c>
      <c r="FA87" s="5">
        <f t="shared" si="139"/>
        <v>2.5850215384615391</v>
      </c>
      <c r="FB87" s="5">
        <f t="shared" si="139"/>
        <v>2.6109415384615384</v>
      </c>
      <c r="FC87" s="5">
        <f t="shared" si="139"/>
        <v>2.6940184615384619</v>
      </c>
      <c r="FD87" s="5">
        <f t="shared" si="139"/>
        <v>2.7684553846153852</v>
      </c>
      <c r="FE87" s="5">
        <f t="shared" si="139"/>
        <v>2.8033476923076921</v>
      </c>
      <c r="FF87" s="5">
        <f t="shared" si="139"/>
        <v>2.8133169230769233</v>
      </c>
      <c r="FG87" s="5">
        <f t="shared" si="139"/>
        <v>2.8066707692307684</v>
      </c>
      <c r="FH87" s="5">
        <f t="shared" si="139"/>
        <v>2.8711384615384614</v>
      </c>
      <c r="FI87" s="5">
        <f t="shared" si="139"/>
        <v>2.8880861538461535</v>
      </c>
      <c r="FJ87" s="5">
        <f t="shared" si="139"/>
        <v>2.9332800000000003</v>
      </c>
      <c r="FK87" s="5">
        <f t="shared" si="139"/>
        <v>3.0578953846153842</v>
      </c>
      <c r="FL87" s="5">
        <f t="shared" si="139"/>
        <v>3.3034707692307697</v>
      </c>
      <c r="FM87" s="5">
        <f t="shared" si="139"/>
        <v>3.4420430769230772</v>
      </c>
      <c r="FN87" s="5">
        <f t="shared" si="139"/>
        <v>3.5879261538461527</v>
      </c>
      <c r="FO87" s="5">
        <f t="shared" si="139"/>
        <v>3.767372307692308</v>
      </c>
      <c r="FP87" s="5">
        <f t="shared" si="139"/>
        <v>3.857095384615385</v>
      </c>
      <c r="FQ87" s="5">
        <f t="shared" si="139"/>
        <v>3.9880246153846151</v>
      </c>
      <c r="FR87" s="5">
        <f t="shared" si="139"/>
        <v>4.1398892307692305</v>
      </c>
      <c r="FS87" s="5">
        <f t="shared" si="139"/>
        <v>4.3279753846153834</v>
      </c>
      <c r="FT87" s="5">
        <f t="shared" si="139"/>
        <v>4.2914215384615382</v>
      </c>
      <c r="FU87" s="5">
        <f t="shared" si="139"/>
        <v>4.305710769230771</v>
      </c>
      <c r="FV87" s="5">
        <f t="shared" si="139"/>
        <v>4.490141538461538</v>
      </c>
      <c r="FW87" s="5">
        <f t="shared" si="139"/>
        <v>4.722092307692308</v>
      </c>
      <c r="FX87" s="5">
        <f t="shared" si="139"/>
        <v>4.7898830769230765</v>
      </c>
      <c r="FY87" s="5">
        <f t="shared" si="139"/>
        <v>5.0251569230769224</v>
      </c>
      <c r="FZ87" s="5">
        <f t="shared" si="139"/>
        <v>5.3508184615384602</v>
      </c>
      <c r="GA87" s="5">
        <f t="shared" si="139"/>
        <v>5.5156430769230775</v>
      </c>
      <c r="GB87" s="5">
        <f t="shared" si="139"/>
        <v>5.872873846153845</v>
      </c>
      <c r="GC87" s="5">
        <f t="shared" si="139"/>
        <v>6.0137723076923084</v>
      </c>
      <c r="GD87" s="5">
        <f t="shared" si="139"/>
        <v>6.2001969230769225</v>
      </c>
      <c r="GE87" s="5">
        <f t="shared" si="139"/>
        <v>6.181919999999999</v>
      </c>
      <c r="GF87" s="5">
        <f t="shared" si="139"/>
        <v>6.3234830769230772</v>
      </c>
      <c r="GG87" s="5">
        <f t="shared" si="139"/>
        <v>6.6734030769230799</v>
      </c>
      <c r="GH87" s="5">
        <f t="shared" si="139"/>
        <v>6.7295630769230765</v>
      </c>
      <c r="GI87" s="5">
        <f t="shared" si="139"/>
        <v>7.0668553846153843</v>
      </c>
      <c r="GJ87" s="5">
        <f t="shared" si="139"/>
        <v>7.4938707692307709</v>
      </c>
      <c r="GK87" s="5">
        <f t="shared" si="139"/>
        <v>7.7364553846153843</v>
      </c>
      <c r="GL87" s="5">
        <f t="shared" si="139"/>
        <v>7.8364799999999999</v>
      </c>
      <c r="GM87" s="5">
        <f t="shared" ref="GM87:IX87" si="140">AVERAGE(GM44:GM69)</f>
        <v>7.983027692307691</v>
      </c>
      <c r="GN87" s="5">
        <f t="shared" si="140"/>
        <v>7.8966276923076926</v>
      </c>
      <c r="GO87" s="5">
        <f t="shared" si="140"/>
        <v>7.8102276923076923</v>
      </c>
      <c r="GP87" s="5">
        <f t="shared" si="140"/>
        <v>7.8437907692307709</v>
      </c>
      <c r="GQ87" s="5">
        <f t="shared" si="140"/>
        <v>8.117944615384614</v>
      </c>
      <c r="GR87" s="5">
        <f t="shared" si="140"/>
        <v>8.1378830769230799</v>
      </c>
      <c r="GS87" s="5">
        <f t="shared" si="140"/>
        <v>8.1162830769230787</v>
      </c>
      <c r="GT87" s="5">
        <f t="shared" si="140"/>
        <v>8.0013046153846155</v>
      </c>
      <c r="GU87" s="5">
        <f t="shared" si="140"/>
        <v>7.9258707692307686</v>
      </c>
      <c r="GV87" s="5">
        <f t="shared" si="140"/>
        <v>7.6962461538461531</v>
      </c>
      <c r="GW87" s="5">
        <f t="shared" si="140"/>
        <v>7.4632984615384634</v>
      </c>
      <c r="GX87" s="5">
        <f t="shared" si="140"/>
        <v>7.4490092307692306</v>
      </c>
      <c r="GY87" s="5">
        <f t="shared" si="140"/>
        <v>7.664344615384616</v>
      </c>
      <c r="GZ87" s="5">
        <f t="shared" si="140"/>
        <v>7.662683076923078</v>
      </c>
      <c r="HA87" s="5">
        <f t="shared" si="140"/>
        <v>7.6005415384615373</v>
      </c>
      <c r="HB87" s="5">
        <f t="shared" si="140"/>
        <v>7.5241107692307692</v>
      </c>
      <c r="HC87" s="5">
        <f t="shared" si="140"/>
        <v>7.3971692307692347</v>
      </c>
      <c r="HD87" s="5">
        <f t="shared" si="140"/>
        <v>7.2290215384615379</v>
      </c>
      <c r="HE87" s="5">
        <f t="shared" si="140"/>
        <v>6.9332676923076928</v>
      </c>
      <c r="HF87" s="5">
        <f t="shared" si="140"/>
        <v>6.9203076923076923</v>
      </c>
      <c r="HG87" s="5">
        <f t="shared" si="140"/>
        <v>7.1442830769230774</v>
      </c>
      <c r="HH87" s="5">
        <f t="shared" si="140"/>
        <v>7.3037907692307691</v>
      </c>
      <c r="HI87" s="5">
        <f t="shared" si="140"/>
        <v>7.3423384615384615</v>
      </c>
      <c r="HJ87" s="5">
        <f t="shared" si="140"/>
        <v>7.2330092307692313</v>
      </c>
      <c r="HK87" s="5">
        <f t="shared" si="140"/>
        <v>7.3556307692307676</v>
      </c>
      <c r="HL87" s="5">
        <f t="shared" si="140"/>
        <v>7.3423384615384615</v>
      </c>
      <c r="HM87" s="5">
        <f t="shared" si="140"/>
        <v>7.3144246153846177</v>
      </c>
      <c r="HN87" s="5">
        <f t="shared" si="140"/>
        <v>7.2669046153846164</v>
      </c>
      <c r="HO87" s="5">
        <f t="shared" si="140"/>
        <v>7.1721969230769211</v>
      </c>
      <c r="HP87" s="5">
        <f t="shared" si="140"/>
        <v>7.2316799999999972</v>
      </c>
      <c r="HQ87" s="5">
        <f t="shared" si="140"/>
        <v>7.3689230769230774</v>
      </c>
      <c r="HR87" s="5">
        <f t="shared" si="140"/>
        <v>7.4855630769230768</v>
      </c>
      <c r="HS87" s="5">
        <f t="shared" si="140"/>
        <v>7.7660307692307669</v>
      </c>
      <c r="HT87" s="5">
        <f t="shared" si="140"/>
        <v>7.9255384615384603</v>
      </c>
      <c r="HU87" s="5">
        <f t="shared" si="140"/>
        <v>7.9890092307692306</v>
      </c>
      <c r="HV87" s="5">
        <f t="shared" si="140"/>
        <v>7.9497969230769234</v>
      </c>
      <c r="HW87" s="5">
        <f t="shared" si="140"/>
        <v>7.9713969230769237</v>
      </c>
      <c r="HX87" s="5">
        <f t="shared" si="140"/>
        <v>7.9271999999999991</v>
      </c>
      <c r="HY87" s="5">
        <f t="shared" si="140"/>
        <v>7.9192246153846177</v>
      </c>
      <c r="HZ87" s="5">
        <f t="shared" si="140"/>
        <v>7.8039138461538471</v>
      </c>
      <c r="IA87" s="5">
        <f t="shared" si="140"/>
        <v>7.6736492307692306</v>
      </c>
      <c r="IB87" s="5">
        <f t="shared" si="140"/>
        <v>7.4839015384615397</v>
      </c>
      <c r="IC87" s="5">
        <f t="shared" si="140"/>
        <v>7.4586461538461544</v>
      </c>
      <c r="ID87" s="5">
        <f t="shared" si="140"/>
        <v>7.4500061538461511</v>
      </c>
      <c r="IE87" s="5">
        <f t="shared" si="140"/>
        <v>7.556676923076922</v>
      </c>
      <c r="IF87" s="5">
        <f t="shared" si="140"/>
        <v>7.7733415384615379</v>
      </c>
      <c r="IG87" s="5">
        <f t="shared" si="140"/>
        <v>7.9956553846153842</v>
      </c>
      <c r="IH87" s="5">
        <f t="shared" si="140"/>
        <v>8.2262769230769255</v>
      </c>
      <c r="II87" s="5">
        <f t="shared" si="140"/>
        <v>8.5376492307692313</v>
      </c>
      <c r="IJ87" s="5">
        <f t="shared" si="140"/>
        <v>8.6366769230769229</v>
      </c>
      <c r="IK87" s="5">
        <f t="shared" si="140"/>
        <v>8.7386953846153848</v>
      </c>
      <c r="IL87" s="5">
        <f t="shared" si="140"/>
        <v>8.783224615384615</v>
      </c>
      <c r="IM87" s="5">
        <f t="shared" si="140"/>
        <v>8.6316923076923082</v>
      </c>
      <c r="IN87" s="5">
        <f t="shared" si="140"/>
        <v>8.666252307692309</v>
      </c>
      <c r="IO87" s="5">
        <f t="shared" si="140"/>
        <v>8.9543630769230766</v>
      </c>
      <c r="IP87" s="5">
        <f t="shared" si="140"/>
        <v>8.8247630769230749</v>
      </c>
      <c r="IQ87" s="5">
        <f t="shared" si="140"/>
        <v>8.6200615384615382</v>
      </c>
      <c r="IR87" s="5">
        <f t="shared" si="140"/>
        <v>8.5316676923076926</v>
      </c>
      <c r="IS87" s="5">
        <f t="shared" si="140"/>
        <v>8.4382892307692323</v>
      </c>
      <c r="IT87" s="5">
        <f t="shared" si="140"/>
        <v>8.2099938461538464</v>
      </c>
      <c r="IU87" s="5">
        <f t="shared" si="140"/>
        <v>7.9079261538461525</v>
      </c>
      <c r="IV87" s="5">
        <f t="shared" si="140"/>
        <v>7.8441230769230765</v>
      </c>
      <c r="IW87" s="5">
        <f t="shared" si="140"/>
        <v>7.8398030769230793</v>
      </c>
      <c r="IX87" s="5">
        <f t="shared" si="140"/>
        <v>7.8806769230769245</v>
      </c>
      <c r="IY87" s="5">
        <f t="shared" ref="IY87:LJ87" si="141">AVERAGE(IY44:IY69)</f>
        <v>7.8806769230769227</v>
      </c>
      <c r="IZ87" s="5">
        <f t="shared" si="141"/>
        <v>7.7720123076923082</v>
      </c>
      <c r="JA87" s="5">
        <f t="shared" si="141"/>
        <v>7.6208123076923062</v>
      </c>
      <c r="JB87" s="5">
        <f t="shared" si="141"/>
        <v>7.6397538461538463</v>
      </c>
      <c r="JC87" s="5">
        <f t="shared" si="141"/>
        <v>7.4832369230769249</v>
      </c>
      <c r="JD87" s="5">
        <f t="shared" si="141"/>
        <v>7.3802215384615373</v>
      </c>
      <c r="JE87" s="5">
        <f t="shared" si="141"/>
        <v>7.4426953846153845</v>
      </c>
      <c r="JF87" s="5">
        <f t="shared" si="141"/>
        <v>7.3921846153846156</v>
      </c>
      <c r="JG87" s="5">
        <f t="shared" si="141"/>
        <v>7.1888123076923058</v>
      </c>
      <c r="JH87" s="5">
        <f t="shared" si="141"/>
        <v>7.0548923076923069</v>
      </c>
      <c r="JI87" s="5">
        <f t="shared" si="141"/>
        <v>6.9269538461538467</v>
      </c>
      <c r="JJ87" s="5">
        <f t="shared" si="141"/>
        <v>6.9326030769230762</v>
      </c>
      <c r="JK87" s="5">
        <f t="shared" si="141"/>
        <v>6.8704615384615391</v>
      </c>
      <c r="JL87" s="5">
        <f t="shared" si="141"/>
        <v>6.7564800000000007</v>
      </c>
      <c r="JM87" s="5">
        <f t="shared" si="141"/>
        <v>6.5664000000000007</v>
      </c>
      <c r="JN87" s="5">
        <f t="shared" si="141"/>
        <v>6.5740430769230764</v>
      </c>
      <c r="JO87" s="5">
        <f t="shared" si="141"/>
        <v>6.4710276923076915</v>
      </c>
      <c r="JP87" s="5">
        <f t="shared" si="141"/>
        <v>6.1968738461538457</v>
      </c>
      <c r="JQ87" s="5">
        <f t="shared" si="141"/>
        <v>6.0117784615384613</v>
      </c>
      <c r="JR87" s="5">
        <f t="shared" si="141"/>
        <v>6.0383630769230763</v>
      </c>
      <c r="JS87" s="5">
        <f t="shared" si="141"/>
        <v>5.8821784615384622</v>
      </c>
      <c r="JT87" s="5">
        <f t="shared" si="141"/>
        <v>5.9034461538461533</v>
      </c>
      <c r="JU87" s="5">
        <f t="shared" si="141"/>
        <v>5.7665353846153851</v>
      </c>
      <c r="JV87" s="5">
        <f t="shared" si="141"/>
        <v>5.6449107692307683</v>
      </c>
      <c r="JW87" s="5">
        <f t="shared" si="141"/>
        <v>5.7156923076923078</v>
      </c>
      <c r="JX87" s="5">
        <f t="shared" si="141"/>
        <v>5.7110400000000006</v>
      </c>
      <c r="JY87" s="5">
        <f t="shared" si="141"/>
        <v>5.4867323076923071</v>
      </c>
      <c r="JZ87" s="5">
        <f t="shared" si="141"/>
        <v>5.31792</v>
      </c>
      <c r="KA87" s="5">
        <f t="shared" si="141"/>
        <v>5.0796553846153838</v>
      </c>
      <c r="KB87" s="5">
        <f t="shared" si="141"/>
        <v>4.9942523076923084</v>
      </c>
      <c r="KC87" s="5">
        <f t="shared" si="141"/>
        <v>4.80816</v>
      </c>
      <c r="KD87" s="5">
        <f t="shared" si="141"/>
        <v>4.6772307692307686</v>
      </c>
      <c r="KE87" s="5">
        <f t="shared" si="141"/>
        <v>4.6127630769230761</v>
      </c>
      <c r="KF87" s="5">
        <f t="shared" si="141"/>
        <v>4.5021046153846154</v>
      </c>
      <c r="KG87" s="5">
        <f t="shared" si="141"/>
        <v>4.4097230769230764</v>
      </c>
      <c r="KH87" s="5">
        <f t="shared" si="141"/>
        <v>4.3489107692307689</v>
      </c>
      <c r="KI87" s="5">
        <f t="shared" si="141"/>
        <v>4.3047138461538452</v>
      </c>
      <c r="KJ87" s="5">
        <f t="shared" si="141"/>
        <v>4.1561723076923078</v>
      </c>
      <c r="KK87" s="5">
        <f t="shared" si="141"/>
        <v>4.0677784615384613</v>
      </c>
      <c r="KL87" s="5">
        <f t="shared" si="141"/>
        <v>3.9099323076923085</v>
      </c>
      <c r="KM87" s="5">
        <f t="shared" si="141"/>
        <v>3.8926523076923072</v>
      </c>
      <c r="KN87" s="5">
        <f t="shared" si="141"/>
        <v>3.8321723076923075</v>
      </c>
      <c r="KO87" s="5">
        <f t="shared" si="141"/>
        <v>3.8381538461538462</v>
      </c>
      <c r="KP87" s="5">
        <f t="shared" si="141"/>
        <v>3.6836307692307688</v>
      </c>
      <c r="KQ87" s="5">
        <f t="shared" si="141"/>
        <v>3.5523692307692309</v>
      </c>
      <c r="KR87" s="5">
        <f t="shared" si="141"/>
        <v>3.5148184615384612</v>
      </c>
      <c r="KS87" s="5">
        <f t="shared" si="141"/>
        <v>3.3852184615384613</v>
      </c>
      <c r="KT87" s="5">
        <f t="shared" si="141"/>
        <v>3.3629538461538475</v>
      </c>
      <c r="KU87" s="5">
        <f t="shared" si="141"/>
        <v>3.3410215384615389</v>
      </c>
      <c r="KV87" s="5">
        <f t="shared" si="141"/>
        <v>3.2659200000000004</v>
      </c>
      <c r="KW87" s="5">
        <f t="shared" si="141"/>
        <v>3.2217230769230771</v>
      </c>
      <c r="KX87" s="5">
        <f t="shared" si="141"/>
        <v>3.1303384615384617</v>
      </c>
      <c r="KY87" s="5">
        <f t="shared" si="141"/>
        <v>3.0389538461538468</v>
      </c>
      <c r="KZ87" s="5">
        <f t="shared" si="141"/>
        <v>2.9595323076923084</v>
      </c>
      <c r="LA87" s="5">
        <f t="shared" si="141"/>
        <v>2.9043692307692299</v>
      </c>
      <c r="LB87" s="5">
        <f t="shared" si="141"/>
        <v>2.8252799999999998</v>
      </c>
      <c r="LC87" s="5">
        <f t="shared" si="141"/>
        <v>2.7458584615384614</v>
      </c>
      <c r="LD87" s="5">
        <f t="shared" si="141"/>
        <v>2.7023261538461534</v>
      </c>
      <c r="LE87" s="5">
        <f t="shared" si="141"/>
        <v>2.6558030769230774</v>
      </c>
      <c r="LF87" s="5">
        <f t="shared" si="141"/>
        <v>2.5793723076923083</v>
      </c>
      <c r="LG87" s="5">
        <f t="shared" si="141"/>
        <v>2.5468061538461537</v>
      </c>
      <c r="LH87" s="5">
        <f t="shared" si="141"/>
        <v>2.5125784615384621</v>
      </c>
      <c r="LI87" s="5">
        <f t="shared" si="141"/>
        <v>2.4683815384615384</v>
      </c>
      <c r="LJ87" s="5">
        <f t="shared" si="141"/>
        <v>2.4045784615384611</v>
      </c>
      <c r="LK87" s="5">
        <f t="shared" ref="LK87:NU87" si="142">AVERAGE(LK44:LK69)</f>
        <v>2.3553969230769236</v>
      </c>
      <c r="LL87" s="5">
        <f t="shared" si="142"/>
        <v>2.3191753846153849</v>
      </c>
      <c r="LM87" s="5">
        <f t="shared" si="142"/>
        <v>2.3188430769230766</v>
      </c>
      <c r="LN87" s="5">
        <f t="shared" si="142"/>
        <v>2.3404430769230764</v>
      </c>
      <c r="LO87" s="5">
        <f t="shared" si="142"/>
        <v>2.3334646153846155</v>
      </c>
      <c r="LP87" s="5">
        <f t="shared" si="142"/>
        <v>2.2749784615384616</v>
      </c>
      <c r="LQ87" s="5">
        <f t="shared" si="142"/>
        <v>2.2709907692307691</v>
      </c>
      <c r="LR87" s="5">
        <f t="shared" si="142"/>
        <v>2.2517169230769229</v>
      </c>
      <c r="LS87" s="5">
        <f t="shared" si="142"/>
        <v>2.1825969230769231</v>
      </c>
      <c r="LT87" s="5">
        <f t="shared" si="142"/>
        <v>2.1450461538461534</v>
      </c>
      <c r="LU87" s="5">
        <f t="shared" si="142"/>
        <v>2.1314215384615385</v>
      </c>
      <c r="LV87" s="5">
        <f t="shared" si="142"/>
        <v>2.0842338461538454</v>
      </c>
      <c r="LW87" s="5">
        <f t="shared" si="142"/>
        <v>1.9891938461538459</v>
      </c>
      <c r="LX87" s="5">
        <f t="shared" si="142"/>
        <v>1.9094400000000002</v>
      </c>
      <c r="LY87" s="5">
        <f t="shared" si="142"/>
        <v>1.8649107692307694</v>
      </c>
      <c r="LZ87" s="5">
        <f t="shared" si="142"/>
        <v>1.8566030769230772</v>
      </c>
      <c r="MA87" s="5">
        <f t="shared" si="142"/>
        <v>1.8240369230769227</v>
      </c>
      <c r="MB87" s="5">
        <f t="shared" si="142"/>
        <v>1.8077870769230766</v>
      </c>
      <c r="MC87" s="5">
        <f t="shared" si="142"/>
        <v>1.7583396923076928</v>
      </c>
      <c r="MD87" s="5">
        <f t="shared" si="142"/>
        <v>1.7035421538461539</v>
      </c>
      <c r="ME87" s="5">
        <f t="shared" si="142"/>
        <v>1.6888873846153845</v>
      </c>
      <c r="MF87" s="5">
        <f t="shared" si="142"/>
        <v>1.6928086153846149</v>
      </c>
      <c r="MG87" s="5">
        <f t="shared" si="142"/>
        <v>1.6808787692307696</v>
      </c>
      <c r="MH87" s="5">
        <f t="shared" si="142"/>
        <v>1.6365489230769232</v>
      </c>
      <c r="MI87" s="5">
        <f t="shared" si="142"/>
        <v>1.6253169230769231</v>
      </c>
      <c r="MJ87" s="5">
        <f t="shared" si="142"/>
        <v>1.6347544615384613</v>
      </c>
      <c r="MK87" s="5">
        <f t="shared" si="142"/>
        <v>1.642962461538461</v>
      </c>
      <c r="ML87" s="5">
        <f t="shared" si="142"/>
        <v>1.6257821538461539</v>
      </c>
      <c r="MM87" s="5">
        <f t="shared" si="142"/>
        <v>1.5836455384615382</v>
      </c>
      <c r="MN87" s="5">
        <f t="shared" si="142"/>
        <v>1.5713501538461538</v>
      </c>
      <c r="MO87" s="5">
        <f t="shared" si="142"/>
        <v>1.5611150769230766</v>
      </c>
      <c r="MP87" s="5">
        <f t="shared" si="142"/>
        <v>1.5276184615384618</v>
      </c>
      <c r="MQ87" s="5">
        <f t="shared" si="142"/>
        <v>1.5156553846153844</v>
      </c>
      <c r="MR87" s="5">
        <f t="shared" si="142"/>
        <v>1.4947199999999998</v>
      </c>
      <c r="MS87" s="5">
        <f t="shared" si="142"/>
        <v>1.4973784615384613</v>
      </c>
      <c r="MT87" s="5">
        <f t="shared" si="142"/>
        <v>1.4814276923076926</v>
      </c>
      <c r="MU87" s="5">
        <f t="shared" si="142"/>
        <v>1.4847507692307693</v>
      </c>
      <c r="MV87" s="5">
        <f t="shared" si="142"/>
        <v>1.4508553846153847</v>
      </c>
      <c r="MW87" s="5">
        <f t="shared" si="142"/>
        <v>1.4129723076923075</v>
      </c>
      <c r="MX87" s="5">
        <f t="shared" si="142"/>
        <v>1.4455384615384614</v>
      </c>
      <c r="MY87" s="5">
        <f t="shared" si="142"/>
        <v>1.4475323076923072</v>
      </c>
      <c r="MZ87" s="5">
        <f t="shared" si="142"/>
        <v>1.4565046153846155</v>
      </c>
      <c r="NA87" s="5">
        <f t="shared" si="142"/>
        <v>1.4422486153846152</v>
      </c>
      <c r="NB87" s="5">
        <f t="shared" si="142"/>
        <v>1.4057280000000001</v>
      </c>
      <c r="NC87" s="5">
        <f t="shared" si="142"/>
        <v>1.4762057142857141</v>
      </c>
      <c r="ND87" s="5">
        <f t="shared" si="142"/>
        <v>43.815533538461537</v>
      </c>
      <c r="NE87" s="5">
        <f t="shared" si="142"/>
        <v>35.116283076923068</v>
      </c>
      <c r="NF87" s="5">
        <f t="shared" si="142"/>
        <v>37.430639999999997</v>
      </c>
      <c r="NG87" s="5">
        <f t="shared" si="142"/>
        <v>38.143273846153839</v>
      </c>
      <c r="NH87" s="5">
        <f t="shared" si="142"/>
        <v>55.226547692307697</v>
      </c>
      <c r="NI87" s="5">
        <f t="shared" si="142"/>
        <v>107.13932307692309</v>
      </c>
      <c r="NJ87" s="5">
        <f t="shared" si="142"/>
        <v>227.40646153846151</v>
      </c>
      <c r="NK87" s="5">
        <f t="shared" si="142"/>
        <v>238.27458461538461</v>
      </c>
      <c r="NL87" s="5">
        <f t="shared" si="142"/>
        <v>231.08676923076922</v>
      </c>
      <c r="NM87" s="5">
        <f t="shared" si="142"/>
        <v>146.61149538461541</v>
      </c>
      <c r="NN87" s="5">
        <f t="shared" si="142"/>
        <v>76.214769230769221</v>
      </c>
      <c r="NO87" s="5">
        <f t="shared" si="142"/>
        <v>49.231052307692316</v>
      </c>
      <c r="NP87" s="5">
        <f t="shared" si="142"/>
        <v>1285.6967335384616</v>
      </c>
      <c r="NQ87" s="5">
        <f t="shared" si="142"/>
        <v>13.398646153846151</v>
      </c>
      <c r="NR87" s="5">
        <f t="shared" si="142"/>
        <v>42595.230769230766</v>
      </c>
      <c r="NS87" s="5">
        <f t="shared" si="142"/>
        <v>0.93338584615384612</v>
      </c>
      <c r="NT87" s="5">
        <f t="shared" si="142"/>
        <v>42488.807692307695</v>
      </c>
      <c r="NU87" s="5">
        <f t="shared" si="142"/>
        <v>4074.1271315218205</v>
      </c>
      <c r="NV87" s="5"/>
      <c r="NW87" s="5">
        <f t="shared" ref="NW87:OE87" si="143">AVERAGE(NW44:NW69)</f>
        <v>1005.7451815384616</v>
      </c>
      <c r="NX87" s="5">
        <f t="shared" si="143"/>
        <v>77.887219723575384</v>
      </c>
      <c r="NY87" s="5">
        <f t="shared" si="143"/>
        <v>803.90713846153858</v>
      </c>
      <c r="NZ87" s="5">
        <f t="shared" si="143"/>
        <v>62.054992054705728</v>
      </c>
      <c r="OA87" s="5">
        <f t="shared" si="143"/>
        <v>279.95155200000005</v>
      </c>
      <c r="OB87" s="5">
        <f t="shared" si="143"/>
        <v>22.112780276424626</v>
      </c>
      <c r="OC87" s="5">
        <f t="shared" si="143"/>
        <v>277.56564923076922</v>
      </c>
      <c r="OD87" s="5">
        <f t="shared" si="143"/>
        <v>21.366703804181455</v>
      </c>
      <c r="OE87" s="5">
        <f t="shared" si="143"/>
        <v>300.39643306973409</v>
      </c>
      <c r="OF87" s="5">
        <f t="shared" ref="OF87" si="144">AVERAGE(OF44:OF69)</f>
        <v>9.525508405306125</v>
      </c>
    </row>
    <row r="88" spans="1:396" customFormat="1" x14ac:dyDescent="0.15">
      <c r="A88" s="9" t="s">
        <v>48</v>
      </c>
      <c r="B88" s="5">
        <f>AVERAGE(B3:B55)</f>
        <v>1.3290522352941179</v>
      </c>
      <c r="C88" s="5">
        <f t="shared" ref="C88:BN88" si="145">AVERAGE(C3:C55)</f>
        <v>1.3238851764705881</v>
      </c>
      <c r="D88" s="5">
        <f t="shared" si="145"/>
        <v>1.3170070588235292</v>
      </c>
      <c r="E88" s="5">
        <f t="shared" si="145"/>
        <v>1.3109082352941179</v>
      </c>
      <c r="F88" s="5">
        <f t="shared" si="145"/>
        <v>1.2936282352941177</v>
      </c>
      <c r="G88" s="5">
        <f t="shared" si="145"/>
        <v>1.2797364705882355</v>
      </c>
      <c r="H88" s="5">
        <f t="shared" si="145"/>
        <v>1.2649637647058827</v>
      </c>
      <c r="I88" s="5">
        <f t="shared" si="145"/>
        <v>1.2531727058823532</v>
      </c>
      <c r="J88" s="5">
        <f t="shared" si="145"/>
        <v>1.2428216470588236</v>
      </c>
      <c r="K88" s="5">
        <f t="shared" si="145"/>
        <v>1.2318268235294116</v>
      </c>
      <c r="L88" s="5">
        <f t="shared" si="145"/>
        <v>1.220781176470588</v>
      </c>
      <c r="M88" s="5">
        <f t="shared" si="145"/>
        <v>1.2153938823529409</v>
      </c>
      <c r="N88" s="5">
        <f t="shared" si="145"/>
        <v>1.209583058823529</v>
      </c>
      <c r="O88" s="5">
        <f t="shared" si="145"/>
        <v>1.2034334117647056</v>
      </c>
      <c r="P88" s="5">
        <f t="shared" si="145"/>
        <v>1.1933534117647058</v>
      </c>
      <c r="Q88" s="5">
        <f t="shared" si="145"/>
        <v>1.2048056470588233</v>
      </c>
      <c r="R88" s="5">
        <f t="shared" si="145"/>
        <v>1.1987237647058819</v>
      </c>
      <c r="S88" s="5">
        <f t="shared" si="145"/>
        <v>1.1908122352941173</v>
      </c>
      <c r="T88" s="5">
        <f t="shared" si="145"/>
        <v>1.1892028235294116</v>
      </c>
      <c r="U88" s="5">
        <f t="shared" si="145"/>
        <v>1.177174588235294</v>
      </c>
      <c r="V88" s="5">
        <f t="shared" si="145"/>
        <v>1.1671962352941174</v>
      </c>
      <c r="W88" s="5">
        <f t="shared" si="145"/>
        <v>1.1570484705882351</v>
      </c>
      <c r="X88" s="5">
        <f t="shared" si="145"/>
        <v>1.1458842352941172</v>
      </c>
      <c r="Y88" s="5">
        <f t="shared" si="145"/>
        <v>1.1386672941176466</v>
      </c>
      <c r="Z88" s="5">
        <f t="shared" si="145"/>
        <v>1.1283670588235293</v>
      </c>
      <c r="AA88" s="5">
        <f t="shared" si="145"/>
        <v>1.1205741176470585</v>
      </c>
      <c r="AB88" s="5">
        <f t="shared" si="145"/>
        <v>1.1176941176470587</v>
      </c>
      <c r="AC88" s="5">
        <f t="shared" si="145"/>
        <v>1.1100367058823528</v>
      </c>
      <c r="AD88" s="5">
        <f t="shared" si="145"/>
        <v>1.1030061176470589</v>
      </c>
      <c r="AE88" s="5">
        <f t="shared" si="145"/>
        <v>1.0988047058823533</v>
      </c>
      <c r="AF88" s="5">
        <f t="shared" si="145"/>
        <v>1.0943661176470587</v>
      </c>
      <c r="AG88" s="5">
        <f t="shared" si="145"/>
        <v>1.0915708235294119</v>
      </c>
      <c r="AH88" s="5">
        <f t="shared" si="145"/>
        <v>1.0835745882352943</v>
      </c>
      <c r="AI88" s="5">
        <f t="shared" si="145"/>
        <v>1.0807115294117648</v>
      </c>
      <c r="AJ88" s="5">
        <f t="shared" si="145"/>
        <v>1.0800677647058825</v>
      </c>
      <c r="AK88" s="5">
        <f t="shared" si="145"/>
        <v>1.0717835294117648</v>
      </c>
      <c r="AL88" s="5">
        <f t="shared" si="145"/>
        <v>1.0660065882352943</v>
      </c>
      <c r="AM88" s="5">
        <f t="shared" si="145"/>
        <v>1.0569938823529412</v>
      </c>
      <c r="AN88" s="5">
        <f t="shared" si="145"/>
        <v>1.0510814117647058</v>
      </c>
      <c r="AO88" s="5">
        <f t="shared" si="145"/>
        <v>1.0476254117647059</v>
      </c>
      <c r="AP88" s="5">
        <f t="shared" si="145"/>
        <v>1.0441863529411763</v>
      </c>
      <c r="AQ88" s="5">
        <f t="shared" si="145"/>
        <v>1.0414249411764707</v>
      </c>
      <c r="AR88" s="5">
        <f t="shared" si="145"/>
        <v>1.0467275294117648</v>
      </c>
      <c r="AS88" s="5">
        <f t="shared" si="145"/>
        <v>1.0429327058823532</v>
      </c>
      <c r="AT88" s="5">
        <f t="shared" si="145"/>
        <v>1.0359698823529413</v>
      </c>
      <c r="AU88" s="5">
        <f t="shared" si="145"/>
        <v>1.0297016470588238</v>
      </c>
      <c r="AV88" s="5">
        <f t="shared" si="145"/>
        <v>1.0252800000000004</v>
      </c>
      <c r="AW88" s="5">
        <f t="shared" si="145"/>
        <v>1.0209430588235295</v>
      </c>
      <c r="AX88" s="5">
        <f t="shared" si="145"/>
        <v>1.0186560000000002</v>
      </c>
      <c r="AY88" s="5">
        <f t="shared" si="145"/>
        <v>1.0195030588235294</v>
      </c>
      <c r="AZ88" s="5">
        <f t="shared" si="145"/>
        <v>1.0160131764705884</v>
      </c>
      <c r="BA88" s="5">
        <f t="shared" si="145"/>
        <v>1.0151322352941179</v>
      </c>
      <c r="BB88" s="5">
        <f t="shared" si="145"/>
        <v>1.0122861176470592</v>
      </c>
      <c r="BC88" s="5">
        <f t="shared" si="145"/>
        <v>1.0105242352941179</v>
      </c>
      <c r="BD88" s="5">
        <f t="shared" si="145"/>
        <v>1.0080677647058824</v>
      </c>
      <c r="BE88" s="5">
        <f t="shared" si="145"/>
        <v>1.0030870588235297</v>
      </c>
      <c r="BF88" s="5">
        <f t="shared" si="145"/>
        <v>0.99969882352941175</v>
      </c>
      <c r="BG88" s="5">
        <f t="shared" si="145"/>
        <v>0.98794164705882359</v>
      </c>
      <c r="BH88" s="5">
        <f t="shared" si="145"/>
        <v>0.98518023529411747</v>
      </c>
      <c r="BI88" s="5">
        <f t="shared" si="145"/>
        <v>0.98050707692307704</v>
      </c>
      <c r="BJ88" s="5">
        <f t="shared" si="145"/>
        <v>0.98197835294117652</v>
      </c>
      <c r="BK88" s="5">
        <f t="shared" si="145"/>
        <v>0.98003011764705894</v>
      </c>
      <c r="BL88" s="5">
        <f t="shared" si="145"/>
        <v>0.97593035294117669</v>
      </c>
      <c r="BM88" s="5">
        <f t="shared" si="145"/>
        <v>0.97245741176470601</v>
      </c>
      <c r="BN88" s="5">
        <f t="shared" si="145"/>
        <v>0.9696282352941179</v>
      </c>
      <c r="BO88" s="5">
        <f t="shared" ref="BO88:DZ88" si="146">AVERAGE(BO3:BO55)</f>
        <v>0.96840847058823554</v>
      </c>
      <c r="BP88" s="5">
        <f t="shared" si="146"/>
        <v>0.96661270588235282</v>
      </c>
      <c r="BQ88" s="5">
        <f t="shared" si="146"/>
        <v>0.95963294117647024</v>
      </c>
      <c r="BR88" s="5">
        <f t="shared" si="146"/>
        <v>0.96137788235294097</v>
      </c>
      <c r="BS88" s="5">
        <f t="shared" si="146"/>
        <v>0.96839152941176476</v>
      </c>
      <c r="BT88" s="5">
        <f t="shared" si="146"/>
        <v>0.96808658823529414</v>
      </c>
      <c r="BU88" s="5">
        <f t="shared" si="146"/>
        <v>0.96762917647058833</v>
      </c>
      <c r="BV88" s="5">
        <f t="shared" si="146"/>
        <v>0.96932329411764706</v>
      </c>
      <c r="BW88" s="5">
        <f t="shared" si="146"/>
        <v>0.96114070588235301</v>
      </c>
      <c r="BX88" s="5">
        <f t="shared" si="146"/>
        <v>0.95602447058823548</v>
      </c>
      <c r="BY88" s="5">
        <f t="shared" si="146"/>
        <v>0.95580423529411784</v>
      </c>
      <c r="BZ88" s="5">
        <f t="shared" si="146"/>
        <v>0.95524517647058849</v>
      </c>
      <c r="CA88" s="5">
        <f t="shared" si="146"/>
        <v>0.95798964705882339</v>
      </c>
      <c r="CB88" s="5">
        <f t="shared" si="146"/>
        <v>0.96302117647058794</v>
      </c>
      <c r="CC88" s="5">
        <f t="shared" si="146"/>
        <v>0.96610447058823501</v>
      </c>
      <c r="CD88" s="5">
        <f t="shared" si="146"/>
        <v>0.9646305882352938</v>
      </c>
      <c r="CE88" s="5">
        <f t="shared" si="146"/>
        <v>0.96193694117647022</v>
      </c>
      <c r="CF88" s="5">
        <f t="shared" si="146"/>
        <v>0.96275011764705842</v>
      </c>
      <c r="CG88" s="5">
        <f t="shared" si="146"/>
        <v>0.96291952941176451</v>
      </c>
      <c r="CH88" s="5">
        <f t="shared" si="146"/>
        <v>0.97166117647058814</v>
      </c>
      <c r="CI88" s="5">
        <f t="shared" si="146"/>
        <v>0.97977599999999987</v>
      </c>
      <c r="CJ88" s="5">
        <f t="shared" si="146"/>
        <v>0.98235105882352947</v>
      </c>
      <c r="CK88" s="5">
        <f t="shared" si="146"/>
        <v>0.98914447058823518</v>
      </c>
      <c r="CL88" s="5">
        <f t="shared" si="146"/>
        <v>0.98931388235294127</v>
      </c>
      <c r="CM88" s="5">
        <f t="shared" si="146"/>
        <v>0.98804329411764713</v>
      </c>
      <c r="CN88" s="5">
        <f t="shared" si="146"/>
        <v>0.99322729411764721</v>
      </c>
      <c r="CO88" s="5">
        <f t="shared" si="146"/>
        <v>1.0001901176470589</v>
      </c>
      <c r="CP88" s="5">
        <f t="shared" si="146"/>
        <v>1.005746823529412</v>
      </c>
      <c r="CQ88" s="5">
        <f t="shared" si="146"/>
        <v>1.0168432941176471</v>
      </c>
      <c r="CR88" s="5">
        <f t="shared" si="146"/>
        <v>1.0241110588235296</v>
      </c>
      <c r="CS88" s="5">
        <f t="shared" si="146"/>
        <v>1.0299049411764711</v>
      </c>
      <c r="CT88" s="5">
        <f t="shared" si="146"/>
        <v>1.0268555294117652</v>
      </c>
      <c r="CU88" s="5">
        <f t="shared" si="146"/>
        <v>1.0260423529411766</v>
      </c>
      <c r="CV88" s="5">
        <f t="shared" si="146"/>
        <v>1.0276178823529412</v>
      </c>
      <c r="CW88" s="5">
        <f t="shared" si="146"/>
        <v>1.0379689411764705</v>
      </c>
      <c r="CX88" s="5">
        <f t="shared" si="146"/>
        <v>1.0432545882352942</v>
      </c>
      <c r="CY88" s="5">
        <f t="shared" si="146"/>
        <v>1.0542155294117648</v>
      </c>
      <c r="CZ88" s="5">
        <f t="shared" si="146"/>
        <v>1.0565534117647062</v>
      </c>
      <c r="DA88" s="5">
        <f t="shared" si="146"/>
        <v>1.0657863529411764</v>
      </c>
      <c r="DB88" s="5">
        <f t="shared" si="146"/>
        <v>1.0770183529411763</v>
      </c>
      <c r="DC88" s="5">
        <f t="shared" si="146"/>
        <v>1.0825750588235297</v>
      </c>
      <c r="DD88" s="5">
        <f t="shared" si="146"/>
        <v>1.0941458823529411</v>
      </c>
      <c r="DE88" s="5">
        <f t="shared" si="146"/>
        <v>1.1036837647058821</v>
      </c>
      <c r="DF88" s="5">
        <f t="shared" si="146"/>
        <v>1.1051407058823526</v>
      </c>
      <c r="DG88" s="5">
        <f t="shared" si="146"/>
        <v>1.1085458823529415</v>
      </c>
      <c r="DH88" s="5">
        <f t="shared" si="146"/>
        <v>1.1211840000000002</v>
      </c>
      <c r="DI88" s="5">
        <f t="shared" si="146"/>
        <v>1.1366004705882353</v>
      </c>
      <c r="DJ88" s="5">
        <f t="shared" si="146"/>
        <v>1.1567774117647058</v>
      </c>
      <c r="DK88" s="5">
        <f t="shared" si="146"/>
        <v>1.1796310588235297</v>
      </c>
      <c r="DL88" s="5">
        <f t="shared" si="146"/>
        <v>1.1993675294117652</v>
      </c>
      <c r="DM88" s="5">
        <f t="shared" si="146"/>
        <v>1.2152583529411771</v>
      </c>
      <c r="DN88" s="5">
        <f t="shared" si="146"/>
        <v>1.2307087058823531</v>
      </c>
      <c r="DO88" s="5">
        <f t="shared" si="146"/>
        <v>1.2507331764705887</v>
      </c>
      <c r="DP88" s="5">
        <f t="shared" si="146"/>
        <v>1.2687585882352943</v>
      </c>
      <c r="DQ88" s="5">
        <f t="shared" si="146"/>
        <v>1.2890541176470589</v>
      </c>
      <c r="DR88" s="5">
        <f t="shared" si="146"/>
        <v>1.3096376470588234</v>
      </c>
      <c r="DS88" s="5">
        <f t="shared" si="146"/>
        <v>1.3246305882352936</v>
      </c>
      <c r="DT88" s="5">
        <f t="shared" si="146"/>
        <v>1.3226654117647059</v>
      </c>
      <c r="DU88" s="5">
        <f t="shared" si="146"/>
        <v>1.3239698823529411</v>
      </c>
      <c r="DV88" s="5">
        <f t="shared" si="146"/>
        <v>1.3529731764705879</v>
      </c>
      <c r="DW88" s="5">
        <f t="shared" si="146"/>
        <v>1.3859407058823523</v>
      </c>
      <c r="DX88" s="5">
        <f t="shared" si="146"/>
        <v>1.4174682352941175</v>
      </c>
      <c r="DY88" s="5">
        <f t="shared" si="146"/>
        <v>1.439424</v>
      </c>
      <c r="DZ88" s="5">
        <f t="shared" si="146"/>
        <v>1.4619557647058821</v>
      </c>
      <c r="EA88" s="5">
        <f t="shared" ref="EA88:GL88" si="147">AVERAGE(EA3:EA55)</f>
        <v>1.4838268235294121</v>
      </c>
      <c r="EB88" s="5">
        <f t="shared" si="147"/>
        <v>1.4987350588235298</v>
      </c>
      <c r="EC88" s="5">
        <f t="shared" si="147"/>
        <v>1.5146428235294118</v>
      </c>
      <c r="ED88" s="5">
        <f t="shared" si="147"/>
        <v>1.5269929411764704</v>
      </c>
      <c r="EE88" s="5">
        <f t="shared" si="147"/>
        <v>1.561468235294118</v>
      </c>
      <c r="EF88" s="5">
        <f t="shared" si="147"/>
        <v>1.5808658823529409</v>
      </c>
      <c r="EG88" s="5">
        <f t="shared" si="147"/>
        <v>1.5984677647058818</v>
      </c>
      <c r="EH88" s="5">
        <f t="shared" si="147"/>
        <v>1.6217279999999994</v>
      </c>
      <c r="EI88" s="5">
        <f t="shared" si="147"/>
        <v>1.6513581176470586</v>
      </c>
      <c r="EJ88" s="5">
        <f t="shared" si="147"/>
        <v>1.6702475294117647</v>
      </c>
      <c r="EK88" s="5">
        <f t="shared" si="147"/>
        <v>1.6870701176470588</v>
      </c>
      <c r="EL88" s="5">
        <f t="shared" si="147"/>
        <v>1.7066541176470591</v>
      </c>
      <c r="EM88" s="5">
        <f t="shared" si="147"/>
        <v>1.7263058823529416</v>
      </c>
      <c r="EN88" s="5">
        <f t="shared" si="147"/>
        <v>1.7769430588235295</v>
      </c>
      <c r="EO88" s="5">
        <f t="shared" si="147"/>
        <v>1.8041336470588234</v>
      </c>
      <c r="EP88" s="5">
        <f t="shared" si="147"/>
        <v>1.8323576470588236</v>
      </c>
      <c r="EQ88" s="5">
        <f t="shared" si="147"/>
        <v>1.8567529411764707</v>
      </c>
      <c r="ER88" s="5">
        <f t="shared" si="147"/>
        <v>1.9021552941176467</v>
      </c>
      <c r="ES88" s="5">
        <f t="shared" si="147"/>
        <v>1.9583999999999999</v>
      </c>
      <c r="ET88" s="5">
        <f t="shared" si="147"/>
        <v>2.0012611764705879</v>
      </c>
      <c r="EU88" s="5">
        <f t="shared" si="147"/>
        <v>2.0608941176470585</v>
      </c>
      <c r="EV88" s="5">
        <f t="shared" si="147"/>
        <v>2.1001976470588231</v>
      </c>
      <c r="EW88" s="5">
        <f t="shared" si="147"/>
        <v>2.1413647058823524</v>
      </c>
      <c r="EX88" s="5">
        <f t="shared" si="147"/>
        <v>2.196254117647058</v>
      </c>
      <c r="EY88" s="5">
        <f t="shared" si="147"/>
        <v>2.2639002352941175</v>
      </c>
      <c r="EZ88" s="5">
        <f t="shared" si="147"/>
        <v>2.3444894117647062</v>
      </c>
      <c r="FA88" s="5">
        <f t="shared" si="147"/>
        <v>2.391585882352941</v>
      </c>
      <c r="FB88" s="5">
        <f t="shared" si="147"/>
        <v>2.4502023529411772</v>
      </c>
      <c r="FC88" s="5">
        <f t="shared" si="147"/>
        <v>2.5006870588235297</v>
      </c>
      <c r="FD88" s="5">
        <f t="shared" si="147"/>
        <v>2.5637082352941172</v>
      </c>
      <c r="FE88" s="5">
        <f t="shared" si="147"/>
        <v>2.665694117647059</v>
      </c>
      <c r="FF88" s="5">
        <f t="shared" si="147"/>
        <v>2.721430588235294</v>
      </c>
      <c r="FG88" s="5">
        <f t="shared" si="147"/>
        <v>2.7866541176470587</v>
      </c>
      <c r="FH88" s="5">
        <f t="shared" si="147"/>
        <v>2.8501835294117641</v>
      </c>
      <c r="FI88" s="5">
        <f t="shared" si="147"/>
        <v>2.9196423529411764</v>
      </c>
      <c r="FJ88" s="5">
        <f t="shared" si="147"/>
        <v>2.992489411764705</v>
      </c>
      <c r="FK88" s="5">
        <f t="shared" si="147"/>
        <v>3.0900705882352941</v>
      </c>
      <c r="FL88" s="5">
        <f t="shared" si="147"/>
        <v>3.2406776470588237</v>
      </c>
      <c r="FM88" s="5">
        <f t="shared" si="147"/>
        <v>3.4287247058823551</v>
      </c>
      <c r="FN88" s="5">
        <f t="shared" si="147"/>
        <v>3.5545976470588236</v>
      </c>
      <c r="FO88" s="5">
        <f t="shared" si="147"/>
        <v>3.6874164705882344</v>
      </c>
      <c r="FP88" s="5">
        <f t="shared" si="147"/>
        <v>3.9112094117647058</v>
      </c>
      <c r="FQ88" s="5">
        <f t="shared" si="147"/>
        <v>4.1217882352941171</v>
      </c>
      <c r="FR88" s="5">
        <f t="shared" si="147"/>
        <v>4.4114823529411762</v>
      </c>
      <c r="FS88" s="5">
        <f t="shared" si="147"/>
        <v>4.7128658823529417</v>
      </c>
      <c r="FT88" s="5">
        <f t="shared" si="147"/>
        <v>4.7619952941176473</v>
      </c>
      <c r="FU88" s="5">
        <f t="shared" si="147"/>
        <v>4.7586070588235287</v>
      </c>
      <c r="FV88" s="5">
        <f t="shared" si="147"/>
        <v>4.8770258823529415</v>
      </c>
      <c r="FW88" s="5">
        <f t="shared" si="147"/>
        <v>5.1008188235294112</v>
      </c>
      <c r="FX88" s="5">
        <f t="shared" si="147"/>
        <v>5.3088564705882346</v>
      </c>
      <c r="FY88" s="5">
        <f t="shared" si="147"/>
        <v>5.5417976470588242</v>
      </c>
      <c r="FZ88" s="5">
        <f t="shared" si="147"/>
        <v>5.6383623529411757</v>
      </c>
      <c r="GA88" s="5">
        <f t="shared" si="147"/>
        <v>5.7149364705882366</v>
      </c>
      <c r="GB88" s="5">
        <f t="shared" si="147"/>
        <v>5.9570258823529416</v>
      </c>
      <c r="GC88" s="5">
        <f t="shared" si="147"/>
        <v>6.1897976470588221</v>
      </c>
      <c r="GD88" s="5">
        <f t="shared" si="147"/>
        <v>6.3714070588235279</v>
      </c>
      <c r="GE88" s="5">
        <f t="shared" si="147"/>
        <v>6.4703435294117666</v>
      </c>
      <c r="GF88" s="5">
        <f t="shared" si="147"/>
        <v>6.4801694117647051</v>
      </c>
      <c r="GG88" s="5">
        <f t="shared" si="147"/>
        <v>6.620611764705882</v>
      </c>
      <c r="GH88" s="5">
        <f t="shared" si="147"/>
        <v>6.8278023529411778</v>
      </c>
      <c r="GI88" s="5">
        <f t="shared" si="147"/>
        <v>7.0221176470588214</v>
      </c>
      <c r="GJ88" s="5">
        <f t="shared" si="147"/>
        <v>7.2306635294117649</v>
      </c>
      <c r="GK88" s="5">
        <f t="shared" si="147"/>
        <v>7.431924705882353</v>
      </c>
      <c r="GL88" s="5">
        <f t="shared" si="147"/>
        <v>7.5139199999999979</v>
      </c>
      <c r="GM88" s="5">
        <f t="shared" ref="GM88:IX88" si="148">AVERAGE(GM3:GM55)</f>
        <v>7.5798211764705856</v>
      </c>
      <c r="GN88" s="5">
        <f t="shared" si="148"/>
        <v>7.4595388235294111</v>
      </c>
      <c r="GO88" s="5">
        <f t="shared" si="148"/>
        <v>7.3524705882352945</v>
      </c>
      <c r="GP88" s="5">
        <f t="shared" si="148"/>
        <v>7.5130729411764721</v>
      </c>
      <c r="GQ88" s="5">
        <f t="shared" si="148"/>
        <v>7.7814211764705883</v>
      </c>
      <c r="GR88" s="5">
        <f t="shared" si="148"/>
        <v>7.7185694117647063</v>
      </c>
      <c r="GS88" s="5">
        <f t="shared" si="148"/>
        <v>7.5694870588235306</v>
      </c>
      <c r="GT88" s="5">
        <f t="shared" si="148"/>
        <v>7.4849505882352947</v>
      </c>
      <c r="GU88" s="5">
        <f t="shared" si="148"/>
        <v>7.4851200000000002</v>
      </c>
      <c r="GV88" s="5">
        <f t="shared" si="148"/>
        <v>7.398381176470588</v>
      </c>
      <c r="GW88" s="5">
        <f t="shared" si="148"/>
        <v>7.2836894117647049</v>
      </c>
      <c r="GX88" s="5">
        <f t="shared" si="148"/>
        <v>7.3133364705882347</v>
      </c>
      <c r="GY88" s="5">
        <f t="shared" si="148"/>
        <v>7.4907105882352916</v>
      </c>
      <c r="GZ88" s="5">
        <f t="shared" si="148"/>
        <v>7.5500047058823538</v>
      </c>
      <c r="HA88" s="5">
        <f t="shared" si="148"/>
        <v>7.5215435294117663</v>
      </c>
      <c r="HB88" s="5">
        <f t="shared" si="148"/>
        <v>7.5117176470588216</v>
      </c>
      <c r="HC88" s="5">
        <f t="shared" si="148"/>
        <v>7.5388235294117631</v>
      </c>
      <c r="HD88" s="5">
        <f t="shared" si="148"/>
        <v>7.4915576470588237</v>
      </c>
      <c r="HE88" s="5">
        <f t="shared" si="148"/>
        <v>7.532216470588236</v>
      </c>
      <c r="HF88" s="5">
        <f t="shared" si="148"/>
        <v>7.6582588235294109</v>
      </c>
      <c r="HG88" s="5">
        <f t="shared" si="148"/>
        <v>7.8419011764705875</v>
      </c>
      <c r="HH88" s="5">
        <f t="shared" si="148"/>
        <v>7.9591341176470598</v>
      </c>
      <c r="HI88" s="5">
        <f t="shared" si="148"/>
        <v>7.9989458823529445</v>
      </c>
      <c r="HJ88" s="5">
        <f t="shared" si="148"/>
        <v>8.0716235294117649</v>
      </c>
      <c r="HK88" s="5">
        <f t="shared" si="148"/>
        <v>8.0619670588235284</v>
      </c>
      <c r="HL88" s="5">
        <f t="shared" si="148"/>
        <v>7.9916611764705889</v>
      </c>
      <c r="HM88" s="5">
        <f t="shared" si="148"/>
        <v>7.9040752941176473</v>
      </c>
      <c r="HN88" s="5">
        <f t="shared" si="148"/>
        <v>7.7795576470588239</v>
      </c>
      <c r="HO88" s="5">
        <f t="shared" si="148"/>
        <v>7.6967152941176451</v>
      </c>
      <c r="HP88" s="5">
        <f t="shared" si="148"/>
        <v>7.694682352941177</v>
      </c>
      <c r="HQ88" s="5">
        <f t="shared" si="148"/>
        <v>7.8107294117647079</v>
      </c>
      <c r="HR88" s="5">
        <f t="shared" si="148"/>
        <v>7.8832376470588228</v>
      </c>
      <c r="HS88" s="5">
        <f t="shared" si="148"/>
        <v>7.9120376470588232</v>
      </c>
      <c r="HT88" s="5">
        <f t="shared" si="148"/>
        <v>7.8942494117647044</v>
      </c>
      <c r="HU88" s="5">
        <f t="shared" si="148"/>
        <v>7.786503529411763</v>
      </c>
      <c r="HV88" s="5">
        <f t="shared" si="148"/>
        <v>7.6970541176470606</v>
      </c>
      <c r="HW88" s="5">
        <f t="shared" si="148"/>
        <v>7.7710870588235306</v>
      </c>
      <c r="HX88" s="5">
        <f t="shared" si="148"/>
        <v>7.9609976470588233</v>
      </c>
      <c r="HY88" s="5">
        <f t="shared" si="148"/>
        <v>8.0777223529411746</v>
      </c>
      <c r="HZ88" s="5">
        <f t="shared" si="148"/>
        <v>7.9948799999999984</v>
      </c>
      <c r="IA88" s="5">
        <f t="shared" si="148"/>
        <v>7.8876423529411754</v>
      </c>
      <c r="IB88" s="5">
        <f t="shared" si="148"/>
        <v>7.7736282352941197</v>
      </c>
      <c r="IC88" s="5">
        <f t="shared" si="148"/>
        <v>7.6951905882352953</v>
      </c>
      <c r="ID88" s="5">
        <f t="shared" si="148"/>
        <v>7.7155200000000015</v>
      </c>
      <c r="IE88" s="5">
        <f t="shared" si="148"/>
        <v>7.8405458823529397</v>
      </c>
      <c r="IF88" s="5">
        <f t="shared" si="148"/>
        <v>7.9833599999999976</v>
      </c>
      <c r="IG88" s="5">
        <f t="shared" si="148"/>
        <v>8.0892423529411754</v>
      </c>
      <c r="IH88" s="5">
        <f t="shared" si="148"/>
        <v>8.2307011764705891</v>
      </c>
      <c r="II88" s="5">
        <f t="shared" si="148"/>
        <v>8.3863905882352938</v>
      </c>
      <c r="IJ88" s="5">
        <f t="shared" si="148"/>
        <v>8.4177317647058789</v>
      </c>
      <c r="IK88" s="5">
        <f t="shared" si="148"/>
        <v>8.4346729411764692</v>
      </c>
      <c r="IL88" s="5">
        <f t="shared" si="148"/>
        <v>8.4309458823529404</v>
      </c>
      <c r="IM88" s="5">
        <f t="shared" si="148"/>
        <v>8.5015905882352918</v>
      </c>
      <c r="IN88" s="5">
        <f t="shared" si="148"/>
        <v>8.3823247058823522</v>
      </c>
      <c r="IO88" s="5">
        <f t="shared" si="148"/>
        <v>8.3472564705882348</v>
      </c>
      <c r="IP88" s="5">
        <f t="shared" si="148"/>
        <v>8.2556047058823534</v>
      </c>
      <c r="IQ88" s="5">
        <f t="shared" si="148"/>
        <v>8.0463811764705895</v>
      </c>
      <c r="IR88" s="5">
        <f t="shared" si="148"/>
        <v>7.9594729411764709</v>
      </c>
      <c r="IS88" s="5">
        <f t="shared" si="148"/>
        <v>7.8734117647058808</v>
      </c>
      <c r="IT88" s="5">
        <f t="shared" si="148"/>
        <v>7.7267011764705895</v>
      </c>
      <c r="IU88" s="5">
        <f t="shared" si="148"/>
        <v>7.5523764705882339</v>
      </c>
      <c r="IV88" s="5">
        <f t="shared" si="148"/>
        <v>7.4442917647058824</v>
      </c>
      <c r="IW88" s="5">
        <f t="shared" si="148"/>
        <v>7.4380235294117663</v>
      </c>
      <c r="IX88" s="5">
        <f t="shared" si="148"/>
        <v>7.4764800000000022</v>
      </c>
      <c r="IY88" s="5">
        <f t="shared" ref="IY88:LJ88" si="149">AVERAGE(IY3:IY55)</f>
        <v>7.4771576470588226</v>
      </c>
      <c r="IZ88" s="5">
        <f t="shared" si="149"/>
        <v>7.4888470588235316</v>
      </c>
      <c r="JA88" s="5">
        <f t="shared" si="149"/>
        <v>7.5076517647058827</v>
      </c>
      <c r="JB88" s="5">
        <f t="shared" si="149"/>
        <v>7.5303529411764716</v>
      </c>
      <c r="JC88" s="5">
        <f t="shared" si="149"/>
        <v>7.6518211764705892</v>
      </c>
      <c r="JD88" s="5">
        <f t="shared" si="149"/>
        <v>7.8889976470588206</v>
      </c>
      <c r="JE88" s="5">
        <f t="shared" si="149"/>
        <v>7.9969129411764719</v>
      </c>
      <c r="JF88" s="5">
        <f t="shared" si="149"/>
        <v>7.9765835294117675</v>
      </c>
      <c r="JG88" s="5">
        <f t="shared" si="149"/>
        <v>7.7619388235294107</v>
      </c>
      <c r="JH88" s="5">
        <f t="shared" si="149"/>
        <v>7.594390588235294</v>
      </c>
      <c r="JI88" s="5">
        <f t="shared" si="149"/>
        <v>7.4791905882352925</v>
      </c>
      <c r="JJ88" s="5">
        <f t="shared" si="149"/>
        <v>7.3597552941176456</v>
      </c>
      <c r="JK88" s="5">
        <f t="shared" si="149"/>
        <v>7.2301552941176475</v>
      </c>
      <c r="JL88" s="5">
        <f t="shared" si="149"/>
        <v>7.0763294117647062</v>
      </c>
      <c r="JM88" s="5">
        <f t="shared" si="149"/>
        <v>6.9194541176470583</v>
      </c>
      <c r="JN88" s="5">
        <f t="shared" si="149"/>
        <v>6.8430494117647056</v>
      </c>
      <c r="JO88" s="5">
        <f t="shared" si="149"/>
        <v>6.6805835294117673</v>
      </c>
      <c r="JP88" s="5">
        <f t="shared" si="149"/>
        <v>6.5721599999999993</v>
      </c>
      <c r="JQ88" s="5">
        <f t="shared" si="149"/>
        <v>6.4979576470588229</v>
      </c>
      <c r="JR88" s="5">
        <f t="shared" si="149"/>
        <v>6.4293458823529424</v>
      </c>
      <c r="JS88" s="5">
        <f t="shared" si="149"/>
        <v>6.3146541176470556</v>
      </c>
      <c r="JT88" s="5">
        <f t="shared" si="149"/>
        <v>6.274672941176469</v>
      </c>
      <c r="JU88" s="5">
        <f t="shared" si="149"/>
        <v>6.2448564705882355</v>
      </c>
      <c r="JV88" s="5">
        <f t="shared" si="149"/>
        <v>6.166757647058823</v>
      </c>
      <c r="JW88" s="5">
        <f t="shared" si="149"/>
        <v>6.1213552941176479</v>
      </c>
      <c r="JX88" s="5">
        <f t="shared" si="149"/>
        <v>6.1023811764705913</v>
      </c>
      <c r="JY88" s="5">
        <f t="shared" si="149"/>
        <v>5.9546541176470571</v>
      </c>
      <c r="JZ88" s="5">
        <f t="shared" si="149"/>
        <v>5.8362352941176479</v>
      </c>
      <c r="KA88" s="5">
        <f t="shared" si="149"/>
        <v>5.6442917647058808</v>
      </c>
      <c r="KB88" s="5">
        <f t="shared" si="149"/>
        <v>5.4564141176470571</v>
      </c>
      <c r="KC88" s="5">
        <f t="shared" si="149"/>
        <v>5.2409223529411761</v>
      </c>
      <c r="KD88" s="5">
        <f t="shared" si="149"/>
        <v>5.0603294117647053</v>
      </c>
      <c r="KE88" s="5">
        <f t="shared" si="149"/>
        <v>4.9076894117647054</v>
      </c>
      <c r="KF88" s="5">
        <f t="shared" si="149"/>
        <v>4.7889317647058816</v>
      </c>
      <c r="KG88" s="5">
        <f t="shared" si="149"/>
        <v>4.7008376470588242</v>
      </c>
      <c r="KH88" s="5">
        <f t="shared" si="149"/>
        <v>4.6291764705882361</v>
      </c>
      <c r="KI88" s="5">
        <f t="shared" si="149"/>
        <v>4.5326117647058819</v>
      </c>
      <c r="KJ88" s="5">
        <f t="shared" si="149"/>
        <v>4.3862400000000008</v>
      </c>
      <c r="KK88" s="5">
        <f t="shared" si="149"/>
        <v>4.2971294117647059</v>
      </c>
      <c r="KL88" s="5">
        <f t="shared" si="149"/>
        <v>4.2139482352941187</v>
      </c>
      <c r="KM88" s="5">
        <f t="shared" si="149"/>
        <v>4.1702399999999988</v>
      </c>
      <c r="KN88" s="5">
        <f t="shared" si="149"/>
        <v>4.0528376470588245</v>
      </c>
      <c r="KO88" s="5">
        <f t="shared" si="149"/>
        <v>4.01099294117647</v>
      </c>
      <c r="KP88" s="5">
        <f t="shared" si="149"/>
        <v>3.8963011764705882</v>
      </c>
      <c r="KQ88" s="5">
        <f t="shared" si="149"/>
        <v>3.7729694117647044</v>
      </c>
      <c r="KR88" s="5">
        <f t="shared" si="149"/>
        <v>3.7008000000000001</v>
      </c>
      <c r="KS88" s="5">
        <f t="shared" si="149"/>
        <v>3.5700141176470592</v>
      </c>
      <c r="KT88" s="5">
        <f t="shared" si="149"/>
        <v>3.4700611764705882</v>
      </c>
      <c r="KU88" s="5">
        <f t="shared" si="149"/>
        <v>3.3909458823529417</v>
      </c>
      <c r="KV88" s="5">
        <f t="shared" si="149"/>
        <v>3.3255529411764697</v>
      </c>
      <c r="KW88" s="5">
        <f t="shared" si="149"/>
        <v>3.2440658823529405</v>
      </c>
      <c r="KX88" s="5">
        <f t="shared" si="149"/>
        <v>3.1678305882352937</v>
      </c>
      <c r="KY88" s="5">
        <f t="shared" si="149"/>
        <v>3.0883764705882348</v>
      </c>
      <c r="KZ88" s="5">
        <f t="shared" si="149"/>
        <v>3.0080752941176478</v>
      </c>
      <c r="LA88" s="5">
        <f t="shared" si="149"/>
        <v>2.9403105882352953</v>
      </c>
      <c r="LB88" s="5">
        <f t="shared" si="149"/>
        <v>2.884235294117647</v>
      </c>
      <c r="LC88" s="5">
        <f t="shared" si="149"/>
        <v>2.8415435294117648</v>
      </c>
      <c r="LD88" s="5">
        <f t="shared" si="149"/>
        <v>2.7969882352941164</v>
      </c>
      <c r="LE88" s="5">
        <f t="shared" si="149"/>
        <v>2.7414211764705874</v>
      </c>
      <c r="LF88" s="5">
        <f t="shared" si="149"/>
        <v>2.6816188235294121</v>
      </c>
      <c r="LG88" s="5">
        <f t="shared" si="149"/>
        <v>2.6148705882352945</v>
      </c>
      <c r="LH88" s="5">
        <f t="shared" si="149"/>
        <v>2.554898823529411</v>
      </c>
      <c r="LI88" s="5">
        <f t="shared" si="149"/>
        <v>2.5013647058823532</v>
      </c>
      <c r="LJ88" s="5">
        <f t="shared" si="149"/>
        <v>2.4415623529411756</v>
      </c>
      <c r="LK88" s="5">
        <f t="shared" ref="LK88:NU88" si="150">AVERAGE(LK3:LK55)</f>
        <v>2.4012423529411762</v>
      </c>
      <c r="LL88" s="5">
        <f t="shared" si="150"/>
        <v>2.358550588235294</v>
      </c>
      <c r="LM88" s="5">
        <f t="shared" si="150"/>
        <v>2.3261929411764699</v>
      </c>
      <c r="LN88" s="5">
        <f t="shared" si="150"/>
        <v>2.3043388235294113</v>
      </c>
      <c r="LO88" s="5">
        <f t="shared" si="150"/>
        <v>2.2870588235294123</v>
      </c>
      <c r="LP88" s="5">
        <f t="shared" si="150"/>
        <v>2.2438588235294121</v>
      </c>
      <c r="LQ88" s="5">
        <f t="shared" si="150"/>
        <v>2.2060800000000005</v>
      </c>
      <c r="LR88" s="5">
        <f t="shared" si="150"/>
        <v>2.1693176470588234</v>
      </c>
      <c r="LS88" s="5">
        <f t="shared" si="150"/>
        <v>2.1345882352941179</v>
      </c>
      <c r="LT88" s="5">
        <f t="shared" si="150"/>
        <v>2.1129035294117644</v>
      </c>
      <c r="LU88" s="5">
        <f t="shared" si="150"/>
        <v>2.0768188235294112</v>
      </c>
      <c r="LV88" s="5">
        <f t="shared" si="150"/>
        <v>2.0320941176470586</v>
      </c>
      <c r="LW88" s="5">
        <f t="shared" si="150"/>
        <v>1.9731388235294118</v>
      </c>
      <c r="LX88" s="5">
        <f t="shared" si="150"/>
        <v>1.9287529411764712</v>
      </c>
      <c r="LY88" s="5">
        <f t="shared" si="150"/>
        <v>1.8994447058823529</v>
      </c>
      <c r="LZ88" s="5">
        <f t="shared" si="150"/>
        <v>1.8823341176470596</v>
      </c>
      <c r="MA88" s="5">
        <f t="shared" si="150"/>
        <v>1.8609882352941178</v>
      </c>
      <c r="MB88" s="5">
        <f t="shared" si="150"/>
        <v>1.8340517647058823</v>
      </c>
      <c r="MC88" s="5">
        <f t="shared" si="150"/>
        <v>1.7964423529411762</v>
      </c>
      <c r="MD88" s="5">
        <f t="shared" si="150"/>
        <v>1.766964705882353</v>
      </c>
      <c r="ME88" s="5">
        <f t="shared" si="150"/>
        <v>1.7451105882352942</v>
      </c>
      <c r="MF88" s="5">
        <f t="shared" si="150"/>
        <v>1.7195294117647058</v>
      </c>
      <c r="MG88" s="5">
        <f t="shared" si="150"/>
        <v>1.6954729411764706</v>
      </c>
      <c r="MH88" s="5">
        <f t="shared" si="150"/>
        <v>1.6724329411764707</v>
      </c>
      <c r="MI88" s="5">
        <f t="shared" si="150"/>
        <v>1.6534588235294116</v>
      </c>
      <c r="MJ88" s="5">
        <f t="shared" si="150"/>
        <v>1.6399058823529411</v>
      </c>
      <c r="MK88" s="5">
        <f t="shared" si="150"/>
        <v>1.6227952941176471</v>
      </c>
      <c r="ML88" s="5">
        <f t="shared" si="150"/>
        <v>1.6036517647058826</v>
      </c>
      <c r="MM88" s="5">
        <f t="shared" si="150"/>
        <v>1.5801035294117649</v>
      </c>
      <c r="MN88" s="5">
        <f t="shared" si="150"/>
        <v>1.5575717647058824</v>
      </c>
      <c r="MO88" s="5">
        <f t="shared" si="150"/>
        <v>1.5391058823529409</v>
      </c>
      <c r="MP88" s="5">
        <f t="shared" si="150"/>
        <v>1.5187764705882352</v>
      </c>
      <c r="MQ88" s="5">
        <f t="shared" si="150"/>
        <v>1.500649411764706</v>
      </c>
      <c r="MR88" s="5">
        <f t="shared" si="150"/>
        <v>1.4832000000000005</v>
      </c>
      <c r="MS88" s="5">
        <f t="shared" si="150"/>
        <v>1.4759152941176468</v>
      </c>
      <c r="MT88" s="5">
        <f t="shared" si="150"/>
        <v>1.4579576470588238</v>
      </c>
      <c r="MU88" s="5">
        <f t="shared" si="150"/>
        <v>1.4355952941176471</v>
      </c>
      <c r="MV88" s="5">
        <f t="shared" si="150"/>
        <v>1.4154352941176469</v>
      </c>
      <c r="MW88" s="5">
        <f t="shared" si="150"/>
        <v>1.4017129411764706</v>
      </c>
      <c r="MX88" s="5">
        <f t="shared" si="150"/>
        <v>1.4078117647058823</v>
      </c>
      <c r="MY88" s="5">
        <f t="shared" si="150"/>
        <v>1.3964611764705883</v>
      </c>
      <c r="MZ88" s="5">
        <f t="shared" si="150"/>
        <v>1.3818917647058828</v>
      </c>
      <c r="NA88" s="5">
        <f t="shared" si="150"/>
        <v>1.3636122352941176</v>
      </c>
      <c r="NB88" s="5">
        <f t="shared" si="150"/>
        <v>1.3399115294117647</v>
      </c>
      <c r="NC88" s="5">
        <f t="shared" si="150"/>
        <v>1.2820430769230771</v>
      </c>
      <c r="ND88" s="5">
        <f t="shared" si="150"/>
        <v>37.247090823529412</v>
      </c>
      <c r="NE88" s="5">
        <f t="shared" si="150"/>
        <v>29.24275764705882</v>
      </c>
      <c r="NF88" s="5">
        <f t="shared" si="150"/>
        <v>30.063727058823531</v>
      </c>
      <c r="NG88" s="5">
        <f t="shared" si="150"/>
        <v>33.34074352941176</v>
      </c>
      <c r="NH88" s="5">
        <f t="shared" si="150"/>
        <v>51.302913882352961</v>
      </c>
      <c r="NI88" s="5">
        <f t="shared" si="150"/>
        <v>109.51962352941173</v>
      </c>
      <c r="NJ88" s="5">
        <f t="shared" si="150"/>
        <v>224.31862588235293</v>
      </c>
      <c r="NK88" s="5">
        <f t="shared" si="150"/>
        <v>246.27625411764714</v>
      </c>
      <c r="NL88" s="5">
        <f t="shared" si="150"/>
        <v>229.94089411764699</v>
      </c>
      <c r="NM88" s="5">
        <f t="shared" si="150"/>
        <v>157.02776470588233</v>
      </c>
      <c r="NN88" s="5">
        <f t="shared" si="150"/>
        <v>76.774023529411792</v>
      </c>
      <c r="NO88" s="5">
        <f t="shared" si="150"/>
        <v>48.956950588235287</v>
      </c>
      <c r="NP88" s="5">
        <f t="shared" si="150"/>
        <v>1274.0113694117645</v>
      </c>
      <c r="NQ88" s="5">
        <f t="shared" si="150"/>
        <v>13.670851764705885</v>
      </c>
      <c r="NR88" s="5">
        <f t="shared" si="150"/>
        <v>42597.098039215685</v>
      </c>
      <c r="NS88" s="5">
        <f t="shared" si="150"/>
        <v>0.90667482352941153</v>
      </c>
      <c r="NT88" s="5">
        <f t="shared" si="150"/>
        <v>42461.921568627447</v>
      </c>
      <c r="NU88" s="5">
        <f t="shared" si="150"/>
        <v>4036.9999296941628</v>
      </c>
      <c r="NV88" s="5"/>
      <c r="NW88" s="5">
        <f t="shared" ref="NW88:OE88" si="151">AVERAGE(NW3:NW55)</f>
        <v>1018.3860762352941</v>
      </c>
      <c r="NX88" s="5">
        <f t="shared" si="151"/>
        <v>79.689015398352083</v>
      </c>
      <c r="NY88" s="5">
        <f t="shared" si="151"/>
        <v>810.05539764705907</v>
      </c>
      <c r="NZ88" s="5">
        <f t="shared" si="151"/>
        <v>63.248891399091214</v>
      </c>
      <c r="OA88" s="5">
        <f t="shared" si="151"/>
        <v>255.62529317647062</v>
      </c>
      <c r="OB88" s="5">
        <f t="shared" si="151"/>
        <v>20.310984601647935</v>
      </c>
      <c r="OC88" s="5">
        <f t="shared" si="151"/>
        <v>276.08882823529422</v>
      </c>
      <c r="OD88" s="5">
        <f t="shared" si="151"/>
        <v>21.554201157452745</v>
      </c>
      <c r="OE88" s="5">
        <f t="shared" si="151"/>
        <v>297.66620780648714</v>
      </c>
      <c r="OF88" s="5">
        <f t="shared" ref="OF88" si="152">AVERAGE(OF3:OF55)</f>
        <v>9.4389335301397477</v>
      </c>
    </row>
    <row r="89" spans="1:396" customFormat="1" x14ac:dyDescent="0.15">
      <c r="A89" s="9" t="s">
        <v>49</v>
      </c>
      <c r="B89" s="5">
        <f>AVERAGE(B56:B69)</f>
        <v>1.3848685714285716</v>
      </c>
      <c r="C89" s="5">
        <f t="shared" ref="C89:BN89" si="153">AVERAGE(C56:C69)</f>
        <v>1.452137142857143</v>
      </c>
      <c r="D89" s="5">
        <f t="shared" si="153"/>
        <v>1.5261942857142858</v>
      </c>
      <c r="E89" s="5">
        <f t="shared" si="153"/>
        <v>1.5416228571428572</v>
      </c>
      <c r="F89" s="5">
        <f t="shared" si="153"/>
        <v>1.5737142857142856</v>
      </c>
      <c r="G89" s="5">
        <f t="shared" si="153"/>
        <v>1.6150628571428574</v>
      </c>
      <c r="H89" s="5">
        <f t="shared" si="153"/>
        <v>1.6138285714285714</v>
      </c>
      <c r="I89" s="5">
        <f t="shared" si="153"/>
        <v>1.6237028571428573</v>
      </c>
      <c r="J89" s="5">
        <f t="shared" si="153"/>
        <v>1.6039542857142857</v>
      </c>
      <c r="K89" s="5">
        <f t="shared" si="153"/>
        <v>1.5909942857142858</v>
      </c>
      <c r="L89" s="5">
        <f t="shared" si="153"/>
        <v>1.5644571428571425</v>
      </c>
      <c r="M89" s="5">
        <f t="shared" si="153"/>
        <v>1.5743314285714287</v>
      </c>
      <c r="N89" s="5">
        <f t="shared" si="153"/>
        <v>1.5909942857142858</v>
      </c>
      <c r="O89" s="5">
        <f t="shared" si="153"/>
        <v>1.5416228571428572</v>
      </c>
      <c r="P89" s="5">
        <f t="shared" si="153"/>
        <v>1.5132342857142855</v>
      </c>
      <c r="Q89" s="5">
        <f t="shared" si="153"/>
        <v>1.4866971428571427</v>
      </c>
      <c r="R89" s="5">
        <f t="shared" si="153"/>
        <v>1.4286857142857143</v>
      </c>
      <c r="S89" s="5">
        <f t="shared" si="153"/>
        <v>1.4453485714285714</v>
      </c>
      <c r="T89" s="5">
        <f t="shared" si="153"/>
        <v>1.4515200000000001</v>
      </c>
      <c r="U89" s="5">
        <f t="shared" si="153"/>
        <v>1.4712685714285718</v>
      </c>
      <c r="V89" s="5">
        <f t="shared" si="153"/>
        <v>1.4583085714285713</v>
      </c>
      <c r="W89" s="5">
        <f t="shared" si="153"/>
        <v>1.4311542857142856</v>
      </c>
      <c r="X89" s="5">
        <f t="shared" si="153"/>
        <v>1.4354742857142857</v>
      </c>
      <c r="Y89" s="5">
        <f t="shared" si="153"/>
        <v>1.468182857142857</v>
      </c>
      <c r="Z89" s="5">
        <f t="shared" si="153"/>
        <v>1.4768228571428572</v>
      </c>
      <c r="AA89" s="5">
        <f t="shared" si="153"/>
        <v>1.4737371428571429</v>
      </c>
      <c r="AB89" s="5">
        <f t="shared" si="153"/>
        <v>1.4965714285714287</v>
      </c>
      <c r="AC89" s="5">
        <f t="shared" si="153"/>
        <v>1.4453485714285714</v>
      </c>
      <c r="AD89" s="5">
        <f t="shared" si="153"/>
        <v>1.4089371428571429</v>
      </c>
      <c r="AE89" s="5">
        <f t="shared" si="153"/>
        <v>1.3978285714285714</v>
      </c>
      <c r="AF89" s="5">
        <f t="shared" si="153"/>
        <v>1.3916571428571431</v>
      </c>
      <c r="AG89" s="5">
        <f t="shared" si="153"/>
        <v>1.4101714285714284</v>
      </c>
      <c r="AH89" s="5">
        <f t="shared" si="153"/>
        <v>1.40832</v>
      </c>
      <c r="AI89" s="5">
        <f t="shared" si="153"/>
        <v>1.4057897142857143</v>
      </c>
      <c r="AJ89" s="5">
        <f t="shared" si="153"/>
        <v>1.3906697142857143</v>
      </c>
      <c r="AK89" s="5">
        <f t="shared" si="153"/>
        <v>1.353394285714286</v>
      </c>
      <c r="AL89" s="5">
        <f t="shared" si="153"/>
        <v>1.3611085714285718</v>
      </c>
      <c r="AM89" s="5">
        <f t="shared" si="153"/>
        <v>1.3786971428571426</v>
      </c>
      <c r="AN89" s="5">
        <f t="shared" si="153"/>
        <v>1.3672799999999998</v>
      </c>
      <c r="AO89" s="5">
        <f t="shared" si="153"/>
        <v>1.3134034285714287</v>
      </c>
      <c r="AP89" s="5">
        <f t="shared" si="153"/>
        <v>1.3072320000000002</v>
      </c>
      <c r="AQ89" s="5">
        <f t="shared" si="153"/>
        <v>1.3367931428571425</v>
      </c>
      <c r="AR89" s="5">
        <f t="shared" si="153"/>
        <v>1.3248205714285712</v>
      </c>
      <c r="AS89" s="5">
        <f t="shared" si="153"/>
        <v>1.3227222857142855</v>
      </c>
      <c r="AT89" s="5">
        <f t="shared" si="153"/>
        <v>1.3151931428571431</v>
      </c>
      <c r="AU89" s="5">
        <f t="shared" si="153"/>
        <v>1.3298811428571429</v>
      </c>
      <c r="AV89" s="5">
        <f t="shared" si="153"/>
        <v>1.3491359999999999</v>
      </c>
      <c r="AW89" s="5">
        <f t="shared" si="153"/>
        <v>1.3474079999999999</v>
      </c>
      <c r="AX89" s="5">
        <f t="shared" si="153"/>
        <v>1.314576</v>
      </c>
      <c r="AY89" s="5">
        <f t="shared" si="153"/>
        <v>1.3027885714285716</v>
      </c>
      <c r="AZ89" s="5">
        <f t="shared" si="153"/>
        <v>1.2847062857142855</v>
      </c>
      <c r="BA89" s="5">
        <f t="shared" si="153"/>
        <v>1.2640937142857143</v>
      </c>
      <c r="BB89" s="5">
        <f t="shared" si="153"/>
        <v>1.2504548571428571</v>
      </c>
      <c r="BC89" s="5">
        <f t="shared" si="153"/>
        <v>1.2042925714285715</v>
      </c>
      <c r="BD89" s="5">
        <f t="shared" si="153"/>
        <v>1.2086125714285714</v>
      </c>
      <c r="BE89" s="5">
        <f t="shared" si="153"/>
        <v>1.2256457142857144</v>
      </c>
      <c r="BF89" s="5">
        <f t="shared" si="153"/>
        <v>1.2349645714285715</v>
      </c>
      <c r="BG89" s="5">
        <f t="shared" si="153"/>
        <v>1.2697714285714283</v>
      </c>
      <c r="BH89" s="5">
        <f t="shared" si="153"/>
        <v>1.3034674285714283</v>
      </c>
      <c r="BI89" s="5">
        <f t="shared" si="153"/>
        <v>1.3154399999999999</v>
      </c>
      <c r="BJ89" s="5">
        <f t="shared" si="153"/>
        <v>1.3237714285714284</v>
      </c>
      <c r="BK89" s="5">
        <f t="shared" si="153"/>
        <v>1.3126628571428571</v>
      </c>
      <c r="BL89" s="5">
        <f t="shared" si="153"/>
        <v>1.3077257142857144</v>
      </c>
      <c r="BM89" s="5">
        <f t="shared" si="153"/>
        <v>1.3027885714285712</v>
      </c>
      <c r="BN89" s="5">
        <f t="shared" si="153"/>
        <v>1.3274742857142861</v>
      </c>
      <c r="BO89" s="5">
        <f t="shared" ref="BO89:DZ89" si="154">AVERAGE(BO56:BO69)</f>
        <v>1.3250057142857141</v>
      </c>
      <c r="BP89" s="5">
        <f t="shared" si="154"/>
        <v>1.3176000000000001</v>
      </c>
      <c r="BQ89" s="5">
        <f t="shared" si="154"/>
        <v>1.315625142857143</v>
      </c>
      <c r="BR89" s="5">
        <f t="shared" si="154"/>
        <v>1.3324114285714284</v>
      </c>
      <c r="BS89" s="5">
        <f t="shared" si="154"/>
        <v>1.3367314285714282</v>
      </c>
      <c r="BT89" s="5">
        <f t="shared" si="154"/>
        <v>1.3651199999999999</v>
      </c>
      <c r="BU89" s="5">
        <f t="shared" si="154"/>
        <v>1.353456</v>
      </c>
      <c r="BV89" s="5">
        <f t="shared" si="154"/>
        <v>1.3473462857142857</v>
      </c>
      <c r="BW89" s="5">
        <f t="shared" si="154"/>
        <v>1.3134034285714284</v>
      </c>
      <c r="BX89" s="5">
        <f t="shared" si="154"/>
        <v>1.3155634285714286</v>
      </c>
      <c r="BY89" s="5">
        <f t="shared" si="154"/>
        <v>1.3283382857142858</v>
      </c>
      <c r="BZ89" s="5">
        <f t="shared" si="154"/>
        <v>1.3351885714285714</v>
      </c>
      <c r="CA89" s="5">
        <f t="shared" si="154"/>
        <v>1.3221668571428573</v>
      </c>
      <c r="CB89" s="5">
        <f t="shared" si="154"/>
        <v>1.2950125714285714</v>
      </c>
      <c r="CC89" s="5">
        <f t="shared" si="154"/>
        <v>1.3190194285714285</v>
      </c>
      <c r="CD89" s="5">
        <f t="shared" si="154"/>
        <v>1.3177851428571432</v>
      </c>
      <c r="CE89" s="5">
        <f t="shared" si="154"/>
        <v>1.3000114285714286</v>
      </c>
      <c r="CF89" s="5">
        <f t="shared" si="154"/>
        <v>1.325561142857143</v>
      </c>
      <c r="CG89" s="5">
        <f t="shared" si="154"/>
        <v>1.3126011428571431</v>
      </c>
      <c r="CH89" s="5">
        <f t="shared" si="154"/>
        <v>1.3004434285714286</v>
      </c>
      <c r="CI89" s="5">
        <f t="shared" si="154"/>
        <v>1.3529005714285713</v>
      </c>
      <c r="CJ89" s="5">
        <f t="shared" si="154"/>
        <v>1.3232777142857144</v>
      </c>
      <c r="CK89" s="5">
        <f t="shared" si="154"/>
        <v>1.3183405714285714</v>
      </c>
      <c r="CL89" s="5">
        <f t="shared" si="154"/>
        <v>1.3132800000000002</v>
      </c>
      <c r="CM89" s="5">
        <f t="shared" si="154"/>
        <v>1.2891497142857145</v>
      </c>
      <c r="CN89" s="5">
        <f t="shared" si="154"/>
        <v>1.2950125714285716</v>
      </c>
      <c r="CO89" s="5">
        <f t="shared" si="154"/>
        <v>1.2934079999999999</v>
      </c>
      <c r="CP89" s="5">
        <f t="shared" si="154"/>
        <v>1.3106880000000001</v>
      </c>
      <c r="CQ89" s="5">
        <f t="shared" si="154"/>
        <v>1.2690308571428572</v>
      </c>
      <c r="CR89" s="5">
        <f t="shared" si="154"/>
        <v>1.2883474285714285</v>
      </c>
      <c r="CS89" s="5">
        <f t="shared" si="154"/>
        <v>1.2792754285714287</v>
      </c>
      <c r="CT89" s="5">
        <f t="shared" si="154"/>
        <v>1.262921142857143</v>
      </c>
      <c r="CU89" s="5">
        <f t="shared" si="154"/>
        <v>1.2634148571428572</v>
      </c>
      <c r="CV89" s="5">
        <f t="shared" si="154"/>
        <v>1.25712</v>
      </c>
      <c r="CW89" s="5">
        <f t="shared" si="154"/>
        <v>1.3319177142857141</v>
      </c>
      <c r="CX89" s="5">
        <f t="shared" si="154"/>
        <v>1.348518857142857</v>
      </c>
      <c r="CY89" s="5">
        <f t="shared" si="154"/>
        <v>1.3354971428571429</v>
      </c>
      <c r="CZ89" s="5">
        <f t="shared" si="154"/>
        <v>1.2990857142857142</v>
      </c>
      <c r="DA89" s="5">
        <f t="shared" si="154"/>
        <v>1.2527999999999999</v>
      </c>
      <c r="DB89" s="5">
        <f t="shared" si="154"/>
        <v>1.2478628571428572</v>
      </c>
      <c r="DC89" s="5">
        <f t="shared" si="154"/>
        <v>1.2423085714285715</v>
      </c>
      <c r="DD89" s="5">
        <f t="shared" si="154"/>
        <v>1.2318171428571429</v>
      </c>
      <c r="DE89" s="5">
        <f t="shared" si="154"/>
        <v>1.2453942857142857</v>
      </c>
      <c r="DF89" s="5">
        <f t="shared" si="154"/>
        <v>1.2737828571428571</v>
      </c>
      <c r="DG89" s="5">
        <f t="shared" si="154"/>
        <v>1.2725485714285714</v>
      </c>
      <c r="DH89" s="5">
        <f t="shared" si="154"/>
        <v>1.2645257142857145</v>
      </c>
      <c r="DI89" s="5">
        <f t="shared" si="154"/>
        <v>1.2651428571428573</v>
      </c>
      <c r="DJ89" s="5">
        <f t="shared" si="154"/>
        <v>1.2805097142857143</v>
      </c>
      <c r="DK89" s="5">
        <f t="shared" si="154"/>
        <v>1.2822377142857142</v>
      </c>
      <c r="DL89" s="5">
        <f t="shared" si="154"/>
        <v>1.2737828571428573</v>
      </c>
      <c r="DM89" s="5">
        <f t="shared" si="154"/>
        <v>1.2892114285714287</v>
      </c>
      <c r="DN89" s="5">
        <f t="shared" si="154"/>
        <v>1.3552457142857146</v>
      </c>
      <c r="DO89" s="5">
        <f t="shared" si="154"/>
        <v>1.4755885714285717</v>
      </c>
      <c r="DP89" s="5">
        <f t="shared" si="154"/>
        <v>1.6051885714285714</v>
      </c>
      <c r="DQ89" s="5">
        <f t="shared" si="154"/>
        <v>1.6341942857142857</v>
      </c>
      <c r="DR89" s="5">
        <f t="shared" si="154"/>
        <v>1.6274057142857146</v>
      </c>
      <c r="DS89" s="5">
        <f t="shared" si="154"/>
        <v>1.61568</v>
      </c>
      <c r="DT89" s="5">
        <f t="shared" si="154"/>
        <v>1.541622857142857</v>
      </c>
      <c r="DU89" s="5">
        <f t="shared" si="154"/>
        <v>1.4688000000000001</v>
      </c>
      <c r="DV89" s="5">
        <f t="shared" si="154"/>
        <v>1.4742308571428573</v>
      </c>
      <c r="DW89" s="5">
        <f t="shared" si="154"/>
        <v>1.4459657142857143</v>
      </c>
      <c r="DX89" s="5">
        <f t="shared" si="154"/>
        <v>1.4965714285714287</v>
      </c>
      <c r="DY89" s="5">
        <f t="shared" si="154"/>
        <v>1.5342171428571429</v>
      </c>
      <c r="DZ89" s="5">
        <f t="shared" si="154"/>
        <v>1.6051885714285716</v>
      </c>
      <c r="EA89" s="5">
        <f t="shared" ref="EA89:GL89" si="155">AVERAGE(EA56:EA69)</f>
        <v>1.6564114285714282</v>
      </c>
      <c r="EB89" s="5">
        <f t="shared" si="155"/>
        <v>1.675542857142857</v>
      </c>
      <c r="EC89" s="5">
        <f t="shared" si="155"/>
        <v>1.6119771428571432</v>
      </c>
      <c r="ED89" s="5">
        <f t="shared" si="155"/>
        <v>1.5373028571428571</v>
      </c>
      <c r="EE89" s="5">
        <f t="shared" si="155"/>
        <v>1.5582857142857143</v>
      </c>
      <c r="EF89" s="5">
        <f t="shared" si="155"/>
        <v>1.6169142857142857</v>
      </c>
      <c r="EG89" s="5">
        <f t="shared" si="155"/>
        <v>1.6576457142857142</v>
      </c>
      <c r="EH89" s="5">
        <f t="shared" si="155"/>
        <v>1.705782857142857</v>
      </c>
      <c r="EI89" s="5">
        <f t="shared" si="155"/>
        <v>1.7760137142857142</v>
      </c>
      <c r="EJ89" s="5">
        <f t="shared" si="155"/>
        <v>1.8818537142857141</v>
      </c>
      <c r="EK89" s="5">
        <f t="shared" si="155"/>
        <v>1.8841371428571425</v>
      </c>
      <c r="EL89" s="5">
        <f t="shared" si="155"/>
        <v>1.9125257142857142</v>
      </c>
      <c r="EM89" s="5">
        <f t="shared" si="155"/>
        <v>1.9174628571428569</v>
      </c>
      <c r="EN89" s="5">
        <f t="shared" si="155"/>
        <v>1.9261028571428571</v>
      </c>
      <c r="EO89" s="5">
        <f t="shared" si="155"/>
        <v>1.9976914285714285</v>
      </c>
      <c r="EP89" s="5">
        <f t="shared" si="155"/>
        <v>2.0260799999999999</v>
      </c>
      <c r="EQ89" s="5">
        <f t="shared" si="155"/>
        <v>2.0143542857142855</v>
      </c>
      <c r="ER89" s="5">
        <f t="shared" si="155"/>
        <v>1.9532571428571426</v>
      </c>
      <c r="ES89" s="5">
        <f t="shared" si="155"/>
        <v>1.9569600000000005</v>
      </c>
      <c r="ET89" s="5">
        <f t="shared" si="155"/>
        <v>2.1026057142857142</v>
      </c>
      <c r="EU89" s="5">
        <f t="shared" si="155"/>
        <v>2.1130971428571432</v>
      </c>
      <c r="EV89" s="5">
        <f t="shared" si="155"/>
        <v>2.1180342857142853</v>
      </c>
      <c r="EW89" s="5">
        <f t="shared" si="155"/>
        <v>2.1322285714285711</v>
      </c>
      <c r="EX89" s="5">
        <f t="shared" si="155"/>
        <v>2.2093714285714285</v>
      </c>
      <c r="EY89" s="5">
        <f t="shared" si="155"/>
        <v>2.3463771428571429</v>
      </c>
      <c r="EZ89" s="5">
        <f t="shared" si="155"/>
        <v>2.4710399999999995</v>
      </c>
      <c r="FA89" s="5">
        <f t="shared" si="155"/>
        <v>2.4358628571428573</v>
      </c>
      <c r="FB89" s="5">
        <f t="shared" si="155"/>
        <v>2.4420342857142856</v>
      </c>
      <c r="FC89" s="5">
        <f t="shared" si="155"/>
        <v>2.5278171428571423</v>
      </c>
      <c r="FD89" s="5">
        <f t="shared" si="155"/>
        <v>2.6037257142857135</v>
      </c>
      <c r="FE89" s="5">
        <f t="shared" si="155"/>
        <v>2.5376914285714287</v>
      </c>
      <c r="FF89" s="5">
        <f t="shared" si="155"/>
        <v>2.6012571428571429</v>
      </c>
      <c r="FG89" s="5">
        <f t="shared" si="155"/>
        <v>2.629645714285715</v>
      </c>
      <c r="FH89" s="5">
        <f t="shared" si="155"/>
        <v>2.716045714285714</v>
      </c>
      <c r="FI89" s="5">
        <f t="shared" si="155"/>
        <v>2.7536914285714285</v>
      </c>
      <c r="FJ89" s="5">
        <f t="shared" si="155"/>
        <v>2.8036800000000004</v>
      </c>
      <c r="FK89" s="5">
        <f t="shared" si="155"/>
        <v>2.8616914285714286</v>
      </c>
      <c r="FL89" s="5">
        <f t="shared" si="155"/>
        <v>3.0542400000000005</v>
      </c>
      <c r="FM89" s="5">
        <f t="shared" si="155"/>
        <v>3.1282971428571424</v>
      </c>
      <c r="FN89" s="5">
        <f t="shared" si="155"/>
        <v>3.2776457142857143</v>
      </c>
      <c r="FO89" s="5">
        <f t="shared" si="155"/>
        <v>3.4393371428571422</v>
      </c>
      <c r="FP89" s="5">
        <f t="shared" si="155"/>
        <v>3.6028799999999999</v>
      </c>
      <c r="FQ89" s="5">
        <f t="shared" si="155"/>
        <v>3.6719999999999997</v>
      </c>
      <c r="FR89" s="5">
        <f t="shared" si="155"/>
        <v>3.5800457142857143</v>
      </c>
      <c r="FS89" s="5">
        <f t="shared" si="155"/>
        <v>3.6041142857142856</v>
      </c>
      <c r="FT89" s="5">
        <f t="shared" si="155"/>
        <v>3.7472914285714287</v>
      </c>
      <c r="FU89" s="5">
        <f t="shared" si="155"/>
        <v>3.9274971428571428</v>
      </c>
      <c r="FV89" s="5">
        <f t="shared" si="155"/>
        <v>4.2002742857142854</v>
      </c>
      <c r="FW89" s="5">
        <f t="shared" si="155"/>
        <v>4.4465142857142856</v>
      </c>
      <c r="FX89" s="5">
        <f t="shared" si="155"/>
        <v>4.4693485714285712</v>
      </c>
      <c r="FY89" s="5">
        <f t="shared" si="155"/>
        <v>4.7402742857142854</v>
      </c>
      <c r="FZ89" s="5">
        <f t="shared" si="155"/>
        <v>5.1531428571428579</v>
      </c>
      <c r="GA89" s="5">
        <f t="shared" si="155"/>
        <v>5.2660800000000005</v>
      </c>
      <c r="GB89" s="5">
        <f t="shared" si="155"/>
        <v>5.402468571428571</v>
      </c>
      <c r="GC89" s="5">
        <f t="shared" si="155"/>
        <v>5.2778057142857131</v>
      </c>
      <c r="GD89" s="5">
        <f t="shared" si="155"/>
        <v>5.183382857142858</v>
      </c>
      <c r="GE89" s="5">
        <f t="shared" si="155"/>
        <v>5.0834057142857132</v>
      </c>
      <c r="GF89" s="5">
        <f t="shared" si="155"/>
        <v>5.3222399999999999</v>
      </c>
      <c r="GG89" s="5">
        <f t="shared" si="155"/>
        <v>5.7622628571428569</v>
      </c>
      <c r="GH89" s="5">
        <f t="shared" si="155"/>
        <v>5.703634285714287</v>
      </c>
      <c r="GI89" s="5">
        <f t="shared" si="155"/>
        <v>6.0288685714285721</v>
      </c>
      <c r="GJ89" s="5">
        <f t="shared" si="155"/>
        <v>6.3368228571428569</v>
      </c>
      <c r="GK89" s="5">
        <f t="shared" si="155"/>
        <v>6.4010057142857155</v>
      </c>
      <c r="GL89" s="5">
        <f t="shared" si="155"/>
        <v>6.3868114285714279</v>
      </c>
      <c r="GM89" s="5">
        <f t="shared" ref="GM89:IX89" si="156">AVERAGE(GM56:GM69)</f>
        <v>6.5849142857142864</v>
      </c>
      <c r="GN89" s="5">
        <f t="shared" si="156"/>
        <v>6.7645028571428565</v>
      </c>
      <c r="GO89" s="5">
        <f t="shared" si="156"/>
        <v>6.9786514285714292</v>
      </c>
      <c r="GP89" s="5">
        <f t="shared" si="156"/>
        <v>6.9626057142857141</v>
      </c>
      <c r="GQ89" s="5">
        <f t="shared" si="156"/>
        <v>7.3328914285714291</v>
      </c>
      <c r="GR89" s="5">
        <f t="shared" si="156"/>
        <v>7.5266742857142859</v>
      </c>
      <c r="GS89" s="5">
        <f t="shared" si="156"/>
        <v>7.6698514285714285</v>
      </c>
      <c r="GT89" s="5">
        <f t="shared" si="156"/>
        <v>7.687748571428572</v>
      </c>
      <c r="GU89" s="5">
        <f t="shared" si="156"/>
        <v>7.6507200000000015</v>
      </c>
      <c r="GV89" s="5">
        <f t="shared" si="156"/>
        <v>7.5396342857142873</v>
      </c>
      <c r="GW89" s="5">
        <f t="shared" si="156"/>
        <v>7.4118857142857122</v>
      </c>
      <c r="GX89" s="5">
        <f t="shared" si="156"/>
        <v>7.4205257142857155</v>
      </c>
      <c r="GY89" s="5">
        <f t="shared" si="156"/>
        <v>7.5692571428571425</v>
      </c>
      <c r="GZ89" s="5">
        <f t="shared" si="156"/>
        <v>7.5513600000000016</v>
      </c>
      <c r="HA89" s="5">
        <f t="shared" si="156"/>
        <v>7.4729828571428589</v>
      </c>
      <c r="HB89" s="5">
        <f t="shared" si="156"/>
        <v>7.4742171428571424</v>
      </c>
      <c r="HC89" s="5">
        <f t="shared" si="156"/>
        <v>7.4970514285714271</v>
      </c>
      <c r="HD89" s="5">
        <f t="shared" si="156"/>
        <v>7.3878171428571431</v>
      </c>
      <c r="HE89" s="5">
        <f t="shared" si="156"/>
        <v>6.9675428571428579</v>
      </c>
      <c r="HF89" s="5">
        <f t="shared" si="156"/>
        <v>6.7935085714285721</v>
      </c>
      <c r="HG89" s="5">
        <f t="shared" si="156"/>
        <v>6.747222857142857</v>
      </c>
      <c r="HH89" s="5">
        <f t="shared" si="156"/>
        <v>6.6639085714285713</v>
      </c>
      <c r="HI89" s="5">
        <f t="shared" si="156"/>
        <v>6.6355200000000005</v>
      </c>
      <c r="HJ89" s="5">
        <f t="shared" si="156"/>
        <v>6.4719771428571438</v>
      </c>
      <c r="HK89" s="5">
        <f t="shared" si="156"/>
        <v>6.6151542857142847</v>
      </c>
      <c r="HL89" s="5">
        <f t="shared" si="156"/>
        <v>6.6404571428571435</v>
      </c>
      <c r="HM89" s="5">
        <f t="shared" si="156"/>
        <v>6.7175999999999991</v>
      </c>
      <c r="HN89" s="5">
        <f t="shared" si="156"/>
        <v>6.7521600000000017</v>
      </c>
      <c r="HO89" s="5">
        <f t="shared" si="156"/>
        <v>6.6663771428571428</v>
      </c>
      <c r="HP89" s="5">
        <f t="shared" si="156"/>
        <v>6.6133028571428571</v>
      </c>
      <c r="HQ89" s="5">
        <f t="shared" si="156"/>
        <v>6.5923199999999991</v>
      </c>
      <c r="HR89" s="5">
        <f t="shared" si="156"/>
        <v>6.7145142857142854</v>
      </c>
      <c r="HS89" s="5">
        <f t="shared" si="156"/>
        <v>7.032960000000001</v>
      </c>
      <c r="HT89" s="5">
        <f t="shared" si="156"/>
        <v>7.0483885714285703</v>
      </c>
      <c r="HU89" s="5">
        <f t="shared" si="156"/>
        <v>7.0286400000000002</v>
      </c>
      <c r="HV89" s="5">
        <f t="shared" si="156"/>
        <v>6.8990399999999994</v>
      </c>
      <c r="HW89" s="5">
        <f t="shared" si="156"/>
        <v>6.8311542857142857</v>
      </c>
      <c r="HX89" s="5">
        <f t="shared" si="156"/>
        <v>6.6762514285714287</v>
      </c>
      <c r="HY89" s="5">
        <f t="shared" si="156"/>
        <v>6.746605714285713</v>
      </c>
      <c r="HZ89" s="5">
        <f t="shared" si="156"/>
        <v>6.7052571428571426</v>
      </c>
      <c r="IA89" s="5">
        <f t="shared" si="156"/>
        <v>6.6589714285714292</v>
      </c>
      <c r="IB89" s="5">
        <f t="shared" si="156"/>
        <v>6.5040685714285713</v>
      </c>
      <c r="IC89" s="5">
        <f t="shared" si="156"/>
        <v>6.5842971428571442</v>
      </c>
      <c r="ID89" s="5">
        <f t="shared" si="156"/>
        <v>6.6577371428571421</v>
      </c>
      <c r="IE89" s="5">
        <f t="shared" si="156"/>
        <v>6.816959999999999</v>
      </c>
      <c r="IF89" s="5">
        <f t="shared" si="156"/>
        <v>7.0459199999999997</v>
      </c>
      <c r="IG89" s="5">
        <f t="shared" si="156"/>
        <v>7.2748799999999987</v>
      </c>
      <c r="IH89" s="5">
        <f t="shared" si="156"/>
        <v>7.4908799999999989</v>
      </c>
      <c r="II89" s="5">
        <f t="shared" si="156"/>
        <v>7.8006857142857138</v>
      </c>
      <c r="IJ89" s="5">
        <f t="shared" si="156"/>
        <v>7.7074971428571422</v>
      </c>
      <c r="IK89" s="5">
        <f t="shared" si="156"/>
        <v>7.7155199999999997</v>
      </c>
      <c r="IL89" s="5">
        <f t="shared" si="156"/>
        <v>7.8833828571428564</v>
      </c>
      <c r="IM89" s="5">
        <f t="shared" si="156"/>
        <v>7.7846399999999987</v>
      </c>
      <c r="IN89" s="5">
        <f t="shared" si="156"/>
        <v>7.7901942857142865</v>
      </c>
      <c r="IO89" s="5">
        <f t="shared" si="156"/>
        <v>8.0475428571428562</v>
      </c>
      <c r="IP89" s="5">
        <f t="shared" si="156"/>
        <v>7.9309028571428586</v>
      </c>
      <c r="IQ89" s="5">
        <f t="shared" si="156"/>
        <v>7.9407771428571428</v>
      </c>
      <c r="IR89" s="5">
        <f t="shared" si="156"/>
        <v>8.0913599999999999</v>
      </c>
      <c r="IS89" s="5">
        <f t="shared" si="156"/>
        <v>8.2623085714285711</v>
      </c>
      <c r="IT89" s="5">
        <f t="shared" si="156"/>
        <v>8.1604800000000015</v>
      </c>
      <c r="IU89" s="5">
        <f t="shared" si="156"/>
        <v>7.8611657142857139</v>
      </c>
      <c r="IV89" s="5">
        <f t="shared" si="156"/>
        <v>7.8377142857142852</v>
      </c>
      <c r="IW89" s="5">
        <f t="shared" si="156"/>
        <v>7.7630399999999993</v>
      </c>
      <c r="IX89" s="5">
        <f t="shared" si="156"/>
        <v>7.7136685714285722</v>
      </c>
      <c r="IY89" s="5">
        <f t="shared" ref="IY89:LJ89" si="157">AVERAGE(IY56:IY69)</f>
        <v>7.7821714285714298</v>
      </c>
      <c r="IZ89" s="5">
        <f t="shared" si="157"/>
        <v>7.892640000000001</v>
      </c>
      <c r="JA89" s="5">
        <f t="shared" si="157"/>
        <v>7.7327999999999992</v>
      </c>
      <c r="JB89" s="5">
        <f t="shared" si="157"/>
        <v>7.7642742857142855</v>
      </c>
      <c r="JC89" s="5">
        <f t="shared" si="157"/>
        <v>7.591474285714285</v>
      </c>
      <c r="JD89" s="5">
        <f t="shared" si="157"/>
        <v>7.3359771428571436</v>
      </c>
      <c r="JE89" s="5">
        <f t="shared" si="157"/>
        <v>7.2156342857142857</v>
      </c>
      <c r="JF89" s="5">
        <f t="shared" si="157"/>
        <v>6.9903771428571417</v>
      </c>
      <c r="JG89" s="5">
        <f t="shared" si="157"/>
        <v>6.9385371428571432</v>
      </c>
      <c r="JH89" s="5">
        <f t="shared" si="157"/>
        <v>6.8885485714285712</v>
      </c>
      <c r="JI89" s="5">
        <f t="shared" si="157"/>
        <v>6.6632914285714291</v>
      </c>
      <c r="JJ89" s="5">
        <f t="shared" si="157"/>
        <v>6.5713371428571437</v>
      </c>
      <c r="JK89" s="5">
        <f t="shared" si="157"/>
        <v>6.3985371428571431</v>
      </c>
      <c r="JL89" s="5">
        <f t="shared" si="157"/>
        <v>6.1850057142857144</v>
      </c>
      <c r="JM89" s="5">
        <f t="shared" si="157"/>
        <v>5.9560457142857146</v>
      </c>
      <c r="JN89" s="5">
        <f t="shared" si="157"/>
        <v>6.1066285714285709</v>
      </c>
      <c r="JO89" s="5">
        <f t="shared" si="157"/>
        <v>6.1035428571428572</v>
      </c>
      <c r="JP89" s="5">
        <f t="shared" si="157"/>
        <v>5.787565714285714</v>
      </c>
      <c r="JQ89" s="5">
        <f t="shared" si="157"/>
        <v>5.5715657142857138</v>
      </c>
      <c r="JR89" s="5">
        <f t="shared" si="157"/>
        <v>5.6085942857142852</v>
      </c>
      <c r="JS89" s="5">
        <f t="shared" si="157"/>
        <v>5.5080000000000009</v>
      </c>
      <c r="JT89" s="5">
        <f t="shared" si="157"/>
        <v>5.5968685714285709</v>
      </c>
      <c r="JU89" s="5">
        <f t="shared" si="157"/>
        <v>5.4215999999999998</v>
      </c>
      <c r="JV89" s="5">
        <f t="shared" si="157"/>
        <v>5.3642057142857142</v>
      </c>
      <c r="JW89" s="5">
        <f t="shared" si="157"/>
        <v>5.4870171428571428</v>
      </c>
      <c r="JX89" s="5">
        <f t="shared" si="157"/>
        <v>5.453074285714286</v>
      </c>
      <c r="JY89" s="5">
        <f t="shared" si="157"/>
        <v>5.2525028571428569</v>
      </c>
      <c r="JZ89" s="5">
        <f t="shared" si="157"/>
        <v>5.1562285714285707</v>
      </c>
      <c r="KA89" s="5">
        <f t="shared" si="157"/>
        <v>4.9970057142857147</v>
      </c>
      <c r="KB89" s="5">
        <f t="shared" si="157"/>
        <v>4.8933257142857149</v>
      </c>
      <c r="KC89" s="5">
        <f t="shared" si="157"/>
        <v>4.7316342857142857</v>
      </c>
      <c r="KD89" s="5">
        <f t="shared" si="157"/>
        <v>4.542788571428571</v>
      </c>
      <c r="KE89" s="5">
        <f t="shared" si="157"/>
        <v>4.4804571428571425</v>
      </c>
      <c r="KF89" s="5">
        <f t="shared" si="157"/>
        <v>4.4150400000000003</v>
      </c>
      <c r="KG89" s="5">
        <f t="shared" si="157"/>
        <v>4.3576457142857148</v>
      </c>
      <c r="KH89" s="5">
        <f t="shared" si="157"/>
        <v>4.2990171428571431</v>
      </c>
      <c r="KI89" s="5">
        <f t="shared" si="157"/>
        <v>4.2823542857142858</v>
      </c>
      <c r="KJ89" s="5">
        <f t="shared" si="157"/>
        <v>4.2058285714285715</v>
      </c>
      <c r="KK89" s="5">
        <f t="shared" si="157"/>
        <v>4.0373485714285717</v>
      </c>
      <c r="KL89" s="5">
        <f t="shared" si="157"/>
        <v>3.8941714285714286</v>
      </c>
      <c r="KM89" s="5">
        <f t="shared" si="157"/>
        <v>3.7997485714285708</v>
      </c>
      <c r="KN89" s="5">
        <f t="shared" si="157"/>
        <v>3.7448228571428572</v>
      </c>
      <c r="KO89" s="5">
        <f t="shared" si="157"/>
        <v>3.6682971428571425</v>
      </c>
      <c r="KP89" s="5">
        <f t="shared" si="157"/>
        <v>3.491177142857143</v>
      </c>
      <c r="KQ89" s="5">
        <f t="shared" si="157"/>
        <v>3.3739199999999996</v>
      </c>
      <c r="KR89" s="5">
        <f t="shared" si="157"/>
        <v>3.2967771428571426</v>
      </c>
      <c r="KS89" s="5">
        <f t="shared" si="157"/>
        <v>3.2116114285714281</v>
      </c>
      <c r="KT89" s="5">
        <f t="shared" si="157"/>
        <v>3.23136</v>
      </c>
      <c r="KU89" s="5">
        <f t="shared" si="157"/>
        <v>3.2245714285714286</v>
      </c>
      <c r="KV89" s="5">
        <f t="shared" si="157"/>
        <v>3.0746057142857137</v>
      </c>
      <c r="KW89" s="5">
        <f t="shared" si="157"/>
        <v>3.0455999999999999</v>
      </c>
      <c r="KX89" s="5">
        <f t="shared" si="157"/>
        <v>2.9308114285714284</v>
      </c>
      <c r="KY89" s="5">
        <f t="shared" si="157"/>
        <v>2.8357714285714288</v>
      </c>
      <c r="KZ89" s="5">
        <f t="shared" si="157"/>
        <v>2.7882514285714284</v>
      </c>
      <c r="LA89" s="5">
        <f t="shared" si="157"/>
        <v>2.7450514285714287</v>
      </c>
      <c r="LB89" s="5">
        <f t="shared" si="157"/>
        <v>2.6709942857142854</v>
      </c>
      <c r="LC89" s="5">
        <f t="shared" si="157"/>
        <v>2.6061942857142859</v>
      </c>
      <c r="LD89" s="5">
        <f t="shared" si="157"/>
        <v>2.5753371428571432</v>
      </c>
      <c r="LE89" s="5">
        <f t="shared" si="157"/>
        <v>2.5500342857142857</v>
      </c>
      <c r="LF89" s="5">
        <f t="shared" si="157"/>
        <v>2.4691885714285711</v>
      </c>
      <c r="LG89" s="5">
        <f t="shared" si="157"/>
        <v>2.471657142857143</v>
      </c>
      <c r="LH89" s="5">
        <f t="shared" si="157"/>
        <v>2.4512914285714289</v>
      </c>
      <c r="LI89" s="5">
        <f t="shared" si="157"/>
        <v>2.4056228571428568</v>
      </c>
      <c r="LJ89" s="5">
        <f t="shared" si="157"/>
        <v>2.3648914285714286</v>
      </c>
      <c r="LK89" s="5">
        <f t="shared" ref="LK89:NU89" si="158">AVERAGE(LK56:LK69)</f>
        <v>2.29392</v>
      </c>
      <c r="LL89" s="5">
        <f t="shared" si="158"/>
        <v>2.2556571428571428</v>
      </c>
      <c r="LM89" s="5">
        <f t="shared" si="158"/>
        <v>2.2488685714285714</v>
      </c>
      <c r="LN89" s="5">
        <f t="shared" si="158"/>
        <v>2.2673828571428576</v>
      </c>
      <c r="LO89" s="5">
        <f t="shared" si="158"/>
        <v>2.2186285714285714</v>
      </c>
      <c r="LP89" s="5">
        <f t="shared" si="158"/>
        <v>2.1556799999999998</v>
      </c>
      <c r="LQ89" s="5">
        <f t="shared" si="158"/>
        <v>2.1735771428571429</v>
      </c>
      <c r="LR89" s="5">
        <f t="shared" si="158"/>
        <v>2.1538285714285714</v>
      </c>
      <c r="LS89" s="5">
        <f t="shared" si="158"/>
        <v>2.0482971428571428</v>
      </c>
      <c r="LT89" s="5">
        <f t="shared" si="158"/>
        <v>1.9643657142857145</v>
      </c>
      <c r="LU89" s="5">
        <f t="shared" si="158"/>
        <v>1.9841142857142857</v>
      </c>
      <c r="LV89" s="5">
        <f t="shared" si="158"/>
        <v>1.9686857142857142</v>
      </c>
      <c r="LW89" s="5">
        <f t="shared" si="158"/>
        <v>1.9168457142857143</v>
      </c>
      <c r="LX89" s="5">
        <f t="shared" si="158"/>
        <v>1.8446399999999998</v>
      </c>
      <c r="LY89" s="5">
        <f t="shared" si="158"/>
        <v>1.7927999999999997</v>
      </c>
      <c r="LZ89" s="5">
        <f t="shared" si="158"/>
        <v>1.7749028571428571</v>
      </c>
      <c r="MA89" s="5">
        <f t="shared" si="158"/>
        <v>1.7335542857142858</v>
      </c>
      <c r="MB89" s="5">
        <f t="shared" si="158"/>
        <v>1.7329988571428572</v>
      </c>
      <c r="MC89" s="5">
        <f t="shared" si="158"/>
        <v>1.6985622857142855</v>
      </c>
      <c r="MD89" s="5">
        <f t="shared" si="158"/>
        <v>1.6134582857142854</v>
      </c>
      <c r="ME89" s="5">
        <f t="shared" si="158"/>
        <v>1.5825394285714285</v>
      </c>
      <c r="MF89" s="5">
        <f t="shared" si="158"/>
        <v>1.6120388571428574</v>
      </c>
      <c r="MG89" s="5">
        <f t="shared" si="158"/>
        <v>1.6071634285714289</v>
      </c>
      <c r="MH89" s="5">
        <f t="shared" si="158"/>
        <v>1.540265142857143</v>
      </c>
      <c r="MI89" s="5">
        <f t="shared" si="158"/>
        <v>1.536685714285714</v>
      </c>
      <c r="MJ89" s="5">
        <f t="shared" si="158"/>
        <v>1.5542125714285717</v>
      </c>
      <c r="MK89" s="5">
        <f t="shared" si="158"/>
        <v>1.5737760000000001</v>
      </c>
      <c r="ML89" s="5">
        <f t="shared" si="158"/>
        <v>1.5529782857142858</v>
      </c>
      <c r="MM89" s="5">
        <f t="shared" si="158"/>
        <v>1.5074331428571426</v>
      </c>
      <c r="MN89" s="5">
        <f t="shared" si="158"/>
        <v>1.5160731428571428</v>
      </c>
      <c r="MO89" s="5">
        <f t="shared" si="158"/>
        <v>1.5236022857142859</v>
      </c>
      <c r="MP89" s="5">
        <f t="shared" si="158"/>
        <v>1.4860800000000001</v>
      </c>
      <c r="MQ89" s="5">
        <f t="shared" si="158"/>
        <v>1.4780571428571427</v>
      </c>
      <c r="MR89" s="5">
        <f t="shared" si="158"/>
        <v>1.4539885714285714</v>
      </c>
      <c r="MS89" s="5">
        <f t="shared" si="158"/>
        <v>1.4367085714285717</v>
      </c>
      <c r="MT89" s="5">
        <f t="shared" si="158"/>
        <v>1.4262171428571428</v>
      </c>
      <c r="MU89" s="5">
        <f t="shared" si="158"/>
        <v>1.4706514285714285</v>
      </c>
      <c r="MV89" s="5">
        <f t="shared" si="158"/>
        <v>1.4354742857142859</v>
      </c>
      <c r="MW89" s="5">
        <f t="shared" si="158"/>
        <v>1.3749942857142854</v>
      </c>
      <c r="MX89" s="5">
        <f t="shared" si="158"/>
        <v>1.3675885714285716</v>
      </c>
      <c r="MY89" s="5">
        <f t="shared" si="158"/>
        <v>1.3712914285714286</v>
      </c>
      <c r="MZ89" s="5">
        <f t="shared" si="158"/>
        <v>1.4058514285714285</v>
      </c>
      <c r="NA89" s="5">
        <f t="shared" si="158"/>
        <v>1.4132571428571428</v>
      </c>
      <c r="NB89" s="5">
        <f t="shared" si="158"/>
        <v>1.3996799999999998</v>
      </c>
      <c r="NC89" s="5">
        <f t="shared" si="158"/>
        <v>1.58544</v>
      </c>
      <c r="ND89" s="5">
        <f t="shared" si="158"/>
        <v>46.470239999999997</v>
      </c>
      <c r="NE89" s="5">
        <f t="shared" si="158"/>
        <v>37.279625142857142</v>
      </c>
      <c r="NF89" s="5">
        <f t="shared" si="158"/>
        <v>40.962301714285715</v>
      </c>
      <c r="NG89" s="5">
        <f t="shared" si="158"/>
        <v>39.676114285714284</v>
      </c>
      <c r="NH89" s="5">
        <f t="shared" si="158"/>
        <v>54.92633142857143</v>
      </c>
      <c r="NI89" s="5">
        <f t="shared" si="158"/>
        <v>99.218057142857134</v>
      </c>
      <c r="NJ89" s="5">
        <f t="shared" si="158"/>
        <v>209.20217142857146</v>
      </c>
      <c r="NK89" s="5">
        <f t="shared" si="158"/>
        <v>213.00932571428572</v>
      </c>
      <c r="NL89" s="5">
        <f t="shared" si="158"/>
        <v>221.19017142857138</v>
      </c>
      <c r="NM89" s="5">
        <f t="shared" si="158"/>
        <v>141.1708114285714</v>
      </c>
      <c r="NN89" s="5">
        <f t="shared" si="158"/>
        <v>72.724114285714293</v>
      </c>
      <c r="NO89" s="5">
        <f t="shared" si="158"/>
        <v>47.407679999999992</v>
      </c>
      <c r="NP89" s="5">
        <f t="shared" si="158"/>
        <v>1223.236944</v>
      </c>
      <c r="NQ89" s="5">
        <f t="shared" si="158"/>
        <v>12.329280000000001</v>
      </c>
      <c r="NR89" s="5">
        <f t="shared" si="158"/>
        <v>42599.357142857145</v>
      </c>
      <c r="NS89" s="5">
        <f t="shared" si="158"/>
        <v>0.93676114285714285</v>
      </c>
      <c r="NT89" s="5">
        <f t="shared" si="158"/>
        <v>42480.642857142855</v>
      </c>
      <c r="NU89" s="5">
        <f t="shared" si="158"/>
        <v>3875.2483788350282</v>
      </c>
      <c r="NV89" s="5"/>
      <c r="NW89" s="5">
        <f t="shared" ref="NW89:OE89" si="159">AVERAGE(NW56:NW69)</f>
        <v>938.71686857142868</v>
      </c>
      <c r="NX89" s="5">
        <f t="shared" si="159"/>
        <v>76.475117570267031</v>
      </c>
      <c r="NY89" s="5">
        <f t="shared" si="159"/>
        <v>742.61972571428578</v>
      </c>
      <c r="NZ89" s="5">
        <f t="shared" si="159"/>
        <v>60.404810499638067</v>
      </c>
      <c r="OA89" s="5">
        <f t="shared" si="159"/>
        <v>284.52007542857137</v>
      </c>
      <c r="OB89" s="5">
        <f t="shared" si="159"/>
        <v>23.524882429732951</v>
      </c>
      <c r="OC89" s="5">
        <f t="shared" si="159"/>
        <v>256.42038857142859</v>
      </c>
      <c r="OD89" s="5">
        <f t="shared" si="159"/>
        <v>20.799821550001734</v>
      </c>
      <c r="OE89" s="5">
        <f t="shared" si="159"/>
        <v>285.80302429906544</v>
      </c>
      <c r="OF89" s="5">
        <f t="shared" ref="OF89" si="160">AVERAGE(OF56:OF69)</f>
        <v>9.0627544488541787</v>
      </c>
    </row>
    <row r="91" spans="1:396" x14ac:dyDescent="0.15">
      <c r="A91" s="15" t="s">
        <v>54</v>
      </c>
      <c r="ND91" s="11">
        <f>ND75/$NP75*100</f>
        <v>3.1061975513325306</v>
      </c>
      <c r="NE91" s="11">
        <f t="shared" ref="NE91:NO91" si="161">NE75/$NP75*100</f>
        <v>2.4522508117479607</v>
      </c>
      <c r="NF91" s="11">
        <f t="shared" si="161"/>
        <v>2.5660474367745101</v>
      </c>
      <c r="NG91" s="11">
        <f t="shared" si="161"/>
        <v>2.7476813015505961</v>
      </c>
      <c r="NH91" s="11">
        <f t="shared" si="161"/>
        <v>4.1235340961400011</v>
      </c>
      <c r="NI91" s="11">
        <f t="shared" si="161"/>
        <v>8.4952038310628861</v>
      </c>
      <c r="NJ91" s="11">
        <f t="shared" si="161"/>
        <v>17.501946817544621</v>
      </c>
      <c r="NK91" s="11">
        <f t="shared" si="161"/>
        <v>18.930863590972255</v>
      </c>
      <c r="NL91" s="11">
        <f t="shared" si="161"/>
        <v>18.055623126894847</v>
      </c>
      <c r="NM91" s="11">
        <f t="shared" si="161"/>
        <v>12.161778172741682</v>
      </c>
      <c r="NN91" s="11">
        <f t="shared" si="161"/>
        <v>6.0092801293463305</v>
      </c>
      <c r="NO91" s="11">
        <f t="shared" si="161"/>
        <v>3.8495931338917844</v>
      </c>
    </row>
  </sheetData>
  <mergeCells count="4">
    <mergeCell ref="NW1:NX1"/>
    <mergeCell ref="NY1:NZ1"/>
    <mergeCell ref="OA1:OB1"/>
    <mergeCell ref="OC1:OD1"/>
  </mergeCells>
  <phoneticPr fontId="3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2</vt:i4>
      </vt:variant>
    </vt:vector>
  </HeadingPairs>
  <TitlesOfParts>
    <vt:vector size="2" baseType="lpstr">
      <vt:lpstr>日流量</vt:lpstr>
      <vt:lpstr>日径流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Administrator</dc:creator>
  <cp:lastModifiedBy>Administrator</cp:lastModifiedBy>
  <dcterms:created xsi:type="dcterms:W3CDTF">2015-07-02T07:41:13Z</dcterms:created>
  <dcterms:modified xsi:type="dcterms:W3CDTF">2022-06-24T09:55:30Z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db3e7b4c-f40b-4581-a409-02785dd807ce</vt:lpwstr>
  </property>
</Properties>
</file>